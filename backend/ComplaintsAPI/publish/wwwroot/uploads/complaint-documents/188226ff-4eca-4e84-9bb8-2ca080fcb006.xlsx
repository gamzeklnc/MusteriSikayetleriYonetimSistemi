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mla.Atali\Desktop\"/>
    </mc:Choice>
  </mc:AlternateContent>
  <xr:revisionPtr revIDLastSave="0" documentId="13_ncr:1_{21A151C5-86FA-4AE9-8897-47872AD7553A}" xr6:coauthVersionLast="47" xr6:coauthVersionMax="47" xr10:uidLastSave="{00000000-0000-0000-0000-000000000000}"/>
  <bookViews>
    <workbookView xWindow="15660" yWindow="432" windowWidth="7380" windowHeight="11808" tabRatio="167" xr2:uid="{00000000-000D-0000-FFFF-FFFF00000000}"/>
  </bookViews>
  <sheets>
    <sheet name="Sayfa1 (2)" sheetId="2" r:id="rId1"/>
  </sheets>
  <definedNames>
    <definedName name="PUANTAJ" localSheetId="0">'Sayfa1 (2)'!$A$2:$AQ$13</definedName>
    <definedName name="_xlnm.Print_Area" localSheetId="0">'Sayfa1 (2)'!$A$1:$AQ$37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2" l="1"/>
  <c r="AL4" i="2"/>
  <c r="AK4" i="2"/>
  <c r="AJ4" i="2"/>
  <c r="AI4" i="2"/>
  <c r="AF2" i="2"/>
  <c r="AG2" i="2"/>
  <c r="AH2" i="2"/>
  <c r="AE2" i="2"/>
  <c r="AQ13" i="2"/>
  <c r="AP13" i="2"/>
  <c r="AO13" i="2"/>
  <c r="AN13" i="2"/>
  <c r="AM13" i="2"/>
  <c r="AL13" i="2"/>
  <c r="AK13" i="2"/>
  <c r="AJ13" i="2"/>
  <c r="AI13" i="2"/>
  <c r="AH13" i="2"/>
  <c r="AQ12" i="2"/>
  <c r="AP12" i="2"/>
  <c r="AO12" i="2"/>
  <c r="AN12" i="2"/>
  <c r="AM12" i="2"/>
  <c r="AL12" i="2"/>
  <c r="AK12" i="2"/>
  <c r="AJ12" i="2"/>
  <c r="AI12" i="2"/>
  <c r="AH12" i="2"/>
  <c r="AQ11" i="2"/>
  <c r="AP11" i="2"/>
  <c r="AO11" i="2"/>
  <c r="AN11" i="2"/>
  <c r="AM11" i="2"/>
  <c r="AL11" i="2"/>
  <c r="AK11" i="2"/>
  <c r="AJ11" i="2"/>
  <c r="AI11" i="2"/>
  <c r="AH11" i="2"/>
  <c r="AQ10" i="2"/>
  <c r="AP10" i="2"/>
  <c r="AO10" i="2"/>
  <c r="AN10" i="2"/>
  <c r="AM10" i="2"/>
  <c r="AL10" i="2"/>
  <c r="AK10" i="2"/>
  <c r="AJ10" i="2"/>
  <c r="AI10" i="2"/>
  <c r="AH10" i="2"/>
  <c r="AQ9" i="2"/>
  <c r="AP9" i="2"/>
  <c r="AO9" i="2"/>
  <c r="AN9" i="2"/>
  <c r="AM9" i="2"/>
  <c r="AL9" i="2"/>
  <c r="AK9" i="2"/>
  <c r="AJ9" i="2"/>
  <c r="AI9" i="2"/>
  <c r="AH9" i="2"/>
  <c r="AQ8" i="2"/>
  <c r="AP8" i="2"/>
  <c r="AO8" i="2"/>
  <c r="AN8" i="2"/>
  <c r="AM8" i="2"/>
  <c r="AL8" i="2"/>
  <c r="AK8" i="2"/>
  <c r="AJ8" i="2"/>
  <c r="AI8" i="2"/>
  <c r="AH8" i="2"/>
  <c r="AQ7" i="2"/>
  <c r="AP7" i="2"/>
  <c r="AO7" i="2"/>
  <c r="AN7" i="2"/>
  <c r="AM7" i="2"/>
  <c r="AL7" i="2"/>
  <c r="AK7" i="2"/>
  <c r="AJ7" i="2"/>
  <c r="AI7" i="2"/>
  <c r="AH7" i="2"/>
  <c r="AQ6" i="2"/>
  <c r="AP6" i="2"/>
  <c r="AO6" i="2"/>
  <c r="AN6" i="2"/>
  <c r="AM6" i="2"/>
  <c r="AL6" i="2"/>
  <c r="AK6" i="2"/>
  <c r="AJ6" i="2"/>
  <c r="AI6" i="2"/>
  <c r="AH6" i="2"/>
  <c r="AQ5" i="2"/>
  <c r="AP5" i="2"/>
  <c r="AO5" i="2"/>
  <c r="AN5" i="2"/>
  <c r="AM5" i="2"/>
  <c r="AL5" i="2"/>
  <c r="AK5" i="2"/>
  <c r="AJ5" i="2"/>
  <c r="AI5" i="2"/>
  <c r="AH5" i="2"/>
  <c r="AQ4" i="2"/>
  <c r="AP4" i="2"/>
  <c r="AO4" i="2"/>
  <c r="AN4" i="2"/>
  <c r="E2" i="2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" authorId="0" shapeId="0" xr:uid="{44379ED2-77C8-4365-851A-C1599C977070}">
      <text>
        <r>
          <rPr>
            <b/>
            <sz val="9"/>
            <color rgb="FF000000"/>
            <rFont val="Tahoma"/>
            <family val="2"/>
            <charset val="162"/>
          </rPr>
          <t xml:space="preserve">Başlangıç gününü yazınız
</t>
        </r>
        <r>
          <rPr>
            <b/>
            <sz val="9"/>
            <color rgb="FF000000"/>
            <rFont val="Tahoma"/>
            <family val="2"/>
            <charset val="162"/>
          </rPr>
          <t>aa.gg.yyyy Biçiminde</t>
        </r>
      </text>
    </comment>
  </commentList>
</comments>
</file>

<file path=xl/sharedStrings.xml><?xml version="1.0" encoding="utf-8"?>
<sst xmlns="http://schemas.openxmlformats.org/spreadsheetml/2006/main" count="46" uniqueCount="15">
  <si>
    <t>Çalışılan Gün</t>
  </si>
  <si>
    <t>Hafta Tatili</t>
  </si>
  <si>
    <t>Resmi Tatil</t>
  </si>
  <si>
    <t>İdari İzin (Mazeret İzni)</t>
  </si>
  <si>
    <t>ÇG</t>
  </si>
  <si>
    <t>HT</t>
  </si>
  <si>
    <t>RT</t>
  </si>
  <si>
    <t>İİ</t>
  </si>
  <si>
    <t>Gelmediği Günler</t>
  </si>
  <si>
    <t>GG</t>
  </si>
  <si>
    <t>Firma Yetkilisi Ad Soyad (Kaşe ,İmza)</t>
  </si>
  <si>
    <t>Öğrencinin Adı Soyadı</t>
  </si>
  <si>
    <t>Tc. No/Öğrenci No</t>
  </si>
  <si>
    <t>Mart Ayı Puantaj Tablosu</t>
  </si>
  <si>
    <t>Gamze Kılınç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</si>
</sst>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1F]d\ mmmm\ yyyy;@"/>
  </numFmts>
  <fonts count="13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9"/>
      <color rgb="FF000000"/>
      <name val="Tahoma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4"/>
      <color theme="1"/>
      <name val="Calibri (Gövde)"/>
      <charset val="162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4D2A7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1" xfId="0" applyFont="1" applyBorder="1"/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4" fontId="0" fillId="0" borderId="12" xfId="0" applyNumberFormat="1" applyBorder="1"/>
    <xf numFmtId="14" fontId="0" fillId="0" borderId="13" xfId="0" applyNumberFormat="1" applyBorder="1" applyAlignment="1">
      <alignment horizontal="center"/>
    </xf>
    <xf numFmtId="0" fontId="0" fillId="0" borderId="0" xfId="0" applyAlignment="1">
      <alignment vertical="top" wrapText="1"/>
    </xf>
    <xf numFmtId="0" fontId="8" fillId="0" borderId="0" xfId="0" applyFont="1"/>
    <xf numFmtId="164" fontId="7" fillId="0" borderId="3" xfId="0" applyNumberFormat="1" applyFont="1" applyBorder="1" applyAlignment="1">
      <alignment textRotation="90"/>
    </xf>
    <xf numFmtId="164" fontId="7" fillId="0" borderId="5" xfId="0" applyNumberFormat="1" applyFont="1" applyBorder="1" applyAlignment="1">
      <alignment textRotation="90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8" fillId="0" borderId="7" xfId="0" applyFont="1" applyBorder="1"/>
    <xf numFmtId="0" fontId="8" fillId="0" borderId="8" xfId="0" applyFont="1" applyBorder="1"/>
    <xf numFmtId="14" fontId="0" fillId="0" borderId="10" xfId="0" applyNumberFormat="1" applyBorder="1"/>
    <xf numFmtId="0" fontId="5" fillId="0" borderId="0" xfId="0" applyFont="1"/>
    <xf numFmtId="164" fontId="1" fillId="3" borderId="3" xfId="0" applyNumberFormat="1" applyFont="1" applyFill="1" applyBorder="1" applyAlignment="1">
      <alignment horizontal="center" textRotation="90"/>
    </xf>
    <xf numFmtId="0" fontId="11" fillId="0" borderId="15" xfId="0" applyFont="1" applyBorder="1"/>
    <xf numFmtId="164" fontId="1" fillId="4" borderId="3" xfId="0" applyNumberFormat="1" applyFont="1" applyFill="1" applyBorder="1" applyAlignment="1">
      <alignment horizontal="center" textRotation="90"/>
    </xf>
    <xf numFmtId="164" fontId="7" fillId="4" borderId="3" xfId="0" applyNumberFormat="1" applyFont="1" applyFill="1" applyBorder="1" applyAlignment="1">
      <alignment textRotation="90"/>
    </xf>
    <xf numFmtId="164" fontId="7" fillId="5" borderId="3" xfId="0" applyNumberFormat="1" applyFont="1" applyFill="1" applyBorder="1" applyAlignment="1">
      <alignment textRotation="90"/>
    </xf>
    <xf numFmtId="164" fontId="1" fillId="5" borderId="3" xfId="0" applyNumberFormat="1" applyFont="1" applyFill="1" applyBorder="1" applyAlignment="1">
      <alignment horizontal="center" textRotation="90"/>
    </xf>
    <xf numFmtId="0" fontId="10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164" fontId="1" fillId="5" borderId="3" xfId="0" applyNumberFormat="1" applyFont="1" applyFill="1" applyBorder="1" applyAlignment="1">
      <alignment horizontal="center" wrapText="1"/>
    </xf>
    <xf numFmtId="164" fontId="1" fillId="3" borderId="3" xfId="0" applyNumberFormat="1" applyFont="1" applyFill="1" applyBorder="1" applyAlignment="1">
      <alignment horizontal="center" wrapText="1"/>
    </xf>
    <xf numFmtId="164" fontId="1" fillId="4" borderId="3" xfId="0" applyNumberFormat="1" applyFont="1" applyFill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5" fontId="7" fillId="3" borderId="9" xfId="0" applyNumberFormat="1" applyFont="1" applyFill="1" applyBorder="1" applyAlignment="1">
      <alignment horizontal="center" vertical="center"/>
    </xf>
    <xf numFmtId="165" fontId="7" fillId="3" borderId="10" xfId="0" applyNumberFormat="1" applyFont="1" applyFill="1" applyBorder="1" applyAlignment="1">
      <alignment horizontal="center" vertical="center"/>
    </xf>
    <xf numFmtId="165" fontId="7" fillId="3" borderId="11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2" fillId="0" borderId="1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5" xfId="0" applyFont="1" applyBorder="1" applyAlignment="1">
      <alignment horizontal="center"/>
    </xf>
  </cellXfs>
  <cellStyles count="1">
    <cellStyle name="Normal" xfId="0" builtinId="0"/>
  </cellStyles>
  <dxfs count="3"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color theme="1"/>
      </font>
    </dxf>
    <dxf>
      <border>
        <top style="dashed">
          <color auto="1"/>
        </top>
        <bottom style="dashed">
          <color auto="1"/>
        </bottom>
        <vertical/>
        <horizontal/>
      </border>
    </dxf>
  </dxfs>
  <tableStyles count="0" defaultTableStyle="TableStyleMedium2" defaultPivotStyle="PivotStyleLight16"/>
  <colors>
    <mruColors>
      <color rgb="FF54D2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64E0-5AF6-4663-A5AA-4B71944D4A84}">
  <sheetPr>
    <pageSetUpPr fitToPage="1"/>
  </sheetPr>
  <dimension ref="A1:AQ37"/>
  <sheetViews>
    <sheetView showZeros="0" tabSelected="1" view="pageBreakPreview" zoomScaleNormal="100" zoomScaleSheetLayoutView="100" workbookViewId="0">
      <pane xSplit="3" ySplit="2" topLeftCell="O3" activePane="bottomRight" state="frozen"/>
      <selection pane="topRight" activeCell="C1" sqref="C1"/>
      <selection pane="bottomLeft" activeCell="A2" sqref="A2"/>
      <selection pane="bottomRight" activeCell="AP4" sqref="AP4"/>
    </sheetView>
  </sheetViews>
  <sheetFormatPr defaultColWidth="8.77734375" defaultRowHeight="18"/>
  <cols>
    <col min="1" max="1" width="2" customWidth="1"/>
    <col min="2" max="2" width="17.44140625" bestFit="1" customWidth="1"/>
    <col min="3" max="3" width="25.44140625" customWidth="1"/>
    <col min="4" max="4" width="4.77734375" customWidth="1"/>
    <col min="5" max="5" width="5.109375" customWidth="1"/>
    <col min="6" max="6" width="4.44140625" customWidth="1"/>
    <col min="7" max="25" width="5.6640625" customWidth="1"/>
    <col min="26" max="26" width="4" customWidth="1"/>
    <col min="27" max="33" width="5.6640625" customWidth="1"/>
    <col min="34" max="43" width="5.6640625" style="12" customWidth="1"/>
  </cols>
  <sheetData>
    <row r="1" spans="1:43" ht="31.05" customHeight="1">
      <c r="A1" s="9"/>
      <c r="B1" s="22"/>
      <c r="C1" s="10"/>
      <c r="D1" s="39" t="s">
        <v>13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</row>
    <row r="2" spans="1:43" ht="165" customHeight="1">
      <c r="A2" s="42"/>
      <c r="B2" s="43"/>
      <c r="C2" s="44"/>
      <c r="D2" s="29">
        <v>46082</v>
      </c>
      <c r="E2" s="24">
        <f>D2+1</f>
        <v>46083</v>
      </c>
      <c r="F2" s="24">
        <f t="shared" ref="F2:AC2" si="0">E2+1</f>
        <v>46084</v>
      </c>
      <c r="G2" s="24">
        <f t="shared" si="0"/>
        <v>46085</v>
      </c>
      <c r="H2" s="24">
        <f t="shared" si="0"/>
        <v>46086</v>
      </c>
      <c r="I2" s="24">
        <f t="shared" si="0"/>
        <v>46087</v>
      </c>
      <c r="J2" s="29">
        <f t="shared" si="0"/>
        <v>46088</v>
      </c>
      <c r="K2" s="29">
        <f t="shared" si="0"/>
        <v>46089</v>
      </c>
      <c r="L2" s="24">
        <f t="shared" si="0"/>
        <v>46090</v>
      </c>
      <c r="M2" s="24">
        <f t="shared" si="0"/>
        <v>46091</v>
      </c>
      <c r="N2" s="24">
        <f t="shared" si="0"/>
        <v>46092</v>
      </c>
      <c r="O2" s="24">
        <f t="shared" si="0"/>
        <v>46093</v>
      </c>
      <c r="P2" s="24">
        <f t="shared" si="0"/>
        <v>46094</v>
      </c>
      <c r="Q2" s="29">
        <f t="shared" si="0"/>
        <v>46095</v>
      </c>
      <c r="R2" s="29">
        <f t="shared" si="0"/>
        <v>46096</v>
      </c>
      <c r="S2" s="24">
        <f t="shared" si="0"/>
        <v>46097</v>
      </c>
      <c r="T2" s="24">
        <f t="shared" si="0"/>
        <v>46098</v>
      </c>
      <c r="U2" s="24">
        <f t="shared" si="0"/>
        <v>46099</v>
      </c>
      <c r="V2" s="26">
        <f t="shared" si="0"/>
        <v>46100</v>
      </c>
      <c r="W2" s="26">
        <f t="shared" si="0"/>
        <v>46101</v>
      </c>
      <c r="X2" s="26">
        <f t="shared" si="0"/>
        <v>46102</v>
      </c>
      <c r="Y2" s="26">
        <f t="shared" si="0"/>
        <v>46103</v>
      </c>
      <c r="Z2" s="24">
        <f t="shared" si="0"/>
        <v>46104</v>
      </c>
      <c r="AA2" s="24">
        <f t="shared" si="0"/>
        <v>46105</v>
      </c>
      <c r="AB2" s="24">
        <f t="shared" si="0"/>
        <v>46106</v>
      </c>
      <c r="AC2" s="24">
        <f t="shared" si="0"/>
        <v>46107</v>
      </c>
      <c r="AD2" s="24">
        <f>AC2+1</f>
        <v>46108</v>
      </c>
      <c r="AE2" s="29">
        <f t="shared" ref="AE2" si="1">AD2+1</f>
        <v>46109</v>
      </c>
      <c r="AF2" s="29">
        <f t="shared" ref="AF2" si="2">AE2+1</f>
        <v>46110</v>
      </c>
      <c r="AG2" s="24">
        <f t="shared" ref="AG2" si="3">AF2+1</f>
        <v>46111</v>
      </c>
      <c r="AH2" s="24">
        <f t="shared" ref="AH2" si="4">AG2+1</f>
        <v>46112</v>
      </c>
      <c r="AI2" s="13" t="s">
        <v>0</v>
      </c>
      <c r="AJ2" s="28" t="s">
        <v>1</v>
      </c>
      <c r="AK2" s="27" t="s">
        <v>2</v>
      </c>
      <c r="AL2" s="13" t="s">
        <v>8</v>
      </c>
      <c r="AM2" s="13" t="s">
        <v>3</v>
      </c>
      <c r="AN2" s="13"/>
      <c r="AO2" s="13"/>
      <c r="AP2" s="13"/>
      <c r="AQ2" s="14"/>
    </row>
    <row r="3" spans="1:43">
      <c r="A3" s="5"/>
      <c r="B3" s="25" t="s">
        <v>12</v>
      </c>
      <c r="C3" s="4" t="s">
        <v>11</v>
      </c>
      <c r="D3" s="48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50"/>
      <c r="AI3" s="15" t="s">
        <v>4</v>
      </c>
      <c r="AJ3" s="15" t="s">
        <v>5</v>
      </c>
      <c r="AK3" s="15" t="s">
        <v>6</v>
      </c>
      <c r="AL3" s="15" t="s">
        <v>9</v>
      </c>
      <c r="AM3" s="15" t="s">
        <v>7</v>
      </c>
      <c r="AN3" s="15"/>
      <c r="AO3" s="15"/>
      <c r="AP3" s="15"/>
      <c r="AQ3" s="16"/>
    </row>
    <row r="4" spans="1:43" s="33" customFormat="1">
      <c r="A4" s="30"/>
      <c r="B4" s="30"/>
      <c r="C4" s="31" t="s">
        <v>14</v>
      </c>
      <c r="D4" s="34" t="s">
        <v>5</v>
      </c>
      <c r="E4" s="35" t="s">
        <v>4</v>
      </c>
      <c r="F4" s="35" t="s">
        <v>4</v>
      </c>
      <c r="G4" s="35" t="s">
        <v>4</v>
      </c>
      <c r="H4" s="35" t="s">
        <v>4</v>
      </c>
      <c r="I4" s="35" t="s">
        <v>4</v>
      </c>
      <c r="J4" s="34" t="s">
        <v>5</v>
      </c>
      <c r="K4" s="34" t="s">
        <v>5</v>
      </c>
      <c r="L4" s="35" t="s">
        <v>4</v>
      </c>
      <c r="M4" s="35" t="s">
        <v>4</v>
      </c>
      <c r="N4" s="35" t="s">
        <v>4</v>
      </c>
      <c r="O4" s="35" t="s">
        <v>4</v>
      </c>
      <c r="P4" s="35" t="s">
        <v>4</v>
      </c>
      <c r="Q4" s="34" t="s">
        <v>5</v>
      </c>
      <c r="R4" s="34" t="s">
        <v>5</v>
      </c>
      <c r="S4" s="35" t="s">
        <v>4</v>
      </c>
      <c r="T4" s="35" t="s">
        <v>4</v>
      </c>
      <c r="U4" s="35" t="s">
        <v>4</v>
      </c>
      <c r="V4" s="35" t="s">
        <v>4</v>
      </c>
      <c r="W4" s="36" t="s">
        <v>6</v>
      </c>
      <c r="X4" s="36" t="s">
        <v>6</v>
      </c>
      <c r="Y4" s="36" t="s">
        <v>6</v>
      </c>
      <c r="Z4" s="37" t="s">
        <v>9</v>
      </c>
      <c r="AA4" s="37" t="s">
        <v>9</v>
      </c>
      <c r="AB4" s="35" t="s">
        <v>4</v>
      </c>
      <c r="AC4" s="35" t="s">
        <v>4</v>
      </c>
      <c r="AD4" s="35" t="s">
        <v>4</v>
      </c>
      <c r="AE4" s="34" t="s">
        <v>5</v>
      </c>
      <c r="AF4" s="34" t="s">
        <v>5</v>
      </c>
      <c r="AG4" s="35" t="s">
        <v>4</v>
      </c>
      <c r="AH4" s="35" t="s">
        <v>4</v>
      </c>
      <c r="AI4" s="32">
        <f>COUNTIF($D4:$AH4,$AI$3)</f>
        <v>19</v>
      </c>
      <c r="AJ4" s="32">
        <f>COUNTIF($D4:$AH4,$AJ$3)</f>
        <v>7</v>
      </c>
      <c r="AK4" s="32">
        <f>COUNTIF($D4:$AH4,$AK$3)</f>
        <v>3</v>
      </c>
      <c r="AL4" s="32">
        <f>COUNTIF($D4:$AH4,$AL$3)</f>
        <v>2</v>
      </c>
      <c r="AM4" s="32">
        <f>COUNTIF($D4:$AH4,$AM$3)</f>
        <v>0</v>
      </c>
      <c r="AN4" s="32">
        <f>COUNTIF($D4:$AG4,$AN$3)</f>
        <v>0</v>
      </c>
      <c r="AO4" s="32">
        <f t="shared" ref="AO4:AO13" si="5">COUNTIF($D4:$AG4,$AO$3)</f>
        <v>0</v>
      </c>
      <c r="AP4" s="32">
        <f t="shared" ref="AP4:AP13" si="6">COUNTIF($D4:$AG4,$AP$3)</f>
        <v>0</v>
      </c>
      <c r="AQ4" s="32">
        <f t="shared" ref="AQ4:AQ13" si="7">IF(COUNTIF($D4:$AG4,$AQ$3)&gt;30,30,COUNTIF($D4:$AG4,$AQ$3))</f>
        <v>0</v>
      </c>
    </row>
    <row r="5" spans="1:43">
      <c r="A5" s="1"/>
      <c r="B5" s="2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7">
        <f t="shared" ref="AH5:AH13" si="8">COUNTIF($D5:$AG5,$AI$3)</f>
        <v>0</v>
      </c>
      <c r="AI5" s="17">
        <f t="shared" ref="AI5:AI13" si="9">COUNTIF($D5:$AG5,$AJ$3)</f>
        <v>0</v>
      </c>
      <c r="AJ5" s="17">
        <f t="shared" ref="AJ5:AJ13" si="10">COUNTIF($D5:$AG5,$AK$3)</f>
        <v>0</v>
      </c>
      <c r="AK5" s="17">
        <f t="shared" ref="AK5:AK13" si="11">COUNTIF($D5:$AG5,$AL$3)</f>
        <v>0</v>
      </c>
      <c r="AL5" s="17">
        <f t="shared" ref="AL5:AL13" si="12">COUNTIF($D5:$AG5,$AM$3)</f>
        <v>0</v>
      </c>
      <c r="AM5" s="17">
        <f t="shared" ref="AM5:AM13" si="13">COUNTIF($D5:$AG5,$AN$3)</f>
        <v>0</v>
      </c>
      <c r="AN5" s="17">
        <f>COUNTIF($D5:$AG5,#REF!)</f>
        <v>0</v>
      </c>
      <c r="AO5" s="17">
        <f t="shared" si="5"/>
        <v>0</v>
      </c>
      <c r="AP5" s="17">
        <f t="shared" si="6"/>
        <v>0</v>
      </c>
      <c r="AQ5" s="18">
        <f t="shared" si="7"/>
        <v>0</v>
      </c>
    </row>
    <row r="6" spans="1:43">
      <c r="A6" s="1"/>
      <c r="B6" s="2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7">
        <f t="shared" si="8"/>
        <v>0</v>
      </c>
      <c r="AI6" s="17">
        <f t="shared" si="9"/>
        <v>0</v>
      </c>
      <c r="AJ6" s="17">
        <f t="shared" si="10"/>
        <v>0</v>
      </c>
      <c r="AK6" s="17">
        <f t="shared" si="11"/>
        <v>0</v>
      </c>
      <c r="AL6" s="17">
        <f t="shared" si="12"/>
        <v>0</v>
      </c>
      <c r="AM6" s="17">
        <f t="shared" si="13"/>
        <v>0</v>
      </c>
      <c r="AN6" s="17">
        <f>COUNTIF($D6:$AG6,#REF!)</f>
        <v>0</v>
      </c>
      <c r="AO6" s="17">
        <f t="shared" si="5"/>
        <v>0</v>
      </c>
      <c r="AP6" s="17">
        <f t="shared" si="6"/>
        <v>0</v>
      </c>
      <c r="AQ6" s="18">
        <f t="shared" si="7"/>
        <v>0</v>
      </c>
    </row>
    <row r="7" spans="1:43">
      <c r="A7" s="1"/>
      <c r="B7" s="2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7">
        <f t="shared" si="8"/>
        <v>0</v>
      </c>
      <c r="AI7" s="17">
        <f t="shared" si="9"/>
        <v>0</v>
      </c>
      <c r="AJ7" s="17">
        <f t="shared" si="10"/>
        <v>0</v>
      </c>
      <c r="AK7" s="17">
        <f t="shared" si="11"/>
        <v>0</v>
      </c>
      <c r="AL7" s="17">
        <f t="shared" si="12"/>
        <v>0</v>
      </c>
      <c r="AM7" s="17">
        <f t="shared" si="13"/>
        <v>0</v>
      </c>
      <c r="AN7" s="17">
        <f>COUNTIF($D7:$AG7,#REF!)</f>
        <v>0</v>
      </c>
      <c r="AO7" s="17">
        <f t="shared" si="5"/>
        <v>0</v>
      </c>
      <c r="AP7" s="17">
        <f t="shared" si="6"/>
        <v>0</v>
      </c>
      <c r="AQ7" s="18">
        <f t="shared" si="7"/>
        <v>0</v>
      </c>
    </row>
    <row r="8" spans="1:43">
      <c r="A8" s="1"/>
      <c r="B8" s="23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7">
        <f t="shared" si="8"/>
        <v>0</v>
      </c>
      <c r="AI8" s="17">
        <f t="shared" si="9"/>
        <v>0</v>
      </c>
      <c r="AJ8" s="17">
        <f t="shared" si="10"/>
        <v>0</v>
      </c>
      <c r="AK8" s="17">
        <f t="shared" si="11"/>
        <v>0</v>
      </c>
      <c r="AL8" s="17">
        <f t="shared" si="12"/>
        <v>0</v>
      </c>
      <c r="AM8" s="17">
        <f t="shared" si="13"/>
        <v>0</v>
      </c>
      <c r="AN8" s="17">
        <f>COUNTIF($D8:$AG8,#REF!)</f>
        <v>0</v>
      </c>
      <c r="AO8" s="17">
        <f t="shared" si="5"/>
        <v>0</v>
      </c>
      <c r="AP8" s="17">
        <f t="shared" si="6"/>
        <v>0</v>
      </c>
      <c r="AQ8" s="18">
        <f t="shared" si="7"/>
        <v>0</v>
      </c>
    </row>
    <row r="9" spans="1:43">
      <c r="A9" s="1"/>
      <c r="B9" s="23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7">
        <f t="shared" si="8"/>
        <v>0</v>
      </c>
      <c r="AI9" s="17">
        <f t="shared" si="9"/>
        <v>0</v>
      </c>
      <c r="AJ9" s="17">
        <f t="shared" si="10"/>
        <v>0</v>
      </c>
      <c r="AK9" s="17">
        <f t="shared" si="11"/>
        <v>0</v>
      </c>
      <c r="AL9" s="17">
        <f t="shared" si="12"/>
        <v>0</v>
      </c>
      <c r="AM9" s="17">
        <f t="shared" si="13"/>
        <v>0</v>
      </c>
      <c r="AN9" s="17">
        <f>COUNTIF($D9:$AG9,#REF!)</f>
        <v>0</v>
      </c>
      <c r="AO9" s="17">
        <f t="shared" si="5"/>
        <v>0</v>
      </c>
      <c r="AP9" s="17">
        <f t="shared" si="6"/>
        <v>0</v>
      </c>
      <c r="AQ9" s="18">
        <f t="shared" si="7"/>
        <v>0</v>
      </c>
    </row>
    <row r="10" spans="1:43">
      <c r="A10" s="1"/>
      <c r="B10" s="23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7">
        <f t="shared" si="8"/>
        <v>0</v>
      </c>
      <c r="AI10" s="17">
        <f t="shared" si="9"/>
        <v>0</v>
      </c>
      <c r="AJ10" s="17">
        <f t="shared" si="10"/>
        <v>0</v>
      </c>
      <c r="AK10" s="17">
        <f t="shared" si="11"/>
        <v>0</v>
      </c>
      <c r="AL10" s="17">
        <f t="shared" si="12"/>
        <v>0</v>
      </c>
      <c r="AM10" s="17">
        <f t="shared" si="13"/>
        <v>0</v>
      </c>
      <c r="AN10" s="17">
        <f>COUNTIF($D10:$AG10,#REF!)</f>
        <v>0</v>
      </c>
      <c r="AO10" s="17">
        <f t="shared" si="5"/>
        <v>0</v>
      </c>
      <c r="AP10" s="17">
        <f t="shared" si="6"/>
        <v>0</v>
      </c>
      <c r="AQ10" s="18">
        <f t="shared" si="7"/>
        <v>0</v>
      </c>
    </row>
    <row r="11" spans="1:43">
      <c r="A11" s="1"/>
      <c r="B11" s="23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7">
        <f t="shared" si="8"/>
        <v>0</v>
      </c>
      <c r="AI11" s="17">
        <f t="shared" si="9"/>
        <v>0</v>
      </c>
      <c r="AJ11" s="17">
        <f t="shared" si="10"/>
        <v>0</v>
      </c>
      <c r="AK11" s="17">
        <f t="shared" si="11"/>
        <v>0</v>
      </c>
      <c r="AL11" s="17">
        <f t="shared" si="12"/>
        <v>0</v>
      </c>
      <c r="AM11" s="17">
        <f t="shared" si="13"/>
        <v>0</v>
      </c>
      <c r="AN11" s="17">
        <f>COUNTIF($D11:$AG11,#REF!)</f>
        <v>0</v>
      </c>
      <c r="AO11" s="17">
        <f t="shared" si="5"/>
        <v>0</v>
      </c>
      <c r="AP11" s="17">
        <f t="shared" si="6"/>
        <v>0</v>
      </c>
      <c r="AQ11" s="18">
        <f t="shared" si="7"/>
        <v>0</v>
      </c>
    </row>
    <row r="12" spans="1:43">
      <c r="A12" s="1"/>
      <c r="B12" s="23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7">
        <f t="shared" si="8"/>
        <v>0</v>
      </c>
      <c r="AI12" s="17">
        <f t="shared" si="9"/>
        <v>0</v>
      </c>
      <c r="AJ12" s="17">
        <f t="shared" si="10"/>
        <v>0</v>
      </c>
      <c r="AK12" s="17">
        <f t="shared" si="11"/>
        <v>0</v>
      </c>
      <c r="AL12" s="17">
        <f t="shared" si="12"/>
        <v>0</v>
      </c>
      <c r="AM12" s="17">
        <f t="shared" si="13"/>
        <v>0</v>
      </c>
      <c r="AN12" s="17">
        <f>COUNTIF($D12:$AG12,#REF!)</f>
        <v>0</v>
      </c>
      <c r="AO12" s="17">
        <f t="shared" si="5"/>
        <v>0</v>
      </c>
      <c r="AP12" s="17">
        <f t="shared" si="6"/>
        <v>0</v>
      </c>
      <c r="AQ12" s="18">
        <f t="shared" si="7"/>
        <v>0</v>
      </c>
    </row>
    <row r="13" spans="1:43">
      <c r="A13" s="1"/>
      <c r="B13" s="23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7">
        <f t="shared" si="8"/>
        <v>0</v>
      </c>
      <c r="AI13" s="17">
        <f t="shared" si="9"/>
        <v>0</v>
      </c>
      <c r="AJ13" s="17">
        <f t="shared" si="10"/>
        <v>0</v>
      </c>
      <c r="AK13" s="17">
        <f t="shared" si="11"/>
        <v>0</v>
      </c>
      <c r="AL13" s="17">
        <f t="shared" si="12"/>
        <v>0</v>
      </c>
      <c r="AM13" s="17">
        <f t="shared" si="13"/>
        <v>0</v>
      </c>
      <c r="AN13" s="17">
        <f>COUNTIF($D13:$AG13,#REF!)</f>
        <v>0</v>
      </c>
      <c r="AO13" s="17">
        <f t="shared" si="5"/>
        <v>0</v>
      </c>
      <c r="AP13" s="17">
        <f t="shared" si="6"/>
        <v>0</v>
      </c>
      <c r="AQ13" s="18">
        <f t="shared" si="7"/>
        <v>0</v>
      </c>
    </row>
    <row r="14" spans="1:43">
      <c r="A14" s="6"/>
      <c r="AQ14" s="19"/>
    </row>
    <row r="15" spans="1:43">
      <c r="A15" s="6"/>
      <c r="AF15" s="38" t="s">
        <v>10</v>
      </c>
      <c r="AG15" s="38"/>
      <c r="AH15" s="38"/>
      <c r="AI15" s="38"/>
      <c r="AQ15" s="19"/>
    </row>
    <row r="16" spans="1:43">
      <c r="A16" s="6"/>
      <c r="AQ16" s="19"/>
    </row>
    <row r="17" spans="1:43">
      <c r="A17" s="6"/>
      <c r="AQ17" s="19"/>
    </row>
    <row r="18" spans="1:43">
      <c r="A18" s="6"/>
      <c r="AQ18" s="19"/>
    </row>
    <row r="19" spans="1:43">
      <c r="A19" s="6"/>
      <c r="AQ19" s="19"/>
    </row>
    <row r="20" spans="1:43">
      <c r="A20" s="6"/>
      <c r="AQ20" s="19"/>
    </row>
    <row r="21" spans="1:43">
      <c r="A21" s="6"/>
      <c r="AQ21" s="19"/>
    </row>
    <row r="22" spans="1:43">
      <c r="A22" s="6"/>
      <c r="AQ22" s="19"/>
    </row>
    <row r="23" spans="1:43">
      <c r="A23" s="6"/>
      <c r="AQ23" s="19"/>
    </row>
    <row r="24" spans="1:43">
      <c r="A24" s="6"/>
      <c r="AQ24" s="19"/>
    </row>
    <row r="25" spans="1:43">
      <c r="A25" s="6"/>
      <c r="AQ25" s="19"/>
    </row>
    <row r="26" spans="1:43">
      <c r="A26" s="6"/>
      <c r="AQ26" s="19"/>
    </row>
    <row r="27" spans="1:43">
      <c r="A27" s="6"/>
      <c r="AQ27" s="19"/>
    </row>
    <row r="28" spans="1:43">
      <c r="A28" s="6"/>
      <c r="AQ28" s="19"/>
    </row>
    <row r="29" spans="1:43" ht="21">
      <c r="A29" s="6"/>
      <c r="H29" s="45"/>
      <c r="I29" s="45"/>
      <c r="J29" s="45"/>
      <c r="K29" s="45"/>
      <c r="L29" s="45"/>
      <c r="AG29" s="46"/>
      <c r="AH29" s="46"/>
      <c r="AI29" s="46"/>
      <c r="AJ29" s="46"/>
      <c r="AK29" s="46"/>
      <c r="AQ29" s="19"/>
    </row>
    <row r="30" spans="1:43">
      <c r="A30" s="6"/>
      <c r="AH30" s="47"/>
      <c r="AI30" s="47"/>
      <c r="AJ30" s="47"/>
      <c r="AK30" s="47"/>
      <c r="AQ30" s="19"/>
    </row>
    <row r="31" spans="1:43">
      <c r="A31" s="6"/>
      <c r="H31" s="38"/>
      <c r="I31" s="38"/>
      <c r="J31" s="38"/>
      <c r="K31" s="38"/>
      <c r="L31" s="38"/>
      <c r="AQ31" s="19"/>
    </row>
    <row r="32" spans="1:43">
      <c r="A32" s="6"/>
      <c r="AQ32" s="19"/>
    </row>
    <row r="33" spans="1:43" ht="15" customHeight="1">
      <c r="A33" s="6"/>
      <c r="M33" s="11"/>
      <c r="N33" s="11"/>
      <c r="O33" s="11"/>
      <c r="P33" s="11"/>
      <c r="AQ33" s="19"/>
    </row>
    <row r="34" spans="1:43" ht="15.75" customHeight="1">
      <c r="A34" s="6"/>
      <c r="M34" s="11"/>
      <c r="N34" s="11"/>
      <c r="O34" s="11"/>
      <c r="P34" s="11"/>
      <c r="AQ34" s="19"/>
    </row>
    <row r="35" spans="1:43">
      <c r="A35" s="6"/>
      <c r="H35" s="11"/>
      <c r="I35" s="11"/>
      <c r="J35" s="11"/>
      <c r="K35" s="11"/>
      <c r="L35" s="11"/>
      <c r="M35" s="11"/>
      <c r="N35" s="11"/>
      <c r="O35" s="11"/>
      <c r="P35" s="11"/>
      <c r="AQ35" s="19"/>
    </row>
    <row r="36" spans="1:43">
      <c r="A36" s="6"/>
      <c r="H36" s="11"/>
      <c r="I36" s="11"/>
      <c r="J36" s="11"/>
      <c r="K36" s="11"/>
      <c r="L36" s="11"/>
      <c r="M36" s="11"/>
      <c r="N36" s="11"/>
      <c r="O36" s="11"/>
      <c r="P36" s="11"/>
      <c r="AQ36" s="19"/>
    </row>
    <row r="37" spans="1:43" ht="18.600000000000001" thickBo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20"/>
      <c r="AI37" s="20"/>
      <c r="AJ37" s="20"/>
      <c r="AK37" s="20"/>
      <c r="AL37" s="20"/>
      <c r="AM37" s="20"/>
      <c r="AN37" s="20"/>
      <c r="AO37" s="20"/>
      <c r="AP37" s="20"/>
      <c r="AQ37" s="21"/>
    </row>
  </sheetData>
  <sheetProtection selectLockedCells="1"/>
  <mergeCells count="8">
    <mergeCell ref="H31:L31"/>
    <mergeCell ref="D1:AQ1"/>
    <mergeCell ref="A2:C2"/>
    <mergeCell ref="H29:L29"/>
    <mergeCell ref="AG29:AK29"/>
    <mergeCell ref="AH30:AK30"/>
    <mergeCell ref="AF15:AI15"/>
    <mergeCell ref="D3:AH3"/>
  </mergeCells>
  <conditionalFormatting sqref="A4:B13 AQ4:AQ13">
    <cfRule type="expression" dxfId="2" priority="2">
      <formula>$C4&lt;&gt;""</formula>
    </cfRule>
  </conditionalFormatting>
  <conditionalFormatting sqref="A4:B13">
    <cfRule type="expression" dxfId="1" priority="3">
      <formula>$C4&lt;&gt;""</formula>
    </cfRule>
  </conditionalFormatting>
  <conditionalFormatting sqref="AI4:AP4 C5:AP13">
    <cfRule type="expression" dxfId="0" priority="1">
      <formula>$C4&lt;&gt;""</formula>
    </cfRule>
  </conditionalFormatting>
  <dataValidations count="2">
    <dataValidation type="list" allowBlank="1" showInputMessage="1" showErrorMessage="1" sqref="C5:C13" xr:uid="{ACF6358A-2DC0-47F6-91EF-8C7FE4185D7E}">
      <formula1>#REF!</formula1>
    </dataValidation>
    <dataValidation type="list" allowBlank="1" showInputMessage="1" showErrorMessage="1" sqref="AF5:AG13 D4:AE13 AF4:AH4" xr:uid="{B97C78A1-CA9F-44F0-AF6B-510E23AFE69C}">
      <formula1>$AI$3:$AQ$3</formula1>
    </dataValidation>
  </dataValidations>
  <printOptions horizontalCentered="1"/>
  <pageMargins left="0.19685039370078741" right="0.27559055118110237" top="0.51181102362204722" bottom="0.27559055118110237" header="0.51181102362204722" footer="0.31496062992125984"/>
  <pageSetup paperSize="9" scale="5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79cc00-c544-48f3-bd29-6e52241aafd2" xsi:nil="true"/>
    <lcf76f155ced4ddcb4097134ff3c332f xmlns="f4d30bb2-c860-476c-91a0-685b3cb8152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1D47E49D8AAC419B9D06FE4A414087" ma:contentTypeVersion="11" ma:contentTypeDescription="Create a new document." ma:contentTypeScope="" ma:versionID="e91200aa4de27dd48bcba7a09f9dafbb">
  <xsd:schema xmlns:xsd="http://www.w3.org/2001/XMLSchema" xmlns:xs="http://www.w3.org/2001/XMLSchema" xmlns:p="http://schemas.microsoft.com/office/2006/metadata/properties" xmlns:ns2="f4d30bb2-c860-476c-91a0-685b3cb8152e" xmlns:ns3="a179cc00-c544-48f3-bd29-6e52241aafd2" targetNamespace="http://schemas.microsoft.com/office/2006/metadata/properties" ma:root="true" ma:fieldsID="a6b1163049de69335a33ae6d88f40a28" ns2:_="" ns3:_="">
    <xsd:import namespace="f4d30bb2-c860-476c-91a0-685b3cb8152e"/>
    <xsd:import namespace="a179cc00-c544-48f3-bd29-6e52241aaf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30bb2-c860-476c-91a0-685b3cb81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5b86514-8e1d-4ede-91c0-90ec09b573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9cc00-c544-48f3-bd29-6e52241aafd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74a92d8-89db-49fd-9468-5a2dcfe5b07c}" ma:internalName="TaxCatchAll" ma:showField="CatchAllData" ma:web="a179cc00-c544-48f3-bd29-6e52241aaf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8EC18F-6D74-4764-8C43-0F011998B7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1A75D5-C226-4D98-8564-1F17EC024E48}">
  <ds:schemaRefs>
    <ds:schemaRef ds:uri="http://schemas.microsoft.com/office/2006/metadata/properties"/>
    <ds:schemaRef ds:uri="http://schemas.microsoft.com/office/infopath/2007/PartnerControls"/>
    <ds:schemaRef ds:uri="a179cc00-c544-48f3-bd29-6e52241aafd2"/>
    <ds:schemaRef ds:uri="f4d30bb2-c860-476c-91a0-685b3cb8152e"/>
  </ds:schemaRefs>
</ds:datastoreItem>
</file>

<file path=customXml/itemProps3.xml><?xml version="1.0" encoding="utf-8"?>
<ds:datastoreItem xmlns:ds="http://schemas.openxmlformats.org/officeDocument/2006/customXml" ds:itemID="{5ED744D5-B19E-4EA8-8B5E-5251054F1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d30bb2-c860-476c-91a0-685b3cb8152e"/>
    <ds:schemaRef ds:uri="a179cc00-c544-48f3-bd29-6e52241aaf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Sayfa1 (2)</vt:lpstr>
      <vt:lpstr>'Sayfa1 (2)'!PUANTAJ</vt:lpstr>
      <vt:lpstr>'Sayfa1 (2)'!Yazdırma_Alanı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Damla Atalı</cp:lastModifiedBy>
  <cp:revision/>
  <cp:lastPrinted>2026-04-06T13:10:38Z</cp:lastPrinted>
  <dcterms:created xsi:type="dcterms:W3CDTF">2018-11-01T07:57:04Z</dcterms:created>
  <dcterms:modified xsi:type="dcterms:W3CDTF">2026-04-06T13:20:21Z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0x0101002E1D47E49D8AAC419B9D06FE4A414087</vt:lpwstr>
  </property>
</Properties>
</file>