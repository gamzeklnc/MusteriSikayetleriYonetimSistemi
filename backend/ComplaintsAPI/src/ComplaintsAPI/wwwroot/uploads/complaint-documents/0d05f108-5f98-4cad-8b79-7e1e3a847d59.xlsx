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in\Documents\"/>
    </mc:Choice>
  </mc:AlternateContent>
  <xr:revisionPtr revIDLastSave="0" documentId="13_ncr:1_{826BBEE1-DECC-4F0D-A6FB-7628AB981C36}" xr6:coauthVersionLast="47" xr6:coauthVersionMax="47" xr10:uidLastSave="{00000000-0000-0000-0000-000000000000}"/>
  <bookViews>
    <workbookView xWindow="-108" yWindow="-108" windowWidth="23256" windowHeight="12456" xr2:uid="{95E09D6B-9FB3-4872-91B4-8054D17EBEEA}"/>
  </bookViews>
  <sheets>
    <sheet name="Sayfa1" sheetId="1" r:id="rId1"/>
  </sheets>
  <externalReferences>
    <externalReference r:id="rId2"/>
    <externalReference r:id="rId3"/>
  </externalReferences>
  <definedNames>
    <definedName name="ASASASAS">#REF!</definedName>
    <definedName name="ASSSSSSSS">#REF!</definedName>
    <definedName name="Buhar_2014_m3_tonsüt">[1]TonSüt_BütçeFiili!#REF!</definedName>
    <definedName name="Buhar_2016_m3">[1]Bütçe_Fiili!$B$6:$M$6</definedName>
    <definedName name="Buhar_2016_m3_tonsüt">[1]TonSüt_BütçeFiili!$B$5:$M$5</definedName>
    <definedName name="Elektrik_2015_kw_tonsüt">[1]TonSüt_BütçeFiili!#REF!</definedName>
    <definedName name="Elektrik_2016_kw">[1]Bütçe_Fiili!$B$3:$M$3</definedName>
    <definedName name="Elektrik_2016_kw_tonsüt">[1]TonSüt_BütçeFiili!$B$3:$M$3</definedName>
    <definedName name="İşletmeyeGirenSüt_2016_Lt">[1]Bütçe_Fiili!$B$17:$M$17</definedName>
    <definedName name="İşletmeyeGirenSüt_2016_ton">[1]Bütçe_Fiili!$B$18:$M$18</definedName>
    <definedName name="qdeqwdqwd">#REF!</definedName>
    <definedName name="Su_2015_m3_tonsüt">[1]TonSüt_BütçeFiili!#REF!</definedName>
    <definedName name="Su_2016_m3">[1]Bütçe_Fiili!$B$11:$M$11</definedName>
    <definedName name="Su_2016_m3_tonsüt">[1]TonSüt_BütçeFiili!$B$8:$M$8</definedName>
    <definedName name="TEP_Buhar_m3_2015">[1]TEP_BütçeFiili!$B$36:$M$36</definedName>
    <definedName name="TEP_Buhar_m3_Bütçe">[1]TEP_BütçeFiili!$B$11:$M$11</definedName>
    <definedName name="TEP_Buhar_m3_Fiili">[1]TEP_BütçeFiili!$B$4:$M$4</definedName>
    <definedName name="TEP_Elektrik_kWh_2015">[1]TEP_BütçeFiili!$B$35:$M$35</definedName>
    <definedName name="TEP_Elektrik_kWh_Bütçe">[1]TEP_BütçeFiili!$B$10:$M$10</definedName>
    <definedName name="TEP_Elektrik_kWh_Fiili">[1]TEP_BütçeFiili!$B$3:$M$3</definedName>
    <definedName name="yp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C3" i="1"/>
  <c r="D3" i="1"/>
  <c r="E3" i="1"/>
  <c r="G3" i="1"/>
  <c r="H3" i="1" s="1"/>
  <c r="J3" i="1"/>
  <c r="M3" i="1"/>
  <c r="C4" i="1"/>
  <c r="D4" i="1"/>
  <c r="E4" i="1"/>
  <c r="G4" i="1"/>
  <c r="H4" i="1" s="1"/>
  <c r="J4" i="1"/>
  <c r="M4" i="1"/>
  <c r="C5" i="1"/>
  <c r="D5" i="1"/>
  <c r="E5" i="1"/>
  <c r="G5" i="1"/>
  <c r="H5" i="1" s="1"/>
  <c r="J5" i="1"/>
  <c r="M5" i="1"/>
  <c r="C6" i="1"/>
  <c r="D6" i="1"/>
  <c r="E6" i="1"/>
  <c r="G6" i="1"/>
  <c r="H6" i="1" s="1"/>
  <c r="J6" i="1"/>
  <c r="M6" i="1"/>
  <c r="C7" i="1"/>
  <c r="D7" i="1"/>
  <c r="E7" i="1"/>
  <c r="G7" i="1"/>
  <c r="H7" i="1" s="1"/>
  <c r="J7" i="1"/>
  <c r="M7" i="1"/>
  <c r="C8" i="1"/>
  <c r="D8" i="1"/>
  <c r="E8" i="1"/>
  <c r="G8" i="1"/>
  <c r="H8" i="1" s="1"/>
  <c r="J8" i="1"/>
  <c r="M8" i="1"/>
  <c r="C9" i="1"/>
  <c r="D9" i="1"/>
  <c r="E9" i="1"/>
  <c r="G9" i="1"/>
  <c r="H9" i="1" s="1"/>
  <c r="J9" i="1"/>
  <c r="M9" i="1"/>
  <c r="C10" i="1"/>
  <c r="D10" i="1"/>
  <c r="E10" i="1"/>
  <c r="G10" i="1"/>
  <c r="H10" i="1"/>
  <c r="J10" i="1"/>
  <c r="M10" i="1"/>
  <c r="C11" i="1"/>
  <c r="D11" i="1"/>
  <c r="E11" i="1"/>
  <c r="G11" i="1"/>
  <c r="H11" i="1" s="1"/>
  <c r="J11" i="1"/>
  <c r="M11" i="1"/>
  <c r="C12" i="1"/>
  <c r="D12" i="1"/>
  <c r="E12" i="1"/>
  <c r="G12" i="1"/>
  <c r="H12" i="1"/>
  <c r="J12" i="1"/>
  <c r="M12" i="1"/>
  <c r="C13" i="1"/>
  <c r="D13" i="1"/>
  <c r="E13" i="1"/>
  <c r="G13" i="1"/>
  <c r="H13" i="1" s="1"/>
  <c r="J13" i="1"/>
  <c r="M13" i="1"/>
  <c r="C14" i="1"/>
  <c r="D14" i="1"/>
  <c r="E14" i="1"/>
  <c r="G14" i="1"/>
  <c r="H14" i="1"/>
  <c r="J14" i="1"/>
  <c r="M14" i="1"/>
  <c r="C15" i="1"/>
  <c r="D15" i="1"/>
  <c r="E15" i="1"/>
  <c r="G15" i="1"/>
  <c r="H15" i="1" s="1"/>
  <c r="J15" i="1"/>
  <c r="M15" i="1"/>
  <c r="C16" i="1"/>
  <c r="D16" i="1"/>
  <c r="E16" i="1"/>
  <c r="G16" i="1"/>
  <c r="H16" i="1" s="1"/>
  <c r="J16" i="1"/>
  <c r="M16" i="1"/>
  <c r="C17" i="1"/>
  <c r="D17" i="1"/>
  <c r="E17" i="1"/>
  <c r="G17" i="1"/>
  <c r="H17" i="1" s="1"/>
  <c r="J17" i="1"/>
  <c r="M17" i="1"/>
  <c r="C18" i="1"/>
  <c r="D18" i="1"/>
  <c r="E18" i="1"/>
  <c r="G18" i="1"/>
  <c r="H18" i="1" s="1"/>
  <c r="J18" i="1"/>
  <c r="M18" i="1"/>
  <c r="C19" i="1"/>
  <c r="D19" i="1"/>
  <c r="E19" i="1"/>
  <c r="G19" i="1"/>
  <c r="H19" i="1" s="1"/>
  <c r="J19" i="1"/>
  <c r="M19" i="1"/>
  <c r="C20" i="1"/>
  <c r="D20" i="1"/>
  <c r="E20" i="1"/>
  <c r="G20" i="1"/>
  <c r="H20" i="1" s="1"/>
  <c r="J20" i="1"/>
  <c r="M20" i="1"/>
  <c r="C21" i="1"/>
  <c r="D21" i="1"/>
  <c r="E21" i="1"/>
  <c r="G21" i="1"/>
  <c r="H21" i="1" s="1"/>
  <c r="J21" i="1"/>
  <c r="M21" i="1"/>
  <c r="C22" i="1"/>
  <c r="D22" i="1"/>
  <c r="E22" i="1"/>
  <c r="G22" i="1"/>
  <c r="H22" i="1" s="1"/>
  <c r="J22" i="1"/>
  <c r="M22" i="1"/>
  <c r="C23" i="1"/>
  <c r="D23" i="1"/>
  <c r="E23" i="1"/>
  <c r="G23" i="1"/>
  <c r="H23" i="1"/>
  <c r="J23" i="1"/>
  <c r="M23" i="1"/>
  <c r="C24" i="1"/>
  <c r="D24" i="1"/>
  <c r="E24" i="1"/>
  <c r="G24" i="1"/>
  <c r="H24" i="1" s="1"/>
  <c r="J24" i="1"/>
  <c r="M24" i="1"/>
  <c r="C25" i="1"/>
  <c r="D25" i="1"/>
  <c r="E25" i="1"/>
  <c r="G25" i="1"/>
  <c r="H25" i="1" s="1"/>
  <c r="J25" i="1"/>
  <c r="M25" i="1"/>
  <c r="C26" i="1"/>
  <c r="D26" i="1"/>
  <c r="E26" i="1"/>
  <c r="G26" i="1"/>
  <c r="H26" i="1" s="1"/>
  <c r="J26" i="1"/>
  <c r="M26" i="1"/>
  <c r="C27" i="1"/>
  <c r="D27" i="1"/>
  <c r="E27" i="1"/>
  <c r="G27" i="1"/>
  <c r="H27" i="1" s="1"/>
  <c r="J27" i="1"/>
  <c r="M27" i="1"/>
  <c r="C28" i="1"/>
  <c r="D28" i="1"/>
  <c r="E28" i="1"/>
  <c r="G28" i="1"/>
  <c r="H28" i="1" s="1"/>
  <c r="J28" i="1"/>
  <c r="M28" i="1"/>
  <c r="C29" i="1"/>
  <c r="D29" i="1"/>
  <c r="E29" i="1"/>
  <c r="G29" i="1"/>
  <c r="H29" i="1" s="1"/>
  <c r="J29" i="1"/>
  <c r="M29" i="1"/>
  <c r="C30" i="1"/>
  <c r="D30" i="1"/>
  <c r="E30" i="1"/>
  <c r="G30" i="1"/>
  <c r="H30" i="1"/>
  <c r="J30" i="1"/>
  <c r="M30" i="1"/>
  <c r="C31" i="1"/>
  <c r="D31" i="1"/>
  <c r="E31" i="1"/>
  <c r="G31" i="1"/>
  <c r="H31" i="1" s="1"/>
  <c r="J31" i="1"/>
  <c r="M31" i="1"/>
  <c r="C32" i="1"/>
  <c r="D32" i="1"/>
  <c r="E32" i="1"/>
  <c r="G32" i="1"/>
  <c r="H32" i="1" s="1"/>
  <c r="J32" i="1"/>
  <c r="M32" i="1"/>
  <c r="C33" i="1"/>
  <c r="D33" i="1"/>
  <c r="E33" i="1"/>
  <c r="G33" i="1"/>
  <c r="H33" i="1" s="1"/>
  <c r="J33" i="1"/>
  <c r="M33" i="1"/>
  <c r="C34" i="1"/>
  <c r="D34" i="1"/>
  <c r="E34" i="1"/>
  <c r="G34" i="1"/>
  <c r="H34" i="1" s="1"/>
  <c r="J34" i="1"/>
  <c r="M34" i="1"/>
  <c r="C35" i="1"/>
  <c r="D35" i="1"/>
  <c r="E35" i="1"/>
  <c r="G35" i="1"/>
  <c r="H35" i="1" s="1"/>
  <c r="J35" i="1"/>
  <c r="M35" i="1"/>
  <c r="C36" i="1"/>
  <c r="D36" i="1"/>
  <c r="E36" i="1"/>
  <c r="G36" i="1"/>
  <c r="H36" i="1" s="1"/>
  <c r="J36" i="1"/>
  <c r="M36" i="1"/>
  <c r="C37" i="1"/>
  <c r="D37" i="1"/>
  <c r="E37" i="1"/>
  <c r="G37" i="1"/>
  <c r="H37" i="1" s="1"/>
  <c r="J37" i="1"/>
  <c r="M37" i="1"/>
  <c r="C38" i="1"/>
  <c r="D38" i="1"/>
  <c r="E38" i="1"/>
  <c r="G38" i="1"/>
  <c r="H38" i="1"/>
  <c r="J38" i="1"/>
  <c r="M38" i="1"/>
  <c r="C39" i="1"/>
  <c r="D39" i="1"/>
  <c r="E39" i="1"/>
  <c r="G39" i="1"/>
  <c r="H39" i="1" s="1"/>
  <c r="J39" i="1"/>
  <c r="M39" i="1"/>
  <c r="C40" i="1"/>
  <c r="D40" i="1"/>
  <c r="E40" i="1"/>
  <c r="G40" i="1"/>
  <c r="H40" i="1" s="1"/>
  <c r="J40" i="1"/>
  <c r="M40" i="1"/>
  <c r="C41" i="1"/>
  <c r="D41" i="1"/>
  <c r="E41" i="1"/>
  <c r="G41" i="1"/>
  <c r="H41" i="1" s="1"/>
  <c r="J41" i="1"/>
  <c r="M41" i="1"/>
  <c r="C42" i="1"/>
  <c r="D42" i="1"/>
  <c r="E42" i="1"/>
  <c r="G42" i="1"/>
  <c r="H42" i="1" s="1"/>
  <c r="J42" i="1"/>
  <c r="M42" i="1"/>
  <c r="C43" i="1"/>
  <c r="D43" i="1"/>
  <c r="E43" i="1"/>
  <c r="G43" i="1"/>
  <c r="H43" i="1" s="1"/>
  <c r="J43" i="1"/>
  <c r="M43" i="1"/>
  <c r="C44" i="1"/>
  <c r="D44" i="1"/>
  <c r="E44" i="1"/>
  <c r="G44" i="1"/>
  <c r="H44" i="1" s="1"/>
  <c r="J44" i="1"/>
  <c r="M44" i="1"/>
  <c r="C45" i="1"/>
  <c r="D45" i="1"/>
  <c r="E45" i="1"/>
  <c r="G45" i="1"/>
  <c r="H45" i="1" s="1"/>
  <c r="J45" i="1"/>
  <c r="M45" i="1"/>
  <c r="C46" i="1"/>
  <c r="D46" i="1"/>
  <c r="E46" i="1"/>
  <c r="G46" i="1"/>
  <c r="H46" i="1" s="1"/>
  <c r="J46" i="1"/>
  <c r="M46" i="1"/>
  <c r="C47" i="1"/>
  <c r="D47" i="1"/>
  <c r="E47" i="1"/>
  <c r="G47" i="1"/>
  <c r="H47" i="1" s="1"/>
  <c r="J47" i="1"/>
  <c r="M47" i="1"/>
  <c r="C48" i="1"/>
  <c r="D48" i="1"/>
  <c r="E48" i="1"/>
  <c r="G48" i="1"/>
  <c r="H48" i="1" s="1"/>
  <c r="J48" i="1"/>
  <c r="M48" i="1"/>
  <c r="C49" i="1"/>
  <c r="D49" i="1"/>
  <c r="E49" i="1"/>
  <c r="G49" i="1"/>
  <c r="H49" i="1"/>
  <c r="J49" i="1"/>
  <c r="M49" i="1"/>
  <c r="C50" i="1"/>
  <c r="D50" i="1"/>
  <c r="E50" i="1"/>
  <c r="G50" i="1"/>
  <c r="H50" i="1"/>
  <c r="J50" i="1"/>
  <c r="M50" i="1"/>
  <c r="C51" i="1"/>
  <c r="D51" i="1"/>
  <c r="E51" i="1"/>
  <c r="G51" i="1"/>
  <c r="H51" i="1" s="1"/>
  <c r="J51" i="1"/>
  <c r="M51" i="1"/>
  <c r="C52" i="1"/>
  <c r="D52" i="1"/>
  <c r="E52" i="1"/>
  <c r="G52" i="1"/>
  <c r="H52" i="1" s="1"/>
  <c r="J52" i="1"/>
  <c r="M52" i="1"/>
  <c r="C53" i="1"/>
  <c r="D53" i="1"/>
  <c r="E53" i="1"/>
  <c r="G53" i="1"/>
  <c r="H53" i="1" s="1"/>
  <c r="J53" i="1"/>
  <c r="M53" i="1"/>
  <c r="C54" i="1"/>
  <c r="D54" i="1"/>
  <c r="E54" i="1"/>
  <c r="G54" i="1"/>
  <c r="H54" i="1" s="1"/>
  <c r="J54" i="1"/>
  <c r="M54" i="1"/>
  <c r="C55" i="1"/>
  <c r="D55" i="1"/>
  <c r="E55" i="1"/>
  <c r="G55" i="1"/>
  <c r="H55" i="1" s="1"/>
  <c r="J55" i="1"/>
  <c r="M55" i="1"/>
  <c r="C56" i="1"/>
  <c r="D56" i="1"/>
  <c r="E56" i="1"/>
  <c r="G56" i="1"/>
  <c r="H56" i="1"/>
  <c r="J56" i="1"/>
  <c r="M56" i="1"/>
  <c r="C57" i="1"/>
  <c r="D57" i="1"/>
  <c r="E57" i="1"/>
  <c r="G57" i="1"/>
  <c r="H57" i="1" s="1"/>
  <c r="J57" i="1"/>
  <c r="M57" i="1"/>
  <c r="C58" i="1"/>
  <c r="D58" i="1"/>
  <c r="E58" i="1"/>
  <c r="G58" i="1"/>
  <c r="H58" i="1" s="1"/>
  <c r="J58" i="1"/>
  <c r="M58" i="1"/>
  <c r="C59" i="1"/>
  <c r="D59" i="1"/>
  <c r="E59" i="1"/>
  <c r="G59" i="1"/>
  <c r="H59" i="1" s="1"/>
  <c r="J59" i="1"/>
  <c r="M59" i="1"/>
  <c r="C60" i="1"/>
  <c r="D60" i="1"/>
  <c r="E60" i="1"/>
  <c r="G60" i="1"/>
  <c r="H60" i="1" s="1"/>
  <c r="J60" i="1"/>
  <c r="M60" i="1"/>
  <c r="C61" i="1"/>
  <c r="D61" i="1"/>
  <c r="E61" i="1"/>
  <c r="G61" i="1"/>
  <c r="H61" i="1"/>
  <c r="J61" i="1"/>
  <c r="M61" i="1"/>
  <c r="C62" i="1"/>
  <c r="D62" i="1"/>
  <c r="E62" i="1"/>
  <c r="G62" i="1"/>
  <c r="H62" i="1" s="1"/>
  <c r="J62" i="1"/>
  <c r="M62" i="1"/>
  <c r="C63" i="1"/>
  <c r="D63" i="1"/>
  <c r="E63" i="1"/>
  <c r="G63" i="1"/>
  <c r="H63" i="1" s="1"/>
  <c r="J63" i="1"/>
  <c r="M63" i="1"/>
  <c r="C64" i="1"/>
  <c r="D64" i="1"/>
  <c r="E64" i="1"/>
  <c r="G64" i="1"/>
  <c r="H64" i="1" s="1"/>
  <c r="J64" i="1"/>
  <c r="M64" i="1"/>
  <c r="C65" i="1"/>
  <c r="D65" i="1"/>
  <c r="E65" i="1"/>
  <c r="G65" i="1"/>
  <c r="H65" i="1" s="1"/>
  <c r="J65" i="1"/>
  <c r="M65" i="1"/>
  <c r="C66" i="1"/>
  <c r="D66" i="1"/>
  <c r="E66" i="1"/>
  <c r="G66" i="1"/>
  <c r="H66" i="1" s="1"/>
  <c r="J66" i="1"/>
  <c r="M66" i="1"/>
  <c r="C67" i="1"/>
  <c r="D67" i="1"/>
  <c r="E67" i="1"/>
  <c r="G67" i="1"/>
  <c r="H67" i="1" s="1"/>
  <c r="J67" i="1"/>
  <c r="M67" i="1"/>
  <c r="C68" i="1"/>
  <c r="D68" i="1"/>
  <c r="E68" i="1"/>
  <c r="G68" i="1"/>
  <c r="H68" i="1"/>
  <c r="J68" i="1"/>
  <c r="M68" i="1"/>
  <c r="C69" i="1"/>
  <c r="D69" i="1"/>
  <c r="E69" i="1"/>
  <c r="G69" i="1"/>
  <c r="H69" i="1" s="1"/>
  <c r="J69" i="1"/>
  <c r="M69" i="1"/>
  <c r="C70" i="1"/>
  <c r="D70" i="1"/>
  <c r="E70" i="1"/>
  <c r="G70" i="1"/>
  <c r="H70" i="1" s="1"/>
  <c r="J70" i="1"/>
  <c r="M70" i="1"/>
  <c r="C71" i="1"/>
  <c r="D71" i="1"/>
  <c r="E71" i="1"/>
  <c r="G71" i="1"/>
  <c r="H71" i="1"/>
  <c r="J71" i="1"/>
  <c r="M71" i="1"/>
  <c r="C72" i="1"/>
  <c r="D72" i="1"/>
  <c r="E72" i="1"/>
  <c r="G72" i="1"/>
  <c r="H72" i="1" s="1"/>
  <c r="J72" i="1"/>
  <c r="M72" i="1"/>
  <c r="C73" i="1"/>
  <c r="D73" i="1"/>
  <c r="E73" i="1"/>
  <c r="G73" i="1"/>
  <c r="H73" i="1" s="1"/>
  <c r="J73" i="1"/>
  <c r="M73" i="1"/>
  <c r="C74" i="1"/>
  <c r="D74" i="1"/>
  <c r="E74" i="1"/>
  <c r="G74" i="1"/>
  <c r="H74" i="1" s="1"/>
  <c r="J74" i="1"/>
  <c r="M74" i="1"/>
  <c r="C75" i="1"/>
  <c r="D75" i="1"/>
  <c r="E75" i="1"/>
  <c r="G75" i="1"/>
  <c r="H75" i="1" s="1"/>
  <c r="J75" i="1"/>
  <c r="M75" i="1"/>
  <c r="C76" i="1"/>
  <c r="D76" i="1"/>
  <c r="E76" i="1"/>
  <c r="G76" i="1"/>
  <c r="H76" i="1" s="1"/>
  <c r="J76" i="1"/>
  <c r="M76" i="1"/>
  <c r="C77" i="1"/>
  <c r="D77" i="1"/>
  <c r="E77" i="1"/>
  <c r="G77" i="1"/>
  <c r="H77" i="1" s="1"/>
  <c r="J77" i="1"/>
  <c r="M77" i="1"/>
  <c r="C78" i="1"/>
  <c r="D78" i="1"/>
  <c r="E78" i="1"/>
  <c r="G78" i="1"/>
  <c r="H78" i="1" s="1"/>
  <c r="J78" i="1"/>
  <c r="M78" i="1"/>
  <c r="C79" i="1"/>
  <c r="D79" i="1"/>
  <c r="E79" i="1"/>
  <c r="G79" i="1"/>
  <c r="H79" i="1" s="1"/>
  <c r="J79" i="1"/>
  <c r="M79" i="1"/>
  <c r="C80" i="1"/>
  <c r="D80" i="1"/>
  <c r="E80" i="1"/>
  <c r="G80" i="1"/>
  <c r="H80" i="1"/>
  <c r="J80" i="1"/>
  <c r="M80" i="1"/>
  <c r="C81" i="1"/>
  <c r="D81" i="1"/>
  <c r="E81" i="1"/>
  <c r="G81" i="1"/>
  <c r="H81" i="1" s="1"/>
  <c r="J81" i="1"/>
  <c r="M81" i="1"/>
  <c r="C82" i="1"/>
  <c r="D82" i="1"/>
  <c r="E82" i="1"/>
  <c r="G82" i="1"/>
  <c r="H82" i="1"/>
  <c r="J82" i="1"/>
  <c r="M82" i="1"/>
  <c r="C83" i="1"/>
  <c r="D83" i="1"/>
  <c r="E83" i="1"/>
  <c r="G83" i="1"/>
  <c r="H83" i="1"/>
  <c r="J83" i="1"/>
  <c r="M83" i="1"/>
  <c r="C84" i="1"/>
  <c r="D84" i="1"/>
  <c r="E84" i="1"/>
  <c r="G84" i="1"/>
  <c r="H84" i="1" s="1"/>
  <c r="J84" i="1"/>
  <c r="M84" i="1"/>
  <c r="C85" i="1"/>
  <c r="D85" i="1"/>
  <c r="E85" i="1"/>
  <c r="G85" i="1"/>
  <c r="H85" i="1" s="1"/>
  <c r="J85" i="1"/>
  <c r="M85" i="1"/>
  <c r="C86" i="1"/>
  <c r="D86" i="1"/>
  <c r="E86" i="1"/>
  <c r="G86" i="1"/>
  <c r="H86" i="1"/>
  <c r="J86" i="1"/>
  <c r="M86" i="1"/>
  <c r="C87" i="1"/>
  <c r="D87" i="1"/>
  <c r="E87" i="1"/>
  <c r="G87" i="1"/>
  <c r="H87" i="1"/>
  <c r="J87" i="1"/>
  <c r="M87" i="1"/>
  <c r="C88" i="1"/>
  <c r="D88" i="1"/>
  <c r="E88" i="1"/>
  <c r="G88" i="1"/>
  <c r="H88" i="1" s="1"/>
  <c r="J88" i="1"/>
  <c r="M88" i="1"/>
  <c r="C89" i="1"/>
  <c r="D89" i="1"/>
  <c r="E89" i="1"/>
  <c r="G89" i="1"/>
  <c r="H89" i="1" s="1"/>
  <c r="J89" i="1"/>
  <c r="M89" i="1"/>
  <c r="C90" i="1"/>
  <c r="D90" i="1"/>
  <c r="E90" i="1"/>
  <c r="G90" i="1"/>
  <c r="H90" i="1" s="1"/>
  <c r="J90" i="1"/>
  <c r="M90" i="1"/>
  <c r="C91" i="1"/>
  <c r="D91" i="1"/>
  <c r="E91" i="1"/>
  <c r="G91" i="1"/>
  <c r="H91" i="1" s="1"/>
  <c r="J91" i="1"/>
  <c r="M91" i="1"/>
  <c r="C92" i="1"/>
  <c r="D92" i="1"/>
  <c r="E92" i="1"/>
  <c r="G92" i="1"/>
  <c r="H92" i="1"/>
  <c r="J92" i="1"/>
  <c r="M92" i="1"/>
  <c r="C93" i="1"/>
  <c r="D93" i="1"/>
  <c r="E93" i="1"/>
  <c r="G93" i="1"/>
  <c r="H93" i="1" s="1"/>
  <c r="J93" i="1"/>
  <c r="M93" i="1"/>
  <c r="C94" i="1"/>
  <c r="D94" i="1"/>
  <c r="E94" i="1"/>
  <c r="G94" i="1"/>
  <c r="H94" i="1"/>
  <c r="J94" i="1"/>
  <c r="M94" i="1"/>
  <c r="C95" i="1"/>
  <c r="D95" i="1"/>
  <c r="E95" i="1"/>
  <c r="G95" i="1"/>
  <c r="H95" i="1"/>
  <c r="J95" i="1"/>
  <c r="M95" i="1"/>
  <c r="C96" i="1"/>
  <c r="D96" i="1"/>
  <c r="E96" i="1"/>
  <c r="G96" i="1"/>
  <c r="H96" i="1" s="1"/>
  <c r="J96" i="1"/>
  <c r="M96" i="1"/>
  <c r="C97" i="1"/>
  <c r="D97" i="1"/>
  <c r="E97" i="1"/>
  <c r="G97" i="1"/>
  <c r="H97" i="1" s="1"/>
  <c r="J97" i="1"/>
  <c r="M97" i="1"/>
  <c r="C98" i="1"/>
  <c r="D98" i="1"/>
  <c r="E98" i="1"/>
  <c r="G98" i="1"/>
  <c r="H98" i="1"/>
  <c r="J98" i="1"/>
  <c r="M98" i="1"/>
  <c r="C99" i="1"/>
  <c r="D99" i="1"/>
  <c r="E99" i="1"/>
  <c r="G99" i="1"/>
  <c r="H99" i="1" s="1"/>
  <c r="J99" i="1"/>
  <c r="M99" i="1"/>
  <c r="C100" i="1"/>
  <c r="D100" i="1"/>
  <c r="E100" i="1"/>
  <c r="G100" i="1"/>
  <c r="H100" i="1" s="1"/>
  <c r="J100" i="1"/>
  <c r="M100" i="1"/>
  <c r="C101" i="1"/>
  <c r="D101" i="1"/>
  <c r="E101" i="1"/>
  <c r="G101" i="1"/>
  <c r="H101" i="1" s="1"/>
  <c r="J101" i="1"/>
  <c r="M101" i="1"/>
  <c r="C102" i="1"/>
  <c r="D102" i="1"/>
  <c r="E102" i="1"/>
  <c r="G102" i="1"/>
  <c r="H102" i="1"/>
  <c r="J102" i="1"/>
  <c r="M102" i="1"/>
  <c r="C103" i="1"/>
  <c r="D103" i="1"/>
  <c r="E103" i="1"/>
  <c r="G103" i="1"/>
  <c r="H103" i="1" s="1"/>
  <c r="J103" i="1"/>
  <c r="M103" i="1"/>
  <c r="C104" i="1"/>
  <c r="D104" i="1"/>
  <c r="E104" i="1"/>
  <c r="G104" i="1"/>
  <c r="H104" i="1" s="1"/>
  <c r="J104" i="1"/>
  <c r="M104" i="1"/>
  <c r="C105" i="1"/>
  <c r="D105" i="1"/>
  <c r="E105" i="1"/>
  <c r="G105" i="1"/>
  <c r="H105" i="1" s="1"/>
  <c r="J105" i="1"/>
  <c r="M105" i="1"/>
  <c r="C106" i="1"/>
  <c r="D106" i="1"/>
  <c r="E106" i="1"/>
  <c r="G106" i="1"/>
  <c r="H106" i="1"/>
  <c r="J106" i="1"/>
  <c r="M106" i="1"/>
  <c r="C107" i="1"/>
  <c r="D107" i="1"/>
  <c r="E107" i="1"/>
  <c r="G107" i="1"/>
  <c r="H107" i="1"/>
  <c r="J107" i="1"/>
  <c r="M107" i="1"/>
  <c r="C108" i="1"/>
  <c r="D108" i="1"/>
  <c r="E108" i="1"/>
  <c r="G108" i="1"/>
  <c r="H108" i="1" s="1"/>
  <c r="J108" i="1"/>
  <c r="M108" i="1"/>
  <c r="C109" i="1"/>
  <c r="D109" i="1"/>
  <c r="E109" i="1"/>
  <c r="G109" i="1"/>
  <c r="H109" i="1" s="1"/>
  <c r="J109" i="1"/>
  <c r="M109" i="1"/>
  <c r="C110" i="1"/>
  <c r="D110" i="1"/>
  <c r="E110" i="1"/>
  <c r="G110" i="1"/>
  <c r="H110" i="1" s="1"/>
  <c r="J110" i="1"/>
  <c r="M110" i="1"/>
  <c r="C111" i="1"/>
  <c r="D111" i="1"/>
  <c r="E111" i="1"/>
  <c r="G111" i="1"/>
  <c r="H111" i="1"/>
  <c r="J111" i="1"/>
  <c r="M111" i="1"/>
  <c r="C112" i="1"/>
  <c r="D112" i="1"/>
  <c r="E112" i="1"/>
  <c r="G112" i="1"/>
  <c r="H112" i="1" s="1"/>
  <c r="J112" i="1"/>
  <c r="M112" i="1"/>
  <c r="C113" i="1"/>
  <c r="D113" i="1"/>
  <c r="E113" i="1"/>
  <c r="G113" i="1"/>
  <c r="H113" i="1"/>
  <c r="J113" i="1"/>
  <c r="M113" i="1"/>
  <c r="C114" i="1"/>
  <c r="D114" i="1"/>
  <c r="E114" i="1"/>
  <c r="G114" i="1"/>
  <c r="H114" i="1"/>
  <c r="J114" i="1"/>
  <c r="M114" i="1"/>
  <c r="C115" i="1"/>
  <c r="D115" i="1"/>
  <c r="E115" i="1"/>
  <c r="G115" i="1"/>
  <c r="H115" i="1" s="1"/>
  <c r="J115" i="1"/>
  <c r="M115" i="1"/>
  <c r="C116" i="1"/>
  <c r="D116" i="1"/>
  <c r="E116" i="1"/>
  <c r="G116" i="1"/>
  <c r="H116" i="1" s="1"/>
  <c r="J116" i="1"/>
  <c r="M116" i="1"/>
  <c r="C117" i="1"/>
  <c r="D117" i="1"/>
  <c r="E117" i="1"/>
  <c r="G117" i="1"/>
  <c r="H117" i="1" s="1"/>
  <c r="J117" i="1"/>
  <c r="M117" i="1"/>
  <c r="C118" i="1"/>
  <c r="D118" i="1"/>
  <c r="E118" i="1"/>
  <c r="G118" i="1"/>
  <c r="H118" i="1"/>
  <c r="J118" i="1"/>
  <c r="M118" i="1"/>
  <c r="C119" i="1"/>
  <c r="D119" i="1"/>
  <c r="E119" i="1"/>
  <c r="G119" i="1"/>
  <c r="H119" i="1" s="1"/>
  <c r="J119" i="1"/>
  <c r="M119" i="1"/>
  <c r="C120" i="1"/>
  <c r="D120" i="1"/>
  <c r="E120" i="1"/>
  <c r="G120" i="1"/>
  <c r="H120" i="1"/>
  <c r="J120" i="1"/>
  <c r="M120" i="1"/>
  <c r="C121" i="1"/>
  <c r="D121" i="1"/>
  <c r="E121" i="1"/>
  <c r="G121" i="1"/>
  <c r="H121" i="1" s="1"/>
  <c r="J121" i="1"/>
  <c r="M121" i="1"/>
  <c r="C122" i="1"/>
  <c r="D122" i="1"/>
  <c r="E122" i="1"/>
  <c r="G122" i="1"/>
  <c r="H122" i="1"/>
  <c r="J122" i="1"/>
  <c r="M122" i="1"/>
  <c r="C123" i="1"/>
  <c r="D123" i="1"/>
  <c r="E123" i="1"/>
  <c r="G123" i="1"/>
  <c r="H123" i="1"/>
  <c r="J123" i="1"/>
  <c r="M123" i="1"/>
  <c r="C124" i="1"/>
  <c r="D124" i="1"/>
  <c r="E124" i="1"/>
  <c r="G124" i="1"/>
  <c r="H124" i="1" s="1"/>
  <c r="J124" i="1"/>
  <c r="M124" i="1"/>
  <c r="C125" i="1"/>
  <c r="D125" i="1"/>
  <c r="E125" i="1"/>
  <c r="G125" i="1"/>
  <c r="H125" i="1" s="1"/>
  <c r="J125" i="1"/>
  <c r="M125" i="1"/>
  <c r="C126" i="1"/>
  <c r="D126" i="1"/>
  <c r="E126" i="1"/>
  <c r="G126" i="1"/>
  <c r="H126" i="1" s="1"/>
  <c r="J126" i="1"/>
  <c r="M126" i="1"/>
  <c r="C127" i="1"/>
  <c r="D127" i="1"/>
  <c r="E127" i="1"/>
  <c r="G127" i="1"/>
  <c r="H127" i="1" s="1"/>
  <c r="J127" i="1"/>
  <c r="M127" i="1"/>
  <c r="C128" i="1"/>
  <c r="D128" i="1"/>
  <c r="E128" i="1"/>
  <c r="G128" i="1"/>
  <c r="H128" i="1" s="1"/>
  <c r="J128" i="1"/>
  <c r="M128" i="1"/>
  <c r="C129" i="1"/>
  <c r="D129" i="1"/>
  <c r="E129" i="1"/>
  <c r="G129" i="1"/>
  <c r="H129" i="1" s="1"/>
  <c r="J129" i="1"/>
  <c r="M129" i="1"/>
  <c r="C130" i="1"/>
  <c r="D130" i="1"/>
  <c r="E130" i="1"/>
  <c r="G130" i="1"/>
  <c r="H130" i="1" s="1"/>
  <c r="J130" i="1"/>
  <c r="M130" i="1"/>
  <c r="C131" i="1"/>
  <c r="D131" i="1"/>
  <c r="E131" i="1"/>
  <c r="G131" i="1"/>
  <c r="H131" i="1"/>
  <c r="J131" i="1"/>
  <c r="M131" i="1"/>
  <c r="C132" i="1"/>
  <c r="D132" i="1"/>
  <c r="E132" i="1"/>
  <c r="G132" i="1"/>
  <c r="H132" i="1"/>
  <c r="J132" i="1"/>
  <c r="M132" i="1"/>
  <c r="C133" i="1"/>
  <c r="D133" i="1"/>
  <c r="E133" i="1"/>
  <c r="G133" i="1"/>
  <c r="H133" i="1" s="1"/>
  <c r="J133" i="1"/>
  <c r="M133" i="1"/>
  <c r="C134" i="1"/>
  <c r="D134" i="1"/>
  <c r="E134" i="1"/>
  <c r="G134" i="1"/>
  <c r="H134" i="1" s="1"/>
  <c r="J134" i="1"/>
  <c r="M134" i="1"/>
  <c r="C135" i="1"/>
  <c r="D135" i="1"/>
  <c r="E135" i="1"/>
  <c r="G135" i="1"/>
  <c r="H135" i="1" s="1"/>
  <c r="J135" i="1"/>
  <c r="M135" i="1"/>
  <c r="C136" i="1"/>
  <c r="D136" i="1"/>
  <c r="E136" i="1"/>
  <c r="G136" i="1"/>
  <c r="H136" i="1" s="1"/>
  <c r="J136" i="1"/>
  <c r="M136" i="1"/>
  <c r="C137" i="1"/>
  <c r="D137" i="1"/>
  <c r="E137" i="1"/>
  <c r="G137" i="1"/>
  <c r="H137" i="1" s="1"/>
  <c r="J137" i="1"/>
  <c r="M137" i="1"/>
  <c r="C138" i="1"/>
  <c r="D138" i="1"/>
  <c r="E138" i="1"/>
  <c r="G138" i="1"/>
  <c r="H138" i="1"/>
  <c r="J138" i="1"/>
  <c r="M138" i="1"/>
  <c r="C139" i="1"/>
  <c r="D139" i="1"/>
  <c r="E139" i="1"/>
  <c r="G139" i="1"/>
  <c r="H139" i="1" s="1"/>
  <c r="J139" i="1"/>
  <c r="M139" i="1"/>
  <c r="C140" i="1"/>
  <c r="D140" i="1"/>
  <c r="E140" i="1"/>
  <c r="G140" i="1"/>
  <c r="H140" i="1"/>
  <c r="J140" i="1"/>
  <c r="M140" i="1"/>
  <c r="C141" i="1"/>
  <c r="D141" i="1"/>
  <c r="E141" i="1"/>
  <c r="G141" i="1"/>
  <c r="H141" i="1" s="1"/>
  <c r="J141" i="1"/>
  <c r="M141" i="1"/>
  <c r="C142" i="1"/>
  <c r="D142" i="1"/>
  <c r="E142" i="1"/>
  <c r="G142" i="1"/>
  <c r="H142" i="1" s="1"/>
  <c r="J142" i="1"/>
  <c r="M142" i="1"/>
  <c r="C143" i="1"/>
  <c r="D143" i="1"/>
  <c r="E143" i="1"/>
  <c r="G143" i="1"/>
  <c r="H143" i="1" s="1"/>
  <c r="J143" i="1"/>
  <c r="M143" i="1"/>
  <c r="C144" i="1"/>
  <c r="D144" i="1"/>
  <c r="E144" i="1"/>
  <c r="G144" i="1"/>
  <c r="H144" i="1" s="1"/>
  <c r="J144" i="1"/>
  <c r="M144" i="1"/>
  <c r="C145" i="1"/>
  <c r="D145" i="1"/>
  <c r="E145" i="1"/>
  <c r="G145" i="1"/>
  <c r="H145" i="1" s="1"/>
  <c r="J145" i="1"/>
  <c r="M145" i="1"/>
  <c r="C146" i="1"/>
  <c r="D146" i="1"/>
  <c r="E146" i="1"/>
  <c r="G146" i="1"/>
  <c r="H146" i="1" s="1"/>
  <c r="J146" i="1"/>
  <c r="M146" i="1"/>
  <c r="C147" i="1"/>
  <c r="D147" i="1"/>
  <c r="E147" i="1"/>
  <c r="G147" i="1"/>
  <c r="H147" i="1" s="1"/>
  <c r="J147" i="1"/>
  <c r="M147" i="1"/>
  <c r="C148" i="1"/>
  <c r="D148" i="1"/>
  <c r="E148" i="1"/>
  <c r="G148" i="1"/>
  <c r="H148" i="1" s="1"/>
  <c r="J148" i="1"/>
  <c r="M148" i="1"/>
  <c r="C149" i="1"/>
  <c r="D149" i="1"/>
  <c r="E149" i="1"/>
  <c r="G149" i="1"/>
  <c r="H149" i="1"/>
  <c r="J149" i="1"/>
  <c r="M149" i="1"/>
  <c r="C150" i="1"/>
  <c r="D150" i="1"/>
  <c r="E150" i="1"/>
  <c r="G150" i="1"/>
  <c r="H150" i="1"/>
  <c r="J150" i="1"/>
  <c r="M150" i="1"/>
  <c r="C151" i="1"/>
  <c r="D151" i="1"/>
  <c r="E151" i="1"/>
  <c r="G151" i="1"/>
  <c r="H151" i="1" s="1"/>
  <c r="J151" i="1"/>
  <c r="M151" i="1"/>
  <c r="C152" i="1"/>
  <c r="D152" i="1"/>
  <c r="E152" i="1"/>
  <c r="G152" i="1"/>
  <c r="H152" i="1" s="1"/>
  <c r="J152" i="1"/>
  <c r="M152" i="1"/>
  <c r="C153" i="1"/>
  <c r="D153" i="1"/>
  <c r="E153" i="1"/>
  <c r="G153" i="1"/>
  <c r="H153" i="1" s="1"/>
  <c r="J153" i="1"/>
  <c r="M153" i="1"/>
  <c r="C154" i="1"/>
  <c r="D154" i="1"/>
  <c r="E154" i="1"/>
  <c r="G154" i="1"/>
  <c r="H154" i="1"/>
  <c r="J154" i="1"/>
  <c r="M154" i="1"/>
  <c r="C155" i="1"/>
  <c r="D155" i="1"/>
  <c r="E155" i="1"/>
  <c r="G155" i="1"/>
  <c r="H155" i="1" s="1"/>
  <c r="J155" i="1"/>
  <c r="M155" i="1"/>
  <c r="C156" i="1"/>
  <c r="D156" i="1"/>
  <c r="E156" i="1"/>
  <c r="G156" i="1"/>
  <c r="H156" i="1" s="1"/>
  <c r="J156" i="1"/>
  <c r="M156" i="1"/>
  <c r="C157" i="1"/>
  <c r="D157" i="1"/>
  <c r="E157" i="1"/>
  <c r="G157" i="1"/>
  <c r="H157" i="1" s="1"/>
  <c r="J157" i="1"/>
  <c r="M157" i="1"/>
  <c r="C158" i="1"/>
  <c r="D158" i="1"/>
  <c r="E158" i="1"/>
  <c r="G158" i="1"/>
  <c r="H158" i="1"/>
  <c r="J158" i="1"/>
  <c r="M158" i="1"/>
  <c r="C159" i="1"/>
  <c r="D159" i="1"/>
  <c r="E159" i="1"/>
  <c r="G159" i="1"/>
  <c r="H159" i="1"/>
  <c r="J159" i="1"/>
  <c r="M159" i="1"/>
  <c r="C160" i="1"/>
  <c r="D160" i="1"/>
  <c r="E160" i="1"/>
  <c r="G160" i="1"/>
  <c r="H160" i="1" s="1"/>
  <c r="J160" i="1"/>
  <c r="M160" i="1"/>
  <c r="C161" i="1"/>
  <c r="D161" i="1"/>
  <c r="E161" i="1"/>
  <c r="G161" i="1"/>
  <c r="H161" i="1" s="1"/>
  <c r="J161" i="1"/>
  <c r="M161" i="1"/>
  <c r="C162" i="1"/>
  <c r="D162" i="1"/>
  <c r="E162" i="1"/>
  <c r="G162" i="1"/>
  <c r="H162" i="1" s="1"/>
  <c r="J162" i="1"/>
  <c r="M162" i="1"/>
  <c r="C163" i="1"/>
  <c r="D163" i="1"/>
  <c r="E163" i="1"/>
  <c r="G163" i="1"/>
  <c r="H163" i="1" s="1"/>
  <c r="J163" i="1"/>
  <c r="M163" i="1"/>
  <c r="C164" i="1"/>
  <c r="D164" i="1"/>
  <c r="E164" i="1"/>
  <c r="G164" i="1"/>
  <c r="H164" i="1" s="1"/>
  <c r="J164" i="1"/>
  <c r="M164" i="1"/>
  <c r="C165" i="1"/>
  <c r="D165" i="1"/>
  <c r="E165" i="1"/>
  <c r="G165" i="1"/>
  <c r="H165" i="1" s="1"/>
  <c r="J165" i="1"/>
  <c r="M165" i="1"/>
  <c r="C166" i="1"/>
  <c r="D166" i="1"/>
  <c r="E166" i="1"/>
  <c r="G166" i="1"/>
  <c r="H166" i="1"/>
  <c r="J166" i="1"/>
  <c r="M166" i="1"/>
  <c r="C167" i="1"/>
  <c r="D167" i="1"/>
  <c r="E167" i="1"/>
  <c r="G167" i="1"/>
  <c r="H167" i="1"/>
  <c r="J167" i="1"/>
  <c r="M167" i="1"/>
  <c r="C168" i="1"/>
  <c r="D168" i="1"/>
  <c r="E168" i="1"/>
  <c r="G168" i="1"/>
  <c r="H168" i="1"/>
  <c r="J168" i="1"/>
  <c r="M168" i="1"/>
  <c r="C169" i="1"/>
  <c r="D169" i="1"/>
  <c r="E169" i="1"/>
  <c r="G169" i="1"/>
  <c r="H169" i="1" s="1"/>
  <c r="J169" i="1"/>
  <c r="M169" i="1"/>
  <c r="C170" i="1"/>
  <c r="D170" i="1"/>
  <c r="E170" i="1"/>
  <c r="G170" i="1"/>
  <c r="H170" i="1" s="1"/>
  <c r="J170" i="1"/>
  <c r="M170" i="1"/>
  <c r="C171" i="1"/>
  <c r="D171" i="1"/>
  <c r="E171" i="1"/>
  <c r="G171" i="1"/>
  <c r="H171" i="1" s="1"/>
  <c r="J171" i="1"/>
  <c r="M171" i="1"/>
  <c r="C172" i="1"/>
  <c r="D172" i="1"/>
  <c r="E172" i="1"/>
  <c r="G172" i="1"/>
  <c r="H172" i="1" s="1"/>
  <c r="J172" i="1"/>
  <c r="M172" i="1"/>
  <c r="C173" i="1"/>
  <c r="D173" i="1"/>
  <c r="E173" i="1"/>
  <c r="G173" i="1"/>
  <c r="H173" i="1" s="1"/>
  <c r="J173" i="1"/>
  <c r="M173" i="1"/>
  <c r="C174" i="1"/>
  <c r="D174" i="1"/>
  <c r="E174" i="1"/>
  <c r="G174" i="1"/>
  <c r="H174" i="1" s="1"/>
  <c r="J174" i="1"/>
  <c r="M174" i="1"/>
  <c r="C175" i="1"/>
  <c r="D175" i="1"/>
  <c r="E175" i="1"/>
  <c r="G175" i="1"/>
  <c r="H175" i="1" s="1"/>
  <c r="J175" i="1"/>
  <c r="M175" i="1"/>
  <c r="C176" i="1"/>
  <c r="D176" i="1"/>
  <c r="E176" i="1"/>
  <c r="G176" i="1"/>
  <c r="H176" i="1"/>
  <c r="J176" i="1"/>
  <c r="M176" i="1"/>
  <c r="C177" i="1"/>
  <c r="D177" i="1"/>
  <c r="E177" i="1"/>
  <c r="G177" i="1"/>
  <c r="H177" i="1" s="1"/>
  <c r="J177" i="1"/>
  <c r="M177" i="1"/>
  <c r="C178" i="1"/>
  <c r="D178" i="1"/>
  <c r="E178" i="1"/>
  <c r="G178" i="1"/>
  <c r="H178" i="1" s="1"/>
  <c r="J178" i="1"/>
  <c r="M178" i="1"/>
  <c r="C179" i="1"/>
  <c r="D179" i="1"/>
  <c r="E179" i="1"/>
  <c r="G179" i="1"/>
  <c r="H179" i="1" s="1"/>
  <c r="J179" i="1"/>
  <c r="M179" i="1"/>
  <c r="C180" i="1"/>
  <c r="D180" i="1"/>
  <c r="E180" i="1"/>
  <c r="G180" i="1"/>
  <c r="H180" i="1" s="1"/>
  <c r="J180" i="1"/>
  <c r="M180" i="1"/>
  <c r="C181" i="1"/>
  <c r="D181" i="1"/>
  <c r="E181" i="1"/>
  <c r="G181" i="1"/>
  <c r="H181" i="1" s="1"/>
  <c r="J181" i="1"/>
  <c r="M181" i="1"/>
  <c r="C182" i="1"/>
  <c r="D182" i="1"/>
  <c r="E182" i="1"/>
  <c r="G182" i="1"/>
  <c r="H182" i="1"/>
  <c r="J182" i="1"/>
  <c r="M182" i="1"/>
  <c r="C183" i="1"/>
  <c r="D183" i="1"/>
  <c r="E183" i="1"/>
  <c r="G183" i="1"/>
  <c r="H183" i="1" s="1"/>
  <c r="J183" i="1"/>
  <c r="M183" i="1"/>
  <c r="C184" i="1"/>
  <c r="D184" i="1"/>
  <c r="E184" i="1"/>
  <c r="G184" i="1"/>
  <c r="H184" i="1" s="1"/>
  <c r="J184" i="1"/>
  <c r="M184" i="1"/>
  <c r="C185" i="1"/>
  <c r="D185" i="1"/>
  <c r="E185" i="1"/>
  <c r="G185" i="1"/>
  <c r="H185" i="1"/>
  <c r="J185" i="1"/>
  <c r="M185" i="1"/>
  <c r="C186" i="1"/>
  <c r="D186" i="1"/>
  <c r="E186" i="1"/>
  <c r="G186" i="1"/>
  <c r="H186" i="1"/>
  <c r="J186" i="1"/>
  <c r="M186" i="1"/>
  <c r="C187" i="1"/>
  <c r="D187" i="1"/>
  <c r="E187" i="1"/>
  <c r="G187" i="1"/>
  <c r="H187" i="1" s="1"/>
  <c r="J187" i="1"/>
  <c r="M187" i="1"/>
  <c r="C188" i="1"/>
  <c r="D188" i="1"/>
  <c r="E188" i="1"/>
  <c r="G188" i="1"/>
  <c r="H188" i="1" s="1"/>
  <c r="J188" i="1"/>
  <c r="M188" i="1"/>
  <c r="C189" i="1"/>
  <c r="D189" i="1"/>
  <c r="E189" i="1"/>
  <c r="G189" i="1"/>
  <c r="H189" i="1" s="1"/>
  <c r="J189" i="1"/>
  <c r="M189" i="1"/>
  <c r="C190" i="1"/>
  <c r="D190" i="1"/>
  <c r="E190" i="1"/>
  <c r="G190" i="1"/>
  <c r="H190" i="1"/>
  <c r="J190" i="1"/>
  <c r="M190" i="1"/>
  <c r="C191" i="1"/>
  <c r="D191" i="1"/>
  <c r="E191" i="1"/>
  <c r="G191" i="1"/>
  <c r="H191" i="1" s="1"/>
  <c r="J191" i="1"/>
  <c r="M191" i="1"/>
  <c r="C192" i="1"/>
  <c r="D192" i="1"/>
  <c r="E192" i="1"/>
  <c r="G192" i="1"/>
  <c r="H192" i="1" s="1"/>
  <c r="J192" i="1"/>
  <c r="M192" i="1"/>
  <c r="C193" i="1"/>
  <c r="D193" i="1"/>
  <c r="E193" i="1"/>
  <c r="G193" i="1"/>
  <c r="H193" i="1" s="1"/>
  <c r="J193" i="1"/>
  <c r="M193" i="1"/>
  <c r="C194" i="1"/>
  <c r="D194" i="1"/>
  <c r="E194" i="1"/>
  <c r="G194" i="1"/>
  <c r="H194" i="1"/>
  <c r="J194" i="1"/>
  <c r="M194" i="1"/>
  <c r="C195" i="1"/>
  <c r="D195" i="1"/>
  <c r="E195" i="1"/>
  <c r="G195" i="1"/>
  <c r="H195" i="1"/>
  <c r="J195" i="1"/>
  <c r="M195" i="1"/>
  <c r="C196" i="1"/>
  <c r="D196" i="1"/>
  <c r="E196" i="1"/>
  <c r="G196" i="1"/>
  <c r="H196" i="1" s="1"/>
  <c r="J196" i="1"/>
  <c r="M196" i="1"/>
  <c r="C197" i="1"/>
  <c r="D197" i="1"/>
  <c r="E197" i="1"/>
  <c r="G197" i="1"/>
  <c r="H197" i="1" s="1"/>
  <c r="J197" i="1"/>
  <c r="M197" i="1"/>
  <c r="C198" i="1"/>
  <c r="D198" i="1"/>
  <c r="E198" i="1"/>
  <c r="G198" i="1"/>
  <c r="H198" i="1" s="1"/>
  <c r="J198" i="1"/>
  <c r="M198" i="1"/>
  <c r="C199" i="1"/>
  <c r="D199" i="1"/>
  <c r="E199" i="1"/>
  <c r="G199" i="1"/>
  <c r="H199" i="1" s="1"/>
  <c r="J199" i="1"/>
  <c r="M199" i="1"/>
  <c r="C200" i="1"/>
  <c r="D200" i="1"/>
  <c r="E200" i="1"/>
  <c r="G200" i="1"/>
  <c r="H200" i="1" s="1"/>
  <c r="J200" i="1"/>
  <c r="M200" i="1"/>
  <c r="C201" i="1"/>
  <c r="D201" i="1"/>
  <c r="E201" i="1"/>
  <c r="G201" i="1"/>
  <c r="H201" i="1" s="1"/>
  <c r="J201" i="1"/>
  <c r="M201" i="1"/>
  <c r="C202" i="1"/>
  <c r="D202" i="1"/>
  <c r="E202" i="1"/>
  <c r="G202" i="1"/>
  <c r="H202" i="1" s="1"/>
  <c r="J202" i="1"/>
  <c r="M202" i="1"/>
  <c r="C203" i="1"/>
  <c r="D203" i="1"/>
  <c r="E203" i="1"/>
  <c r="G203" i="1"/>
  <c r="H203" i="1" s="1"/>
  <c r="J203" i="1"/>
  <c r="M203" i="1"/>
</calcChain>
</file>

<file path=xl/sharedStrings.xml><?xml version="1.0" encoding="utf-8"?>
<sst xmlns="http://schemas.openxmlformats.org/spreadsheetml/2006/main" count="618" uniqueCount="59">
  <si>
    <t>Zafer ELCİK</t>
  </si>
  <si>
    <t>Stringer 2A</t>
  </si>
  <si>
    <t>HSA 1</t>
  </si>
  <si>
    <t>Ferhat SEVEN</t>
  </si>
  <si>
    <t>Lazer Kesim 2A</t>
  </si>
  <si>
    <t>HSA 2</t>
  </si>
  <si>
    <t>Mahmud Cüneyd YAMAN</t>
  </si>
  <si>
    <t>Stringer</t>
  </si>
  <si>
    <t>Stringer 3A</t>
  </si>
  <si>
    <t>Laminasyon 2 - F2</t>
  </si>
  <si>
    <t>Razim KARACA</t>
  </si>
  <si>
    <t>Auto Lay-Up 3</t>
  </si>
  <si>
    <t>Mehmet DEMİR</t>
  </si>
  <si>
    <t>Stringer 4B</t>
  </si>
  <si>
    <t>Stringer 4A</t>
  </si>
  <si>
    <t>Stringer 2B</t>
  </si>
  <si>
    <t>Kerem KARAGÜLLE</t>
  </si>
  <si>
    <t>Emre ADALI</t>
  </si>
  <si>
    <t>Çift Cam Bantlama</t>
  </si>
  <si>
    <t>Stringer 1A</t>
  </si>
  <si>
    <t>Stringer 3B</t>
  </si>
  <si>
    <t>Bantlama</t>
  </si>
  <si>
    <t>Törpüleme</t>
  </si>
  <si>
    <t>Lazer Kesim 1A</t>
  </si>
  <si>
    <t>Laminasyon 2 - F1</t>
  </si>
  <si>
    <t>Çerçeveleme</t>
  </si>
  <si>
    <t>Konveyör</t>
  </si>
  <si>
    <t>Busbar</t>
  </si>
  <si>
    <t>Buffer</t>
  </si>
  <si>
    <t>Stringer 1B</t>
  </si>
  <si>
    <t>Veli EROĞLU</t>
  </si>
  <si>
    <t>Çerçeve Silikonlama</t>
  </si>
  <si>
    <t>IV Test</t>
  </si>
  <si>
    <t>Lazer Kesim 1B</t>
  </si>
  <si>
    <t>Mehmet ERCAN</t>
  </si>
  <si>
    <t>EL - 1</t>
  </si>
  <si>
    <t>Yasin KURT</t>
  </si>
  <si>
    <t>Cam Yükleme</t>
  </si>
  <si>
    <t>Kemal AYKIR</t>
  </si>
  <si>
    <t>Lazer Kesim 2B</t>
  </si>
  <si>
    <t>Kadir Aytaç ÖLEKLİ</t>
  </si>
  <si>
    <t>Kulakçık Montaj</t>
  </si>
  <si>
    <t>EL - 1A</t>
  </si>
  <si>
    <t>Auto Lay-Up 4</t>
  </si>
  <si>
    <t>TESLİM ALAN</t>
  </si>
  <si>
    <t>AY</t>
  </si>
  <si>
    <t>TARİH</t>
  </si>
  <si>
    <t>BÖLÜM ADI</t>
  </si>
  <si>
    <t>MAKİNE ADI</t>
  </si>
  <si>
    <t>TESİS</t>
  </si>
  <si>
    <t>TOPLAM</t>
  </si>
  <si>
    <t>BİRİM FİYATI</t>
  </si>
  <si>
    <t xml:space="preserve">MİKTAR </t>
  </si>
  <si>
    <t>MALZEME KODU</t>
  </si>
  <si>
    <t>TEKNİK ADI</t>
  </si>
  <si>
    <t>RAF NO</t>
  </si>
  <si>
    <t>STOK KODU</t>
  </si>
  <si>
    <t>SIRA NO</t>
  </si>
  <si>
    <t>YEDEK PARÇA KULLANIM BİLGİSİ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</si>
</sst>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47626</xdr:rowOff>
    </xdr:from>
    <xdr:ext cx="2105025" cy="621030"/>
    <xdr:pic>
      <xdr:nvPicPr>
        <xdr:cNvPr id="2" name="Picture 20">
          <a:extLst>
            <a:ext uri="{FF2B5EF4-FFF2-40B4-BE49-F238E27FC236}">
              <a16:creationId xmlns:a16="http://schemas.microsoft.com/office/drawing/2014/main" id="{7648985A-A6E8-41AF-B5B7-BF706FDA78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69"/>
        <a:stretch/>
      </xdr:blipFill>
      <xdr:spPr>
        <a:xfrm>
          <a:off x="0" y="47626"/>
          <a:ext cx="2105025" cy="62103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203\bakim_onarim\desktop\2019_so\t&#252;ketim\aylik_rapor\Ayl&#305;kEnerji_20190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Yedek%20Par&#231;a%20Takip%202026.xlsx" TargetMode="External"/><Relationship Id="rId2" Type="http://schemas.openxmlformats.org/officeDocument/2006/relationships/externalLinkPath" Target="file:///C:\Users\yasin\Downloads\Yedek%20Par&#231;a%20Takip%202026.xlsx" TargetMode="External"/><Relationship Id="rId1" Type="http://schemas.openxmlformats.org/officeDocument/2006/relationships/externalLinkPath" Target="/Users/yasin/Downloads/Yedek%20Par&#231;a%20Takip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Girişi"/>
      <sheetName val="Bütçe_Fiili"/>
      <sheetName val="TonSüt_BütçeFiili"/>
      <sheetName val="TonÜrün_BütçeFiili"/>
      <sheetName val="TEP_BütçeFiili"/>
      <sheetName val="ENERJİ_KUMULE"/>
      <sheetName val="Grafik"/>
      <sheetName val="Birim_fiyat"/>
      <sheetName val="Tasarruf"/>
      <sheetName val="Yatırım"/>
      <sheetName val="günlük"/>
      <sheetName val="MasrafMerkezleri"/>
      <sheetName val="DATA1"/>
      <sheetName val="DATA2"/>
      <sheetName val="Masraf_DağılımPivot"/>
      <sheetName val="MasrafAçıklama_Bütçe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Yedek_Parça_Takip_Güncel"/>
      <sheetName val="Malzeme Giriş Adet"/>
      <sheetName val="Malzeme Kullanım Miktarı"/>
      <sheetName val="Sipariş"/>
      <sheetName val="Kullanım Takibi"/>
      <sheetName val="Malzeme Tutarı"/>
      <sheetName val="Kullanım Tablosu"/>
      <sheetName val="Bölüm Adı"/>
      <sheetName val="Kullanım Takibi 2023"/>
      <sheetName val="Stok Kodu Kullanım Miktarı"/>
      <sheetName val="Sayım Tablosu"/>
      <sheetName val="Yedek_Parça_Tak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4487-4603-4E4B-9A66-02B36C21C5FE}">
  <dimension ref="A1:N203"/>
  <sheetViews>
    <sheetView tabSelected="1" workbookViewId="0">
      <selection activeCell="D15" sqref="D15"/>
    </sheetView>
  </sheetViews>
  <sheetFormatPr defaultRowHeight="14.4" x14ac:dyDescent="0.3"/>
  <cols>
    <col min="1" max="1" width="7.44140625" customWidth="1"/>
    <col min="2" max="2" width="23.109375" customWidth="1"/>
    <col min="3" max="3" width="26.5546875" customWidth="1"/>
    <col min="4" max="4" width="23.109375" customWidth="1"/>
    <col min="5" max="5" width="28" customWidth="1"/>
    <col min="6" max="6" width="12.6640625" customWidth="1"/>
    <col min="7" max="7" width="15.33203125" customWidth="1"/>
    <col min="8" max="8" width="13.77734375" customWidth="1"/>
    <col min="9" max="9" width="12.33203125" customWidth="1"/>
    <col min="10" max="10" width="23.6640625" customWidth="1"/>
    <col min="11" max="11" width="16.88671875" customWidth="1"/>
    <col min="12" max="12" width="18" customWidth="1"/>
    <col min="13" max="13" width="17" customWidth="1"/>
    <col min="14" max="14" width="33.33203125" customWidth="1"/>
  </cols>
  <sheetData>
    <row r="1" spans="1:14" ht="52.8" customHeight="1" x14ac:dyDescent="0.3">
      <c r="A1" s="9"/>
      <c r="B1" s="10"/>
      <c r="C1" s="8"/>
      <c r="D1" s="11" t="s">
        <v>58</v>
      </c>
      <c r="E1" s="12"/>
      <c r="F1" s="13"/>
      <c r="G1" s="13"/>
      <c r="H1" s="13"/>
      <c r="I1" s="13"/>
      <c r="J1" s="13"/>
      <c r="K1" s="14"/>
      <c r="L1" s="15">
        <f ca="1">TODAY()</f>
        <v>46097</v>
      </c>
      <c r="M1" s="15"/>
      <c r="N1" s="15"/>
    </row>
    <row r="2" spans="1:14" x14ac:dyDescent="0.3">
      <c r="A2" s="7" t="s">
        <v>57</v>
      </c>
      <c r="B2" s="7" t="s">
        <v>56</v>
      </c>
      <c r="C2" s="7" t="s">
        <v>55</v>
      </c>
      <c r="D2" s="7" t="s">
        <v>54</v>
      </c>
      <c r="E2" s="7" t="s">
        <v>53</v>
      </c>
      <c r="F2" s="7" t="s">
        <v>52</v>
      </c>
      <c r="G2" s="7" t="s">
        <v>51</v>
      </c>
      <c r="H2" s="7" t="s">
        <v>50</v>
      </c>
      <c r="I2" s="7" t="s">
        <v>49</v>
      </c>
      <c r="J2" s="7" t="s">
        <v>48</v>
      </c>
      <c r="K2" s="7" t="s">
        <v>47</v>
      </c>
      <c r="L2" s="7" t="s">
        <v>46</v>
      </c>
      <c r="M2" s="7" t="s">
        <v>45</v>
      </c>
      <c r="N2" s="7" t="s">
        <v>44</v>
      </c>
    </row>
    <row r="3" spans="1:14" x14ac:dyDescent="0.3">
      <c r="A3" s="1">
        <v>1</v>
      </c>
      <c r="B3" s="1">
        <v>101248</v>
      </c>
      <c r="C3" s="1" t="str">
        <f>VLOOKUP(B3,[2]!Tablo1[#Data],16,0)</f>
        <v>313-A</v>
      </c>
      <c r="D3" s="1" t="str">
        <f>VLOOKUP(B3,[2]!Tablo1[#Data],7,0)</f>
        <v>Konveyör Bandı</v>
      </c>
      <c r="E3" s="5" t="str">
        <f>VLOOKUP(B3,[2]!Tablo1[#Data],10,0)</f>
        <v>A050-86-08-002D</v>
      </c>
      <c r="F3" s="1">
        <v>1</v>
      </c>
      <c r="G3" s="4">
        <f>VLOOKUP(B3,[2]!Tablo1[#Data],13,0)</f>
        <v>200</v>
      </c>
      <c r="H3" s="3">
        <f t="shared" ref="H3:H66" si="0">F3*G3</f>
        <v>200</v>
      </c>
      <c r="I3" s="1" t="s">
        <v>5</v>
      </c>
      <c r="J3" s="1" t="str">
        <f>VLOOKUP(B3,[2]!Tablo1[#Data],3,0)</f>
        <v>Stringer</v>
      </c>
      <c r="K3" s="1" t="s">
        <v>14</v>
      </c>
      <c r="L3" s="6">
        <v>46024</v>
      </c>
      <c r="M3" s="1" t="str">
        <f t="shared" ref="M3:M66" si="1">TEXT(L3,"aaaa")</f>
        <v>Ocak</v>
      </c>
      <c r="N3" s="1" t="s">
        <v>16</v>
      </c>
    </row>
    <row r="4" spans="1:14" x14ac:dyDescent="0.3">
      <c r="A4" s="1">
        <v>2</v>
      </c>
      <c r="B4" s="1">
        <v>101248</v>
      </c>
      <c r="C4" s="1" t="str">
        <f>VLOOKUP(B4,[2]!Tablo1[#Data],16,0)</f>
        <v>313-A</v>
      </c>
      <c r="D4" s="1" t="str">
        <f>VLOOKUP(B4,[2]!Tablo1[#Data],7,0)</f>
        <v>Konveyör Bandı</v>
      </c>
      <c r="E4" s="5" t="str">
        <f>VLOOKUP(B4,[2]!Tablo1[#Data],10,0)</f>
        <v>A050-86-08-002D</v>
      </c>
      <c r="F4" s="1">
        <v>1</v>
      </c>
      <c r="G4" s="4">
        <f>VLOOKUP(B4,[2]!Tablo1[#Data],13,0)</f>
        <v>200</v>
      </c>
      <c r="H4" s="3">
        <f t="shared" si="0"/>
        <v>200</v>
      </c>
      <c r="I4" s="1" t="s">
        <v>5</v>
      </c>
      <c r="J4" s="1" t="str">
        <f>VLOOKUP(B4,[2]!Tablo1[#Data],3,0)</f>
        <v>Stringer</v>
      </c>
      <c r="K4" s="1" t="s">
        <v>20</v>
      </c>
      <c r="L4" s="6">
        <v>46024</v>
      </c>
      <c r="M4" s="1" t="str">
        <f t="shared" si="1"/>
        <v>Ocak</v>
      </c>
      <c r="N4" s="1" t="s">
        <v>12</v>
      </c>
    </row>
    <row r="5" spans="1:14" x14ac:dyDescent="0.3">
      <c r="A5" s="1">
        <v>3</v>
      </c>
      <c r="B5" s="1">
        <v>101216</v>
      </c>
      <c r="C5" s="1" t="str">
        <f>VLOOKUP(B5,[2]!Tablo1[#Data],16,0)</f>
        <v>305-A</v>
      </c>
      <c r="D5" s="1" t="str">
        <f>VLOOKUP(B5,[2]!Tablo1[#Data],7,0)</f>
        <v>Düz Vantuz</v>
      </c>
      <c r="E5" s="5" t="str">
        <f>VLOOKUP(B5,[2]!Tablo1[#Data],10,0)</f>
        <v>SPF15WS</v>
      </c>
      <c r="F5" s="1">
        <v>10</v>
      </c>
      <c r="G5" s="4">
        <f>VLOOKUP(B5,[2]!Tablo1[#Data],13,0)</f>
        <v>0.55000000000000004</v>
      </c>
      <c r="H5" s="3">
        <f t="shared" si="0"/>
        <v>5.5</v>
      </c>
      <c r="I5" s="1" t="s">
        <v>2</v>
      </c>
      <c r="J5" s="1" t="str">
        <f>VLOOKUP(B5,[2]!Tablo1[#Data],3,0)</f>
        <v>Stringer</v>
      </c>
      <c r="K5" s="1" t="s">
        <v>14</v>
      </c>
      <c r="L5" s="2">
        <v>46025</v>
      </c>
      <c r="M5" s="1" t="str">
        <f t="shared" si="1"/>
        <v>Ocak</v>
      </c>
      <c r="N5" s="1" t="s">
        <v>0</v>
      </c>
    </row>
    <row r="6" spans="1:14" x14ac:dyDescent="0.3">
      <c r="A6" s="1">
        <v>4</v>
      </c>
      <c r="B6" s="1">
        <v>101248</v>
      </c>
      <c r="C6" s="1" t="str">
        <f>VLOOKUP(B6,[2]!Tablo1[#Data],16,0)</f>
        <v>313-A</v>
      </c>
      <c r="D6" s="1" t="str">
        <f>VLOOKUP(B6,[2]!Tablo1[#Data],7,0)</f>
        <v>Konveyör Bandı</v>
      </c>
      <c r="E6" s="5" t="str">
        <f>VLOOKUP(B6,[2]!Tablo1[#Data],10,0)</f>
        <v>A050-86-08-002D</v>
      </c>
      <c r="F6" s="1">
        <v>1</v>
      </c>
      <c r="G6" s="4">
        <f>VLOOKUP(B6,[2]!Tablo1[#Data],13,0)</f>
        <v>200</v>
      </c>
      <c r="H6" s="3">
        <f t="shared" si="0"/>
        <v>200</v>
      </c>
      <c r="I6" s="1" t="s">
        <v>2</v>
      </c>
      <c r="J6" s="1" t="str">
        <f>VLOOKUP(B6,[2]!Tablo1[#Data],3,0)</f>
        <v>Stringer</v>
      </c>
      <c r="K6" s="1" t="s">
        <v>1</v>
      </c>
      <c r="L6" s="2">
        <v>46025</v>
      </c>
      <c r="M6" s="1" t="str">
        <f t="shared" si="1"/>
        <v>Ocak</v>
      </c>
      <c r="N6" s="1" t="s">
        <v>0</v>
      </c>
    </row>
    <row r="7" spans="1:14" x14ac:dyDescent="0.3">
      <c r="A7" s="1">
        <v>5</v>
      </c>
      <c r="B7" s="1">
        <v>101303</v>
      </c>
      <c r="C7" s="1" t="str">
        <f>VLOOKUP(B7,[2]!Tablo1[#Data],16,0)</f>
        <v>326-D</v>
      </c>
      <c r="D7" s="1" t="str">
        <f>VLOOKUP(B7,[2]!Tablo1[#Data],7,0)</f>
        <v>Doğrusal Kılavuz</v>
      </c>
      <c r="E7" s="5" t="str">
        <f>VLOOKUP(B7,[2]!Tablo1[#Data],10,0)</f>
        <v>MGN9C1R55Z1C</v>
      </c>
      <c r="F7" s="1">
        <v>2</v>
      </c>
      <c r="G7" s="4">
        <f>VLOOKUP(B7,[2]!Tablo1[#Data],13,0)</f>
        <v>20.13</v>
      </c>
      <c r="H7" s="3">
        <f t="shared" si="0"/>
        <v>40.26</v>
      </c>
      <c r="I7" s="1" t="s">
        <v>2</v>
      </c>
      <c r="J7" s="1" t="str">
        <f>VLOOKUP(B7,[2]!Tablo1[#Data],3,0)</f>
        <v>Stringer</v>
      </c>
      <c r="K7" s="1" t="s">
        <v>8</v>
      </c>
      <c r="L7" s="2">
        <v>46027</v>
      </c>
      <c r="M7" s="1" t="str">
        <f t="shared" si="1"/>
        <v>Ocak</v>
      </c>
      <c r="N7" s="1" t="s">
        <v>0</v>
      </c>
    </row>
    <row r="8" spans="1:14" x14ac:dyDescent="0.3">
      <c r="A8" s="1">
        <v>6</v>
      </c>
      <c r="B8" s="1">
        <v>100565</v>
      </c>
      <c r="C8" s="1" t="str">
        <f>VLOOKUP(B8,[2]!Tablo1[#Data],16,0)</f>
        <v>142-B</v>
      </c>
      <c r="D8" s="1" t="str">
        <f>VLOOKUP(B8,[2]!Tablo1[#Data],7,0)</f>
        <v>Solenoid Valf</v>
      </c>
      <c r="E8" s="5" t="str">
        <f>VLOOKUP(B8,[2]!Tablo1[#Data],10,0)</f>
        <v>3V206NCBG</v>
      </c>
      <c r="F8" s="1">
        <v>1</v>
      </c>
      <c r="G8" s="4">
        <f>VLOOKUP(B8,[2]!Tablo1[#Data],13,0)</f>
        <v>32.5</v>
      </c>
      <c r="H8" s="3">
        <f t="shared" si="0"/>
        <v>32.5</v>
      </c>
      <c r="I8" s="1" t="s">
        <v>5</v>
      </c>
      <c r="J8" s="1" t="str">
        <f>VLOOKUP(B8,[2]!Tablo1[#Data],3,0)</f>
        <v>Auto Layup</v>
      </c>
      <c r="K8" s="1" t="s">
        <v>43</v>
      </c>
      <c r="L8" s="2">
        <v>46027</v>
      </c>
      <c r="M8" s="1" t="str">
        <f t="shared" si="1"/>
        <v>Ocak</v>
      </c>
      <c r="N8" s="1" t="s">
        <v>16</v>
      </c>
    </row>
    <row r="9" spans="1:14" x14ac:dyDescent="0.3">
      <c r="A9" s="1">
        <v>7</v>
      </c>
      <c r="B9" s="1">
        <v>101248</v>
      </c>
      <c r="C9" s="1" t="str">
        <f>VLOOKUP(B9,[2]!Tablo1[#Data],16,0)</f>
        <v>313-A</v>
      </c>
      <c r="D9" s="1" t="str">
        <f>VLOOKUP(B9,[2]!Tablo1[#Data],7,0)</f>
        <v>Konveyör Bandı</v>
      </c>
      <c r="E9" s="5" t="str">
        <f>VLOOKUP(B9,[2]!Tablo1[#Data],10,0)</f>
        <v>A050-86-08-002D</v>
      </c>
      <c r="F9" s="1">
        <v>1</v>
      </c>
      <c r="G9" s="4">
        <f>VLOOKUP(B9,[2]!Tablo1[#Data],13,0)</f>
        <v>200</v>
      </c>
      <c r="H9" s="3">
        <f t="shared" si="0"/>
        <v>200</v>
      </c>
      <c r="I9" s="1" t="s">
        <v>5</v>
      </c>
      <c r="J9" s="1" t="str">
        <f>VLOOKUP(B9,[2]!Tablo1[#Data],3,0)</f>
        <v>Stringer</v>
      </c>
      <c r="K9" s="1" t="s">
        <v>13</v>
      </c>
      <c r="L9" s="2">
        <v>46027</v>
      </c>
      <c r="M9" s="1" t="str">
        <f t="shared" si="1"/>
        <v>Ocak</v>
      </c>
      <c r="N9" s="1" t="s">
        <v>16</v>
      </c>
    </row>
    <row r="10" spans="1:14" x14ac:dyDescent="0.3">
      <c r="A10" s="1">
        <v>8</v>
      </c>
      <c r="B10" s="1">
        <v>101204</v>
      </c>
      <c r="C10" s="1" t="str">
        <f>VLOOKUP(B10,[2]!Tablo1[#Data],16,0)</f>
        <v>302-A</v>
      </c>
      <c r="D10" s="1" t="str">
        <f>VLOOKUP(B10,[2]!Tablo1[#Data],7,0)</f>
        <v>Elektromıknatıs Kılavuz Şaft Grubu</v>
      </c>
      <c r="E10" s="5" t="str">
        <f>VLOOKUP(B10,[2]!Tablo1[#Data],10,0)</f>
        <v>A050-39-01-18-00A</v>
      </c>
      <c r="F10" s="1">
        <v>4</v>
      </c>
      <c r="G10" s="4">
        <f>VLOOKUP(B10,[2]!Tablo1[#Data],13,0)</f>
        <v>13</v>
      </c>
      <c r="H10" s="3">
        <f t="shared" si="0"/>
        <v>52</v>
      </c>
      <c r="I10" s="1" t="s">
        <v>2</v>
      </c>
      <c r="J10" s="1" t="str">
        <f>VLOOKUP(B10,[2]!Tablo1[#Data],3,0)</f>
        <v>Stringer</v>
      </c>
      <c r="K10" s="1" t="s">
        <v>8</v>
      </c>
      <c r="L10" s="2">
        <v>46028</v>
      </c>
      <c r="M10" s="1" t="str">
        <f t="shared" si="1"/>
        <v>Ocak</v>
      </c>
      <c r="N10" s="1" t="s">
        <v>0</v>
      </c>
    </row>
    <row r="11" spans="1:14" x14ac:dyDescent="0.3">
      <c r="A11" s="1">
        <v>9</v>
      </c>
      <c r="B11" s="1">
        <v>101285</v>
      </c>
      <c r="C11" s="1" t="str">
        <f>VLOOKUP(B11,[2]!Tablo1[#Data],16,0)</f>
        <v>322-B</v>
      </c>
      <c r="D11" s="1" t="str">
        <f>VLOOKUP(B11,[2]!Tablo1[#Data],7,0)</f>
        <v>Senkron Kayış</v>
      </c>
      <c r="E11" s="5" t="str">
        <f>VLOOKUP(B11,[2]!Tablo1[#Data],10,0)</f>
        <v>E-375S5M-15-R</v>
      </c>
      <c r="F11" s="1">
        <v>1</v>
      </c>
      <c r="G11" s="4">
        <f>VLOOKUP(B11,[2]!Tablo1[#Data],13,0)</f>
        <v>1.45</v>
      </c>
      <c r="H11" s="3">
        <f t="shared" si="0"/>
        <v>1.45</v>
      </c>
      <c r="I11" s="1" t="s">
        <v>2</v>
      </c>
      <c r="J11" s="1" t="str">
        <f>VLOOKUP(B11,[2]!Tablo1[#Data],3,0)</f>
        <v>Stringer</v>
      </c>
      <c r="K11" s="1" t="s">
        <v>8</v>
      </c>
      <c r="L11" s="2">
        <v>46029</v>
      </c>
      <c r="M11" s="1" t="str">
        <f t="shared" si="1"/>
        <v>Ocak</v>
      </c>
      <c r="N11" s="1" t="s">
        <v>34</v>
      </c>
    </row>
    <row r="12" spans="1:14" x14ac:dyDescent="0.3">
      <c r="A12" s="1">
        <v>10</v>
      </c>
      <c r="B12" s="1">
        <v>101248</v>
      </c>
      <c r="C12" s="1" t="str">
        <f>VLOOKUP(B12,[2]!Tablo1[#Data],16,0)</f>
        <v>313-A</v>
      </c>
      <c r="D12" s="1" t="str">
        <f>VLOOKUP(B12,[2]!Tablo1[#Data],7,0)</f>
        <v>Konveyör Bandı</v>
      </c>
      <c r="E12" s="5" t="str">
        <f>VLOOKUP(B12,[2]!Tablo1[#Data],10,0)</f>
        <v>A050-86-08-002D</v>
      </c>
      <c r="F12" s="1">
        <v>1</v>
      </c>
      <c r="G12" s="4">
        <f>VLOOKUP(B12,[2]!Tablo1[#Data],13,0)</f>
        <v>200</v>
      </c>
      <c r="H12" s="3">
        <f t="shared" si="0"/>
        <v>200</v>
      </c>
      <c r="I12" s="1" t="s">
        <v>2</v>
      </c>
      <c r="J12" s="1" t="str">
        <f>VLOOKUP(B12,[2]!Tablo1[#Data],3,0)</f>
        <v>Stringer</v>
      </c>
      <c r="K12" s="1" t="s">
        <v>8</v>
      </c>
      <c r="L12" s="2">
        <v>46030</v>
      </c>
      <c r="M12" s="1" t="str">
        <f t="shared" si="1"/>
        <v>Ocak</v>
      </c>
      <c r="N12" s="1" t="s">
        <v>0</v>
      </c>
    </row>
    <row r="13" spans="1:14" x14ac:dyDescent="0.3">
      <c r="A13" s="1">
        <v>11</v>
      </c>
      <c r="B13" s="1">
        <v>100889</v>
      </c>
      <c r="C13" s="1" t="str">
        <f>VLOOKUP(B13,[2]!Tablo1[#Data],16,0)</f>
        <v>223-B</v>
      </c>
      <c r="D13" s="1" t="str">
        <f>VLOOKUP(B13,[2]!Tablo1[#Data],7,0)</f>
        <v>Vantuz</v>
      </c>
      <c r="E13" s="5" t="str">
        <f>VLOOKUP(B13,[2]!Tablo1[#Data],10,0)</f>
        <v>ZP16BS</v>
      </c>
      <c r="F13" s="1">
        <v>16</v>
      </c>
      <c r="G13" s="4">
        <f>VLOOKUP(B13,[2]!Tablo1[#Data],13,0)</f>
        <v>0.8</v>
      </c>
      <c r="H13" s="3">
        <f t="shared" si="0"/>
        <v>12.8</v>
      </c>
      <c r="I13" s="1" t="s">
        <v>2</v>
      </c>
      <c r="J13" s="1" t="str">
        <f>VLOOKUP(B13,[2]!Tablo1[#Data],3,0)</f>
        <v>Laser Cutter</v>
      </c>
      <c r="K13" s="1" t="s">
        <v>4</v>
      </c>
      <c r="L13" s="2">
        <v>46030</v>
      </c>
      <c r="M13" s="1" t="str">
        <f t="shared" si="1"/>
        <v>Ocak</v>
      </c>
      <c r="N13" s="1" t="s">
        <v>34</v>
      </c>
    </row>
    <row r="14" spans="1:14" x14ac:dyDescent="0.3">
      <c r="A14" s="1">
        <v>12</v>
      </c>
      <c r="B14" s="1">
        <v>100890</v>
      </c>
      <c r="C14" s="1" t="str">
        <f>VLOOKUP(B14,[2]!Tablo1[#Data],16,0)</f>
        <v>223-C</v>
      </c>
      <c r="D14" s="1" t="str">
        <f>VLOOKUP(B14,[2]!Tablo1[#Data],7,0)</f>
        <v>Vantuz</v>
      </c>
      <c r="E14" s="5" t="str">
        <f>VLOOKUP(B14,[2]!Tablo1[#Data],10,0)</f>
        <v>ZP2-B10MTS</v>
      </c>
      <c r="F14" s="1">
        <v>15</v>
      </c>
      <c r="G14" s="4">
        <f>VLOOKUP(B14,[2]!Tablo1[#Data],13,0)</f>
        <v>0.45</v>
      </c>
      <c r="H14" s="3">
        <f t="shared" si="0"/>
        <v>6.75</v>
      </c>
      <c r="I14" s="1" t="s">
        <v>2</v>
      </c>
      <c r="J14" s="1" t="str">
        <f>VLOOKUP(B14,[2]!Tablo1[#Data],3,0)</f>
        <v>Laser Cutter</v>
      </c>
      <c r="K14" s="1" t="s">
        <v>4</v>
      </c>
      <c r="L14" s="2">
        <v>46030</v>
      </c>
      <c r="M14" s="1" t="str">
        <f t="shared" si="1"/>
        <v>Ocak</v>
      </c>
      <c r="N14" s="1" t="s">
        <v>34</v>
      </c>
    </row>
    <row r="15" spans="1:14" x14ac:dyDescent="0.3">
      <c r="A15" s="1">
        <v>13</v>
      </c>
      <c r="B15" s="1">
        <v>100899</v>
      </c>
      <c r="C15" s="1" t="str">
        <f>VLOOKUP(B15,[2]!Tablo1[#Data],16,0)</f>
        <v>225-D</v>
      </c>
      <c r="D15" s="1" t="str">
        <f>VLOOKUP(B15,[2]!Tablo1[#Data],7,0)</f>
        <v>Vakum Pedi</v>
      </c>
      <c r="E15" s="5" t="str">
        <f>VLOOKUP(B15,[2]!Tablo1[#Data],10,0)</f>
        <v>ZP2-B15MBS</v>
      </c>
      <c r="F15" s="1">
        <v>32</v>
      </c>
      <c r="G15" s="4">
        <f>VLOOKUP(B15,[2]!Tablo1[#Data],13,0)</f>
        <v>0.65</v>
      </c>
      <c r="H15" s="3">
        <f t="shared" si="0"/>
        <v>20.8</v>
      </c>
      <c r="I15" s="1" t="s">
        <v>2</v>
      </c>
      <c r="J15" s="1" t="str">
        <f>VLOOKUP(B15,[2]!Tablo1[#Data],3,0)</f>
        <v>Laser Cutter</v>
      </c>
      <c r="K15" s="1" t="s">
        <v>4</v>
      </c>
      <c r="L15" s="2">
        <v>46030</v>
      </c>
      <c r="M15" s="1" t="str">
        <f t="shared" si="1"/>
        <v>Ocak</v>
      </c>
      <c r="N15" s="1" t="s">
        <v>34</v>
      </c>
    </row>
    <row r="16" spans="1:14" x14ac:dyDescent="0.3">
      <c r="A16" s="1">
        <v>14</v>
      </c>
      <c r="B16" s="1">
        <v>100561</v>
      </c>
      <c r="C16" s="1" t="str">
        <f>VLOOKUP(B16,[2]!Tablo1[#Data],16,0)</f>
        <v>141-B</v>
      </c>
      <c r="D16" s="1" t="str">
        <f>VLOOKUP(B16,[2]!Tablo1[#Data],7,0)</f>
        <v>Vantuz</v>
      </c>
      <c r="E16" s="5" t="str">
        <f>VLOOKUP(B16,[2]!Tablo1[#Data],10,0)</f>
        <v>M73150 HM-M5</v>
      </c>
      <c r="F16" s="1">
        <v>72</v>
      </c>
      <c r="G16" s="4">
        <f>VLOOKUP(B16,[2]!Tablo1[#Data],13,0)</f>
        <v>0.95</v>
      </c>
      <c r="H16" s="3">
        <f t="shared" si="0"/>
        <v>68.399999999999991</v>
      </c>
      <c r="I16" s="1" t="s">
        <v>2</v>
      </c>
      <c r="J16" s="1" t="str">
        <f>VLOOKUP(B16,[2]!Tablo1[#Data],3,0)</f>
        <v>Auto Layup</v>
      </c>
      <c r="K16" s="1" t="s">
        <v>11</v>
      </c>
      <c r="L16" s="2">
        <v>46031</v>
      </c>
      <c r="M16" s="1" t="str">
        <f t="shared" si="1"/>
        <v>Ocak</v>
      </c>
      <c r="N16" s="1" t="s">
        <v>34</v>
      </c>
    </row>
    <row r="17" spans="1:14" x14ac:dyDescent="0.3">
      <c r="A17" s="1">
        <v>15</v>
      </c>
      <c r="B17" s="1">
        <v>101317</v>
      </c>
      <c r="C17" s="1" t="str">
        <f>VLOOKUP(B17,[2]!Tablo1[#Data],16,0)</f>
        <v>330-B</v>
      </c>
      <c r="D17" s="1" t="str">
        <f>VLOOKUP(B17,[2]!Tablo1[#Data],7,0)</f>
        <v>Küçük Serbest Montaj Silindiri</v>
      </c>
      <c r="E17" s="5" t="str">
        <f>VLOOKUP(B17,[2]!Tablo1[#Data],10,0)</f>
        <v>MU16×15B</v>
      </c>
      <c r="F17" s="1">
        <v>1</v>
      </c>
      <c r="G17" s="4">
        <f>VLOOKUP(B17,[2]!Tablo1[#Data],13,0)</f>
        <v>8.42</v>
      </c>
      <c r="H17" s="3">
        <f t="shared" si="0"/>
        <v>8.42</v>
      </c>
      <c r="I17" s="1" t="s">
        <v>2</v>
      </c>
      <c r="J17" s="1" t="str">
        <f>VLOOKUP(B17,[2]!Tablo1[#Data],3,0)</f>
        <v>Stringer</v>
      </c>
      <c r="K17" s="1" t="s">
        <v>19</v>
      </c>
      <c r="L17" s="2">
        <v>46032</v>
      </c>
      <c r="M17" s="1" t="str">
        <f t="shared" si="1"/>
        <v>Ocak</v>
      </c>
      <c r="N17" s="1" t="s">
        <v>0</v>
      </c>
    </row>
    <row r="18" spans="1:14" x14ac:dyDescent="0.3">
      <c r="A18" s="1">
        <v>16</v>
      </c>
      <c r="B18" s="1">
        <v>100792</v>
      </c>
      <c r="C18" s="1" t="str">
        <f>VLOOKUP(B18,[2]!Tablo1[#Data],16,0)</f>
        <v>199-A</v>
      </c>
      <c r="D18" s="1" t="str">
        <f>VLOOKUP(B18,[2]!Tablo1[#Data],7,0)</f>
        <v>4Ø - M5 Hız Ayarlı Dirsek Fittings</v>
      </c>
      <c r="E18" s="5" t="str">
        <f>VLOOKUP(B18,[2]!Tablo1[#Data],10,0)</f>
        <v>AS1201F-M5-04A</v>
      </c>
      <c r="F18" s="1">
        <v>1</v>
      </c>
      <c r="G18" s="4">
        <f>VLOOKUP(B18,[2]!Tablo1[#Data],13,0)</f>
        <v>6.132075471698113</v>
      </c>
      <c r="H18" s="3">
        <f t="shared" si="0"/>
        <v>6.132075471698113</v>
      </c>
      <c r="I18" s="1" t="s">
        <v>2</v>
      </c>
      <c r="J18" s="1" t="str">
        <f>VLOOKUP(B18,[2]!Tablo1[#Data],3,0)</f>
        <v>Laser Cutter</v>
      </c>
      <c r="K18" s="1" t="s">
        <v>19</v>
      </c>
      <c r="L18" s="2">
        <v>46032</v>
      </c>
      <c r="M18" s="1" t="str">
        <f t="shared" si="1"/>
        <v>Ocak</v>
      </c>
      <c r="N18" s="1" t="s">
        <v>0</v>
      </c>
    </row>
    <row r="19" spans="1:14" x14ac:dyDescent="0.3">
      <c r="A19" s="1">
        <v>17</v>
      </c>
      <c r="B19" s="1">
        <v>100899</v>
      </c>
      <c r="C19" s="1" t="str">
        <f>VLOOKUP(B19,[2]!Tablo1[#Data],16,0)</f>
        <v>225-D</v>
      </c>
      <c r="D19" s="1" t="str">
        <f>VLOOKUP(B19,[2]!Tablo1[#Data],7,0)</f>
        <v>Vakum Pedi</v>
      </c>
      <c r="E19" s="5" t="str">
        <f>VLOOKUP(B19,[2]!Tablo1[#Data],10,0)</f>
        <v>ZP2-B15MBS</v>
      </c>
      <c r="F19" s="1">
        <v>16</v>
      </c>
      <c r="G19" s="4">
        <f>VLOOKUP(B19,[2]!Tablo1[#Data],13,0)</f>
        <v>0.65</v>
      </c>
      <c r="H19" s="3">
        <f t="shared" si="0"/>
        <v>10.4</v>
      </c>
      <c r="I19" s="1" t="s">
        <v>2</v>
      </c>
      <c r="J19" s="1" t="str">
        <f>VLOOKUP(B19,[2]!Tablo1[#Data],3,0)</f>
        <v>Laser Cutter</v>
      </c>
      <c r="K19" s="1" t="s">
        <v>33</v>
      </c>
      <c r="L19" s="2">
        <v>46032</v>
      </c>
      <c r="M19" s="1" t="str">
        <f t="shared" si="1"/>
        <v>Ocak</v>
      </c>
      <c r="N19" s="1" t="s">
        <v>12</v>
      </c>
    </row>
    <row r="20" spans="1:14" x14ac:dyDescent="0.3">
      <c r="A20" s="1">
        <v>18</v>
      </c>
      <c r="B20" s="1">
        <v>100899</v>
      </c>
      <c r="C20" s="1" t="str">
        <f>VLOOKUP(B20,[2]!Tablo1[#Data],16,0)</f>
        <v>225-D</v>
      </c>
      <c r="D20" s="1" t="str">
        <f>VLOOKUP(B20,[2]!Tablo1[#Data],7,0)</f>
        <v>Vakum Pedi</v>
      </c>
      <c r="E20" s="5" t="str">
        <f>VLOOKUP(B20,[2]!Tablo1[#Data],10,0)</f>
        <v>ZP2-B15MBS</v>
      </c>
      <c r="F20" s="1">
        <v>16</v>
      </c>
      <c r="G20" s="4">
        <f>VLOOKUP(B20,[2]!Tablo1[#Data],13,0)</f>
        <v>0.65</v>
      </c>
      <c r="H20" s="3">
        <f t="shared" si="0"/>
        <v>10.4</v>
      </c>
      <c r="I20" s="1" t="s">
        <v>2</v>
      </c>
      <c r="J20" s="1" t="str">
        <f>VLOOKUP(B20,[2]!Tablo1[#Data],3,0)</f>
        <v>Laser Cutter</v>
      </c>
      <c r="K20" s="1" t="s">
        <v>23</v>
      </c>
      <c r="L20" s="2">
        <v>46032</v>
      </c>
      <c r="M20" s="1" t="str">
        <f t="shared" si="1"/>
        <v>Ocak</v>
      </c>
      <c r="N20" s="1" t="s">
        <v>12</v>
      </c>
    </row>
    <row r="21" spans="1:14" x14ac:dyDescent="0.3">
      <c r="A21" s="1">
        <v>19</v>
      </c>
      <c r="B21" s="1">
        <v>100189</v>
      </c>
      <c r="C21" s="1" t="str">
        <f>VLOOKUP(B21,[2]!Tablo1[#Data],16,0)</f>
        <v>48-B</v>
      </c>
      <c r="D21" s="1" t="str">
        <f>VLOOKUP(B21,[2]!Tablo1[#Data],7,0)</f>
        <v xml:space="preserve"> Redüktör</v>
      </c>
      <c r="E21" s="5" t="str">
        <f>VLOOKUP(B21,[2]!Tablo1[#Data],10,0)</f>
        <v>6GU-3-K</v>
      </c>
      <c r="F21" s="1">
        <v>1</v>
      </c>
      <c r="G21" s="4">
        <f>VLOOKUP(B21,[2]!Tablo1[#Data],13,0)</f>
        <v>70</v>
      </c>
      <c r="H21" s="3">
        <f t="shared" si="0"/>
        <v>70</v>
      </c>
      <c r="I21" s="1" t="s">
        <v>5</v>
      </c>
      <c r="J21" s="1" t="str">
        <f>VLOOKUP(B21,[2]!Tablo1[#Data],3,0)</f>
        <v>Edge Grinding</v>
      </c>
      <c r="K21" s="1" t="s">
        <v>22</v>
      </c>
      <c r="L21" s="2">
        <v>46034</v>
      </c>
      <c r="M21" s="1" t="str">
        <f t="shared" si="1"/>
        <v>Ocak</v>
      </c>
      <c r="N21" s="1" t="s">
        <v>16</v>
      </c>
    </row>
    <row r="22" spans="1:14" x14ac:dyDescent="0.3">
      <c r="A22" s="1">
        <v>20</v>
      </c>
      <c r="B22" s="1">
        <v>100605</v>
      </c>
      <c r="C22" s="1" t="str">
        <f>VLOOKUP(B22,[2]!Tablo1[#Data],16,0)</f>
        <v>152-B</v>
      </c>
      <c r="D22" s="1" t="str">
        <f>VLOOKUP(B22,[2]!Tablo1[#Data],7,0)</f>
        <v>Kayış</v>
      </c>
      <c r="E22" s="5" t="str">
        <f>VLOOKUP(B22,[2]!Tablo1[#Data],10,0)</f>
        <v>5M-60-L1940 3PU 双面包布</v>
      </c>
      <c r="F22" s="1">
        <v>1</v>
      </c>
      <c r="G22" s="4">
        <f>VLOOKUP(B22,[2]!Tablo1[#Data],13,0)</f>
        <v>47</v>
      </c>
      <c r="H22" s="3">
        <f t="shared" si="0"/>
        <v>47</v>
      </c>
      <c r="I22" s="1" t="s">
        <v>2</v>
      </c>
      <c r="J22" s="1" t="str">
        <f>VLOOKUP(B22,[2]!Tablo1[#Data],3,0)</f>
        <v>EL&amp;AOI Test</v>
      </c>
      <c r="K22" s="1" t="s">
        <v>42</v>
      </c>
      <c r="L22" s="2">
        <v>46034</v>
      </c>
      <c r="M22" s="1" t="str">
        <f t="shared" si="1"/>
        <v>Ocak</v>
      </c>
      <c r="N22" s="1" t="s">
        <v>10</v>
      </c>
    </row>
    <row r="23" spans="1:14" x14ac:dyDescent="0.3">
      <c r="A23" s="1">
        <v>21</v>
      </c>
      <c r="B23" s="1">
        <v>100012</v>
      </c>
      <c r="C23" s="1" t="str">
        <f>VLOOKUP(B23,[2]!Tablo1[#Data],16,0)</f>
        <v>4-A</v>
      </c>
      <c r="D23" s="1" t="str">
        <f>VLOOKUP(B23,[2]!Tablo1[#Data],7,0)</f>
        <v>Rulman</v>
      </c>
      <c r="E23" s="5" t="str">
        <f>VLOOKUP(B23,[2]!Tablo1[#Data],10,0)</f>
        <v>6903RS</v>
      </c>
      <c r="F23" s="1">
        <v>8</v>
      </c>
      <c r="G23" s="4">
        <f>VLOOKUP(B23,[2]!Tablo1[#Data],13,0)</f>
        <v>1</v>
      </c>
      <c r="H23" s="3">
        <f t="shared" si="0"/>
        <v>8</v>
      </c>
      <c r="I23" s="1" t="s">
        <v>2</v>
      </c>
      <c r="J23" s="1" t="str">
        <f>VLOOKUP(B23,[2]!Tablo1[#Data],3,0)</f>
        <v>Auto Rotary CV</v>
      </c>
      <c r="K23" s="1" t="s">
        <v>26</v>
      </c>
      <c r="L23" s="2">
        <v>46034</v>
      </c>
      <c r="M23" s="1" t="str">
        <f t="shared" si="1"/>
        <v>Ocak</v>
      </c>
      <c r="N23" s="1" t="s">
        <v>34</v>
      </c>
    </row>
    <row r="24" spans="1:14" ht="28.8" x14ac:dyDescent="0.3">
      <c r="A24" s="1">
        <v>22</v>
      </c>
      <c r="B24" s="1">
        <v>100013</v>
      </c>
      <c r="C24" s="1" t="str">
        <f>VLOOKUP(B24,[2]!Tablo1[#Data],16,0)</f>
        <v>4-B</v>
      </c>
      <c r="D24" s="1" t="str">
        <f>VLOOKUP(B24,[2]!Tablo1[#Data],7,0)</f>
        <v>Kasnak</v>
      </c>
      <c r="E24" s="5" t="str">
        <f>VLOOKUP(B24,[2]!Tablo1[#Data],10,0)</f>
        <v>40齿,T10,30孔 / 材质增强尼龙 (L.GF00000-00-63)</v>
      </c>
      <c r="F24" s="1">
        <v>3</v>
      </c>
      <c r="G24" s="4">
        <f>VLOOKUP(B24,[2]!Tablo1[#Data],13,0)</f>
        <v>7</v>
      </c>
      <c r="H24" s="3">
        <f t="shared" si="0"/>
        <v>21</v>
      </c>
      <c r="I24" s="1" t="s">
        <v>2</v>
      </c>
      <c r="J24" s="1" t="str">
        <f>VLOOKUP(B24,[2]!Tablo1[#Data],3,0)</f>
        <v>Auto Rotary CV</v>
      </c>
      <c r="K24" s="1" t="s">
        <v>26</v>
      </c>
      <c r="L24" s="2">
        <v>46034</v>
      </c>
      <c r="M24" s="1" t="str">
        <f t="shared" si="1"/>
        <v>Ocak</v>
      </c>
      <c r="N24" s="1" t="s">
        <v>34</v>
      </c>
    </row>
    <row r="25" spans="1:14" x14ac:dyDescent="0.3">
      <c r="A25" s="1">
        <v>23</v>
      </c>
      <c r="B25" s="1">
        <v>100890</v>
      </c>
      <c r="C25" s="1" t="str">
        <f>VLOOKUP(B25,[2]!Tablo1[#Data],16,0)</f>
        <v>223-C</v>
      </c>
      <c r="D25" s="1" t="str">
        <f>VLOOKUP(B25,[2]!Tablo1[#Data],7,0)</f>
        <v>Vantuz</v>
      </c>
      <c r="E25" s="5" t="str">
        <f>VLOOKUP(B25,[2]!Tablo1[#Data],10,0)</f>
        <v>ZP2-B10MTS</v>
      </c>
      <c r="F25" s="1">
        <v>48</v>
      </c>
      <c r="G25" s="4">
        <f>VLOOKUP(B25,[2]!Tablo1[#Data],13,0)</f>
        <v>0.45</v>
      </c>
      <c r="H25" s="3">
        <f t="shared" si="0"/>
        <v>21.6</v>
      </c>
      <c r="I25" s="1" t="s">
        <v>2</v>
      </c>
      <c r="J25" s="1" t="str">
        <f>VLOOKUP(B25,[2]!Tablo1[#Data],3,0)</f>
        <v>Laser Cutter</v>
      </c>
      <c r="K25" s="1" t="s">
        <v>33</v>
      </c>
      <c r="L25" s="2">
        <v>46036</v>
      </c>
      <c r="M25" s="1" t="str">
        <f t="shared" si="1"/>
        <v>Ocak</v>
      </c>
      <c r="N25" s="1" t="s">
        <v>10</v>
      </c>
    </row>
    <row r="26" spans="1:14" x14ac:dyDescent="0.3">
      <c r="A26" s="1">
        <v>24</v>
      </c>
      <c r="B26" s="1">
        <v>101506</v>
      </c>
      <c r="C26" s="1" t="str">
        <f>VLOOKUP(B26,[2]!Tablo1[#Data],16,0)</f>
        <v>377-C</v>
      </c>
      <c r="D26" s="1" t="str">
        <f>VLOOKUP(B26,[2]!Tablo1[#Data],7,0)</f>
        <v xml:space="preserve">Karton Kıvırma Mekanizması </v>
      </c>
      <c r="E26" s="5">
        <f>VLOOKUP(B26,[2]!Tablo1[#Data],10,0)</f>
        <v>0</v>
      </c>
      <c r="F26" s="1">
        <v>1</v>
      </c>
      <c r="G26" s="4">
        <f>VLOOKUP(B26,[2]!Tablo1[#Data],13,0)</f>
        <v>18</v>
      </c>
      <c r="H26" s="3">
        <f t="shared" si="0"/>
        <v>18</v>
      </c>
      <c r="I26" s="1" t="s">
        <v>5</v>
      </c>
      <c r="J26" s="1" t="str">
        <f>VLOOKUP(B26,[2]!Tablo1[#Data],3,0)</f>
        <v>Köşe Katlama</v>
      </c>
      <c r="K26" s="1" t="s">
        <v>41</v>
      </c>
      <c r="L26" s="2">
        <v>46036</v>
      </c>
      <c r="M26" s="1" t="str">
        <f t="shared" si="1"/>
        <v>Ocak</v>
      </c>
      <c r="N26" s="1" t="s">
        <v>30</v>
      </c>
    </row>
    <row r="27" spans="1:14" x14ac:dyDescent="0.3">
      <c r="A27" s="1">
        <v>25</v>
      </c>
      <c r="B27" s="1">
        <v>100826</v>
      </c>
      <c r="C27" s="1" t="str">
        <f>VLOOKUP(B27,[2]!Tablo1[#Data],16,0)</f>
        <v>207-C</v>
      </c>
      <c r="D27" s="1" t="str">
        <f>VLOOKUP(B27,[2]!Tablo1[#Data],7,0)</f>
        <v>Konveyör Bandı</v>
      </c>
      <c r="E27" s="5" t="str">
        <f>VLOOKUP(B27,[2]!Tablo1[#Data],10,0)</f>
        <v>A027K-27-01-008B</v>
      </c>
      <c r="F27" s="1">
        <v>2</v>
      </c>
      <c r="G27" s="4">
        <f>VLOOKUP(B27,[2]!Tablo1[#Data],13,0)</f>
        <v>48</v>
      </c>
      <c r="H27" s="3">
        <f t="shared" si="0"/>
        <v>96</v>
      </c>
      <c r="I27" s="1" t="s">
        <v>2</v>
      </c>
      <c r="J27" s="1" t="str">
        <f>VLOOKUP(B27,[2]!Tablo1[#Data],3,0)</f>
        <v>Laser Cutter</v>
      </c>
      <c r="K27" s="1" t="s">
        <v>33</v>
      </c>
      <c r="L27" s="2">
        <v>46036</v>
      </c>
      <c r="M27" s="1" t="str">
        <f t="shared" si="1"/>
        <v>Ocak</v>
      </c>
      <c r="N27" s="1" t="s">
        <v>12</v>
      </c>
    </row>
    <row r="28" spans="1:14" x14ac:dyDescent="0.3">
      <c r="A28" s="1">
        <v>26</v>
      </c>
      <c r="B28" s="1">
        <v>100826</v>
      </c>
      <c r="C28" s="1" t="str">
        <f>VLOOKUP(B28,[2]!Tablo1[#Data],16,0)</f>
        <v>207-C</v>
      </c>
      <c r="D28" s="1" t="str">
        <f>VLOOKUP(B28,[2]!Tablo1[#Data],7,0)</f>
        <v>Konveyör Bandı</v>
      </c>
      <c r="E28" s="5" t="str">
        <f>VLOOKUP(B28,[2]!Tablo1[#Data],10,0)</f>
        <v>A027K-27-01-008B</v>
      </c>
      <c r="F28" s="1">
        <v>1</v>
      </c>
      <c r="G28" s="4">
        <f>VLOOKUP(B28,[2]!Tablo1[#Data],13,0)</f>
        <v>48</v>
      </c>
      <c r="H28" s="3">
        <f t="shared" si="0"/>
        <v>48</v>
      </c>
      <c r="I28" s="1" t="s">
        <v>2</v>
      </c>
      <c r="J28" s="1" t="str">
        <f>VLOOKUP(B28,[2]!Tablo1[#Data],3,0)</f>
        <v>Laser Cutter</v>
      </c>
      <c r="K28" s="1" t="s">
        <v>33</v>
      </c>
      <c r="L28" s="2">
        <v>46036</v>
      </c>
      <c r="M28" s="1" t="str">
        <f t="shared" si="1"/>
        <v>Ocak</v>
      </c>
      <c r="N28" s="1" t="s">
        <v>34</v>
      </c>
    </row>
    <row r="29" spans="1:14" x14ac:dyDescent="0.3">
      <c r="A29" s="1">
        <v>27</v>
      </c>
      <c r="B29" s="1">
        <v>100825</v>
      </c>
      <c r="C29" s="1" t="str">
        <f>VLOOKUP(B29,[2]!Tablo1[#Data],16,0)</f>
        <v>207-B</v>
      </c>
      <c r="D29" s="1" t="str">
        <f>VLOOKUP(B29,[2]!Tablo1[#Data],7,0)</f>
        <v>Konveyör Bandı</v>
      </c>
      <c r="E29" s="5" t="str">
        <f>VLOOKUP(B29,[2]!Tablo1[#Data],10,0)</f>
        <v>A027K-09-01-003E</v>
      </c>
      <c r="F29" s="1">
        <v>1</v>
      </c>
      <c r="G29" s="4">
        <f>VLOOKUP(B29,[2]!Tablo1[#Data],13,0)</f>
        <v>877.12264150943395</v>
      </c>
      <c r="H29" s="3">
        <f t="shared" si="0"/>
        <v>877.12264150943395</v>
      </c>
      <c r="I29" s="1" t="s">
        <v>2</v>
      </c>
      <c r="J29" s="1" t="str">
        <f>VLOOKUP(B29,[2]!Tablo1[#Data],3,0)</f>
        <v>Laser Cutter</v>
      </c>
      <c r="K29" s="1" t="s">
        <v>33</v>
      </c>
      <c r="L29" s="2">
        <v>46036</v>
      </c>
      <c r="M29" s="1" t="str">
        <f t="shared" si="1"/>
        <v>Ocak</v>
      </c>
      <c r="N29" s="1" t="s">
        <v>34</v>
      </c>
    </row>
    <row r="30" spans="1:14" x14ac:dyDescent="0.3">
      <c r="A30" s="1">
        <v>28</v>
      </c>
      <c r="B30" s="1">
        <v>101321</v>
      </c>
      <c r="C30" s="1" t="str">
        <f>VLOOKUP(B30,[2]!Tablo1[#Data],16,0)</f>
        <v>331-B</v>
      </c>
      <c r="D30" s="1" t="str">
        <f>VLOOKUP(B30,[2]!Tablo1[#Data],7,0)</f>
        <v>Küçük Serbest Montaj Silindiri</v>
      </c>
      <c r="E30" s="5" t="str">
        <f>VLOOKUP(B30,[2]!Tablo1[#Data],10,0)</f>
        <v>MU10×4</v>
      </c>
      <c r="F30" s="1">
        <v>1</v>
      </c>
      <c r="G30" s="4">
        <f>VLOOKUP(B30,[2]!Tablo1[#Data],13,0)</f>
        <v>4</v>
      </c>
      <c r="H30" s="3">
        <f t="shared" si="0"/>
        <v>4</v>
      </c>
      <c r="I30" s="1" t="s">
        <v>5</v>
      </c>
      <c r="J30" s="1" t="str">
        <f>VLOOKUP(B30,[2]!Tablo1[#Data],3,0)</f>
        <v>Stringer</v>
      </c>
      <c r="K30" s="1" t="s">
        <v>29</v>
      </c>
      <c r="L30" s="2">
        <v>46037</v>
      </c>
      <c r="M30" s="1" t="str">
        <f t="shared" si="1"/>
        <v>Ocak</v>
      </c>
      <c r="N30" s="1" t="s">
        <v>40</v>
      </c>
    </row>
    <row r="31" spans="1:14" x14ac:dyDescent="0.3">
      <c r="A31" s="1">
        <v>29</v>
      </c>
      <c r="B31" s="1">
        <v>101248</v>
      </c>
      <c r="C31" s="1" t="str">
        <f>VLOOKUP(B31,[2]!Tablo1[#Data],16,0)</f>
        <v>313-A</v>
      </c>
      <c r="D31" s="1" t="str">
        <f>VLOOKUP(B31,[2]!Tablo1[#Data],7,0)</f>
        <v>Konveyör Bandı</v>
      </c>
      <c r="E31" s="5" t="str">
        <f>VLOOKUP(B31,[2]!Tablo1[#Data],10,0)</f>
        <v>A050-86-08-002D</v>
      </c>
      <c r="F31" s="1">
        <v>1</v>
      </c>
      <c r="G31" s="4">
        <f>VLOOKUP(B31,[2]!Tablo1[#Data],13,0)</f>
        <v>200</v>
      </c>
      <c r="H31" s="3">
        <f t="shared" si="0"/>
        <v>200</v>
      </c>
      <c r="I31" s="1" t="s">
        <v>5</v>
      </c>
      <c r="J31" s="1" t="str">
        <f>VLOOKUP(B31,[2]!Tablo1[#Data],3,0)</f>
        <v>Stringer</v>
      </c>
      <c r="K31" s="1" t="s">
        <v>29</v>
      </c>
      <c r="L31" s="2">
        <v>46037</v>
      </c>
      <c r="M31" s="1" t="str">
        <f t="shared" si="1"/>
        <v>Ocak</v>
      </c>
      <c r="N31" s="1" t="s">
        <v>40</v>
      </c>
    </row>
    <row r="32" spans="1:14" x14ac:dyDescent="0.3">
      <c r="A32" s="1">
        <v>30</v>
      </c>
      <c r="B32" s="1">
        <v>101214</v>
      </c>
      <c r="C32" s="1" t="str">
        <f>VLOOKUP(B32,[2]!Tablo1[#Data],16,0)</f>
        <v>304-C</v>
      </c>
      <c r="D32" s="1" t="str">
        <f>VLOOKUP(B32,[2]!Tablo1[#Data],7,0)</f>
        <v>İnce Sol Ayna</v>
      </c>
      <c r="E32" s="5" t="str">
        <f>VLOOKUP(B32,[2]!Tablo1[#Data],10,0)</f>
        <v>A050-35-21-051B</v>
      </c>
      <c r="F32" s="1">
        <v>16</v>
      </c>
      <c r="G32" s="4">
        <f>VLOOKUP(B32,[2]!Tablo1[#Data],13,0)</f>
        <v>4.5</v>
      </c>
      <c r="H32" s="3">
        <f t="shared" si="0"/>
        <v>72</v>
      </c>
      <c r="I32" s="1" t="s">
        <v>5</v>
      </c>
      <c r="J32" s="1" t="str">
        <f>VLOOKUP(B32,[2]!Tablo1[#Data],3,0)</f>
        <v>Stringer</v>
      </c>
      <c r="K32" s="1" t="s">
        <v>29</v>
      </c>
      <c r="L32" s="2">
        <v>46037</v>
      </c>
      <c r="M32" s="1" t="str">
        <f t="shared" si="1"/>
        <v>Ocak</v>
      </c>
      <c r="N32" s="1" t="s">
        <v>40</v>
      </c>
    </row>
    <row r="33" spans="1:14" x14ac:dyDescent="0.3">
      <c r="A33" s="1">
        <v>31</v>
      </c>
      <c r="B33" s="1">
        <v>101215</v>
      </c>
      <c r="C33" s="1" t="str">
        <f>VLOOKUP(B33,[2]!Tablo1[#Data],16,0)</f>
        <v>304-D</v>
      </c>
      <c r="D33" s="1" t="str">
        <f>VLOOKUP(B33,[2]!Tablo1[#Data],7,0)</f>
        <v>İnce Sağ Ayna</v>
      </c>
      <c r="E33" s="5" t="str">
        <f>VLOOKUP(B33,[2]!Tablo1[#Data],10,0)</f>
        <v>A050-35-21-052B</v>
      </c>
      <c r="F33" s="1">
        <v>16</v>
      </c>
      <c r="G33" s="4">
        <f>VLOOKUP(B33,[2]!Tablo1[#Data],13,0)</f>
        <v>4.5</v>
      </c>
      <c r="H33" s="3">
        <f t="shared" si="0"/>
        <v>72</v>
      </c>
      <c r="I33" s="1" t="s">
        <v>5</v>
      </c>
      <c r="J33" s="1" t="str">
        <f>VLOOKUP(B33,[2]!Tablo1[#Data],3,0)</f>
        <v>Stringer</v>
      </c>
      <c r="K33" s="1" t="s">
        <v>29</v>
      </c>
      <c r="L33" s="2">
        <v>46037</v>
      </c>
      <c r="M33" s="1" t="str">
        <f t="shared" si="1"/>
        <v>Ocak</v>
      </c>
      <c r="N33" s="1" t="s">
        <v>40</v>
      </c>
    </row>
    <row r="34" spans="1:14" x14ac:dyDescent="0.3">
      <c r="A34" s="1">
        <v>32</v>
      </c>
      <c r="B34" s="1">
        <v>101134</v>
      </c>
      <c r="C34" s="1" t="str">
        <f>VLOOKUP(B34,[2]!Tablo1[#Data],16,0)</f>
        <v>284-C</v>
      </c>
      <c r="D34" s="1" t="str">
        <f>VLOOKUP(B34,[2]!Tablo1[#Data],7,0)</f>
        <v>Yay</v>
      </c>
      <c r="E34" s="5" t="str">
        <f>VLOOKUP(B34,[2]!Tablo1[#Data],10,0)</f>
        <v>0.32×3×10-9-SUS304</v>
      </c>
      <c r="F34" s="1">
        <v>16</v>
      </c>
      <c r="G34" s="4">
        <f>VLOOKUP(B34,[2]!Tablo1[#Data],13,0)</f>
        <v>0.2</v>
      </c>
      <c r="H34" s="3">
        <f t="shared" si="0"/>
        <v>3.2</v>
      </c>
      <c r="I34" s="1" t="s">
        <v>5</v>
      </c>
      <c r="J34" s="1" t="str">
        <f>VLOOKUP(B34,[2]!Tablo1[#Data],3,0)</f>
        <v>Stringer</v>
      </c>
      <c r="K34" s="1" t="s">
        <v>29</v>
      </c>
      <c r="L34" s="2">
        <v>46037</v>
      </c>
      <c r="M34" s="1" t="str">
        <f t="shared" si="1"/>
        <v>Ocak</v>
      </c>
      <c r="N34" s="1" t="s">
        <v>40</v>
      </c>
    </row>
    <row r="35" spans="1:14" x14ac:dyDescent="0.3">
      <c r="A35" s="1">
        <v>33</v>
      </c>
      <c r="B35" s="1">
        <v>101120</v>
      </c>
      <c r="C35" s="1" t="str">
        <f>VLOOKUP(B35,[2]!Tablo1[#Data],16,0)</f>
        <v>281-A</v>
      </c>
      <c r="D35" s="1" t="str">
        <f>VLOOKUP(B35,[2]!Tablo1[#Data],7,0)</f>
        <v>Hücre Besleme Teflon Bant</v>
      </c>
      <c r="E35" s="5" t="str">
        <f>VLOOKUP(B35,[2]!Tablo1[#Data],10,0)</f>
        <v>A050FG-80-12-03-004B</v>
      </c>
      <c r="F35" s="1">
        <v>1</v>
      </c>
      <c r="G35" s="4">
        <f>VLOOKUP(B35,[2]!Tablo1[#Data],13,0)</f>
        <v>48</v>
      </c>
      <c r="H35" s="3">
        <f t="shared" si="0"/>
        <v>48</v>
      </c>
      <c r="I35" s="1" t="s">
        <v>5</v>
      </c>
      <c r="J35" s="1" t="str">
        <f>VLOOKUP(B35,[2]!Tablo1[#Data],3,0)</f>
        <v>Lazer Kesim</v>
      </c>
      <c r="K35" s="1" t="s">
        <v>29</v>
      </c>
      <c r="L35" s="2">
        <v>46037</v>
      </c>
      <c r="M35" s="1" t="str">
        <f t="shared" si="1"/>
        <v>Ocak</v>
      </c>
      <c r="N35" s="1" t="s">
        <v>40</v>
      </c>
    </row>
    <row r="36" spans="1:14" x14ac:dyDescent="0.3">
      <c r="A36" s="1">
        <v>34</v>
      </c>
      <c r="B36" s="1">
        <v>101175</v>
      </c>
      <c r="C36" s="1" t="str">
        <f>VLOOKUP(B36,[2]!Tablo1[#Data],16,0)</f>
        <v>294-D</v>
      </c>
      <c r="D36" s="1" t="str">
        <f>VLOOKUP(B36,[2]!Tablo1[#Data],7,0)</f>
        <v>Minyatür Bağlantı Parçası</v>
      </c>
      <c r="E36" s="5" t="str">
        <f>VLOOKUP(B36,[2]!Tablo1[#Data],10,0)</f>
        <v>VPC4-M3</v>
      </c>
      <c r="F36" s="1">
        <v>4</v>
      </c>
      <c r="G36" s="4">
        <f>VLOOKUP(B36,[2]!Tablo1[#Data],13,0)</f>
        <v>11</v>
      </c>
      <c r="H36" s="3">
        <f t="shared" si="0"/>
        <v>44</v>
      </c>
      <c r="I36" s="1" t="s">
        <v>5</v>
      </c>
      <c r="J36" s="1" t="str">
        <f>VLOOKUP(B36,[2]!Tablo1[#Data],3,0)</f>
        <v>Stringer</v>
      </c>
      <c r="K36" s="1" t="s">
        <v>29</v>
      </c>
      <c r="L36" s="2">
        <v>46037</v>
      </c>
      <c r="M36" s="1" t="str">
        <f t="shared" si="1"/>
        <v>Ocak</v>
      </c>
      <c r="N36" s="1" t="s">
        <v>40</v>
      </c>
    </row>
    <row r="37" spans="1:14" x14ac:dyDescent="0.3">
      <c r="A37" s="1">
        <v>35</v>
      </c>
      <c r="B37" s="1">
        <v>101127</v>
      </c>
      <c r="C37" s="1" t="str">
        <f>VLOOKUP(B37,[2]!Tablo1[#Data],16,0)</f>
        <v>282-D</v>
      </c>
      <c r="D37" s="1" t="str">
        <f>VLOOKUP(B37,[2]!Tablo1[#Data],7,0)</f>
        <v>Röle Modülü</v>
      </c>
      <c r="E37" s="5" t="str">
        <f>VLOOKUP(B37,[2]!Tablo1[#Data],10,0)</f>
        <v>Y315-24V</v>
      </c>
      <c r="F37" s="1">
        <v>1</v>
      </c>
      <c r="G37" s="4">
        <f>VLOOKUP(B37,[2]!Tablo1[#Data],13,0)</f>
        <v>25</v>
      </c>
      <c r="H37" s="3">
        <f t="shared" si="0"/>
        <v>25</v>
      </c>
      <c r="I37" s="1" t="s">
        <v>5</v>
      </c>
      <c r="J37" s="1" t="str">
        <f>VLOOKUP(B37,[2]!Tablo1[#Data],3,0)</f>
        <v>Stringer</v>
      </c>
      <c r="K37" s="1" t="s">
        <v>29</v>
      </c>
      <c r="L37" s="2">
        <v>46037</v>
      </c>
      <c r="M37" s="1" t="str">
        <f t="shared" si="1"/>
        <v>Ocak</v>
      </c>
      <c r="N37" s="1" t="s">
        <v>40</v>
      </c>
    </row>
    <row r="38" spans="1:14" x14ac:dyDescent="0.3">
      <c r="A38" s="1">
        <v>36</v>
      </c>
      <c r="B38" s="1">
        <v>101261</v>
      </c>
      <c r="C38" s="1" t="str">
        <f>VLOOKUP(B38,[2]!Tablo1[#Data],16,0)</f>
        <v>316-B</v>
      </c>
      <c r="D38" s="1" t="str">
        <f>VLOOKUP(B38,[2]!Tablo1[#Data],7,0)</f>
        <v>Sağ Sabitleme Aynası</v>
      </c>
      <c r="E38" s="5" t="str">
        <f>VLOOKUP(B38,[2]!Tablo1[#Data],10,0)</f>
        <v>A050-86-03-07-001C</v>
      </c>
      <c r="F38" s="1">
        <v>1</v>
      </c>
      <c r="G38" s="4">
        <f>VLOOKUP(B38,[2]!Tablo1[#Data],13,0)</f>
        <v>68.930000000000007</v>
      </c>
      <c r="H38" s="3">
        <f t="shared" si="0"/>
        <v>68.930000000000007</v>
      </c>
      <c r="I38" s="1" t="s">
        <v>2</v>
      </c>
      <c r="J38" s="1" t="str">
        <f>VLOOKUP(B38,[2]!Tablo1[#Data],3,0)</f>
        <v>Stringer</v>
      </c>
      <c r="K38" s="1" t="s">
        <v>19</v>
      </c>
      <c r="L38" s="2">
        <v>46038</v>
      </c>
      <c r="M38" s="1" t="str">
        <f t="shared" si="1"/>
        <v>Ocak</v>
      </c>
      <c r="N38" s="1" t="s">
        <v>0</v>
      </c>
    </row>
    <row r="39" spans="1:14" x14ac:dyDescent="0.3">
      <c r="A39" s="1">
        <v>37</v>
      </c>
      <c r="B39" s="1">
        <v>101262</v>
      </c>
      <c r="C39" s="1" t="str">
        <f>VLOOKUP(B39,[2]!Tablo1[#Data],16,0)</f>
        <v>316-C</v>
      </c>
      <c r="D39" s="1" t="str">
        <f>VLOOKUP(B39,[2]!Tablo1[#Data],7,0)</f>
        <v>Sol Sabitleme Aynası</v>
      </c>
      <c r="E39" s="5" t="str">
        <f>VLOOKUP(B39,[2]!Tablo1[#Data],10,0)</f>
        <v>A050-86-03-08-001C</v>
      </c>
      <c r="F39" s="1">
        <v>1</v>
      </c>
      <c r="G39" s="4">
        <f>VLOOKUP(B39,[2]!Tablo1[#Data],13,0)</f>
        <v>68.930000000000007</v>
      </c>
      <c r="H39" s="3">
        <f t="shared" si="0"/>
        <v>68.930000000000007</v>
      </c>
      <c r="I39" s="1" t="s">
        <v>2</v>
      </c>
      <c r="J39" s="1" t="str">
        <f>VLOOKUP(B39,[2]!Tablo1[#Data],3,0)</f>
        <v>Stringer</v>
      </c>
      <c r="K39" s="1" t="s">
        <v>19</v>
      </c>
      <c r="L39" s="2">
        <v>46038</v>
      </c>
      <c r="M39" s="1" t="str">
        <f t="shared" si="1"/>
        <v>Ocak</v>
      </c>
      <c r="N39" s="1" t="s">
        <v>0</v>
      </c>
    </row>
    <row r="40" spans="1:14" x14ac:dyDescent="0.3">
      <c r="A40" s="1">
        <v>38</v>
      </c>
      <c r="B40" s="1">
        <v>101321</v>
      </c>
      <c r="C40" s="1" t="str">
        <f>VLOOKUP(B40,[2]!Tablo1[#Data],16,0)</f>
        <v>331-B</v>
      </c>
      <c r="D40" s="1" t="str">
        <f>VLOOKUP(B40,[2]!Tablo1[#Data],7,0)</f>
        <v>Küçük Serbest Montaj Silindiri</v>
      </c>
      <c r="E40" s="5" t="str">
        <f>VLOOKUP(B40,[2]!Tablo1[#Data],10,0)</f>
        <v>MU10×4</v>
      </c>
      <c r="F40" s="1">
        <v>2</v>
      </c>
      <c r="G40" s="4">
        <f>VLOOKUP(B40,[2]!Tablo1[#Data],13,0)</f>
        <v>4</v>
      </c>
      <c r="H40" s="3">
        <f t="shared" si="0"/>
        <v>8</v>
      </c>
      <c r="I40" s="1" t="s">
        <v>5</v>
      </c>
      <c r="J40" s="1" t="str">
        <f>VLOOKUP(B40,[2]!Tablo1[#Data],3,0)</f>
        <v>Stringer</v>
      </c>
      <c r="K40" s="1" t="s">
        <v>20</v>
      </c>
      <c r="L40" s="2">
        <v>46038</v>
      </c>
      <c r="M40" s="1" t="str">
        <f t="shared" si="1"/>
        <v>Ocak</v>
      </c>
      <c r="N40" s="1" t="s">
        <v>40</v>
      </c>
    </row>
    <row r="41" spans="1:14" x14ac:dyDescent="0.3">
      <c r="A41" s="1">
        <v>39</v>
      </c>
      <c r="B41" s="1">
        <v>101175</v>
      </c>
      <c r="C41" s="1" t="str">
        <f>VLOOKUP(B41,[2]!Tablo1[#Data],16,0)</f>
        <v>294-D</v>
      </c>
      <c r="D41" s="1" t="str">
        <f>VLOOKUP(B41,[2]!Tablo1[#Data],7,0)</f>
        <v>Minyatür Bağlantı Parçası</v>
      </c>
      <c r="E41" s="5" t="str">
        <f>VLOOKUP(B41,[2]!Tablo1[#Data],10,0)</f>
        <v>VPC4-M3</v>
      </c>
      <c r="F41" s="1">
        <v>4</v>
      </c>
      <c r="G41" s="4">
        <f>VLOOKUP(B41,[2]!Tablo1[#Data],13,0)</f>
        <v>11</v>
      </c>
      <c r="H41" s="3">
        <f t="shared" si="0"/>
        <v>44</v>
      </c>
      <c r="I41" s="1" t="s">
        <v>5</v>
      </c>
      <c r="J41" s="1" t="str">
        <f>VLOOKUP(B41,[2]!Tablo1[#Data],3,0)</f>
        <v>Stringer</v>
      </c>
      <c r="K41" s="1" t="s">
        <v>13</v>
      </c>
      <c r="L41" s="2">
        <v>46038</v>
      </c>
      <c r="M41" s="1" t="str">
        <f t="shared" si="1"/>
        <v>Ocak</v>
      </c>
      <c r="N41" s="1" t="s">
        <v>40</v>
      </c>
    </row>
    <row r="42" spans="1:14" x14ac:dyDescent="0.3">
      <c r="A42" s="1">
        <v>40</v>
      </c>
      <c r="B42" s="1">
        <v>101120</v>
      </c>
      <c r="C42" s="1" t="str">
        <f>VLOOKUP(B42,[2]!Tablo1[#Data],16,0)</f>
        <v>281-A</v>
      </c>
      <c r="D42" s="1" t="str">
        <f>VLOOKUP(B42,[2]!Tablo1[#Data],7,0)</f>
        <v>Hücre Besleme Teflon Bant</v>
      </c>
      <c r="E42" s="5" t="str">
        <f>VLOOKUP(B42,[2]!Tablo1[#Data],10,0)</f>
        <v>A050FG-80-12-03-004B</v>
      </c>
      <c r="F42" s="1">
        <v>1</v>
      </c>
      <c r="G42" s="4">
        <f>VLOOKUP(B42,[2]!Tablo1[#Data],13,0)</f>
        <v>48</v>
      </c>
      <c r="H42" s="3">
        <f t="shared" si="0"/>
        <v>48</v>
      </c>
      <c r="I42" s="1" t="s">
        <v>5</v>
      </c>
      <c r="J42" s="1" t="str">
        <f>VLOOKUP(B42,[2]!Tablo1[#Data],3,0)</f>
        <v>Lazer Kesim</v>
      </c>
      <c r="K42" s="1" t="s">
        <v>13</v>
      </c>
      <c r="L42" s="2">
        <v>46038</v>
      </c>
      <c r="M42" s="1" t="str">
        <f t="shared" si="1"/>
        <v>Ocak</v>
      </c>
      <c r="N42" s="1" t="s">
        <v>40</v>
      </c>
    </row>
    <row r="43" spans="1:14" x14ac:dyDescent="0.3">
      <c r="A43" s="1">
        <v>41</v>
      </c>
      <c r="B43" s="1">
        <v>100875</v>
      </c>
      <c r="C43" s="1" t="str">
        <f>VLOOKUP(B43,[2]!Tablo1[#Data],16,0)</f>
        <v>219-D</v>
      </c>
      <c r="D43" s="1" t="str">
        <f>VLOOKUP(B43,[2]!Tablo1[#Data],7,0)</f>
        <v>Fan</v>
      </c>
      <c r="E43" s="5" t="str">
        <f>VLOOKUP(B43,[2]!Tablo1[#Data],10,0)</f>
        <v>SJ1725HA2-S</v>
      </c>
      <c r="F43" s="1">
        <v>1</v>
      </c>
      <c r="G43" s="4">
        <f>VLOOKUP(B43,[2]!Tablo1[#Data],13,0)</f>
        <v>28.773584905660375</v>
      </c>
      <c r="H43" s="3">
        <f t="shared" si="0"/>
        <v>28.773584905660375</v>
      </c>
      <c r="I43" s="1" t="s">
        <v>2</v>
      </c>
      <c r="J43" s="1" t="str">
        <f>VLOOKUP(B43,[2]!Tablo1[#Data],3,0)</f>
        <v>Laser Cutter</v>
      </c>
      <c r="K43" s="1" t="s">
        <v>23</v>
      </c>
      <c r="L43" s="2">
        <v>46037</v>
      </c>
      <c r="M43" s="1" t="str">
        <f t="shared" si="1"/>
        <v>Ocak</v>
      </c>
      <c r="N43" s="1" t="s">
        <v>34</v>
      </c>
    </row>
    <row r="44" spans="1:14" x14ac:dyDescent="0.3">
      <c r="A44" s="1">
        <v>42</v>
      </c>
      <c r="B44" s="1">
        <v>100827</v>
      </c>
      <c r="C44" s="1" t="str">
        <f>VLOOKUP(B44,[2]!Tablo1[#Data],16,0)</f>
        <v>207-D</v>
      </c>
      <c r="D44" s="1" t="str">
        <f>VLOOKUP(B44,[2]!Tablo1[#Data],7,0)</f>
        <v>4Ø Hız Ayarlı Fittings</v>
      </c>
      <c r="E44" s="5" t="str">
        <f>VLOOKUP(B44,[2]!Tablo1[#Data],10,0)</f>
        <v>AS1002FS-04</v>
      </c>
      <c r="F44" s="1">
        <v>2</v>
      </c>
      <c r="G44" s="4">
        <f>VLOOKUP(B44,[2]!Tablo1[#Data],13,0)</f>
        <v>5.0999999999999996</v>
      </c>
      <c r="H44" s="3">
        <f t="shared" si="0"/>
        <v>10.199999999999999</v>
      </c>
      <c r="I44" s="1" t="s">
        <v>2</v>
      </c>
      <c r="J44" s="1" t="str">
        <f>VLOOKUP(B44,[2]!Tablo1[#Data],3,0)</f>
        <v>Laser Cutter</v>
      </c>
      <c r="K44" s="1" t="s">
        <v>39</v>
      </c>
      <c r="L44" s="2">
        <v>46038</v>
      </c>
      <c r="M44" s="1" t="str">
        <f t="shared" si="1"/>
        <v>Ocak</v>
      </c>
      <c r="N44" s="1" t="s">
        <v>34</v>
      </c>
    </row>
    <row r="45" spans="1:14" x14ac:dyDescent="0.3">
      <c r="A45" s="1">
        <v>43</v>
      </c>
      <c r="B45" s="1">
        <v>100823</v>
      </c>
      <c r="C45" s="1" t="str">
        <f>VLOOKUP(B45,[2]!Tablo1[#Data],16,0)</f>
        <v>206-D</v>
      </c>
      <c r="D45" s="1" t="str">
        <f>VLOOKUP(B45,[2]!Tablo1[#Data],7,0)</f>
        <v>Nozzle</v>
      </c>
      <c r="E45" s="5" t="str">
        <f>VLOOKUP(B45,[2]!Tablo1[#Data],10,0)</f>
        <v xml:space="preserve">A027K-73-41-00B </v>
      </c>
      <c r="F45" s="1">
        <v>2</v>
      </c>
      <c r="G45" s="4">
        <f>VLOOKUP(B45,[2]!Tablo1[#Data],13,0)</f>
        <v>67.924528301886795</v>
      </c>
      <c r="H45" s="3">
        <f t="shared" si="0"/>
        <v>135.84905660377359</v>
      </c>
      <c r="I45" s="1" t="s">
        <v>2</v>
      </c>
      <c r="J45" s="1" t="str">
        <f>VLOOKUP(B45,[2]!Tablo1[#Data],3,0)</f>
        <v>Laser Cutter</v>
      </c>
      <c r="K45" s="1" t="s">
        <v>39</v>
      </c>
      <c r="L45" s="2">
        <v>46038</v>
      </c>
      <c r="M45" s="1" t="str">
        <f t="shared" si="1"/>
        <v>Ocak</v>
      </c>
      <c r="N45" s="1" t="s">
        <v>34</v>
      </c>
    </row>
    <row r="46" spans="1:14" x14ac:dyDescent="0.3">
      <c r="A46" s="1">
        <v>44</v>
      </c>
      <c r="B46" s="1">
        <v>101188</v>
      </c>
      <c r="C46" s="1" t="str">
        <f>VLOOKUP(B46,[2]!Tablo1[#Data],16,0)</f>
        <v>298-A</v>
      </c>
      <c r="D46" s="1" t="str">
        <f>VLOOKUP(B46,[2]!Tablo1[#Data],7,0)</f>
        <v>Sabit Bilyalı Rulman</v>
      </c>
      <c r="E46" s="5" t="str">
        <f>VLOOKUP(B46,[2]!Tablo1[#Data],10,0)</f>
        <v>625ZZ R-1650HH</v>
      </c>
      <c r="F46" s="1">
        <v>1</v>
      </c>
      <c r="G46" s="4">
        <f>VLOOKUP(B46,[2]!Tablo1[#Data],13,0)</f>
        <v>1.19</v>
      </c>
      <c r="H46" s="3">
        <f t="shared" si="0"/>
        <v>1.19</v>
      </c>
      <c r="I46" s="1" t="s">
        <v>2</v>
      </c>
      <c r="J46" s="1" t="str">
        <f>VLOOKUP(B46,[2]!Tablo1[#Data],3,0)</f>
        <v>Stringer</v>
      </c>
      <c r="K46" s="1" t="s">
        <v>19</v>
      </c>
      <c r="L46" s="2">
        <v>46039</v>
      </c>
      <c r="M46" s="1" t="str">
        <f t="shared" si="1"/>
        <v>Ocak</v>
      </c>
      <c r="N46" s="1" t="s">
        <v>0</v>
      </c>
    </row>
    <row r="47" spans="1:14" x14ac:dyDescent="0.3">
      <c r="A47" s="1">
        <v>45</v>
      </c>
      <c r="B47" s="1">
        <v>101279</v>
      </c>
      <c r="C47" s="1" t="str">
        <f>VLOOKUP(B47,[2]!Tablo1[#Data],16,0)</f>
        <v>320-D</v>
      </c>
      <c r="D47" s="1" t="str">
        <f>VLOOKUP(B47,[2]!Tablo1[#Data],7,0)</f>
        <v>Sabit Bilyalı Rulman</v>
      </c>
      <c r="E47" s="5" t="str">
        <f>VLOOKUP(B47,[2]!Tablo1[#Data],10,0)</f>
        <v>B676ZZ</v>
      </c>
      <c r="F47" s="1">
        <v>2</v>
      </c>
      <c r="G47" s="4">
        <f>VLOOKUP(B47,[2]!Tablo1[#Data],13,0)</f>
        <v>1.47</v>
      </c>
      <c r="H47" s="3">
        <f t="shared" si="0"/>
        <v>2.94</v>
      </c>
      <c r="I47" s="1" t="s">
        <v>2</v>
      </c>
      <c r="J47" s="1" t="str">
        <f>VLOOKUP(B47,[2]!Tablo1[#Data],3,0)</f>
        <v>Stringer</v>
      </c>
      <c r="K47" s="1" t="s">
        <v>19</v>
      </c>
      <c r="L47" s="2">
        <v>46039</v>
      </c>
      <c r="M47" s="1" t="str">
        <f t="shared" si="1"/>
        <v>Ocak</v>
      </c>
      <c r="N47" s="1" t="s">
        <v>0</v>
      </c>
    </row>
    <row r="48" spans="1:14" x14ac:dyDescent="0.3">
      <c r="A48" s="1">
        <v>46</v>
      </c>
      <c r="B48" s="1">
        <v>101281</v>
      </c>
      <c r="C48" s="1" t="str">
        <f>VLOOKUP(B48,[2]!Tablo1[#Data],16,0)</f>
        <v>321-B</v>
      </c>
      <c r="D48" s="1" t="str">
        <f>VLOOKUP(B48,[2]!Tablo1[#Data],7,0)</f>
        <v>Doğrusal Kılavuz</v>
      </c>
      <c r="E48" s="5" t="str">
        <f>VLOOKUP(B48,[2]!Tablo1[#Data],10,0)</f>
        <v>MGN12C4R192Z1C-E=8.5</v>
      </c>
      <c r="F48" s="1">
        <v>1</v>
      </c>
      <c r="G48" s="4">
        <f>VLOOKUP(B48,[2]!Tablo1[#Data],13,0)</f>
        <v>90.42</v>
      </c>
      <c r="H48" s="3">
        <f t="shared" si="0"/>
        <v>90.42</v>
      </c>
      <c r="I48" s="1" t="s">
        <v>2</v>
      </c>
      <c r="J48" s="1" t="str">
        <f>VLOOKUP(B48,[2]!Tablo1[#Data],3,0)</f>
        <v>Stringer</v>
      </c>
      <c r="K48" s="1" t="s">
        <v>8</v>
      </c>
      <c r="L48" s="2">
        <v>46039</v>
      </c>
      <c r="M48" s="1" t="str">
        <f t="shared" si="1"/>
        <v>Ocak</v>
      </c>
      <c r="N48" s="1" t="s">
        <v>0</v>
      </c>
    </row>
    <row r="49" spans="1:14" x14ac:dyDescent="0.3">
      <c r="A49" s="1">
        <v>47</v>
      </c>
      <c r="B49" s="1">
        <v>101181</v>
      </c>
      <c r="C49" s="1" t="str">
        <f>VLOOKUP(B49,[2]!Tablo1[#Data],16,0)</f>
        <v>296-B</v>
      </c>
      <c r="D49" s="1" t="str">
        <f>VLOOKUP(B49,[2]!Tablo1[#Data],7,0)</f>
        <v>Normal Yüzük</v>
      </c>
      <c r="E49" s="5" t="str">
        <f>VLOOKUP(B49,[2]!Tablo1[#Data],10,0)</f>
        <v>A050-05-04-03-021B</v>
      </c>
      <c r="F49" s="1">
        <v>8</v>
      </c>
      <c r="G49" s="4">
        <f>VLOOKUP(B49,[2]!Tablo1[#Data],13,0)</f>
        <v>4.67</v>
      </c>
      <c r="H49" s="3">
        <f t="shared" si="0"/>
        <v>37.36</v>
      </c>
      <c r="I49" s="1" t="s">
        <v>2</v>
      </c>
      <c r="J49" s="1" t="str">
        <f>VLOOKUP(B49,[2]!Tablo1[#Data],3,0)</f>
        <v>Stringer</v>
      </c>
      <c r="K49" s="1" t="s">
        <v>19</v>
      </c>
      <c r="L49" s="2">
        <v>46041</v>
      </c>
      <c r="M49" s="1" t="str">
        <f t="shared" si="1"/>
        <v>Ocak</v>
      </c>
      <c r="N49" s="1" t="s">
        <v>0</v>
      </c>
    </row>
    <row r="50" spans="1:14" x14ac:dyDescent="0.3">
      <c r="A50" s="1">
        <v>48</v>
      </c>
      <c r="B50" s="1">
        <v>100893</v>
      </c>
      <c r="C50" s="1" t="str">
        <f>VLOOKUP(B50,[2]!Tablo1[#Data],16,0)</f>
        <v>224-B</v>
      </c>
      <c r="D50" s="1" t="str">
        <f>VLOOKUP(B50,[2]!Tablo1[#Data],7,0)</f>
        <v>Vantuz</v>
      </c>
      <c r="E50" s="5" t="str">
        <f>VLOOKUP(B50,[2]!Tablo1[#Data],10,0)</f>
        <v>ZP2-B08MBS</v>
      </c>
      <c r="F50" s="1">
        <v>8</v>
      </c>
      <c r="G50" s="4">
        <f>VLOOKUP(B50,[2]!Tablo1[#Data],13,0)</f>
        <v>0.6</v>
      </c>
      <c r="H50" s="3">
        <f t="shared" si="0"/>
        <v>4.8</v>
      </c>
      <c r="I50" s="1" t="s">
        <v>5</v>
      </c>
      <c r="J50" s="1" t="str">
        <f>VLOOKUP(B50,[2]!Tablo1[#Data],3,0)</f>
        <v>Laser Cutter</v>
      </c>
      <c r="K50" s="1" t="s">
        <v>7</v>
      </c>
      <c r="L50" s="2">
        <v>46041</v>
      </c>
      <c r="M50" s="1" t="str">
        <f t="shared" si="1"/>
        <v>Ocak</v>
      </c>
      <c r="N50" s="1" t="s">
        <v>6</v>
      </c>
    </row>
    <row r="51" spans="1:14" x14ac:dyDescent="0.3">
      <c r="A51" s="1">
        <v>49</v>
      </c>
      <c r="B51" s="1">
        <v>100018</v>
      </c>
      <c r="C51" s="1" t="str">
        <f>VLOOKUP(B51,[2]!Tablo1[#Data],16,0)</f>
        <v>5-C</v>
      </c>
      <c r="D51" s="1" t="str">
        <f>VLOOKUP(B51,[2]!Tablo1[#Data],7,0)</f>
        <v>Limit Anahtarı</v>
      </c>
      <c r="E51" s="5" t="str">
        <f>VLOOKUP(B51,[2]!Tablo1[#Data],10,0)</f>
        <v>GLS-191</v>
      </c>
      <c r="F51" s="1">
        <v>1</v>
      </c>
      <c r="G51" s="4">
        <f>VLOOKUP(B51,[2]!Tablo1[#Data],13,0)</f>
        <v>3.5</v>
      </c>
      <c r="H51" s="3">
        <f t="shared" si="0"/>
        <v>3.5</v>
      </c>
      <c r="I51" s="1" t="s">
        <v>2</v>
      </c>
      <c r="J51" s="1" t="str">
        <f>VLOOKUP(B51,[2]!Tablo1[#Data],3,0)</f>
        <v>Auto Rotary CV</v>
      </c>
      <c r="K51" s="1" t="s">
        <v>27</v>
      </c>
      <c r="L51" s="2">
        <v>46041</v>
      </c>
      <c r="M51" s="1" t="str">
        <f t="shared" si="1"/>
        <v>Ocak</v>
      </c>
      <c r="N51" s="1" t="s">
        <v>12</v>
      </c>
    </row>
    <row r="52" spans="1:14" x14ac:dyDescent="0.3">
      <c r="A52" s="1">
        <v>50</v>
      </c>
      <c r="B52" s="1">
        <v>101425</v>
      </c>
      <c r="C52" s="1" t="str">
        <f>VLOOKUP(B52,[2]!Tablo1[#Data],16,0)</f>
        <v>357-B</v>
      </c>
      <c r="D52" s="1" t="str">
        <f>VLOOKUP(B52,[2]!Tablo1[#Data],7,0)</f>
        <v>Seramik Kapak Plakası</v>
      </c>
      <c r="E52" s="5" t="str">
        <f>VLOOKUP(B52,[2]!Tablo1[#Data],10,0)</f>
        <v>LC-AF6619A</v>
      </c>
      <c r="F52" s="1">
        <v>1</v>
      </c>
      <c r="G52" s="4">
        <f>VLOOKUP(B52,[2]!Tablo1[#Data],13,0)</f>
        <v>125</v>
      </c>
      <c r="H52" s="3">
        <f t="shared" si="0"/>
        <v>125</v>
      </c>
      <c r="I52" s="1" t="s">
        <v>2</v>
      </c>
      <c r="J52" s="1">
        <f>VLOOKUP(B52,[2]!Tablo1[#Data],3,0)</f>
        <v>0</v>
      </c>
      <c r="K52" s="1" t="s">
        <v>27</v>
      </c>
      <c r="L52" s="2">
        <v>46041</v>
      </c>
      <c r="M52" s="1" t="str">
        <f t="shared" si="1"/>
        <v>Ocak</v>
      </c>
      <c r="N52" s="1" t="s">
        <v>38</v>
      </c>
    </row>
    <row r="53" spans="1:14" x14ac:dyDescent="0.3">
      <c r="A53" s="1">
        <v>51</v>
      </c>
      <c r="B53" s="1">
        <v>101248</v>
      </c>
      <c r="C53" s="1" t="str">
        <f>VLOOKUP(B53,[2]!Tablo1[#Data],16,0)</f>
        <v>313-A</v>
      </c>
      <c r="D53" s="1" t="str">
        <f>VLOOKUP(B53,[2]!Tablo1[#Data],7,0)</f>
        <v>Konveyör Bandı</v>
      </c>
      <c r="E53" s="5" t="str">
        <f>VLOOKUP(B53,[2]!Tablo1[#Data],10,0)</f>
        <v>A050-86-08-002D</v>
      </c>
      <c r="F53" s="1">
        <v>1</v>
      </c>
      <c r="G53" s="4">
        <f>VLOOKUP(B53,[2]!Tablo1[#Data],13,0)</f>
        <v>200</v>
      </c>
      <c r="H53" s="3">
        <f t="shared" si="0"/>
        <v>200</v>
      </c>
      <c r="I53" s="1" t="s">
        <v>2</v>
      </c>
      <c r="J53" s="1" t="str">
        <f>VLOOKUP(B53,[2]!Tablo1[#Data],3,0)</f>
        <v>Stringer</v>
      </c>
      <c r="K53" s="1" t="s">
        <v>7</v>
      </c>
      <c r="L53" s="2">
        <v>46042</v>
      </c>
      <c r="M53" s="1" t="str">
        <f t="shared" si="1"/>
        <v>Ocak</v>
      </c>
      <c r="N53" s="1" t="s">
        <v>0</v>
      </c>
    </row>
    <row r="54" spans="1:14" x14ac:dyDescent="0.3">
      <c r="A54" s="1">
        <v>52</v>
      </c>
      <c r="B54" s="1">
        <v>101248</v>
      </c>
      <c r="C54" s="1" t="str">
        <f>VLOOKUP(B54,[2]!Tablo1[#Data],16,0)</f>
        <v>313-A</v>
      </c>
      <c r="D54" s="1" t="str">
        <f>VLOOKUP(B54,[2]!Tablo1[#Data],7,0)</f>
        <v>Konveyör Bandı</v>
      </c>
      <c r="E54" s="5" t="str">
        <f>VLOOKUP(B54,[2]!Tablo1[#Data],10,0)</f>
        <v>A050-86-08-002D</v>
      </c>
      <c r="F54" s="1">
        <v>1</v>
      </c>
      <c r="G54" s="4">
        <f>VLOOKUP(B54,[2]!Tablo1[#Data],13,0)</f>
        <v>200</v>
      </c>
      <c r="H54" s="3">
        <f t="shared" si="0"/>
        <v>200</v>
      </c>
      <c r="I54" s="1" t="s">
        <v>5</v>
      </c>
      <c r="J54" s="1" t="str">
        <f>VLOOKUP(B54,[2]!Tablo1[#Data],3,0)</f>
        <v>Stringer</v>
      </c>
      <c r="K54" s="1" t="s">
        <v>1</v>
      </c>
      <c r="L54" s="2">
        <v>46042</v>
      </c>
      <c r="M54" s="1" t="str">
        <f t="shared" si="1"/>
        <v>Ocak</v>
      </c>
      <c r="N54" s="1" t="s">
        <v>16</v>
      </c>
    </row>
    <row r="55" spans="1:14" x14ac:dyDescent="0.3">
      <c r="A55" s="1">
        <v>53</v>
      </c>
      <c r="B55" s="1">
        <v>101248</v>
      </c>
      <c r="C55" s="1" t="str">
        <f>VLOOKUP(B55,[2]!Tablo1[#Data],16,0)</f>
        <v>313-A</v>
      </c>
      <c r="D55" s="1" t="str">
        <f>VLOOKUP(B55,[2]!Tablo1[#Data],7,0)</f>
        <v>Konveyör Bandı</v>
      </c>
      <c r="E55" s="5" t="str">
        <f>VLOOKUP(B55,[2]!Tablo1[#Data],10,0)</f>
        <v>A050-86-08-002D</v>
      </c>
      <c r="F55" s="1">
        <v>1</v>
      </c>
      <c r="G55" s="4">
        <f>VLOOKUP(B55,[2]!Tablo1[#Data],13,0)</f>
        <v>200</v>
      </c>
      <c r="H55" s="3">
        <f t="shared" si="0"/>
        <v>200</v>
      </c>
      <c r="I55" s="1" t="s">
        <v>5</v>
      </c>
      <c r="J55" s="1" t="str">
        <f>VLOOKUP(B55,[2]!Tablo1[#Data],3,0)</f>
        <v>Stringer</v>
      </c>
      <c r="K55" s="1" t="s">
        <v>15</v>
      </c>
      <c r="L55" s="2">
        <v>46042</v>
      </c>
      <c r="M55" s="1" t="str">
        <f t="shared" si="1"/>
        <v>Ocak</v>
      </c>
      <c r="N55" s="1" t="s">
        <v>16</v>
      </c>
    </row>
    <row r="56" spans="1:14" ht="28.8" x14ac:dyDescent="0.3">
      <c r="A56" s="1">
        <v>54</v>
      </c>
      <c r="B56" s="1">
        <v>100182</v>
      </c>
      <c r="C56" s="1" t="str">
        <f>VLOOKUP(B56,[2]!Tablo1[#Data],16,0)</f>
        <v>46-C</v>
      </c>
      <c r="D56" s="1" t="str">
        <f>VLOOKUP(B56,[2]!Tablo1[#Data],7,0)</f>
        <v>Zımpara</v>
      </c>
      <c r="E56" s="5" t="str">
        <f>VLOOKUP(B56,[2]!Tablo1[#Data],10,0)</f>
        <v>宽60×周长740，60目，紫色，对接接头 BORA8</v>
      </c>
      <c r="F56" s="1">
        <v>4</v>
      </c>
      <c r="G56" s="4">
        <f>VLOOKUP(B56,[2]!Tablo1[#Data],13,0)</f>
        <v>5</v>
      </c>
      <c r="H56" s="3">
        <f t="shared" si="0"/>
        <v>20</v>
      </c>
      <c r="I56" s="1" t="s">
        <v>5</v>
      </c>
      <c r="J56" s="1" t="str">
        <f>VLOOKUP(B56,[2]!Tablo1[#Data],3,0)</f>
        <v>Edge Grinding</v>
      </c>
      <c r="K56" s="1" t="s">
        <v>22</v>
      </c>
      <c r="L56" s="2">
        <v>46042</v>
      </c>
      <c r="M56" s="1" t="str">
        <f t="shared" si="1"/>
        <v>Ocak</v>
      </c>
      <c r="N56" s="1" t="s">
        <v>16</v>
      </c>
    </row>
    <row r="57" spans="1:14" x14ac:dyDescent="0.3">
      <c r="A57" s="1">
        <v>55</v>
      </c>
      <c r="B57" s="1">
        <v>101248</v>
      </c>
      <c r="C57" s="1" t="str">
        <f>VLOOKUP(B57,[2]!Tablo1[#Data],16,0)</f>
        <v>313-A</v>
      </c>
      <c r="D57" s="1" t="str">
        <f>VLOOKUP(B57,[2]!Tablo1[#Data],7,0)</f>
        <v>Konveyör Bandı</v>
      </c>
      <c r="E57" s="5" t="str">
        <f>VLOOKUP(B57,[2]!Tablo1[#Data],10,0)</f>
        <v>A050-86-08-002D</v>
      </c>
      <c r="F57" s="1">
        <v>1</v>
      </c>
      <c r="G57" s="4">
        <f>VLOOKUP(B57,[2]!Tablo1[#Data],13,0)</f>
        <v>200</v>
      </c>
      <c r="H57" s="3">
        <f t="shared" si="0"/>
        <v>200</v>
      </c>
      <c r="I57" s="1" t="s">
        <v>5</v>
      </c>
      <c r="J57" s="1" t="str">
        <f>VLOOKUP(B57,[2]!Tablo1[#Data],3,0)</f>
        <v>Stringer</v>
      </c>
      <c r="K57" s="1" t="s">
        <v>1</v>
      </c>
      <c r="L57" s="2">
        <v>46042</v>
      </c>
      <c r="M57" s="1" t="str">
        <f t="shared" si="1"/>
        <v>Ocak</v>
      </c>
      <c r="N57" s="1" t="s">
        <v>16</v>
      </c>
    </row>
    <row r="58" spans="1:14" x14ac:dyDescent="0.3">
      <c r="A58" s="1">
        <v>56</v>
      </c>
      <c r="B58" s="1">
        <v>100555</v>
      </c>
      <c r="C58" s="1" t="str">
        <f>VLOOKUP(B58,[2]!Tablo1[#Data],16,0)</f>
        <v>139-D</v>
      </c>
      <c r="D58" s="1" t="str">
        <f>VLOOKUP(B58,[2]!Tablo1[#Data],7,0)</f>
        <v>Bıçak</v>
      </c>
      <c r="E58" s="5" t="str">
        <f>VLOOKUP(B58,[2]!Tablo1[#Data],10,0)</f>
        <v>DDX77</v>
      </c>
      <c r="F58" s="1">
        <v>10</v>
      </c>
      <c r="G58" s="4">
        <f>VLOOKUP(B58,[2]!Tablo1[#Data],13,0)</f>
        <v>1</v>
      </c>
      <c r="H58" s="3">
        <f t="shared" si="0"/>
        <v>10</v>
      </c>
      <c r="I58" s="1" t="s">
        <v>2</v>
      </c>
      <c r="J58" s="1" t="str">
        <f>VLOOKUP(B58,[2]!Tablo1[#Data],3,0)</f>
        <v>Tape Machine</v>
      </c>
      <c r="K58" s="1" t="s">
        <v>21</v>
      </c>
      <c r="L58" s="2">
        <v>46043</v>
      </c>
      <c r="M58" s="1" t="str">
        <f t="shared" si="1"/>
        <v>Ocak</v>
      </c>
      <c r="N58" s="1" t="s">
        <v>36</v>
      </c>
    </row>
    <row r="59" spans="1:14" x14ac:dyDescent="0.3">
      <c r="A59" s="1">
        <v>57</v>
      </c>
      <c r="B59" s="1">
        <v>101128</v>
      </c>
      <c r="C59" s="1" t="str">
        <f>VLOOKUP(B59,[2]!Tablo1[#Data],16,0)</f>
        <v>283-A</v>
      </c>
      <c r="D59" s="1" t="str">
        <f>VLOOKUP(B59,[2]!Tablo1[#Data],7,0)</f>
        <v>Kayış</v>
      </c>
      <c r="E59" s="5" t="str">
        <f>VLOOKUP(B59,[2]!Tablo1[#Data],10,0)</f>
        <v>645-5M-10MM</v>
      </c>
      <c r="F59" s="1">
        <v>1</v>
      </c>
      <c r="G59" s="4">
        <f>VLOOKUP(B59,[2]!Tablo1[#Data],13,0)</f>
        <v>11</v>
      </c>
      <c r="H59" s="3">
        <f t="shared" si="0"/>
        <v>11</v>
      </c>
      <c r="I59" s="1" t="s">
        <v>2</v>
      </c>
      <c r="J59" s="1" t="str">
        <f>VLOOKUP(B59,[2]!Tablo1[#Data],3,0)</f>
        <v>Stringer</v>
      </c>
      <c r="K59" s="1" t="s">
        <v>1</v>
      </c>
      <c r="L59" s="2">
        <v>46043</v>
      </c>
      <c r="M59" s="1" t="str">
        <f t="shared" si="1"/>
        <v>Ocak</v>
      </c>
      <c r="N59" s="1" t="s">
        <v>30</v>
      </c>
    </row>
    <row r="60" spans="1:14" x14ac:dyDescent="0.3">
      <c r="A60" s="1">
        <v>58</v>
      </c>
      <c r="B60" s="1">
        <v>100373</v>
      </c>
      <c r="C60" s="1" t="str">
        <f>VLOOKUP(B60,[2]!Tablo1[#Data],16,0)</f>
        <v>94-B</v>
      </c>
      <c r="D60" s="1" t="str">
        <f>VLOOKUP(B60,[2]!Tablo1[#Data],7,0)</f>
        <v>Yakınlık Sensörü</v>
      </c>
      <c r="E60" s="5" t="str">
        <f>VLOOKUP(B60,[2]!Tablo1[#Data],10,0)</f>
        <v>E2E-S05S12-WC-C1</v>
      </c>
      <c r="F60" s="1">
        <v>2</v>
      </c>
      <c r="G60" s="4">
        <f>VLOOKUP(B60,[2]!Tablo1[#Data],13,0)</f>
        <v>60.141509433962263</v>
      </c>
      <c r="H60" s="3">
        <f t="shared" si="0"/>
        <v>120.28301886792453</v>
      </c>
      <c r="I60" s="1" t="s">
        <v>2</v>
      </c>
      <c r="J60" s="1" t="str">
        <f>VLOOKUP(B60,[2]!Tablo1[#Data],3,0)</f>
        <v>Stringer</v>
      </c>
      <c r="K60" s="1" t="s">
        <v>13</v>
      </c>
      <c r="L60" s="2">
        <v>46043</v>
      </c>
      <c r="M60" s="1" t="str">
        <f t="shared" si="1"/>
        <v>Ocak</v>
      </c>
      <c r="N60" s="1" t="s">
        <v>30</v>
      </c>
    </row>
    <row r="61" spans="1:14" x14ac:dyDescent="0.3">
      <c r="A61" s="1">
        <v>59</v>
      </c>
      <c r="B61" s="1">
        <v>100186</v>
      </c>
      <c r="C61" s="1" t="str">
        <f>VLOOKUP(B61,[2]!Tablo1[#Data],16,0)</f>
        <v>47-C</v>
      </c>
      <c r="D61" s="1" t="str">
        <f>VLOOKUP(B61,[2]!Tablo1[#Data],7,0)</f>
        <v>Rulman</v>
      </c>
      <c r="E61" s="5" t="str">
        <f>VLOOKUP(B61,[2]!Tablo1[#Data],10,0)</f>
        <v>6002-ZZ</v>
      </c>
      <c r="F61" s="1">
        <v>1</v>
      </c>
      <c r="G61" s="4">
        <f>VLOOKUP(B61,[2]!Tablo1[#Data],13,0)</f>
        <v>0.5</v>
      </c>
      <c r="H61" s="3">
        <f t="shared" si="0"/>
        <v>0.5</v>
      </c>
      <c r="I61" s="1" t="s">
        <v>2</v>
      </c>
      <c r="J61" s="1" t="str">
        <f>VLOOKUP(B61,[2]!Tablo1[#Data],3,0)</f>
        <v>Edge Grinding</v>
      </c>
      <c r="K61" s="1" t="s">
        <v>21</v>
      </c>
      <c r="L61" s="2">
        <v>46043</v>
      </c>
      <c r="M61" s="1" t="str">
        <f t="shared" si="1"/>
        <v>Ocak</v>
      </c>
      <c r="N61" s="1" t="s">
        <v>36</v>
      </c>
    </row>
    <row r="62" spans="1:14" x14ac:dyDescent="0.3">
      <c r="A62" s="1">
        <v>60</v>
      </c>
      <c r="B62" s="1">
        <v>100057</v>
      </c>
      <c r="C62" s="1" t="str">
        <f>VLOOKUP(B62,[2]!Tablo1[#Data],16,0)</f>
        <v>15-B</v>
      </c>
      <c r="D62" s="1" t="str">
        <f>VLOOKUP(B62,[2]!Tablo1[#Data],7,0)</f>
        <v>Piston</v>
      </c>
      <c r="E62" s="5" t="str">
        <f>VLOOKUP(B62,[2]!Tablo1[#Data],10,0)</f>
        <v>TCL20x80S</v>
      </c>
      <c r="F62" s="1">
        <v>1</v>
      </c>
      <c r="G62" s="4">
        <f>VLOOKUP(B62,[2]!Tablo1[#Data],13,0)</f>
        <v>0</v>
      </c>
      <c r="H62" s="3">
        <f t="shared" si="0"/>
        <v>0</v>
      </c>
      <c r="I62" s="1" t="s">
        <v>2</v>
      </c>
      <c r="J62" s="1" t="str">
        <f>VLOOKUP(B62,[2]!Tablo1[#Data],3,0)</f>
        <v>Glass Loader</v>
      </c>
      <c r="K62" s="1" t="s">
        <v>37</v>
      </c>
      <c r="L62" s="2">
        <v>46043</v>
      </c>
      <c r="M62" s="1" t="str">
        <f t="shared" si="1"/>
        <v>Ocak</v>
      </c>
      <c r="N62" s="1" t="s">
        <v>34</v>
      </c>
    </row>
    <row r="63" spans="1:14" x14ac:dyDescent="0.3">
      <c r="A63" s="1">
        <v>61</v>
      </c>
      <c r="B63" s="1">
        <v>101248</v>
      </c>
      <c r="C63" s="1" t="str">
        <f>VLOOKUP(B63,[2]!Tablo1[#Data],16,0)</f>
        <v>313-A</v>
      </c>
      <c r="D63" s="1" t="str">
        <f>VLOOKUP(B63,[2]!Tablo1[#Data],7,0)</f>
        <v>Konveyör Bandı</v>
      </c>
      <c r="E63" s="5" t="str">
        <f>VLOOKUP(B63,[2]!Tablo1[#Data],10,0)</f>
        <v>A050-86-08-002D</v>
      </c>
      <c r="F63" s="1">
        <v>1</v>
      </c>
      <c r="G63" s="4">
        <f>VLOOKUP(B63,[2]!Tablo1[#Data],13,0)</f>
        <v>200</v>
      </c>
      <c r="H63" s="3">
        <f t="shared" si="0"/>
        <v>200</v>
      </c>
      <c r="I63" s="1" t="s">
        <v>2</v>
      </c>
      <c r="J63" s="1" t="str">
        <f>VLOOKUP(B63,[2]!Tablo1[#Data],3,0)</f>
        <v>Stringer</v>
      </c>
      <c r="K63" s="1" t="s">
        <v>13</v>
      </c>
      <c r="L63" s="2">
        <v>46044</v>
      </c>
      <c r="M63" s="1" t="str">
        <f t="shared" si="1"/>
        <v>Ocak</v>
      </c>
      <c r="N63" s="1" t="s">
        <v>0</v>
      </c>
    </row>
    <row r="64" spans="1:14" ht="28.8" x14ac:dyDescent="0.3">
      <c r="A64" s="1">
        <v>62</v>
      </c>
      <c r="B64" s="1">
        <v>100900</v>
      </c>
      <c r="C64" s="1" t="str">
        <f>VLOOKUP(B64,[2]!Tablo1[#Data],16,0)</f>
        <v>226-A</v>
      </c>
      <c r="D64" s="1" t="str">
        <f>VLOOKUP(B64,[2]!Tablo1[#Data],7,0)</f>
        <v>Flaş Tüp</v>
      </c>
      <c r="E64" s="5" t="str">
        <f>VLOOKUP(B64,[2]!Tablo1[#Data],10,0)</f>
        <v>Flash tubes for HighLIGHT, (Warranty 60'000 flashes)</v>
      </c>
      <c r="F64" s="1">
        <v>1</v>
      </c>
      <c r="G64" s="4">
        <f>VLOOKUP(B64,[2]!Tablo1[#Data],13,0)</f>
        <v>460</v>
      </c>
      <c r="H64" s="3">
        <f t="shared" si="0"/>
        <v>460</v>
      </c>
      <c r="I64" s="1" t="s">
        <v>5</v>
      </c>
      <c r="J64" s="1" t="str">
        <f>VLOOKUP(B64,[2]!Tablo1[#Data],3,0)</f>
        <v>IV Test</v>
      </c>
      <c r="K64" s="1" t="s">
        <v>32</v>
      </c>
      <c r="L64" s="2">
        <v>46044</v>
      </c>
      <c r="M64" s="1" t="str">
        <f t="shared" si="1"/>
        <v>Ocak</v>
      </c>
      <c r="N64" s="1" t="s">
        <v>16</v>
      </c>
    </row>
    <row r="65" spans="1:14" x14ac:dyDescent="0.3">
      <c r="A65" s="1">
        <v>63</v>
      </c>
      <c r="B65" s="1">
        <v>100451</v>
      </c>
      <c r="C65" s="1" t="str">
        <f>VLOOKUP(B65,[2]!Tablo1[#Data],16,0)</f>
        <v>113-D</v>
      </c>
      <c r="D65" s="1" t="str">
        <f>VLOOKUP(B65,[2]!Tablo1[#Data],7,0)</f>
        <v>Rulman</v>
      </c>
      <c r="E65" s="5">
        <f>VLOOKUP(B65,[2]!Tablo1[#Data],10,0)</f>
        <v>1204</v>
      </c>
      <c r="F65" s="1">
        <v>2</v>
      </c>
      <c r="G65" s="4">
        <f>VLOOKUP(B65,[2]!Tablo1[#Data],13,0)</f>
        <v>10.849056603773585</v>
      </c>
      <c r="H65" s="3">
        <f t="shared" si="0"/>
        <v>21.69811320754717</v>
      </c>
      <c r="I65" s="1" t="s">
        <v>2</v>
      </c>
      <c r="J65" s="1" t="str">
        <f>VLOOKUP(B65,[2]!Tablo1[#Data],3,0)</f>
        <v>Stringer</v>
      </c>
      <c r="K65" s="1" t="s">
        <v>20</v>
      </c>
      <c r="L65" s="2">
        <v>46044</v>
      </c>
      <c r="M65" s="1" t="str">
        <f t="shared" si="1"/>
        <v>Ocak</v>
      </c>
      <c r="N65" s="1" t="s">
        <v>36</v>
      </c>
    </row>
    <row r="66" spans="1:14" x14ac:dyDescent="0.3">
      <c r="A66" s="1">
        <v>64</v>
      </c>
      <c r="B66" s="1">
        <v>101193</v>
      </c>
      <c r="C66" s="1" t="str">
        <f>VLOOKUP(B66,[2]!Tablo1[#Data],16,0)</f>
        <v>299-B</v>
      </c>
      <c r="D66" s="1" t="str">
        <f>VLOOKUP(B66,[2]!Tablo1[#Data],7,0)</f>
        <v>Elektromıknatıs</v>
      </c>
      <c r="E66" s="5" t="str">
        <f>VLOOKUP(B66,[2]!Tablo1[#Data],10,0)</f>
        <v>A050E-10-43-003B</v>
      </c>
      <c r="F66" s="1">
        <v>2</v>
      </c>
      <c r="G66" s="4">
        <f>VLOOKUP(B66,[2]!Tablo1[#Data],13,0)</f>
        <v>9.5299999999999994</v>
      </c>
      <c r="H66" s="3">
        <f t="shared" si="0"/>
        <v>19.059999999999999</v>
      </c>
      <c r="I66" s="1" t="s">
        <v>2</v>
      </c>
      <c r="J66" s="1" t="str">
        <f>VLOOKUP(B66,[2]!Tablo1[#Data],3,0)</f>
        <v>Stringer</v>
      </c>
      <c r="K66" s="1" t="s">
        <v>13</v>
      </c>
      <c r="L66" s="2">
        <v>46045</v>
      </c>
      <c r="M66" s="1" t="str">
        <f t="shared" si="1"/>
        <v>Ocak</v>
      </c>
      <c r="N66" s="1" t="s">
        <v>34</v>
      </c>
    </row>
    <row r="67" spans="1:14" x14ac:dyDescent="0.3">
      <c r="A67" s="1">
        <v>65</v>
      </c>
      <c r="B67" s="1">
        <v>100601</v>
      </c>
      <c r="C67" s="1" t="str">
        <f>VLOOKUP(B67,[2]!Tablo1[#Data],16,0)</f>
        <v>151-B</v>
      </c>
      <c r="D67" s="1" t="str">
        <f>VLOOKUP(B67,[2]!Tablo1[#Data],7,0)</f>
        <v>LED Trafosu</v>
      </c>
      <c r="E67" s="5" t="str">
        <f>VLOOKUP(B67,[2]!Tablo1[#Data],10,0)</f>
        <v>JSD-36-48W</v>
      </c>
      <c r="F67" s="1">
        <v>1</v>
      </c>
      <c r="G67" s="4">
        <f>VLOOKUP(B67,[2]!Tablo1[#Data],13,0)</f>
        <v>4</v>
      </c>
      <c r="H67" s="3">
        <f t="shared" ref="H67:H130" si="2">F67*G67</f>
        <v>4</v>
      </c>
      <c r="I67" s="1" t="s">
        <v>5</v>
      </c>
      <c r="J67" s="1" t="str">
        <f>VLOOKUP(B67,[2]!Tablo1[#Data],3,0)</f>
        <v>EL&amp;AOI Test</v>
      </c>
      <c r="K67" s="1" t="s">
        <v>35</v>
      </c>
      <c r="L67" s="2">
        <v>46046</v>
      </c>
      <c r="M67" s="1" t="str">
        <f t="shared" ref="M67:M130" si="3">TEXT(L67,"aaaa")</f>
        <v>Ocak</v>
      </c>
      <c r="N67" s="1" t="s">
        <v>6</v>
      </c>
    </row>
    <row r="68" spans="1:14" x14ac:dyDescent="0.3">
      <c r="A68" s="1">
        <v>66</v>
      </c>
      <c r="B68" s="1">
        <v>101321</v>
      </c>
      <c r="C68" s="1" t="str">
        <f>VLOOKUP(B68,[2]!Tablo1[#Data],16,0)</f>
        <v>331-B</v>
      </c>
      <c r="D68" s="1" t="str">
        <f>VLOOKUP(B68,[2]!Tablo1[#Data],7,0)</f>
        <v>Küçük Serbest Montaj Silindiri</v>
      </c>
      <c r="E68" s="5" t="str">
        <f>VLOOKUP(B68,[2]!Tablo1[#Data],10,0)</f>
        <v>MU10×4</v>
      </c>
      <c r="F68" s="1">
        <v>4</v>
      </c>
      <c r="G68" s="4">
        <f>VLOOKUP(B68,[2]!Tablo1[#Data],13,0)</f>
        <v>4</v>
      </c>
      <c r="H68" s="3">
        <f t="shared" si="2"/>
        <v>16</v>
      </c>
      <c r="I68" s="1" t="s">
        <v>2</v>
      </c>
      <c r="J68" s="1" t="str">
        <f>VLOOKUP(B68,[2]!Tablo1[#Data],3,0)</f>
        <v>Stringer</v>
      </c>
      <c r="K68" s="1" t="s">
        <v>7</v>
      </c>
      <c r="L68" s="2">
        <v>46046</v>
      </c>
      <c r="M68" s="1" t="str">
        <f t="shared" si="3"/>
        <v>Ocak</v>
      </c>
      <c r="N68" s="1" t="s">
        <v>0</v>
      </c>
    </row>
    <row r="69" spans="1:14" x14ac:dyDescent="0.3">
      <c r="A69" s="1">
        <v>67</v>
      </c>
      <c r="B69" s="1">
        <v>101248</v>
      </c>
      <c r="C69" s="1" t="str">
        <f>VLOOKUP(B69,[2]!Tablo1[#Data],16,0)</f>
        <v>313-A</v>
      </c>
      <c r="D69" s="1" t="str">
        <f>VLOOKUP(B69,[2]!Tablo1[#Data],7,0)</f>
        <v>Konveyör Bandı</v>
      </c>
      <c r="E69" s="5" t="str">
        <f>VLOOKUP(B69,[2]!Tablo1[#Data],10,0)</f>
        <v>A050-86-08-002D</v>
      </c>
      <c r="F69" s="1">
        <v>1</v>
      </c>
      <c r="G69" s="4">
        <f>VLOOKUP(B69,[2]!Tablo1[#Data],13,0)</f>
        <v>200</v>
      </c>
      <c r="H69" s="3">
        <f t="shared" si="2"/>
        <v>200</v>
      </c>
      <c r="I69" s="1" t="s">
        <v>2</v>
      </c>
      <c r="J69" s="1" t="str">
        <f>VLOOKUP(B69,[2]!Tablo1[#Data],3,0)</f>
        <v>Stringer</v>
      </c>
      <c r="K69" s="1" t="s">
        <v>8</v>
      </c>
      <c r="L69" s="2">
        <v>46048</v>
      </c>
      <c r="M69" s="1" t="str">
        <f t="shared" si="3"/>
        <v>Ocak</v>
      </c>
      <c r="N69" s="1" t="s">
        <v>0</v>
      </c>
    </row>
    <row r="70" spans="1:14" x14ac:dyDescent="0.3">
      <c r="A70" s="1">
        <v>68</v>
      </c>
      <c r="B70" s="1">
        <v>101248</v>
      </c>
      <c r="C70" s="1" t="str">
        <f>VLOOKUP(B70,[2]!Tablo1[#Data],16,0)</f>
        <v>313-A</v>
      </c>
      <c r="D70" s="1" t="str">
        <f>VLOOKUP(B70,[2]!Tablo1[#Data],7,0)</f>
        <v>Konveyör Bandı</v>
      </c>
      <c r="E70" s="5" t="str">
        <f>VLOOKUP(B70,[2]!Tablo1[#Data],10,0)</f>
        <v>A050-86-08-002D</v>
      </c>
      <c r="F70" s="1">
        <v>1</v>
      </c>
      <c r="G70" s="4">
        <f>VLOOKUP(B70,[2]!Tablo1[#Data],13,0)</f>
        <v>200</v>
      </c>
      <c r="H70" s="3">
        <f t="shared" si="2"/>
        <v>200</v>
      </c>
      <c r="I70" s="1" t="s">
        <v>2</v>
      </c>
      <c r="J70" s="1" t="str">
        <f>VLOOKUP(B70,[2]!Tablo1[#Data],3,0)</f>
        <v>Stringer</v>
      </c>
      <c r="K70" s="1" t="s">
        <v>14</v>
      </c>
      <c r="L70" s="2">
        <v>46048</v>
      </c>
      <c r="M70" s="1" t="str">
        <f t="shared" si="3"/>
        <v>Ocak</v>
      </c>
      <c r="N70" s="1" t="s">
        <v>0</v>
      </c>
    </row>
    <row r="71" spans="1:14" x14ac:dyDescent="0.3">
      <c r="A71" s="1">
        <v>69</v>
      </c>
      <c r="B71" s="1">
        <v>101188</v>
      </c>
      <c r="C71" s="1" t="str">
        <f>VLOOKUP(B71,[2]!Tablo1[#Data],16,0)</f>
        <v>298-A</v>
      </c>
      <c r="D71" s="1" t="str">
        <f>VLOOKUP(B71,[2]!Tablo1[#Data],7,0)</f>
        <v>Sabit Bilyalı Rulman</v>
      </c>
      <c r="E71" s="5" t="str">
        <f>VLOOKUP(B71,[2]!Tablo1[#Data],10,0)</f>
        <v>625ZZ R-1650HH</v>
      </c>
      <c r="F71" s="1">
        <v>2</v>
      </c>
      <c r="G71" s="4">
        <f>VLOOKUP(B71,[2]!Tablo1[#Data],13,0)</f>
        <v>1.19</v>
      </c>
      <c r="H71" s="3">
        <f t="shared" si="2"/>
        <v>2.38</v>
      </c>
      <c r="I71" s="1" t="s">
        <v>5</v>
      </c>
      <c r="J71" s="1" t="str">
        <f>VLOOKUP(B71,[2]!Tablo1[#Data],3,0)</f>
        <v>Stringer</v>
      </c>
      <c r="K71" s="1" t="s">
        <v>7</v>
      </c>
      <c r="L71" s="2">
        <v>46049</v>
      </c>
      <c r="M71" s="1" t="str">
        <f t="shared" si="3"/>
        <v>Ocak</v>
      </c>
      <c r="N71" s="1" t="s">
        <v>6</v>
      </c>
    </row>
    <row r="72" spans="1:14" x14ac:dyDescent="0.3">
      <c r="A72" s="1">
        <v>70</v>
      </c>
      <c r="B72" s="1">
        <v>101120</v>
      </c>
      <c r="C72" s="1" t="str">
        <f>VLOOKUP(B72,[2]!Tablo1[#Data],16,0)</f>
        <v>281-A</v>
      </c>
      <c r="D72" s="1" t="str">
        <f>VLOOKUP(B72,[2]!Tablo1[#Data],7,0)</f>
        <v>Hücre Besleme Teflon Bant</v>
      </c>
      <c r="E72" s="5" t="str">
        <f>VLOOKUP(B72,[2]!Tablo1[#Data],10,0)</f>
        <v>A050FG-80-12-03-004B</v>
      </c>
      <c r="F72" s="1">
        <v>1</v>
      </c>
      <c r="G72" s="4">
        <f>VLOOKUP(B72,[2]!Tablo1[#Data],13,0)</f>
        <v>48</v>
      </c>
      <c r="H72" s="3">
        <f t="shared" si="2"/>
        <v>48</v>
      </c>
      <c r="I72" s="1" t="s">
        <v>5</v>
      </c>
      <c r="J72" s="1" t="str">
        <f>VLOOKUP(B72,[2]!Tablo1[#Data],3,0)</f>
        <v>Lazer Kesim</v>
      </c>
      <c r="K72" s="1" t="s">
        <v>14</v>
      </c>
      <c r="L72" s="2">
        <v>46049</v>
      </c>
      <c r="M72" s="1" t="str">
        <f t="shared" si="3"/>
        <v>Ocak</v>
      </c>
      <c r="N72" s="1" t="s">
        <v>16</v>
      </c>
    </row>
    <row r="73" spans="1:14" x14ac:dyDescent="0.3">
      <c r="A73" s="1">
        <v>71</v>
      </c>
      <c r="B73" s="1">
        <v>101180</v>
      </c>
      <c r="C73" s="1" t="str">
        <f>VLOOKUP(B73,[2]!Tablo1[#Data],16,0)</f>
        <v>296-A</v>
      </c>
      <c r="D73" s="1" t="str">
        <f>VLOOKUP(B73,[2]!Tablo1[#Data],7,0)</f>
        <v>Konveyör Bant</v>
      </c>
      <c r="E73" s="5" t="str">
        <f>VLOOKUP(B73,[2]!Tablo1[#Data],10,0)</f>
        <v>A050-05-04-011A</v>
      </c>
      <c r="F73" s="1">
        <v>1</v>
      </c>
      <c r="G73" s="4">
        <f>VLOOKUP(B73,[2]!Tablo1[#Data],13,0)</f>
        <v>131.56</v>
      </c>
      <c r="H73" s="3">
        <f t="shared" si="2"/>
        <v>131.56</v>
      </c>
      <c r="I73" s="1" t="s">
        <v>2</v>
      </c>
      <c r="J73" s="1" t="str">
        <f>VLOOKUP(B73,[2]!Tablo1[#Data],3,0)</f>
        <v>Stringer</v>
      </c>
      <c r="K73" s="1" t="s">
        <v>20</v>
      </c>
      <c r="L73" s="2">
        <v>46049</v>
      </c>
      <c r="M73" s="1" t="str">
        <f t="shared" si="3"/>
        <v>Ocak</v>
      </c>
      <c r="N73" s="1" t="s">
        <v>34</v>
      </c>
    </row>
    <row r="74" spans="1:14" x14ac:dyDescent="0.3">
      <c r="A74" s="1">
        <v>72</v>
      </c>
      <c r="B74" s="1">
        <v>100794</v>
      </c>
      <c r="C74" s="1" t="str">
        <f>VLOOKUP(B74,[2]!Tablo1[#Data],16,0)</f>
        <v>199-C</v>
      </c>
      <c r="D74" s="1" t="str">
        <f>VLOOKUP(B74,[2]!Tablo1[#Data],7,0)</f>
        <v>6Ø  Hız Ayarlı Fittings</v>
      </c>
      <c r="E74" s="5" t="str">
        <f>VLOOKUP(B74,[2]!Tablo1[#Data],10,0)</f>
        <v>PSA6</v>
      </c>
      <c r="F74" s="1">
        <v>1</v>
      </c>
      <c r="G74" s="4">
        <f>VLOOKUP(B74,[2]!Tablo1[#Data],13,0)</f>
        <v>3.3018867924528301</v>
      </c>
      <c r="H74" s="3">
        <f t="shared" si="2"/>
        <v>3.3018867924528301</v>
      </c>
      <c r="I74" s="1" t="s">
        <v>5</v>
      </c>
      <c r="J74" s="1" t="str">
        <f>VLOOKUP(B74,[2]!Tablo1[#Data],3,0)</f>
        <v>Laser Cutter</v>
      </c>
      <c r="K74" s="1" t="s">
        <v>26</v>
      </c>
      <c r="L74" s="2">
        <v>46049</v>
      </c>
      <c r="M74" s="1" t="str">
        <f t="shared" si="3"/>
        <v>Ocak</v>
      </c>
      <c r="N74" s="1" t="s">
        <v>6</v>
      </c>
    </row>
    <row r="75" spans="1:14" x14ac:dyDescent="0.3">
      <c r="A75" s="1">
        <v>73</v>
      </c>
      <c r="B75" s="1">
        <v>101119</v>
      </c>
      <c r="C75" s="1" t="str">
        <f>VLOOKUP(B75,[2]!Tablo1[#Data],16,0)</f>
        <v>280-D</v>
      </c>
      <c r="D75" s="1" t="str">
        <f>VLOOKUP(B75,[2]!Tablo1[#Data],7,0)</f>
        <v>Çıkış Konveyör Bandı</v>
      </c>
      <c r="E75" s="5" t="str">
        <f>VLOOKUP(B75,[2]!Tablo1[#Data],10,0)</f>
        <v>4474x230</v>
      </c>
      <c r="F75" s="1">
        <v>1</v>
      </c>
      <c r="G75" s="4">
        <f>VLOOKUP(B75,[2]!Tablo1[#Data],13,0)</f>
        <v>160</v>
      </c>
      <c r="H75" s="3">
        <f t="shared" si="2"/>
        <v>160</v>
      </c>
      <c r="I75" s="1" t="s">
        <v>5</v>
      </c>
      <c r="J75" s="1" t="str">
        <f>VLOOKUP(B75,[2]!Tablo1[#Data],3,0)</f>
        <v>Stringer</v>
      </c>
      <c r="K75" s="1" t="s">
        <v>15</v>
      </c>
      <c r="L75" s="2">
        <v>46050</v>
      </c>
      <c r="M75" s="1" t="str">
        <f t="shared" si="3"/>
        <v>Ocak</v>
      </c>
      <c r="N75" s="1" t="s">
        <v>16</v>
      </c>
    </row>
    <row r="76" spans="1:14" x14ac:dyDescent="0.3">
      <c r="A76" s="1">
        <v>75</v>
      </c>
      <c r="B76" s="1">
        <v>101248</v>
      </c>
      <c r="C76" s="1" t="str">
        <f>VLOOKUP(B76,[2]!Tablo1[#Data],16,0)</f>
        <v>313-A</v>
      </c>
      <c r="D76" s="1" t="str">
        <f>VLOOKUP(B76,[2]!Tablo1[#Data],7,0)</f>
        <v>Konveyör Bandı</v>
      </c>
      <c r="E76" s="5" t="str">
        <f>VLOOKUP(B76,[2]!Tablo1[#Data],10,0)</f>
        <v>A050-86-08-002D</v>
      </c>
      <c r="F76" s="1">
        <v>1</v>
      </c>
      <c r="G76" s="4">
        <f>VLOOKUP(B76,[2]!Tablo1[#Data],13,0)</f>
        <v>200</v>
      </c>
      <c r="H76" s="3">
        <f t="shared" si="2"/>
        <v>200</v>
      </c>
      <c r="I76" s="1" t="s">
        <v>2</v>
      </c>
      <c r="J76" s="1" t="str">
        <f>VLOOKUP(B76,[2]!Tablo1[#Data],3,0)</f>
        <v>Stringer</v>
      </c>
      <c r="K76" s="1" t="s">
        <v>7</v>
      </c>
      <c r="L76" s="2">
        <v>46050</v>
      </c>
      <c r="M76" s="1" t="str">
        <f t="shared" si="3"/>
        <v>Ocak</v>
      </c>
      <c r="N76" s="1" t="s">
        <v>0</v>
      </c>
    </row>
    <row r="77" spans="1:14" x14ac:dyDescent="0.3">
      <c r="A77" s="1">
        <v>76</v>
      </c>
      <c r="B77" s="1">
        <v>100827</v>
      </c>
      <c r="C77" s="1" t="str">
        <f>VLOOKUP(B77,[2]!Tablo1[#Data],16,0)</f>
        <v>207-D</v>
      </c>
      <c r="D77" s="1" t="str">
        <f>VLOOKUP(B77,[2]!Tablo1[#Data],7,0)</f>
        <v>4Ø Hız Ayarlı Fittings</v>
      </c>
      <c r="E77" s="5" t="str">
        <f>VLOOKUP(B77,[2]!Tablo1[#Data],10,0)</f>
        <v>AS1002FS-04</v>
      </c>
      <c r="F77" s="1">
        <v>1</v>
      </c>
      <c r="G77" s="4">
        <f>VLOOKUP(B77,[2]!Tablo1[#Data],13,0)</f>
        <v>5.0999999999999996</v>
      </c>
      <c r="H77" s="3">
        <f t="shared" si="2"/>
        <v>5.0999999999999996</v>
      </c>
      <c r="I77" s="1" t="s">
        <v>5</v>
      </c>
      <c r="J77" s="1" t="str">
        <f>VLOOKUP(B77,[2]!Tablo1[#Data],3,0)</f>
        <v>Laser Cutter</v>
      </c>
      <c r="K77" s="1" t="s">
        <v>33</v>
      </c>
      <c r="L77" s="2">
        <v>46050</v>
      </c>
      <c r="M77" s="1" t="str">
        <f t="shared" si="3"/>
        <v>Ocak</v>
      </c>
      <c r="N77" s="1" t="s">
        <v>16</v>
      </c>
    </row>
    <row r="78" spans="1:14" x14ac:dyDescent="0.3">
      <c r="A78" s="1">
        <v>77</v>
      </c>
      <c r="B78" s="1">
        <v>101432</v>
      </c>
      <c r="C78" s="1" t="str">
        <f>VLOOKUP(B78,[2]!Tablo1[#Data],16,0)</f>
        <v>359-A</v>
      </c>
      <c r="D78" s="1" t="str">
        <f>VLOOKUP(B78,[2]!Tablo1[#Data],7,0)</f>
        <v>Vantuz</v>
      </c>
      <c r="E78" s="5" t="str">
        <f>VLOOKUP(B78,[2]!Tablo1[#Data],10,0)</f>
        <v>W2585L</v>
      </c>
      <c r="F78" s="1">
        <v>2</v>
      </c>
      <c r="G78" s="4">
        <f>VLOOKUP(B78,[2]!Tablo1[#Data],13,0)</f>
        <v>0.54</v>
      </c>
      <c r="H78" s="3">
        <f t="shared" si="2"/>
        <v>1.08</v>
      </c>
      <c r="I78" s="1" t="s">
        <v>5</v>
      </c>
      <c r="J78" s="1">
        <f>VLOOKUP(B78,[2]!Tablo1[#Data],3,0)</f>
        <v>0</v>
      </c>
      <c r="K78" s="1" t="s">
        <v>27</v>
      </c>
      <c r="L78" s="2">
        <v>46050</v>
      </c>
      <c r="M78" s="1" t="str">
        <f t="shared" si="3"/>
        <v>Ocak</v>
      </c>
      <c r="N78" s="1" t="s">
        <v>16</v>
      </c>
    </row>
    <row r="79" spans="1:14" x14ac:dyDescent="0.3">
      <c r="A79" s="1">
        <v>78</v>
      </c>
      <c r="B79" s="1">
        <v>101491</v>
      </c>
      <c r="C79" s="1" t="str">
        <f>VLOOKUP(B79,[2]!Tablo1[#Data],16,0)</f>
        <v>373-D</v>
      </c>
      <c r="D79" s="1" t="str">
        <f>VLOOKUP(B79,[2]!Tablo1[#Data],7,0)</f>
        <v>Rulman</v>
      </c>
      <c r="E79" s="5" t="str">
        <f>VLOOKUP(B79,[2]!Tablo1[#Data],10,0)</f>
        <v>6901Z</v>
      </c>
      <c r="F79" s="1">
        <v>2</v>
      </c>
      <c r="G79" s="4">
        <f>VLOOKUP(B79,[2]!Tablo1[#Data],13,0)</f>
        <v>0</v>
      </c>
      <c r="H79" s="3">
        <f t="shared" si="2"/>
        <v>0</v>
      </c>
      <c r="I79" s="1" t="s">
        <v>5</v>
      </c>
      <c r="J79" s="1">
        <f>VLOOKUP(B79,[2]!Tablo1[#Data],3,0)</f>
        <v>0</v>
      </c>
      <c r="K79" s="1" t="s">
        <v>7</v>
      </c>
      <c r="L79" s="2">
        <v>46050</v>
      </c>
      <c r="M79" s="1" t="str">
        <f t="shared" si="3"/>
        <v>Ocak</v>
      </c>
      <c r="N79" s="1" t="s">
        <v>16</v>
      </c>
    </row>
    <row r="80" spans="1:14" x14ac:dyDescent="0.3">
      <c r="A80" s="1">
        <v>79</v>
      </c>
      <c r="B80" s="1">
        <v>101193</v>
      </c>
      <c r="C80" s="1" t="str">
        <f>VLOOKUP(B80,[2]!Tablo1[#Data],16,0)</f>
        <v>299-B</v>
      </c>
      <c r="D80" s="1" t="str">
        <f>VLOOKUP(B80,[2]!Tablo1[#Data],7,0)</f>
        <v>Elektromıknatıs</v>
      </c>
      <c r="E80" s="5" t="str">
        <f>VLOOKUP(B80,[2]!Tablo1[#Data],10,0)</f>
        <v>A050E-10-43-003B</v>
      </c>
      <c r="F80" s="1">
        <v>4</v>
      </c>
      <c r="G80" s="4">
        <f>VLOOKUP(B80,[2]!Tablo1[#Data],13,0)</f>
        <v>9.5299999999999994</v>
      </c>
      <c r="H80" s="3">
        <f t="shared" si="2"/>
        <v>38.119999999999997</v>
      </c>
      <c r="I80" s="1" t="s">
        <v>2</v>
      </c>
      <c r="J80" s="1" t="str">
        <f>VLOOKUP(B80,[2]!Tablo1[#Data],3,0)</f>
        <v>Stringer</v>
      </c>
      <c r="K80" s="1" t="s">
        <v>1</v>
      </c>
      <c r="L80" s="2">
        <v>46051</v>
      </c>
      <c r="M80" s="1" t="str">
        <f t="shared" si="3"/>
        <v>Ocak</v>
      </c>
      <c r="N80" s="1" t="s">
        <v>0</v>
      </c>
    </row>
    <row r="81" spans="1:14" x14ac:dyDescent="0.3">
      <c r="A81" s="1">
        <v>80</v>
      </c>
      <c r="B81" s="1">
        <v>100823</v>
      </c>
      <c r="C81" s="1" t="str">
        <f>VLOOKUP(B81,[2]!Tablo1[#Data],16,0)</f>
        <v>206-D</v>
      </c>
      <c r="D81" s="1" t="str">
        <f>VLOOKUP(B81,[2]!Tablo1[#Data],7,0)</f>
        <v>Nozzle</v>
      </c>
      <c r="E81" s="5" t="str">
        <f>VLOOKUP(B81,[2]!Tablo1[#Data],10,0)</f>
        <v xml:space="preserve">A027K-73-41-00B </v>
      </c>
      <c r="F81" s="1">
        <v>2</v>
      </c>
      <c r="G81" s="4">
        <f>VLOOKUP(B81,[2]!Tablo1[#Data],13,0)</f>
        <v>67.924528301886795</v>
      </c>
      <c r="H81" s="3">
        <f t="shared" si="2"/>
        <v>135.84905660377359</v>
      </c>
      <c r="I81" s="1" t="s">
        <v>5</v>
      </c>
      <c r="J81" s="1" t="str">
        <f>VLOOKUP(B81,[2]!Tablo1[#Data],3,0)</f>
        <v>Laser Cutter</v>
      </c>
      <c r="K81" s="1" t="s">
        <v>4</v>
      </c>
      <c r="L81" s="2">
        <v>46051</v>
      </c>
      <c r="M81" s="1" t="str">
        <f t="shared" si="3"/>
        <v>Ocak</v>
      </c>
      <c r="N81" s="1" t="s">
        <v>16</v>
      </c>
    </row>
    <row r="82" spans="1:14" x14ac:dyDescent="0.3">
      <c r="A82" s="1">
        <v>81</v>
      </c>
      <c r="B82" s="1">
        <v>100339</v>
      </c>
      <c r="C82" s="1" t="str">
        <f>VLOOKUP(B82,[2]!Tablo1[#Data],16,0)</f>
        <v>85-D</v>
      </c>
      <c r="D82" s="1" t="str">
        <f>VLOOKUP(B82,[2]!Tablo1[#Data],7,0)</f>
        <v>Piston</v>
      </c>
      <c r="E82" s="5" t="str">
        <f>VLOOKUP(B82,[2]!Tablo1[#Data],10,0)</f>
        <v>TCM12×7.5S-WN255B</v>
      </c>
      <c r="F82" s="1">
        <v>1</v>
      </c>
      <c r="G82" s="4">
        <f>VLOOKUP(B82,[2]!Tablo1[#Data],13,0)</f>
        <v>33</v>
      </c>
      <c r="H82" s="3">
        <f t="shared" si="2"/>
        <v>33</v>
      </c>
      <c r="I82" s="1" t="s">
        <v>2</v>
      </c>
      <c r="J82" s="1" t="str">
        <f>VLOOKUP(B82,[2]!Tablo1[#Data],3,0)</f>
        <v>Stringer</v>
      </c>
      <c r="K82" s="1" t="s">
        <v>1</v>
      </c>
      <c r="L82" s="2">
        <v>46053</v>
      </c>
      <c r="M82" s="1" t="str">
        <f t="shared" si="3"/>
        <v>Ocak</v>
      </c>
      <c r="N82" s="1" t="s">
        <v>30</v>
      </c>
    </row>
    <row r="83" spans="1:14" x14ac:dyDescent="0.3">
      <c r="A83" s="1">
        <v>82</v>
      </c>
      <c r="B83" s="1">
        <v>101432</v>
      </c>
      <c r="C83" s="1" t="str">
        <f>VLOOKUP(B83,[2]!Tablo1[#Data],16,0)</f>
        <v>359-A</v>
      </c>
      <c r="D83" s="1" t="str">
        <f>VLOOKUP(B83,[2]!Tablo1[#Data],7,0)</f>
        <v>Vantuz</v>
      </c>
      <c r="E83" s="5" t="str">
        <f>VLOOKUP(B83,[2]!Tablo1[#Data],10,0)</f>
        <v>W2585L</v>
      </c>
      <c r="F83" s="1">
        <v>16</v>
      </c>
      <c r="G83" s="4">
        <f>VLOOKUP(B83,[2]!Tablo1[#Data],13,0)</f>
        <v>0.54</v>
      </c>
      <c r="H83" s="3">
        <f t="shared" si="2"/>
        <v>8.64</v>
      </c>
      <c r="I83" s="1" t="s">
        <v>2</v>
      </c>
      <c r="J83" s="1">
        <f>VLOOKUP(B83,[2]!Tablo1[#Data],3,0)</f>
        <v>0</v>
      </c>
      <c r="K83" s="1" t="s">
        <v>27</v>
      </c>
      <c r="L83" s="2">
        <v>46053</v>
      </c>
      <c r="M83" s="1" t="str">
        <f t="shared" si="3"/>
        <v>Ocak</v>
      </c>
      <c r="N83" s="1" t="s">
        <v>10</v>
      </c>
    </row>
    <row r="84" spans="1:14" x14ac:dyDescent="0.3">
      <c r="A84" s="1">
        <v>83</v>
      </c>
      <c r="B84" s="1">
        <v>101433</v>
      </c>
      <c r="C84" s="1" t="str">
        <f>VLOOKUP(B84,[2]!Tablo1[#Data],16,0)</f>
        <v>359-B</v>
      </c>
      <c r="D84" s="1" t="str">
        <f>VLOOKUP(B84,[2]!Tablo1[#Data],7,0)</f>
        <v>Vantuz</v>
      </c>
      <c r="E84" s="5" t="str">
        <f>VLOOKUP(B84,[2]!Tablo1[#Data],10,0)</f>
        <v>W2586L</v>
      </c>
      <c r="F84" s="1">
        <v>16</v>
      </c>
      <c r="G84" s="4">
        <f>VLOOKUP(B84,[2]!Tablo1[#Data],13,0)</f>
        <v>0.54</v>
      </c>
      <c r="H84" s="3">
        <f t="shared" si="2"/>
        <v>8.64</v>
      </c>
      <c r="I84" s="1" t="s">
        <v>2</v>
      </c>
      <c r="J84" s="1">
        <f>VLOOKUP(B84,[2]!Tablo1[#Data],3,0)</f>
        <v>0</v>
      </c>
      <c r="K84" s="1" t="s">
        <v>27</v>
      </c>
      <c r="L84" s="2">
        <v>46053</v>
      </c>
      <c r="M84" s="1" t="str">
        <f t="shared" si="3"/>
        <v>Ocak</v>
      </c>
      <c r="N84" s="1" t="s">
        <v>10</v>
      </c>
    </row>
    <row r="85" spans="1:14" x14ac:dyDescent="0.3">
      <c r="A85" s="1">
        <v>84</v>
      </c>
      <c r="B85" s="1">
        <v>101228</v>
      </c>
      <c r="C85" s="1" t="str">
        <f>VLOOKUP(B85,[2]!Tablo1[#Data],16,0)</f>
        <v>308-A</v>
      </c>
      <c r="D85" s="1" t="str">
        <f>VLOOKUP(B85,[2]!Tablo1[#Data],7,0)</f>
        <v>Entegre Vakum Jeneratörü</v>
      </c>
      <c r="E85" s="5" t="str">
        <f>VLOOKUP(B85,[2]!Tablo1[#Data],10,0)</f>
        <v>SCPSb-10-S04-NC-VD-K- NPN</v>
      </c>
      <c r="F85" s="1">
        <v>1</v>
      </c>
      <c r="G85" s="4">
        <f>VLOOKUP(B85,[2]!Tablo1[#Data],13,0)</f>
        <v>259.38</v>
      </c>
      <c r="H85" s="3">
        <f t="shared" si="2"/>
        <v>259.38</v>
      </c>
      <c r="I85" s="1" t="s">
        <v>5</v>
      </c>
      <c r="J85" s="1" t="str">
        <f>VLOOKUP(B85,[2]!Tablo1[#Data],3,0)</f>
        <v>Stringer</v>
      </c>
      <c r="K85" s="1" t="s">
        <v>7</v>
      </c>
      <c r="L85" s="2">
        <v>46053</v>
      </c>
      <c r="M85" s="1" t="str">
        <f t="shared" si="3"/>
        <v>Ocak</v>
      </c>
      <c r="N85" s="1" t="s">
        <v>16</v>
      </c>
    </row>
    <row r="86" spans="1:14" x14ac:dyDescent="0.3">
      <c r="A86" s="1">
        <v>85</v>
      </c>
      <c r="B86" s="1">
        <v>100053</v>
      </c>
      <c r="C86" s="1" t="str">
        <f>VLOOKUP(B86,[2]!Tablo1[#Data],16,0)</f>
        <v>14-B</v>
      </c>
      <c r="D86" s="1" t="str">
        <f>VLOOKUP(B86,[2]!Tablo1[#Data],7,0)</f>
        <v>Rulman</v>
      </c>
      <c r="E86" s="5">
        <f>VLOOKUP(B86,[2]!Tablo1[#Data],10,0)</f>
        <v>6004</v>
      </c>
      <c r="F86" s="1">
        <v>2</v>
      </c>
      <c r="G86" s="4">
        <f>VLOOKUP(B86,[2]!Tablo1[#Data],13,0)</f>
        <v>2</v>
      </c>
      <c r="H86" s="3">
        <f t="shared" si="2"/>
        <v>4</v>
      </c>
      <c r="I86" s="1" t="s">
        <v>5</v>
      </c>
      <c r="J86" s="1" t="str">
        <f>VLOOKUP(B86,[2]!Tablo1[#Data],3,0)</f>
        <v>Glass Loader</v>
      </c>
      <c r="K86" s="1" t="s">
        <v>29</v>
      </c>
      <c r="L86" s="2">
        <v>46053</v>
      </c>
      <c r="M86" s="1" t="str">
        <f t="shared" si="3"/>
        <v>Ocak</v>
      </c>
      <c r="N86" s="1" t="s">
        <v>30</v>
      </c>
    </row>
    <row r="87" spans="1:14" x14ac:dyDescent="0.3">
      <c r="A87" s="1">
        <v>86</v>
      </c>
      <c r="B87" s="1">
        <v>101181</v>
      </c>
      <c r="C87" s="1" t="str">
        <f>VLOOKUP(B87,[2]!Tablo1[#Data],16,0)</f>
        <v>296-B</v>
      </c>
      <c r="D87" s="1" t="str">
        <f>VLOOKUP(B87,[2]!Tablo1[#Data],7,0)</f>
        <v>Normal Yüzük</v>
      </c>
      <c r="E87" s="5" t="str">
        <f>VLOOKUP(B87,[2]!Tablo1[#Data],10,0)</f>
        <v>A050-05-04-03-021B</v>
      </c>
      <c r="F87" s="1">
        <v>4</v>
      </c>
      <c r="G87" s="4">
        <f>VLOOKUP(B87,[2]!Tablo1[#Data],13,0)</f>
        <v>4.67</v>
      </c>
      <c r="H87" s="3">
        <f t="shared" si="2"/>
        <v>18.68</v>
      </c>
      <c r="I87" s="1" t="s">
        <v>5</v>
      </c>
      <c r="J87" s="1" t="str">
        <f>VLOOKUP(B87,[2]!Tablo1[#Data],3,0)</f>
        <v>Stringer</v>
      </c>
      <c r="K87" s="1" t="s">
        <v>19</v>
      </c>
      <c r="L87" s="2">
        <v>46055</v>
      </c>
      <c r="M87" s="1" t="str">
        <f t="shared" si="3"/>
        <v>Şubat</v>
      </c>
      <c r="N87" s="1" t="s">
        <v>16</v>
      </c>
    </row>
    <row r="88" spans="1:14" x14ac:dyDescent="0.3">
      <c r="A88" s="1">
        <v>87</v>
      </c>
      <c r="B88" s="1">
        <v>100641</v>
      </c>
      <c r="C88" s="1" t="str">
        <f>VLOOKUP(B88,[2]!Tablo1[#Data],16,0)</f>
        <v>161-B</v>
      </c>
      <c r="D88" s="1" t="str">
        <f>VLOOKUP(B88,[2]!Tablo1[#Data],7,0)</f>
        <v>Membran</v>
      </c>
      <c r="E88" s="5" t="str">
        <f>VLOOKUP(B88,[2]!Tablo1[#Data],10,0)</f>
        <v>4*3000*8060</v>
      </c>
      <c r="F88" s="1">
        <v>1</v>
      </c>
      <c r="G88" s="4">
        <f>VLOOKUP(B88,[2]!Tablo1[#Data],13,0)</f>
        <v>2200</v>
      </c>
      <c r="H88" s="3">
        <f t="shared" si="2"/>
        <v>2200</v>
      </c>
      <c r="I88" s="1" t="s">
        <v>2</v>
      </c>
      <c r="J88" s="1" t="str">
        <f>VLOOKUP(B88,[2]!Tablo1[#Data],3,0)</f>
        <v>Laminator</v>
      </c>
      <c r="K88" s="1" t="s">
        <v>9</v>
      </c>
      <c r="L88" s="2">
        <v>46055</v>
      </c>
      <c r="M88" s="1" t="str">
        <f t="shared" si="3"/>
        <v>Şubat</v>
      </c>
      <c r="N88" s="1" t="s">
        <v>0</v>
      </c>
    </row>
    <row r="89" spans="1:14" x14ac:dyDescent="0.3">
      <c r="A89" s="1">
        <v>88</v>
      </c>
      <c r="B89" s="1">
        <v>100643</v>
      </c>
      <c r="C89" s="1" t="str">
        <f>VLOOKUP(B89,[2]!Tablo1[#Data],16,0)</f>
        <v>161-D</v>
      </c>
      <c r="D89" s="1" t="str">
        <f>VLOOKUP(B89,[2]!Tablo1[#Data],7,0)</f>
        <v>Silikon Conta 8"</v>
      </c>
      <c r="E89" s="5" t="str">
        <f>VLOOKUP(B89,[2]!Tablo1[#Data],10,0)</f>
        <v>8" Silicone O-Ring</v>
      </c>
      <c r="F89" s="1">
        <v>1</v>
      </c>
      <c r="G89" s="4">
        <f>VLOOKUP(B89,[2]!Tablo1[#Data],13,0)</f>
        <v>11</v>
      </c>
      <c r="H89" s="3">
        <f t="shared" si="2"/>
        <v>11</v>
      </c>
      <c r="I89" s="1" t="s">
        <v>2</v>
      </c>
      <c r="J89" s="1" t="str">
        <f>VLOOKUP(B89,[2]!Tablo1[#Data],3,0)</f>
        <v>Laminator</v>
      </c>
      <c r="K89" s="1" t="s">
        <v>9</v>
      </c>
      <c r="L89" s="2">
        <v>46055</v>
      </c>
      <c r="M89" s="1" t="str">
        <f t="shared" si="3"/>
        <v>Şubat</v>
      </c>
      <c r="N89" s="1" t="s">
        <v>0</v>
      </c>
    </row>
    <row r="90" spans="1:14" x14ac:dyDescent="0.3">
      <c r="A90" s="1">
        <v>89</v>
      </c>
      <c r="B90" s="1">
        <v>101248</v>
      </c>
      <c r="C90" s="1" t="str">
        <f>VLOOKUP(B90,[2]!Tablo1[#Data],16,0)</f>
        <v>313-A</v>
      </c>
      <c r="D90" s="1" t="str">
        <f>VLOOKUP(B90,[2]!Tablo1[#Data],7,0)</f>
        <v>Konveyör Bandı</v>
      </c>
      <c r="E90" s="5" t="str">
        <f>VLOOKUP(B90,[2]!Tablo1[#Data],10,0)</f>
        <v>A050-86-08-002D</v>
      </c>
      <c r="F90" s="1">
        <v>1</v>
      </c>
      <c r="G90" s="4">
        <f>VLOOKUP(B90,[2]!Tablo1[#Data],13,0)</f>
        <v>200</v>
      </c>
      <c r="H90" s="3">
        <f t="shared" si="2"/>
        <v>200</v>
      </c>
      <c r="I90" s="1" t="s">
        <v>5</v>
      </c>
      <c r="J90" s="1" t="str">
        <f>VLOOKUP(B90,[2]!Tablo1[#Data],3,0)</f>
        <v>Stringer</v>
      </c>
      <c r="K90" s="1" t="s">
        <v>19</v>
      </c>
      <c r="L90" s="2">
        <v>46055</v>
      </c>
      <c r="M90" s="1" t="str">
        <f t="shared" si="3"/>
        <v>Şubat</v>
      </c>
      <c r="N90" s="1" t="s">
        <v>3</v>
      </c>
    </row>
    <row r="91" spans="1:14" x14ac:dyDescent="0.3">
      <c r="A91" s="1">
        <v>90</v>
      </c>
      <c r="B91" s="1">
        <v>101248</v>
      </c>
      <c r="C91" s="1" t="str">
        <f>VLOOKUP(B91,[2]!Tablo1[#Data],16,0)</f>
        <v>313-A</v>
      </c>
      <c r="D91" s="1" t="str">
        <f>VLOOKUP(B91,[2]!Tablo1[#Data],7,0)</f>
        <v>Konveyör Bandı</v>
      </c>
      <c r="E91" s="5" t="str">
        <f>VLOOKUP(B91,[2]!Tablo1[#Data],10,0)</f>
        <v>A050-86-08-002D</v>
      </c>
      <c r="F91" s="1">
        <v>1</v>
      </c>
      <c r="G91" s="4">
        <f>VLOOKUP(B91,[2]!Tablo1[#Data],13,0)</f>
        <v>200</v>
      </c>
      <c r="H91" s="3">
        <f t="shared" si="2"/>
        <v>200</v>
      </c>
      <c r="I91" s="1" t="s">
        <v>5</v>
      </c>
      <c r="J91" s="1" t="str">
        <f>VLOOKUP(B91,[2]!Tablo1[#Data],3,0)</f>
        <v>Stringer</v>
      </c>
      <c r="K91" s="1" t="s">
        <v>8</v>
      </c>
      <c r="L91" s="2">
        <v>46055</v>
      </c>
      <c r="M91" s="1" t="str">
        <f t="shared" si="3"/>
        <v>Şubat</v>
      </c>
      <c r="N91" s="1" t="s">
        <v>3</v>
      </c>
    </row>
    <row r="92" spans="1:14" x14ac:dyDescent="0.3">
      <c r="A92" s="1">
        <v>91</v>
      </c>
      <c r="B92" s="1">
        <v>100601</v>
      </c>
      <c r="C92" s="1" t="str">
        <f>VLOOKUP(B92,[2]!Tablo1[#Data],16,0)</f>
        <v>151-B</v>
      </c>
      <c r="D92" s="1" t="str">
        <f>VLOOKUP(B92,[2]!Tablo1[#Data],7,0)</f>
        <v>LED Trafosu</v>
      </c>
      <c r="E92" s="5" t="str">
        <f>VLOOKUP(B92,[2]!Tablo1[#Data],10,0)</f>
        <v>JSD-36-48W</v>
      </c>
      <c r="F92" s="1">
        <v>1</v>
      </c>
      <c r="G92" s="4">
        <f>VLOOKUP(B92,[2]!Tablo1[#Data],13,0)</f>
        <v>4</v>
      </c>
      <c r="H92" s="3">
        <f t="shared" si="2"/>
        <v>4</v>
      </c>
      <c r="I92" s="1" t="s">
        <v>5</v>
      </c>
      <c r="J92" s="1" t="str">
        <f>VLOOKUP(B92,[2]!Tablo1[#Data],3,0)</f>
        <v>EL&amp;AOI Test</v>
      </c>
      <c r="K92" s="1" t="s">
        <v>32</v>
      </c>
      <c r="L92" s="2">
        <v>46055</v>
      </c>
      <c r="M92" s="1" t="str">
        <f t="shared" si="3"/>
        <v>Şubat</v>
      </c>
      <c r="N92" s="1" t="s">
        <v>17</v>
      </c>
    </row>
    <row r="93" spans="1:14" x14ac:dyDescent="0.3">
      <c r="A93" s="1">
        <v>92</v>
      </c>
      <c r="B93" s="1">
        <v>100032</v>
      </c>
      <c r="C93" s="1" t="str">
        <f>VLOOKUP(B93,[2]!Tablo1[#Data],16,0)</f>
        <v>9-A</v>
      </c>
      <c r="D93" s="1" t="str">
        <f>VLOOKUP(B93,[2]!Tablo1[#Data],7,0)</f>
        <v>Manyetik Sensör Sabitleyici</v>
      </c>
      <c r="E93" s="5" t="str">
        <f>VLOOKUP(B93,[2]!Tablo1[#Data],10,0)</f>
        <v>F-SC32SH / 亚德客</v>
      </c>
      <c r="F93" s="1">
        <v>4</v>
      </c>
      <c r="G93" s="4">
        <f>VLOOKUP(B93,[2]!Tablo1[#Data],13,0)</f>
        <v>2</v>
      </c>
      <c r="H93" s="3">
        <f t="shared" si="2"/>
        <v>8</v>
      </c>
      <c r="I93" s="1" t="s">
        <v>5</v>
      </c>
      <c r="J93" s="1" t="str">
        <f>VLOOKUP(B93,[2]!Tablo1[#Data],3,0)</f>
        <v>Auto Rotary CV</v>
      </c>
      <c r="K93" s="1" t="s">
        <v>7</v>
      </c>
      <c r="L93" s="2">
        <v>46055</v>
      </c>
      <c r="M93" s="1" t="str">
        <f t="shared" si="3"/>
        <v>Şubat</v>
      </c>
      <c r="N93" s="1" t="s">
        <v>17</v>
      </c>
    </row>
    <row r="94" spans="1:14" x14ac:dyDescent="0.3">
      <c r="A94" s="1">
        <v>93</v>
      </c>
      <c r="B94" s="1">
        <v>101134</v>
      </c>
      <c r="C94" s="1" t="str">
        <f>VLOOKUP(B94,[2]!Tablo1[#Data],16,0)</f>
        <v>284-C</v>
      </c>
      <c r="D94" s="1" t="str">
        <f>VLOOKUP(B94,[2]!Tablo1[#Data],7,0)</f>
        <v>Yay</v>
      </c>
      <c r="E94" s="5" t="str">
        <f>VLOOKUP(B94,[2]!Tablo1[#Data],10,0)</f>
        <v>0.32×3×10-9-SUS304</v>
      </c>
      <c r="F94" s="1">
        <v>10</v>
      </c>
      <c r="G94" s="4">
        <f>VLOOKUP(B94,[2]!Tablo1[#Data],13,0)</f>
        <v>0.2</v>
      </c>
      <c r="H94" s="3">
        <f t="shared" si="2"/>
        <v>2</v>
      </c>
      <c r="I94" s="1" t="s">
        <v>5</v>
      </c>
      <c r="J94" s="1" t="str">
        <f>VLOOKUP(B94,[2]!Tablo1[#Data],3,0)</f>
        <v>Stringer</v>
      </c>
      <c r="K94" s="1" t="s">
        <v>19</v>
      </c>
      <c r="L94" s="2">
        <v>46055</v>
      </c>
      <c r="M94" s="1" t="str">
        <f t="shared" si="3"/>
        <v>Şubat</v>
      </c>
      <c r="N94" s="1" t="s">
        <v>16</v>
      </c>
    </row>
    <row r="95" spans="1:14" x14ac:dyDescent="0.3">
      <c r="A95" s="1">
        <v>94</v>
      </c>
      <c r="B95" s="1">
        <v>101214</v>
      </c>
      <c r="C95" s="1" t="str">
        <f>VLOOKUP(B95,[2]!Tablo1[#Data],16,0)</f>
        <v>304-C</v>
      </c>
      <c r="D95" s="1" t="str">
        <f>VLOOKUP(B95,[2]!Tablo1[#Data],7,0)</f>
        <v>İnce Sol Ayna</v>
      </c>
      <c r="E95" s="5" t="str">
        <f>VLOOKUP(B95,[2]!Tablo1[#Data],10,0)</f>
        <v>A050-35-21-051B</v>
      </c>
      <c r="F95" s="1">
        <v>5</v>
      </c>
      <c r="G95" s="4">
        <f>VLOOKUP(B95,[2]!Tablo1[#Data],13,0)</f>
        <v>4.5</v>
      </c>
      <c r="H95" s="3">
        <f t="shared" si="2"/>
        <v>22.5</v>
      </c>
      <c r="I95" s="1" t="s">
        <v>5</v>
      </c>
      <c r="J95" s="1" t="str">
        <f>VLOOKUP(B95,[2]!Tablo1[#Data],3,0)</f>
        <v>Stringer</v>
      </c>
      <c r="K95" s="1" t="s">
        <v>19</v>
      </c>
      <c r="L95" s="2">
        <v>46055</v>
      </c>
      <c r="M95" s="1" t="str">
        <f t="shared" si="3"/>
        <v>Şubat</v>
      </c>
      <c r="N95" s="1" t="s">
        <v>16</v>
      </c>
    </row>
    <row r="96" spans="1:14" x14ac:dyDescent="0.3">
      <c r="A96" s="1">
        <v>95</v>
      </c>
      <c r="B96" s="1">
        <v>101215</v>
      </c>
      <c r="C96" s="1" t="str">
        <f>VLOOKUP(B96,[2]!Tablo1[#Data],16,0)</f>
        <v>304-D</v>
      </c>
      <c r="D96" s="1" t="str">
        <f>VLOOKUP(B96,[2]!Tablo1[#Data],7,0)</f>
        <v>İnce Sağ Ayna</v>
      </c>
      <c r="E96" s="5" t="str">
        <f>VLOOKUP(B96,[2]!Tablo1[#Data],10,0)</f>
        <v>A050-35-21-052B</v>
      </c>
      <c r="F96" s="1">
        <v>5</v>
      </c>
      <c r="G96" s="4">
        <f>VLOOKUP(B96,[2]!Tablo1[#Data],13,0)</f>
        <v>4.5</v>
      </c>
      <c r="H96" s="3">
        <f t="shared" si="2"/>
        <v>22.5</v>
      </c>
      <c r="I96" s="1" t="s">
        <v>5</v>
      </c>
      <c r="J96" s="1" t="str">
        <f>VLOOKUP(B96,[2]!Tablo1[#Data],3,0)</f>
        <v>Stringer</v>
      </c>
      <c r="K96" s="1" t="s">
        <v>19</v>
      </c>
      <c r="L96" s="2">
        <v>46055</v>
      </c>
      <c r="M96" s="1" t="str">
        <f t="shared" si="3"/>
        <v>Şubat</v>
      </c>
      <c r="N96" s="1" t="s">
        <v>16</v>
      </c>
    </row>
    <row r="97" spans="1:14" x14ac:dyDescent="0.3">
      <c r="A97" s="1">
        <v>96</v>
      </c>
      <c r="B97" s="1">
        <v>101214</v>
      </c>
      <c r="C97" s="1" t="str">
        <f>VLOOKUP(B97,[2]!Tablo1[#Data],16,0)</f>
        <v>304-C</v>
      </c>
      <c r="D97" s="1" t="str">
        <f>VLOOKUP(B97,[2]!Tablo1[#Data],7,0)</f>
        <v>İnce Sol Ayna</v>
      </c>
      <c r="E97" s="5" t="str">
        <f>VLOOKUP(B97,[2]!Tablo1[#Data],10,0)</f>
        <v>A050-35-21-051B</v>
      </c>
      <c r="F97" s="1">
        <v>5</v>
      </c>
      <c r="G97" s="4">
        <f>VLOOKUP(B97,[2]!Tablo1[#Data],13,0)</f>
        <v>4.5</v>
      </c>
      <c r="H97" s="3">
        <f t="shared" si="2"/>
        <v>22.5</v>
      </c>
      <c r="I97" s="1" t="s">
        <v>5</v>
      </c>
      <c r="J97" s="1" t="str">
        <f>VLOOKUP(B97,[2]!Tablo1[#Data],3,0)</f>
        <v>Stringer</v>
      </c>
      <c r="K97" s="1" t="s">
        <v>19</v>
      </c>
      <c r="L97" s="2">
        <v>46056</v>
      </c>
      <c r="M97" s="1" t="str">
        <f t="shared" si="3"/>
        <v>Şubat</v>
      </c>
      <c r="N97" s="1" t="s">
        <v>16</v>
      </c>
    </row>
    <row r="98" spans="1:14" x14ac:dyDescent="0.3">
      <c r="A98" s="1">
        <v>97</v>
      </c>
      <c r="B98" s="1">
        <v>101215</v>
      </c>
      <c r="C98" s="1" t="str">
        <f>VLOOKUP(B98,[2]!Tablo1[#Data],16,0)</f>
        <v>304-D</v>
      </c>
      <c r="D98" s="1" t="str">
        <f>VLOOKUP(B98,[2]!Tablo1[#Data],7,0)</f>
        <v>İnce Sağ Ayna</v>
      </c>
      <c r="E98" s="5" t="str">
        <f>VLOOKUP(B98,[2]!Tablo1[#Data],10,0)</f>
        <v>A050-35-21-052B</v>
      </c>
      <c r="F98" s="1">
        <v>5</v>
      </c>
      <c r="G98" s="4">
        <f>VLOOKUP(B98,[2]!Tablo1[#Data],13,0)</f>
        <v>4.5</v>
      </c>
      <c r="H98" s="3">
        <f t="shared" si="2"/>
        <v>22.5</v>
      </c>
      <c r="I98" s="1" t="s">
        <v>5</v>
      </c>
      <c r="J98" s="1" t="str">
        <f>VLOOKUP(B98,[2]!Tablo1[#Data],3,0)</f>
        <v>Stringer</v>
      </c>
      <c r="K98" s="1" t="s">
        <v>19</v>
      </c>
      <c r="L98" s="2">
        <v>46056</v>
      </c>
      <c r="M98" s="1" t="str">
        <f t="shared" si="3"/>
        <v>Şubat</v>
      </c>
      <c r="N98" s="1" t="s">
        <v>16</v>
      </c>
    </row>
    <row r="99" spans="1:14" x14ac:dyDescent="0.3">
      <c r="A99" s="1">
        <v>98</v>
      </c>
      <c r="B99" s="1">
        <v>101214</v>
      </c>
      <c r="C99" s="1" t="str">
        <f>VLOOKUP(B99,[2]!Tablo1[#Data],16,0)</f>
        <v>304-C</v>
      </c>
      <c r="D99" s="1" t="str">
        <f>VLOOKUP(B99,[2]!Tablo1[#Data],7,0)</f>
        <v>İnce Sol Ayna</v>
      </c>
      <c r="E99" s="5" t="str">
        <f>VLOOKUP(B99,[2]!Tablo1[#Data],10,0)</f>
        <v>A050-35-21-051B</v>
      </c>
      <c r="F99" s="1">
        <v>32</v>
      </c>
      <c r="G99" s="4">
        <f>VLOOKUP(B99,[2]!Tablo1[#Data],13,0)</f>
        <v>4.5</v>
      </c>
      <c r="H99" s="3">
        <f t="shared" si="2"/>
        <v>144</v>
      </c>
      <c r="I99" s="1" t="s">
        <v>2</v>
      </c>
      <c r="J99" s="1" t="str">
        <f>VLOOKUP(B99,[2]!Tablo1[#Data],3,0)</f>
        <v>Stringer</v>
      </c>
      <c r="K99" s="1" t="s">
        <v>7</v>
      </c>
      <c r="L99" s="2">
        <v>46056</v>
      </c>
      <c r="M99" s="1" t="str">
        <f t="shared" si="3"/>
        <v>Şubat</v>
      </c>
      <c r="N99" s="1" t="s">
        <v>0</v>
      </c>
    </row>
    <row r="100" spans="1:14" x14ac:dyDescent="0.3">
      <c r="A100" s="1">
        <v>99</v>
      </c>
      <c r="B100" s="1">
        <v>101215</v>
      </c>
      <c r="C100" s="1" t="str">
        <f>VLOOKUP(B100,[2]!Tablo1[#Data],16,0)</f>
        <v>304-D</v>
      </c>
      <c r="D100" s="1" t="str">
        <f>VLOOKUP(B100,[2]!Tablo1[#Data],7,0)</f>
        <v>İnce Sağ Ayna</v>
      </c>
      <c r="E100" s="5" t="str">
        <f>VLOOKUP(B100,[2]!Tablo1[#Data],10,0)</f>
        <v>A050-35-21-052B</v>
      </c>
      <c r="F100" s="1">
        <v>32</v>
      </c>
      <c r="G100" s="4">
        <f>VLOOKUP(B100,[2]!Tablo1[#Data],13,0)</f>
        <v>4.5</v>
      </c>
      <c r="H100" s="3">
        <f t="shared" si="2"/>
        <v>144</v>
      </c>
      <c r="I100" s="1" t="s">
        <v>2</v>
      </c>
      <c r="J100" s="1" t="str">
        <f>VLOOKUP(B100,[2]!Tablo1[#Data],3,0)</f>
        <v>Stringer</v>
      </c>
      <c r="K100" s="1" t="s">
        <v>7</v>
      </c>
      <c r="L100" s="2">
        <v>46056</v>
      </c>
      <c r="M100" s="1" t="str">
        <f t="shared" si="3"/>
        <v>Şubat</v>
      </c>
      <c r="N100" s="1" t="s">
        <v>0</v>
      </c>
    </row>
    <row r="101" spans="1:14" x14ac:dyDescent="0.3">
      <c r="A101" s="1">
        <v>100</v>
      </c>
      <c r="B101" s="1">
        <v>101134</v>
      </c>
      <c r="C101" s="1" t="str">
        <f>VLOOKUP(B101,[2]!Tablo1[#Data],16,0)</f>
        <v>284-C</v>
      </c>
      <c r="D101" s="1" t="str">
        <f>VLOOKUP(B101,[2]!Tablo1[#Data],7,0)</f>
        <v>Yay</v>
      </c>
      <c r="E101" s="5" t="str">
        <f>VLOOKUP(B101,[2]!Tablo1[#Data],10,0)</f>
        <v>0.32×3×10-9-SUS304</v>
      </c>
      <c r="F101" s="1">
        <v>132</v>
      </c>
      <c r="G101" s="4">
        <f>VLOOKUP(B101,[2]!Tablo1[#Data],13,0)</f>
        <v>0.2</v>
      </c>
      <c r="H101" s="3">
        <f t="shared" si="2"/>
        <v>26.400000000000002</v>
      </c>
      <c r="I101" s="1" t="s">
        <v>2</v>
      </c>
      <c r="J101" s="1" t="str">
        <f>VLOOKUP(B101,[2]!Tablo1[#Data],3,0)</f>
        <v>Stringer</v>
      </c>
      <c r="K101" s="1" t="s">
        <v>7</v>
      </c>
      <c r="L101" s="2">
        <v>46056</v>
      </c>
      <c r="M101" s="1" t="str">
        <f t="shared" si="3"/>
        <v>Şubat</v>
      </c>
      <c r="N101" s="1" t="s">
        <v>0</v>
      </c>
    </row>
    <row r="102" spans="1:14" x14ac:dyDescent="0.3">
      <c r="A102" s="1">
        <v>101</v>
      </c>
      <c r="B102" s="1">
        <v>100823</v>
      </c>
      <c r="C102" s="1" t="str">
        <f>VLOOKUP(B102,[2]!Tablo1[#Data],16,0)</f>
        <v>206-D</v>
      </c>
      <c r="D102" s="1" t="str">
        <f>VLOOKUP(B102,[2]!Tablo1[#Data],7,0)</f>
        <v>Nozzle</v>
      </c>
      <c r="E102" s="5" t="str">
        <f>VLOOKUP(B102,[2]!Tablo1[#Data],10,0)</f>
        <v xml:space="preserve">A027K-73-41-00B </v>
      </c>
      <c r="F102" s="1">
        <v>1</v>
      </c>
      <c r="G102" s="4">
        <f>VLOOKUP(B102,[2]!Tablo1[#Data],13,0)</f>
        <v>67.924528301886795</v>
      </c>
      <c r="H102" s="3">
        <f t="shared" si="2"/>
        <v>67.924528301886795</v>
      </c>
      <c r="I102" s="1" t="s">
        <v>2</v>
      </c>
      <c r="J102" s="1" t="str">
        <f>VLOOKUP(B102,[2]!Tablo1[#Data],3,0)</f>
        <v>Laser Cutter</v>
      </c>
      <c r="K102" s="1" t="s">
        <v>4</v>
      </c>
      <c r="L102" s="2">
        <v>46057</v>
      </c>
      <c r="M102" s="1" t="str">
        <f t="shared" si="3"/>
        <v>Şubat</v>
      </c>
      <c r="N102" s="1" t="s">
        <v>10</v>
      </c>
    </row>
    <row r="103" spans="1:14" x14ac:dyDescent="0.3">
      <c r="A103" s="1">
        <v>102</v>
      </c>
      <c r="B103" s="1">
        <v>100827</v>
      </c>
      <c r="C103" s="1" t="str">
        <f>VLOOKUP(B103,[2]!Tablo1[#Data],16,0)</f>
        <v>207-D</v>
      </c>
      <c r="D103" s="1" t="str">
        <f>VLOOKUP(B103,[2]!Tablo1[#Data],7,0)</f>
        <v>4Ø Hız Ayarlı Fittings</v>
      </c>
      <c r="E103" s="5" t="str">
        <f>VLOOKUP(B103,[2]!Tablo1[#Data],10,0)</f>
        <v>AS1002FS-04</v>
      </c>
      <c r="F103" s="1">
        <v>2</v>
      </c>
      <c r="G103" s="4">
        <f>VLOOKUP(B103,[2]!Tablo1[#Data],13,0)</f>
        <v>5.0999999999999996</v>
      </c>
      <c r="H103" s="3">
        <f t="shared" si="2"/>
        <v>10.199999999999999</v>
      </c>
      <c r="I103" s="1" t="s">
        <v>2</v>
      </c>
      <c r="J103" s="1" t="str">
        <f>VLOOKUP(B103,[2]!Tablo1[#Data],3,0)</f>
        <v>Laser Cutter</v>
      </c>
      <c r="K103" s="1" t="s">
        <v>4</v>
      </c>
      <c r="L103" s="2">
        <v>46057</v>
      </c>
      <c r="M103" s="1" t="str">
        <f t="shared" si="3"/>
        <v>Şubat</v>
      </c>
      <c r="N103" s="1" t="s">
        <v>10</v>
      </c>
    </row>
    <row r="104" spans="1:14" x14ac:dyDescent="0.3">
      <c r="A104" s="1">
        <v>103</v>
      </c>
      <c r="B104" s="1">
        <v>101280</v>
      </c>
      <c r="C104" s="1" t="str">
        <f>VLOOKUP(B104,[2]!Tablo1[#Data],16,0)</f>
        <v>321-A</v>
      </c>
      <c r="D104" s="1" t="str">
        <f>VLOOKUP(B104,[2]!Tablo1[#Data],7,0)</f>
        <v>Ücretsiz Montaj Silindiri</v>
      </c>
      <c r="E104" s="5" t="str">
        <f>VLOOKUP(B104,[2]!Tablo1[#Data],10,0)</f>
        <v>WMUR10X8</v>
      </c>
      <c r="F104" s="1">
        <v>1</v>
      </c>
      <c r="G104" s="4">
        <f>VLOOKUP(B104,[2]!Tablo1[#Data],13,0)</f>
        <v>20.46</v>
      </c>
      <c r="H104" s="3">
        <f t="shared" si="2"/>
        <v>20.46</v>
      </c>
      <c r="I104" s="1" t="s">
        <v>2</v>
      </c>
      <c r="J104" s="1" t="str">
        <f>VLOOKUP(B104,[2]!Tablo1[#Data],3,0)</f>
        <v>Stringer</v>
      </c>
      <c r="K104" s="1" t="s">
        <v>1</v>
      </c>
      <c r="L104" s="2">
        <v>46057</v>
      </c>
      <c r="M104" s="1" t="str">
        <f t="shared" si="3"/>
        <v>Şubat</v>
      </c>
      <c r="N104" s="1" t="s">
        <v>0</v>
      </c>
    </row>
    <row r="105" spans="1:14" x14ac:dyDescent="0.3">
      <c r="A105" s="1">
        <v>104</v>
      </c>
      <c r="B105" s="1">
        <v>100396</v>
      </c>
      <c r="C105" s="1" t="str">
        <f>VLOOKUP(B105,[2]!Tablo1[#Data],16,0)</f>
        <v>100-A</v>
      </c>
      <c r="D105" s="1" t="str">
        <f>VLOOKUP(B105,[2]!Tablo1[#Data],7,0)</f>
        <v>Piston</v>
      </c>
      <c r="E105" s="5" t="str">
        <f>VLOOKUP(B105,[2]!Tablo1[#Data],10,0)</f>
        <v>CDUJB16-10D</v>
      </c>
      <c r="F105" s="1">
        <v>1</v>
      </c>
      <c r="G105" s="4">
        <f>VLOOKUP(B105,[2]!Tablo1[#Data],13,0)</f>
        <v>27.122641509433961</v>
      </c>
      <c r="H105" s="3">
        <f t="shared" si="2"/>
        <v>27.122641509433961</v>
      </c>
      <c r="I105" s="1" t="s">
        <v>2</v>
      </c>
      <c r="J105" s="1" t="str">
        <f>VLOOKUP(B105,[2]!Tablo1[#Data],3,0)</f>
        <v>Stringer</v>
      </c>
      <c r="K105" s="1" t="s">
        <v>1</v>
      </c>
      <c r="L105" s="2">
        <v>46057</v>
      </c>
      <c r="M105" s="1" t="str">
        <f t="shared" si="3"/>
        <v>Şubat</v>
      </c>
      <c r="N105" s="1" t="s">
        <v>0</v>
      </c>
    </row>
    <row r="106" spans="1:14" x14ac:dyDescent="0.3">
      <c r="A106" s="1">
        <v>105</v>
      </c>
      <c r="B106" s="1">
        <v>101188</v>
      </c>
      <c r="C106" s="1" t="str">
        <f>VLOOKUP(B106,[2]!Tablo1[#Data],16,0)</f>
        <v>298-A</v>
      </c>
      <c r="D106" s="1" t="str">
        <f>VLOOKUP(B106,[2]!Tablo1[#Data],7,0)</f>
        <v>Sabit Bilyalı Rulman</v>
      </c>
      <c r="E106" s="5" t="str">
        <f>VLOOKUP(B106,[2]!Tablo1[#Data],10,0)</f>
        <v>625ZZ R-1650HH</v>
      </c>
      <c r="F106" s="1">
        <v>1</v>
      </c>
      <c r="G106" s="4">
        <f>VLOOKUP(B106,[2]!Tablo1[#Data],13,0)</f>
        <v>1.19</v>
      </c>
      <c r="H106" s="3">
        <f t="shared" si="2"/>
        <v>1.19</v>
      </c>
      <c r="I106" s="1" t="s">
        <v>2</v>
      </c>
      <c r="J106" s="1" t="str">
        <f>VLOOKUP(B106,[2]!Tablo1[#Data],3,0)</f>
        <v>Stringer</v>
      </c>
      <c r="K106" s="1" t="s">
        <v>1</v>
      </c>
      <c r="L106" s="2">
        <v>46057</v>
      </c>
      <c r="M106" s="1" t="str">
        <f t="shared" si="3"/>
        <v>Şubat</v>
      </c>
      <c r="N106" s="1" t="s">
        <v>0</v>
      </c>
    </row>
    <row r="107" spans="1:14" x14ac:dyDescent="0.3">
      <c r="A107" s="1">
        <v>106</v>
      </c>
      <c r="B107" s="1">
        <v>101179</v>
      </c>
      <c r="C107" s="1" t="str">
        <f>VLOOKUP(B107,[2]!Tablo1[#Data],16,0)</f>
        <v>295-D</v>
      </c>
      <c r="D107" s="1" t="str">
        <f>VLOOKUP(B107,[2]!Tablo1[#Data],7,0)</f>
        <v xml:space="preserve"> Kama</v>
      </c>
      <c r="E107" s="5" t="str">
        <f>VLOOKUP(B107,[2]!Tablo1[#Data],10,0)</f>
        <v>A050-03-03-02-013M</v>
      </c>
      <c r="F107" s="1">
        <v>1</v>
      </c>
      <c r="G107" s="4">
        <f>VLOOKUP(B107,[2]!Tablo1[#Data],13,0)</f>
        <v>6.2</v>
      </c>
      <c r="H107" s="3">
        <f t="shared" si="2"/>
        <v>6.2</v>
      </c>
      <c r="I107" s="1" t="s">
        <v>2</v>
      </c>
      <c r="J107" s="1" t="str">
        <f>VLOOKUP(B107,[2]!Tablo1[#Data],3,0)</f>
        <v>Stringer</v>
      </c>
      <c r="K107" s="1" t="s">
        <v>1</v>
      </c>
      <c r="L107" s="2">
        <v>46057</v>
      </c>
      <c r="M107" s="1" t="str">
        <f t="shared" si="3"/>
        <v>Şubat</v>
      </c>
      <c r="N107" s="1" t="s">
        <v>0</v>
      </c>
    </row>
    <row r="108" spans="1:14" x14ac:dyDescent="0.3">
      <c r="A108" s="1">
        <v>107</v>
      </c>
      <c r="B108" s="1">
        <v>100398</v>
      </c>
      <c r="C108" s="1" t="str">
        <f>VLOOKUP(B108,[2]!Tablo1[#Data],16,0)</f>
        <v>100-C</v>
      </c>
      <c r="D108" s="1" t="str">
        <f>VLOOKUP(B108,[2]!Tablo1[#Data],7,0)</f>
        <v>Rulman</v>
      </c>
      <c r="E108" s="5" t="str">
        <f>VLOOKUP(B108,[2]!Tablo1[#Data],10,0)</f>
        <v>688AZZ1</v>
      </c>
      <c r="F108" s="1">
        <v>1</v>
      </c>
      <c r="G108" s="4">
        <f>VLOOKUP(B108,[2]!Tablo1[#Data],13,0)</f>
        <v>1.6509433962264151</v>
      </c>
      <c r="H108" s="3">
        <f t="shared" si="2"/>
        <v>1.6509433962264151</v>
      </c>
      <c r="I108" s="1" t="s">
        <v>2</v>
      </c>
      <c r="J108" s="1" t="str">
        <f>VLOOKUP(B108,[2]!Tablo1[#Data],3,0)</f>
        <v>Stringer</v>
      </c>
      <c r="K108" s="1" t="s">
        <v>1</v>
      </c>
      <c r="L108" s="2">
        <v>46058</v>
      </c>
      <c r="M108" s="1" t="str">
        <f t="shared" si="3"/>
        <v>Şubat</v>
      </c>
      <c r="N108" s="1" t="s">
        <v>0</v>
      </c>
    </row>
    <row r="109" spans="1:14" x14ac:dyDescent="0.3">
      <c r="A109" s="1">
        <v>108</v>
      </c>
      <c r="B109" s="1">
        <v>101400</v>
      </c>
      <c r="C109" s="1" t="str">
        <f>VLOOKUP(B109,[2]!Tablo1[#Data],16,0)</f>
        <v>351-A</v>
      </c>
      <c r="D109" s="1" t="str">
        <f>VLOOKUP(B109,[2]!Tablo1[#Data],7,0)</f>
        <v>İki Bileşenli Tutkal Temini</v>
      </c>
      <c r="E109" s="5" t="str">
        <f>VLOOKUP(B109,[2]!Tablo1[#Data],10,0)</f>
        <v>SPY-GF10-7K</v>
      </c>
      <c r="F109" s="1">
        <v>1</v>
      </c>
      <c r="G109" s="4">
        <f>VLOOKUP(B109,[2]!Tablo1[#Data],13,0)</f>
        <v>340</v>
      </c>
      <c r="H109" s="3">
        <f t="shared" si="2"/>
        <v>340</v>
      </c>
      <c r="I109" s="1" t="s">
        <v>2</v>
      </c>
      <c r="J109" s="1" t="str">
        <f>VLOOKUP(B109,[2]!Tablo1[#Data],3,0)</f>
        <v>Auto Potting</v>
      </c>
      <c r="K109" s="1" t="s">
        <v>31</v>
      </c>
      <c r="L109" s="2">
        <v>46058</v>
      </c>
      <c r="M109" s="1" t="str">
        <f t="shared" si="3"/>
        <v>Şubat</v>
      </c>
      <c r="N109" s="1" t="s">
        <v>0</v>
      </c>
    </row>
    <row r="110" spans="1:14" x14ac:dyDescent="0.3">
      <c r="A110" s="1">
        <v>109</v>
      </c>
      <c r="B110" s="1">
        <v>101496</v>
      </c>
      <c r="C110" s="1" t="str">
        <f>VLOOKUP(B110,[2]!Tablo1[#Data],16,0)</f>
        <v>375-A</v>
      </c>
      <c r="D110" s="1" t="str">
        <f>VLOOKUP(B110,[2]!Tablo1[#Data],7,0)</f>
        <v xml:space="preserve">Valf Başlığı </v>
      </c>
      <c r="E110" s="5" t="str">
        <f>VLOOKUP(B110,[2]!Tablo1[#Data],10,0)</f>
        <v>SPY-FJ3-GF7K</v>
      </c>
      <c r="F110" s="1">
        <v>1</v>
      </c>
      <c r="G110" s="4">
        <f>VLOOKUP(B110,[2]!Tablo1[#Data],13,0)</f>
        <v>0</v>
      </c>
      <c r="H110" s="3">
        <f t="shared" si="2"/>
        <v>0</v>
      </c>
      <c r="I110" s="1" t="s">
        <v>2</v>
      </c>
      <c r="J110" s="1">
        <f>VLOOKUP(B110,[2]!Tablo1[#Data],3,0)</f>
        <v>0</v>
      </c>
      <c r="K110" s="1" t="s">
        <v>31</v>
      </c>
      <c r="L110" s="2">
        <v>46058</v>
      </c>
      <c r="M110" s="1" t="str">
        <f t="shared" si="3"/>
        <v>Şubat</v>
      </c>
      <c r="N110" s="1" t="s">
        <v>0</v>
      </c>
    </row>
    <row r="111" spans="1:14" x14ac:dyDescent="0.3">
      <c r="A111" s="1">
        <v>110</v>
      </c>
      <c r="B111" s="1">
        <v>101188</v>
      </c>
      <c r="C111" s="1" t="str">
        <f>VLOOKUP(B111,[2]!Tablo1[#Data],16,0)</f>
        <v>298-A</v>
      </c>
      <c r="D111" s="1" t="str">
        <f>VLOOKUP(B111,[2]!Tablo1[#Data],7,0)</f>
        <v>Sabit Bilyalı Rulman</v>
      </c>
      <c r="E111" s="5" t="str">
        <f>VLOOKUP(B111,[2]!Tablo1[#Data],10,0)</f>
        <v>625ZZ R-1650HH</v>
      </c>
      <c r="F111" s="1">
        <v>1</v>
      </c>
      <c r="G111" s="4">
        <f>VLOOKUP(B111,[2]!Tablo1[#Data],13,0)</f>
        <v>1.19</v>
      </c>
      <c r="H111" s="3">
        <f t="shared" si="2"/>
        <v>1.19</v>
      </c>
      <c r="I111" s="1" t="s">
        <v>2</v>
      </c>
      <c r="J111" s="1" t="str">
        <f>VLOOKUP(B111,[2]!Tablo1[#Data],3,0)</f>
        <v>Stringer</v>
      </c>
      <c r="K111" s="1" t="s">
        <v>1</v>
      </c>
      <c r="L111" s="2">
        <v>46059</v>
      </c>
      <c r="M111" s="1" t="str">
        <f t="shared" si="3"/>
        <v>Şubat</v>
      </c>
      <c r="N111" s="1" t="s">
        <v>0</v>
      </c>
    </row>
    <row r="112" spans="1:14" ht="28.8" x14ac:dyDescent="0.3">
      <c r="A112" s="1">
        <v>111</v>
      </c>
      <c r="B112" s="1">
        <v>100535</v>
      </c>
      <c r="C112" s="1" t="str">
        <f>VLOOKUP(B112,[2]!Tablo1[#Data],16,0)</f>
        <v>134-D</v>
      </c>
      <c r="D112" s="1" t="str">
        <f>VLOOKUP(B112,[2]!Tablo1[#Data],7,0)</f>
        <v>Yakınlık Sensörü</v>
      </c>
      <c r="E112" s="5" t="str">
        <f>VLOOKUP(B112,[2]!Tablo1[#Data],10,0)</f>
        <v>E2B-S08KS02-WP-C1-ATW 2M OMS</v>
      </c>
      <c r="F112" s="1">
        <v>1</v>
      </c>
      <c r="G112" s="4">
        <f>VLOOKUP(B112,[2]!Tablo1[#Data],13,0)</f>
        <v>16.509433962264151</v>
      </c>
      <c r="H112" s="3">
        <f t="shared" si="2"/>
        <v>16.509433962264151</v>
      </c>
      <c r="I112" s="1" t="s">
        <v>2</v>
      </c>
      <c r="J112" s="1" t="str">
        <f>VLOOKUP(B112,[2]!Tablo1[#Data],3,0)</f>
        <v>Stringer</v>
      </c>
      <c r="K112" s="1" t="s">
        <v>8</v>
      </c>
      <c r="L112" s="2">
        <v>46062</v>
      </c>
      <c r="M112" s="1" t="str">
        <f t="shared" si="3"/>
        <v>Şubat</v>
      </c>
      <c r="N112" s="1" t="s">
        <v>30</v>
      </c>
    </row>
    <row r="113" spans="1:14" x14ac:dyDescent="0.3">
      <c r="A113" s="1">
        <v>112</v>
      </c>
      <c r="B113" s="1">
        <v>101214</v>
      </c>
      <c r="C113" s="1" t="str">
        <f>VLOOKUP(B113,[2]!Tablo1[#Data],16,0)</f>
        <v>304-C</v>
      </c>
      <c r="D113" s="1" t="str">
        <f>VLOOKUP(B113,[2]!Tablo1[#Data],7,0)</f>
        <v>İnce Sol Ayna</v>
      </c>
      <c r="E113" s="5" t="str">
        <f>VLOOKUP(B113,[2]!Tablo1[#Data],10,0)</f>
        <v>A050-35-21-051B</v>
      </c>
      <c r="F113" s="1">
        <v>6</v>
      </c>
      <c r="G113" s="4">
        <f>VLOOKUP(B113,[2]!Tablo1[#Data],13,0)</f>
        <v>4.5</v>
      </c>
      <c r="H113" s="3">
        <f t="shared" si="2"/>
        <v>27</v>
      </c>
      <c r="I113" s="1" t="s">
        <v>5</v>
      </c>
      <c r="J113" s="1" t="str">
        <f>VLOOKUP(B113,[2]!Tablo1[#Data],3,0)</f>
        <v>Stringer</v>
      </c>
      <c r="K113" s="1" t="s">
        <v>1</v>
      </c>
      <c r="L113" s="2">
        <v>46062</v>
      </c>
      <c r="M113" s="1" t="str">
        <f t="shared" si="3"/>
        <v>Şubat</v>
      </c>
      <c r="N113" s="1" t="s">
        <v>3</v>
      </c>
    </row>
    <row r="114" spans="1:14" x14ac:dyDescent="0.3">
      <c r="A114" s="1">
        <v>113</v>
      </c>
      <c r="B114" s="1">
        <v>101215</v>
      </c>
      <c r="C114" s="1" t="str">
        <f>VLOOKUP(B114,[2]!Tablo1[#Data],16,0)</f>
        <v>304-D</v>
      </c>
      <c r="D114" s="1" t="str">
        <f>VLOOKUP(B114,[2]!Tablo1[#Data],7,0)</f>
        <v>İnce Sağ Ayna</v>
      </c>
      <c r="E114" s="5" t="str">
        <f>VLOOKUP(B114,[2]!Tablo1[#Data],10,0)</f>
        <v>A050-35-21-052B</v>
      </c>
      <c r="F114" s="1">
        <v>6</v>
      </c>
      <c r="G114" s="4">
        <f>VLOOKUP(B114,[2]!Tablo1[#Data],13,0)</f>
        <v>4.5</v>
      </c>
      <c r="H114" s="3">
        <f t="shared" si="2"/>
        <v>27</v>
      </c>
      <c r="I114" s="1" t="s">
        <v>5</v>
      </c>
      <c r="J114" s="1" t="str">
        <f>VLOOKUP(B114,[2]!Tablo1[#Data],3,0)</f>
        <v>Stringer</v>
      </c>
      <c r="K114" s="1" t="s">
        <v>1</v>
      </c>
      <c r="L114" s="2">
        <v>46062</v>
      </c>
      <c r="M114" s="1" t="str">
        <f t="shared" si="3"/>
        <v>Şubat</v>
      </c>
      <c r="N114" s="1" t="s">
        <v>3</v>
      </c>
    </row>
    <row r="115" spans="1:14" x14ac:dyDescent="0.3">
      <c r="A115" s="1">
        <v>114</v>
      </c>
      <c r="B115" s="1">
        <v>101248</v>
      </c>
      <c r="C115" s="1" t="str">
        <f>VLOOKUP(B115,[2]!Tablo1[#Data],16,0)</f>
        <v>313-A</v>
      </c>
      <c r="D115" s="1" t="str">
        <f>VLOOKUP(B115,[2]!Tablo1[#Data],7,0)</f>
        <v>Konveyör Bandı</v>
      </c>
      <c r="E115" s="5" t="str">
        <f>VLOOKUP(B115,[2]!Tablo1[#Data],10,0)</f>
        <v>A050-86-08-002D</v>
      </c>
      <c r="F115" s="1">
        <v>1</v>
      </c>
      <c r="G115" s="4">
        <f>VLOOKUP(B115,[2]!Tablo1[#Data],13,0)</f>
        <v>200</v>
      </c>
      <c r="H115" s="3">
        <f t="shared" si="2"/>
        <v>200</v>
      </c>
      <c r="I115" s="1" t="s">
        <v>2</v>
      </c>
      <c r="J115" s="1" t="str">
        <f>VLOOKUP(B115,[2]!Tablo1[#Data],3,0)</f>
        <v>Stringer</v>
      </c>
      <c r="K115" s="1" t="s">
        <v>19</v>
      </c>
      <c r="L115" s="2">
        <v>46063</v>
      </c>
      <c r="M115" s="1" t="str">
        <f t="shared" si="3"/>
        <v>Şubat</v>
      </c>
      <c r="N115" s="1" t="s">
        <v>0</v>
      </c>
    </row>
    <row r="116" spans="1:14" x14ac:dyDescent="0.3">
      <c r="A116" s="1">
        <v>115</v>
      </c>
      <c r="B116" s="1">
        <v>100893</v>
      </c>
      <c r="C116" s="1" t="str">
        <f>VLOOKUP(B116,[2]!Tablo1[#Data],16,0)</f>
        <v>224-B</v>
      </c>
      <c r="D116" s="1" t="str">
        <f>VLOOKUP(B116,[2]!Tablo1[#Data],7,0)</f>
        <v>Vantuz</v>
      </c>
      <c r="E116" s="5" t="str">
        <f>VLOOKUP(B116,[2]!Tablo1[#Data],10,0)</f>
        <v>ZP2-B08MBS</v>
      </c>
      <c r="F116" s="1">
        <v>10</v>
      </c>
      <c r="G116" s="4">
        <f>VLOOKUP(B116,[2]!Tablo1[#Data],13,0)</f>
        <v>0.6</v>
      </c>
      <c r="H116" s="3">
        <f t="shared" si="2"/>
        <v>6</v>
      </c>
      <c r="I116" s="1" t="s">
        <v>5</v>
      </c>
      <c r="J116" s="1" t="str">
        <f>VLOOKUP(B116,[2]!Tablo1[#Data],3,0)</f>
        <v>Laser Cutter</v>
      </c>
      <c r="K116" s="1" t="s">
        <v>1</v>
      </c>
      <c r="L116" s="2">
        <v>46065</v>
      </c>
      <c r="M116" s="1" t="str">
        <f t="shared" si="3"/>
        <v>Şubat</v>
      </c>
      <c r="N116" s="1" t="s">
        <v>16</v>
      </c>
    </row>
    <row r="117" spans="1:14" x14ac:dyDescent="0.3">
      <c r="A117" s="1">
        <v>116</v>
      </c>
      <c r="B117" s="1">
        <v>101163</v>
      </c>
      <c r="C117" s="1" t="str">
        <f>VLOOKUP(B117,[2]!Tablo1[#Data],16,0)</f>
        <v>291-D</v>
      </c>
      <c r="D117" s="1" t="str">
        <f>VLOOKUP(B117,[2]!Tablo1[#Data],7,0)</f>
        <v>Mıknatıs</v>
      </c>
      <c r="E117" s="5" t="str">
        <f>VLOOKUP(B117,[2]!Tablo1[#Data],10,0)</f>
        <v>50x8x3</v>
      </c>
      <c r="F117" s="1">
        <v>20</v>
      </c>
      <c r="G117" s="4">
        <f>VLOOKUP(B117,[2]!Tablo1[#Data],13,0)</f>
        <v>0</v>
      </c>
      <c r="H117" s="3">
        <f t="shared" si="2"/>
        <v>0</v>
      </c>
      <c r="I117" s="1" t="s">
        <v>2</v>
      </c>
      <c r="J117" s="1">
        <f>VLOOKUP(B117,[2]!Tablo1[#Data],3,0)</f>
        <v>0</v>
      </c>
      <c r="K117" s="1" t="s">
        <v>7</v>
      </c>
      <c r="L117" s="2">
        <v>46065</v>
      </c>
      <c r="M117" s="1" t="str">
        <f t="shared" si="3"/>
        <v>Şubat</v>
      </c>
      <c r="N117" s="1" t="s">
        <v>0</v>
      </c>
    </row>
    <row r="118" spans="1:14" x14ac:dyDescent="0.3">
      <c r="A118" s="1">
        <v>117</v>
      </c>
      <c r="B118" s="1">
        <v>101248</v>
      </c>
      <c r="C118" s="1" t="str">
        <f>VLOOKUP(B118,[2]!Tablo1[#Data],16,0)</f>
        <v>313-A</v>
      </c>
      <c r="D118" s="1" t="str">
        <f>VLOOKUP(B118,[2]!Tablo1[#Data],7,0)</f>
        <v>Konveyör Bandı</v>
      </c>
      <c r="E118" s="5" t="str">
        <f>VLOOKUP(B118,[2]!Tablo1[#Data],10,0)</f>
        <v>A050-86-08-002D</v>
      </c>
      <c r="F118" s="1">
        <v>1</v>
      </c>
      <c r="G118" s="4">
        <f>VLOOKUP(B118,[2]!Tablo1[#Data],13,0)</f>
        <v>200</v>
      </c>
      <c r="H118" s="3">
        <f t="shared" si="2"/>
        <v>200</v>
      </c>
      <c r="I118" s="1" t="s">
        <v>2</v>
      </c>
      <c r="J118" s="1" t="str">
        <f>VLOOKUP(B118,[2]!Tablo1[#Data],3,0)</f>
        <v>Stringer</v>
      </c>
      <c r="K118" s="1" t="s">
        <v>29</v>
      </c>
      <c r="L118" s="2">
        <v>46065</v>
      </c>
      <c r="M118" s="1" t="str">
        <f t="shared" si="3"/>
        <v>Şubat</v>
      </c>
      <c r="N118" s="1" t="s">
        <v>0</v>
      </c>
    </row>
    <row r="119" spans="1:14" x14ac:dyDescent="0.3">
      <c r="A119" s="1">
        <v>118</v>
      </c>
      <c r="B119" s="1">
        <v>101248</v>
      </c>
      <c r="C119" s="1" t="str">
        <f>VLOOKUP(B119,[2]!Tablo1[#Data],16,0)</f>
        <v>313-A</v>
      </c>
      <c r="D119" s="1" t="str">
        <f>VLOOKUP(B119,[2]!Tablo1[#Data],7,0)</f>
        <v>Konveyör Bandı</v>
      </c>
      <c r="E119" s="5" t="str">
        <f>VLOOKUP(B119,[2]!Tablo1[#Data],10,0)</f>
        <v>A050-86-08-002D</v>
      </c>
      <c r="F119" s="1">
        <v>1</v>
      </c>
      <c r="G119" s="4">
        <f>VLOOKUP(B119,[2]!Tablo1[#Data],13,0)</f>
        <v>200</v>
      </c>
      <c r="H119" s="3">
        <f t="shared" si="2"/>
        <v>200</v>
      </c>
      <c r="I119" s="1" t="s">
        <v>2</v>
      </c>
      <c r="J119" s="1" t="str">
        <f>VLOOKUP(B119,[2]!Tablo1[#Data],3,0)</f>
        <v>Stringer</v>
      </c>
      <c r="K119" s="1" t="s">
        <v>8</v>
      </c>
      <c r="L119" s="2">
        <v>46066</v>
      </c>
      <c r="M119" s="1" t="str">
        <f t="shared" si="3"/>
        <v>Şubat</v>
      </c>
      <c r="N119" s="1" t="s">
        <v>0</v>
      </c>
    </row>
    <row r="120" spans="1:14" x14ac:dyDescent="0.3">
      <c r="A120" s="1">
        <v>119</v>
      </c>
      <c r="B120" s="1">
        <v>101180</v>
      </c>
      <c r="C120" s="1" t="str">
        <f>VLOOKUP(B120,[2]!Tablo1[#Data],16,0)</f>
        <v>296-A</v>
      </c>
      <c r="D120" s="1" t="str">
        <f>VLOOKUP(B120,[2]!Tablo1[#Data],7,0)</f>
        <v>Konveyör Bant</v>
      </c>
      <c r="E120" s="5" t="str">
        <f>VLOOKUP(B120,[2]!Tablo1[#Data],10,0)</f>
        <v>A050-05-04-011A</v>
      </c>
      <c r="F120" s="1">
        <v>1</v>
      </c>
      <c r="G120" s="4">
        <f>VLOOKUP(B120,[2]!Tablo1[#Data],13,0)</f>
        <v>131.56</v>
      </c>
      <c r="H120" s="3">
        <f t="shared" si="2"/>
        <v>131.56</v>
      </c>
      <c r="I120" s="1" t="s">
        <v>2</v>
      </c>
      <c r="J120" s="1" t="str">
        <f>VLOOKUP(B120,[2]!Tablo1[#Data],3,0)</f>
        <v>Stringer</v>
      </c>
      <c r="K120" s="1" t="s">
        <v>14</v>
      </c>
      <c r="L120" s="2">
        <v>46066</v>
      </c>
      <c r="M120" s="1" t="str">
        <f t="shared" si="3"/>
        <v>Şubat</v>
      </c>
      <c r="N120" s="1" t="s">
        <v>17</v>
      </c>
    </row>
    <row r="121" spans="1:14" x14ac:dyDescent="0.3">
      <c r="A121" s="1">
        <v>120</v>
      </c>
      <c r="B121" s="1">
        <v>101188</v>
      </c>
      <c r="C121" s="1" t="str">
        <f>VLOOKUP(B121,[2]!Tablo1[#Data],16,0)</f>
        <v>298-A</v>
      </c>
      <c r="D121" s="1" t="str">
        <f>VLOOKUP(B121,[2]!Tablo1[#Data],7,0)</f>
        <v>Sabit Bilyalı Rulman</v>
      </c>
      <c r="E121" s="5" t="str">
        <f>VLOOKUP(B121,[2]!Tablo1[#Data],10,0)</f>
        <v>625ZZ R-1650HH</v>
      </c>
      <c r="F121" s="1">
        <v>1</v>
      </c>
      <c r="G121" s="4">
        <f>VLOOKUP(B121,[2]!Tablo1[#Data],13,0)</f>
        <v>1.19</v>
      </c>
      <c r="H121" s="3">
        <f t="shared" si="2"/>
        <v>1.19</v>
      </c>
      <c r="I121" s="1" t="s">
        <v>2</v>
      </c>
      <c r="J121" s="1" t="str">
        <f>VLOOKUP(B121,[2]!Tablo1[#Data],3,0)</f>
        <v>Stringer</v>
      </c>
      <c r="K121" s="1" t="s">
        <v>15</v>
      </c>
      <c r="L121" s="2">
        <v>46066</v>
      </c>
      <c r="M121" s="1" t="str">
        <f t="shared" si="3"/>
        <v>Şubat</v>
      </c>
      <c r="N121" s="1" t="s">
        <v>0</v>
      </c>
    </row>
    <row r="122" spans="1:14" x14ac:dyDescent="0.3">
      <c r="A122" s="1">
        <v>121</v>
      </c>
      <c r="B122" s="1">
        <v>101229</v>
      </c>
      <c r="C122" s="1" t="str">
        <f>VLOOKUP(B122,[2]!Tablo1[#Data],16,0)</f>
        <v>308-B</v>
      </c>
      <c r="D122" s="1" t="str">
        <f>VLOOKUP(B122,[2]!Tablo1[#Data],7,0)</f>
        <v>Döner Şaft</v>
      </c>
      <c r="E122" s="5" t="str">
        <f>VLOOKUP(B122,[2]!Tablo1[#Data],10,0)</f>
        <v>A050-35-21-99-005B</v>
      </c>
      <c r="F122" s="1">
        <v>16</v>
      </c>
      <c r="G122" s="4">
        <f>VLOOKUP(B122,[2]!Tablo1[#Data],13,0)</f>
        <v>2.0499999999999998</v>
      </c>
      <c r="H122" s="3">
        <f t="shared" si="2"/>
        <v>32.799999999999997</v>
      </c>
      <c r="I122" s="1" t="s">
        <v>2</v>
      </c>
      <c r="J122" s="1" t="str">
        <f>VLOOKUP(B122,[2]!Tablo1[#Data],3,0)</f>
        <v>Stringer</v>
      </c>
      <c r="K122" s="1" t="s">
        <v>20</v>
      </c>
      <c r="L122" s="2">
        <v>46066</v>
      </c>
      <c r="M122" s="1" t="str">
        <f t="shared" si="3"/>
        <v>Şubat</v>
      </c>
      <c r="N122" s="1" t="s">
        <v>0</v>
      </c>
    </row>
    <row r="123" spans="1:14" x14ac:dyDescent="0.3">
      <c r="A123" s="1">
        <v>122</v>
      </c>
      <c r="B123" s="1">
        <v>101239</v>
      </c>
      <c r="C123" s="1" t="str">
        <f>VLOOKUP(B123,[2]!Tablo1[#Data],16,0)</f>
        <v>310-D</v>
      </c>
      <c r="D123" s="1" t="str">
        <f>VLOOKUP(B123,[2]!Tablo1[#Data],7,0)</f>
        <v>Sağ Ayarlanabilir Ayna</v>
      </c>
      <c r="E123" s="5" t="str">
        <f>VLOOKUP(B123,[2]!Tablo1[#Data],10,0)</f>
        <v>A050-51-03-99-002B</v>
      </c>
      <c r="F123" s="1">
        <v>3</v>
      </c>
      <c r="G123" s="4">
        <f>VLOOKUP(B123,[2]!Tablo1[#Data],13,0)</f>
        <v>12.32</v>
      </c>
      <c r="H123" s="3">
        <f t="shared" si="2"/>
        <v>36.96</v>
      </c>
      <c r="I123" s="1" t="s">
        <v>2</v>
      </c>
      <c r="J123" s="1" t="str">
        <f>VLOOKUP(B123,[2]!Tablo1[#Data],3,0)</f>
        <v>Stringer</v>
      </c>
      <c r="K123" s="1" t="s">
        <v>20</v>
      </c>
      <c r="L123" s="2">
        <v>46066</v>
      </c>
      <c r="M123" s="1" t="str">
        <f t="shared" si="3"/>
        <v>Şubat</v>
      </c>
      <c r="N123" s="1" t="s">
        <v>0</v>
      </c>
    </row>
    <row r="124" spans="1:14" x14ac:dyDescent="0.3">
      <c r="A124" s="1">
        <v>123</v>
      </c>
      <c r="B124" s="1">
        <v>101240</v>
      </c>
      <c r="C124" s="1" t="str">
        <f>VLOOKUP(B124,[2]!Tablo1[#Data],16,0)</f>
        <v>311-A</v>
      </c>
      <c r="D124" s="1" t="str">
        <f>VLOOKUP(B124,[2]!Tablo1[#Data],7,0)</f>
        <v>Sol Ayarlanabilir Ayna</v>
      </c>
      <c r="E124" s="5" t="str">
        <f>VLOOKUP(B124,[2]!Tablo1[#Data],10,0)</f>
        <v>A050-51-03-99-001B</v>
      </c>
      <c r="F124" s="1">
        <v>3</v>
      </c>
      <c r="G124" s="4">
        <f>VLOOKUP(B124,[2]!Tablo1[#Data],13,0)</f>
        <v>12.32</v>
      </c>
      <c r="H124" s="3">
        <f t="shared" si="2"/>
        <v>36.96</v>
      </c>
      <c r="I124" s="1" t="s">
        <v>2</v>
      </c>
      <c r="J124" s="1" t="str">
        <f>VLOOKUP(B124,[2]!Tablo1[#Data],3,0)</f>
        <v>Stringer</v>
      </c>
      <c r="K124" s="1" t="s">
        <v>20</v>
      </c>
      <c r="L124" s="2">
        <v>46066</v>
      </c>
      <c r="M124" s="1" t="str">
        <f t="shared" si="3"/>
        <v>Şubat</v>
      </c>
      <c r="N124" s="1" t="s">
        <v>0</v>
      </c>
    </row>
    <row r="125" spans="1:14" x14ac:dyDescent="0.3">
      <c r="A125" s="1">
        <v>124</v>
      </c>
      <c r="B125" s="1">
        <v>101187</v>
      </c>
      <c r="C125" s="1" t="str">
        <f>VLOOKUP(B125,[2]!Tablo1[#Data],16,0)</f>
        <v>297-D</v>
      </c>
      <c r="D125" s="1" t="str">
        <f>VLOOKUP(B125,[2]!Tablo1[#Data],7,0)</f>
        <v>Sıkıştırma Yayı</v>
      </c>
      <c r="E125" s="5" t="str">
        <f>VLOOKUP(B125,[2]!Tablo1[#Data],10,0)</f>
        <v>YUBB-D6-L9.5</v>
      </c>
      <c r="F125" s="1">
        <v>6</v>
      </c>
      <c r="G125" s="4">
        <f>VLOOKUP(B125,[2]!Tablo1[#Data],13,0)</f>
        <v>8.23</v>
      </c>
      <c r="H125" s="3">
        <f t="shared" si="2"/>
        <v>49.38</v>
      </c>
      <c r="I125" s="1" t="s">
        <v>2</v>
      </c>
      <c r="J125" s="1" t="str">
        <f>VLOOKUP(B125,[2]!Tablo1[#Data],3,0)</f>
        <v>Stringer</v>
      </c>
      <c r="K125" s="1" t="s">
        <v>20</v>
      </c>
      <c r="L125" s="2">
        <v>46066</v>
      </c>
      <c r="M125" s="1" t="str">
        <f t="shared" si="3"/>
        <v>Şubat</v>
      </c>
      <c r="N125" s="1" t="s">
        <v>0</v>
      </c>
    </row>
    <row r="126" spans="1:14" x14ac:dyDescent="0.3">
      <c r="A126" s="1">
        <v>125</v>
      </c>
      <c r="B126" s="1">
        <v>100365</v>
      </c>
      <c r="C126" s="1" t="str">
        <f>VLOOKUP(B126,[2]!Tablo1[#Data],16,0)</f>
        <v>92-B</v>
      </c>
      <c r="D126" s="1" t="str">
        <f>VLOOKUP(B126,[2]!Tablo1[#Data],7,0)</f>
        <v>Manyetik Sensör</v>
      </c>
      <c r="E126" s="5" t="str">
        <f>VLOOKUP(B126,[2]!Tablo1[#Data],10,0)</f>
        <v>DMSH-020</v>
      </c>
      <c r="F126" s="1">
        <v>1</v>
      </c>
      <c r="G126" s="4">
        <f>VLOOKUP(B126,[2]!Tablo1[#Data],13,0)</f>
        <v>5.8962264150943398</v>
      </c>
      <c r="H126" s="3">
        <f t="shared" si="2"/>
        <v>5.8962264150943398</v>
      </c>
      <c r="I126" s="1" t="s">
        <v>2</v>
      </c>
      <c r="J126" s="1" t="str">
        <f>VLOOKUP(B126,[2]!Tablo1[#Data],3,0)</f>
        <v>Stringer</v>
      </c>
      <c r="K126" s="1" t="s">
        <v>1</v>
      </c>
      <c r="L126" s="2">
        <v>46067</v>
      </c>
      <c r="M126" s="1" t="str">
        <f t="shared" si="3"/>
        <v>Şubat</v>
      </c>
      <c r="N126" s="1" t="s">
        <v>0</v>
      </c>
    </row>
    <row r="127" spans="1:14" x14ac:dyDescent="0.3">
      <c r="A127" s="1">
        <v>126</v>
      </c>
      <c r="B127" s="1">
        <v>101220</v>
      </c>
      <c r="C127" s="1" t="str">
        <f>VLOOKUP(B127,[2]!Tablo1[#Data],16,0)</f>
        <v>306-A</v>
      </c>
      <c r="D127" s="1" t="str">
        <f>VLOOKUP(B127,[2]!Tablo1[#Data],7,0)</f>
        <v>Paslanmaz Çelik Muhafaza</v>
      </c>
      <c r="E127" s="5" t="str">
        <f>VLOOKUP(B127,[2]!Tablo1[#Data],10,0)</f>
        <v>A050-03-03-01-055A</v>
      </c>
      <c r="F127" s="1">
        <v>8</v>
      </c>
      <c r="G127" s="4">
        <f>VLOOKUP(B127,[2]!Tablo1[#Data],13,0)</f>
        <v>1.5</v>
      </c>
      <c r="H127" s="3">
        <f t="shared" si="2"/>
        <v>12</v>
      </c>
      <c r="I127" s="1" t="s">
        <v>2</v>
      </c>
      <c r="J127" s="1" t="str">
        <f>VLOOKUP(B127,[2]!Tablo1[#Data],3,0)</f>
        <v>Stringer</v>
      </c>
      <c r="K127" s="1" t="s">
        <v>1</v>
      </c>
      <c r="L127" s="2">
        <v>46067</v>
      </c>
      <c r="M127" s="1" t="str">
        <f t="shared" si="3"/>
        <v>Şubat</v>
      </c>
      <c r="N127" s="1" t="s">
        <v>0</v>
      </c>
    </row>
    <row r="128" spans="1:14" x14ac:dyDescent="0.3">
      <c r="A128" s="1">
        <v>127</v>
      </c>
      <c r="B128" s="1">
        <v>101219</v>
      </c>
      <c r="C128" s="1" t="str">
        <f>VLOOKUP(B128,[2]!Tablo1[#Data],16,0)</f>
        <v>305-D</v>
      </c>
      <c r="D128" s="1" t="str">
        <f>VLOOKUP(B128,[2]!Tablo1[#Data],7,0)</f>
        <v>Düzleştirme Sütunu</v>
      </c>
      <c r="E128" s="5" t="str">
        <f>VLOOKUP(B128,[2]!Tablo1[#Data],10,0)</f>
        <v>A050-02-95-055B</v>
      </c>
      <c r="F128" s="1">
        <v>12</v>
      </c>
      <c r="G128" s="4">
        <f>VLOOKUP(B128,[2]!Tablo1[#Data],13,0)</f>
        <v>20.5</v>
      </c>
      <c r="H128" s="3">
        <f t="shared" si="2"/>
        <v>246</v>
      </c>
      <c r="I128" s="1" t="s">
        <v>2</v>
      </c>
      <c r="J128" s="1" t="str">
        <f>VLOOKUP(B128,[2]!Tablo1[#Data],3,0)</f>
        <v>Stringer</v>
      </c>
      <c r="K128" s="1" t="s">
        <v>1</v>
      </c>
      <c r="L128" s="2">
        <v>46067</v>
      </c>
      <c r="M128" s="1" t="str">
        <f t="shared" si="3"/>
        <v>Şubat</v>
      </c>
      <c r="N128" s="1" t="s">
        <v>0</v>
      </c>
    </row>
    <row r="129" spans="1:14" x14ac:dyDescent="0.3">
      <c r="A129" s="1">
        <v>128</v>
      </c>
      <c r="B129" s="1">
        <v>101124</v>
      </c>
      <c r="C129" s="1" t="str">
        <f>VLOOKUP(B129,[2]!Tablo1[#Data],16,0)</f>
        <v>282-A</v>
      </c>
      <c r="D129" s="1" t="str">
        <f>VLOOKUP(B129,[2]!Tablo1[#Data],7,0)</f>
        <v>Değiştirişebilir Basınç Bloğu</v>
      </c>
      <c r="E129" s="5" t="str">
        <f>VLOOKUP(B129,[2]!Tablo1[#Data],10,0)</f>
        <v>18-6-</v>
      </c>
      <c r="F129" s="1">
        <v>8</v>
      </c>
      <c r="G129" s="4">
        <f>VLOOKUP(B129,[2]!Tablo1[#Data],13,0)</f>
        <v>6</v>
      </c>
      <c r="H129" s="3">
        <f t="shared" si="2"/>
        <v>48</v>
      </c>
      <c r="I129" s="1" t="s">
        <v>2</v>
      </c>
      <c r="J129" s="1" t="str">
        <f>VLOOKUP(B129,[2]!Tablo1[#Data],3,0)</f>
        <v>Stringer</v>
      </c>
      <c r="K129" s="1" t="s">
        <v>1</v>
      </c>
      <c r="L129" s="2">
        <v>46067</v>
      </c>
      <c r="M129" s="1" t="str">
        <f t="shared" si="3"/>
        <v>Şubat</v>
      </c>
      <c r="N129" s="1" t="s">
        <v>0</v>
      </c>
    </row>
    <row r="130" spans="1:14" x14ac:dyDescent="0.3">
      <c r="A130" s="1">
        <v>129</v>
      </c>
      <c r="B130" s="1">
        <v>101248</v>
      </c>
      <c r="C130" s="1" t="str">
        <f>VLOOKUP(B130,[2]!Tablo1[#Data],16,0)</f>
        <v>313-A</v>
      </c>
      <c r="D130" s="1" t="str">
        <f>VLOOKUP(B130,[2]!Tablo1[#Data],7,0)</f>
        <v>Konveyör Bandı</v>
      </c>
      <c r="E130" s="5" t="str">
        <f>VLOOKUP(B130,[2]!Tablo1[#Data],10,0)</f>
        <v>A050-86-08-002D</v>
      </c>
      <c r="F130" s="1">
        <v>1</v>
      </c>
      <c r="G130" s="4">
        <f>VLOOKUP(B130,[2]!Tablo1[#Data],13,0)</f>
        <v>200</v>
      </c>
      <c r="H130" s="3">
        <f t="shared" si="2"/>
        <v>200</v>
      </c>
      <c r="I130" s="1" t="s">
        <v>5</v>
      </c>
      <c r="J130" s="1" t="str">
        <f>VLOOKUP(B130,[2]!Tablo1[#Data],3,0)</f>
        <v>Stringer</v>
      </c>
      <c r="K130" s="1" t="s">
        <v>14</v>
      </c>
      <c r="L130" s="2">
        <v>46069</v>
      </c>
      <c r="M130" s="1" t="str">
        <f t="shared" si="3"/>
        <v>Şubat</v>
      </c>
      <c r="N130" s="1" t="s">
        <v>16</v>
      </c>
    </row>
    <row r="131" spans="1:14" x14ac:dyDescent="0.3">
      <c r="A131" s="1">
        <v>130</v>
      </c>
      <c r="B131" s="1">
        <v>101248</v>
      </c>
      <c r="C131" s="1" t="str">
        <f>VLOOKUP(B131,[2]!Tablo1[#Data],16,0)</f>
        <v>313-A</v>
      </c>
      <c r="D131" s="1" t="str">
        <f>VLOOKUP(B131,[2]!Tablo1[#Data],7,0)</f>
        <v>Konveyör Bandı</v>
      </c>
      <c r="E131" s="5" t="str">
        <f>VLOOKUP(B131,[2]!Tablo1[#Data],10,0)</f>
        <v>A050-86-08-002D</v>
      </c>
      <c r="F131" s="1">
        <v>1</v>
      </c>
      <c r="G131" s="4">
        <f>VLOOKUP(B131,[2]!Tablo1[#Data],13,0)</f>
        <v>200</v>
      </c>
      <c r="H131" s="3">
        <f t="shared" ref="H131:H194" si="4">F131*G131</f>
        <v>200</v>
      </c>
      <c r="I131" s="1" t="s">
        <v>5</v>
      </c>
      <c r="J131" s="1" t="str">
        <f>VLOOKUP(B131,[2]!Tablo1[#Data],3,0)</f>
        <v>Stringer</v>
      </c>
      <c r="K131" s="1" t="s">
        <v>1</v>
      </c>
      <c r="L131" s="2">
        <v>46069</v>
      </c>
      <c r="M131" s="1" t="str">
        <f t="shared" ref="M131:M194" si="5">TEXT(L131,"aaaa")</f>
        <v>Şubat</v>
      </c>
      <c r="N131" s="1" t="s">
        <v>6</v>
      </c>
    </row>
    <row r="132" spans="1:14" x14ac:dyDescent="0.3">
      <c r="A132" s="1">
        <v>131</v>
      </c>
      <c r="B132" s="1">
        <v>101321</v>
      </c>
      <c r="C132" s="1" t="str">
        <f>VLOOKUP(B132,[2]!Tablo1[#Data],16,0)</f>
        <v>331-B</v>
      </c>
      <c r="D132" s="1" t="str">
        <f>VLOOKUP(B132,[2]!Tablo1[#Data],7,0)</f>
        <v>Küçük Serbest Montaj Silindiri</v>
      </c>
      <c r="E132" s="5" t="str">
        <f>VLOOKUP(B132,[2]!Tablo1[#Data],10,0)</f>
        <v>MU10×4</v>
      </c>
      <c r="F132" s="1">
        <v>1</v>
      </c>
      <c r="G132" s="4">
        <f>VLOOKUP(B132,[2]!Tablo1[#Data],13,0)</f>
        <v>4</v>
      </c>
      <c r="H132" s="3">
        <f t="shared" si="4"/>
        <v>4</v>
      </c>
      <c r="I132" s="1" t="s">
        <v>5</v>
      </c>
      <c r="J132" s="1" t="str">
        <f>VLOOKUP(B132,[2]!Tablo1[#Data],3,0)</f>
        <v>Stringer</v>
      </c>
      <c r="K132" s="1" t="s">
        <v>1</v>
      </c>
      <c r="L132" s="2">
        <v>46069</v>
      </c>
      <c r="M132" s="1" t="str">
        <f t="shared" si="5"/>
        <v>Şubat</v>
      </c>
      <c r="N132" s="1" t="s">
        <v>6</v>
      </c>
    </row>
    <row r="133" spans="1:14" x14ac:dyDescent="0.3">
      <c r="A133" s="1">
        <v>132</v>
      </c>
      <c r="B133" s="1">
        <v>101248</v>
      </c>
      <c r="C133" s="1" t="str">
        <f>VLOOKUP(B133,[2]!Tablo1[#Data],16,0)</f>
        <v>313-A</v>
      </c>
      <c r="D133" s="1" t="str">
        <f>VLOOKUP(B133,[2]!Tablo1[#Data],7,0)</f>
        <v>Konveyör Bandı</v>
      </c>
      <c r="E133" s="5" t="str">
        <f>VLOOKUP(B133,[2]!Tablo1[#Data],10,0)</f>
        <v>A050-86-08-002D</v>
      </c>
      <c r="F133" s="1">
        <v>1</v>
      </c>
      <c r="G133" s="4">
        <f>VLOOKUP(B133,[2]!Tablo1[#Data],13,0)</f>
        <v>200</v>
      </c>
      <c r="H133" s="3">
        <f t="shared" si="4"/>
        <v>200</v>
      </c>
      <c r="I133" s="1" t="s">
        <v>5</v>
      </c>
      <c r="J133" s="1" t="str">
        <f>VLOOKUP(B133,[2]!Tablo1[#Data],3,0)</f>
        <v>Stringer</v>
      </c>
      <c r="K133" s="1" t="s">
        <v>29</v>
      </c>
      <c r="L133" s="2">
        <v>46070</v>
      </c>
      <c r="M133" s="1" t="str">
        <f t="shared" si="5"/>
        <v>Şubat</v>
      </c>
      <c r="N133" s="1" t="s">
        <v>3</v>
      </c>
    </row>
    <row r="134" spans="1:14" x14ac:dyDescent="0.3">
      <c r="A134" s="1">
        <v>133</v>
      </c>
      <c r="B134" s="1">
        <v>101180</v>
      </c>
      <c r="C134" s="1" t="str">
        <f>VLOOKUP(B134,[2]!Tablo1[#Data],16,0)</f>
        <v>296-A</v>
      </c>
      <c r="D134" s="1" t="str">
        <f>VLOOKUP(B134,[2]!Tablo1[#Data],7,0)</f>
        <v>Konveyör Bant</v>
      </c>
      <c r="E134" s="5" t="str">
        <f>VLOOKUP(B134,[2]!Tablo1[#Data],10,0)</f>
        <v>A050-05-04-011A</v>
      </c>
      <c r="F134" s="1">
        <v>1</v>
      </c>
      <c r="G134" s="4">
        <f>VLOOKUP(B134,[2]!Tablo1[#Data],13,0)</f>
        <v>131.56</v>
      </c>
      <c r="H134" s="3">
        <f t="shared" si="4"/>
        <v>131.56</v>
      </c>
      <c r="I134" s="1" t="s">
        <v>2</v>
      </c>
      <c r="J134" s="1" t="str">
        <f>VLOOKUP(B134,[2]!Tablo1[#Data],3,0)</f>
        <v>Stringer</v>
      </c>
      <c r="K134" s="1" t="s">
        <v>1</v>
      </c>
      <c r="L134" s="2">
        <v>46070</v>
      </c>
      <c r="M134" s="1" t="str">
        <f t="shared" si="5"/>
        <v>Şubat</v>
      </c>
      <c r="N134" s="1" t="s">
        <v>12</v>
      </c>
    </row>
    <row r="135" spans="1:14" x14ac:dyDescent="0.3">
      <c r="A135" s="1">
        <v>134</v>
      </c>
      <c r="B135" s="1">
        <v>101395</v>
      </c>
      <c r="C135" s="1" t="str">
        <f>VLOOKUP(B135,[2]!Tablo1[#Data],16,0)</f>
        <v>349-D</v>
      </c>
      <c r="D135" s="1" t="str">
        <f>VLOOKUP(B135,[2]!Tablo1[#Data],7,0)</f>
        <v>Lineer Motor U-Tipi Fotoelektrik</v>
      </c>
      <c r="E135" s="5" t="str">
        <f>VLOOKUP(B135,[2]!Tablo1[#Data],10,0)</f>
        <v>CY-SG674-W / 4M</v>
      </c>
      <c r="F135" s="1">
        <v>1</v>
      </c>
      <c r="G135" s="4">
        <f>VLOOKUP(B135,[2]!Tablo1[#Data],13,0)</f>
        <v>12</v>
      </c>
      <c r="H135" s="3">
        <f t="shared" si="4"/>
        <v>12</v>
      </c>
      <c r="I135" s="1" t="s">
        <v>2</v>
      </c>
      <c r="J135" s="1" t="str">
        <f>VLOOKUP(B135,[2]!Tablo1[#Data],3,0)</f>
        <v>Stringer</v>
      </c>
      <c r="K135" s="1" t="s">
        <v>1</v>
      </c>
      <c r="L135" s="2">
        <v>46070</v>
      </c>
      <c r="M135" s="1" t="str">
        <f t="shared" si="5"/>
        <v>Şubat</v>
      </c>
      <c r="N135" s="1" t="s">
        <v>12</v>
      </c>
    </row>
    <row r="136" spans="1:14" x14ac:dyDescent="0.3">
      <c r="A136" s="1">
        <v>135</v>
      </c>
      <c r="B136" s="1">
        <v>100357</v>
      </c>
      <c r="C136" s="1" t="str">
        <f>VLOOKUP(B136,[2]!Tablo1[#Data],16,0)</f>
        <v>90-B</v>
      </c>
      <c r="D136" s="1" t="str">
        <f>VLOOKUP(B136,[2]!Tablo1[#Data],7,0)</f>
        <v>Vantuz</v>
      </c>
      <c r="E136" s="5" t="str">
        <f>VLOOKUP(B136,[2]!Tablo1[#Data],10,0)</f>
        <v>ZP2-09JS</v>
      </c>
      <c r="F136" s="1">
        <v>4</v>
      </c>
      <c r="G136" s="4">
        <f>VLOOKUP(B136,[2]!Tablo1[#Data],13,0)</f>
        <v>5.49</v>
      </c>
      <c r="H136" s="3">
        <f t="shared" si="4"/>
        <v>21.96</v>
      </c>
      <c r="I136" s="1" t="s">
        <v>5</v>
      </c>
      <c r="J136" s="1" t="str">
        <f>VLOOKUP(B136,[2]!Tablo1[#Data],3,0)</f>
        <v>Stringer</v>
      </c>
      <c r="K136" s="1" t="s">
        <v>1</v>
      </c>
      <c r="L136" s="2">
        <v>46071</v>
      </c>
      <c r="M136" s="1" t="str">
        <f t="shared" si="5"/>
        <v>Şubat</v>
      </c>
      <c r="N136" s="1" t="s">
        <v>3</v>
      </c>
    </row>
    <row r="137" spans="1:14" x14ac:dyDescent="0.3">
      <c r="A137" s="1">
        <v>136</v>
      </c>
      <c r="B137" s="1">
        <v>101330</v>
      </c>
      <c r="C137" s="1" t="str">
        <f>VLOOKUP(B137,[2]!Tablo1[#Data],16,0)</f>
        <v>333-C</v>
      </c>
      <c r="D137" s="1" t="str">
        <f>VLOOKUP(B137,[2]!Tablo1[#Data],7,0)</f>
        <v>Triger Kayışı</v>
      </c>
      <c r="E137" s="5" t="str">
        <f>VLOOKUP(B137,[2]!Tablo1[#Data],10,0)</f>
        <v>T10 / N-NF / NF-HR 4710×20</v>
      </c>
      <c r="F137" s="1">
        <v>1</v>
      </c>
      <c r="G137" s="4">
        <f>VLOOKUP(B137,[2]!Tablo1[#Data],13,0)</f>
        <v>20</v>
      </c>
      <c r="H137" s="3">
        <f t="shared" si="4"/>
        <v>20</v>
      </c>
      <c r="I137" s="1" t="s">
        <v>2</v>
      </c>
      <c r="J137" s="1" t="str">
        <f>VLOOKUP(B137,[2]!Tablo1[#Data],3,0)</f>
        <v>Stringer</v>
      </c>
      <c r="K137" s="1" t="s">
        <v>19</v>
      </c>
      <c r="L137" s="2">
        <v>46071</v>
      </c>
      <c r="M137" s="1" t="str">
        <f t="shared" si="5"/>
        <v>Şubat</v>
      </c>
      <c r="N137" s="1" t="s">
        <v>10</v>
      </c>
    </row>
    <row r="138" spans="1:14" x14ac:dyDescent="0.3">
      <c r="A138" s="1">
        <v>137</v>
      </c>
      <c r="B138" s="1">
        <v>100136</v>
      </c>
      <c r="C138" s="1" t="str">
        <f>VLOOKUP(B138,[2]!Tablo1[#Data],16,0)</f>
        <v>35-A</v>
      </c>
      <c r="D138" s="1" t="str">
        <f>VLOOKUP(B138,[2]!Tablo1[#Data],7,0)</f>
        <v>Rulman</v>
      </c>
      <c r="E138" s="5" t="str">
        <f>VLOOKUP(B138,[2]!Tablo1[#Data],10,0)</f>
        <v>6204-2Z</v>
      </c>
      <c r="F138" s="1">
        <v>2</v>
      </c>
      <c r="G138" s="4">
        <f>VLOOKUP(B138,[2]!Tablo1[#Data],13,0)</f>
        <v>1</v>
      </c>
      <c r="H138" s="3">
        <f t="shared" si="4"/>
        <v>2</v>
      </c>
      <c r="I138" s="1" t="s">
        <v>5</v>
      </c>
      <c r="J138" s="1" t="str">
        <f>VLOOKUP(B138,[2]!Tablo1[#Data],3,0)</f>
        <v>Auto Sorter</v>
      </c>
      <c r="K138" s="1" t="s">
        <v>28</v>
      </c>
      <c r="L138" s="2">
        <v>46072</v>
      </c>
      <c r="M138" s="1" t="str">
        <f t="shared" si="5"/>
        <v>Şubat</v>
      </c>
      <c r="N138" s="1" t="s">
        <v>3</v>
      </c>
    </row>
    <row r="139" spans="1:14" ht="28.8" x14ac:dyDescent="0.3">
      <c r="A139" s="1">
        <v>138</v>
      </c>
      <c r="B139" s="1">
        <v>100182</v>
      </c>
      <c r="C139" s="1" t="str">
        <f>VLOOKUP(B139,[2]!Tablo1[#Data],16,0)</f>
        <v>46-C</v>
      </c>
      <c r="D139" s="1" t="str">
        <f>VLOOKUP(B139,[2]!Tablo1[#Data],7,0)</f>
        <v>Zımpara</v>
      </c>
      <c r="E139" s="5" t="str">
        <f>VLOOKUP(B139,[2]!Tablo1[#Data],10,0)</f>
        <v>宽60×周长740，60目，紫色，对接接头 BORA8</v>
      </c>
      <c r="F139" s="1">
        <v>4</v>
      </c>
      <c r="G139" s="4">
        <f>VLOOKUP(B139,[2]!Tablo1[#Data],13,0)</f>
        <v>5</v>
      </c>
      <c r="H139" s="3">
        <f t="shared" si="4"/>
        <v>20</v>
      </c>
      <c r="I139" s="1" t="s">
        <v>5</v>
      </c>
      <c r="J139" s="1" t="str">
        <f>VLOOKUP(B139,[2]!Tablo1[#Data],3,0)</f>
        <v>Edge Grinding</v>
      </c>
      <c r="K139" s="1" t="s">
        <v>22</v>
      </c>
      <c r="L139" s="2">
        <v>46072</v>
      </c>
      <c r="M139" s="1" t="str">
        <f t="shared" si="5"/>
        <v>Şubat</v>
      </c>
      <c r="N139" s="1" t="s">
        <v>3</v>
      </c>
    </row>
    <row r="140" spans="1:14" x14ac:dyDescent="0.3">
      <c r="A140" s="1">
        <v>139</v>
      </c>
      <c r="B140" s="1">
        <v>100373</v>
      </c>
      <c r="C140" s="1" t="str">
        <f>VLOOKUP(B140,[2]!Tablo1[#Data],16,0)</f>
        <v>94-B</v>
      </c>
      <c r="D140" s="1" t="str">
        <f>VLOOKUP(B140,[2]!Tablo1[#Data],7,0)</f>
        <v>Yakınlık Sensörü</v>
      </c>
      <c r="E140" s="5" t="str">
        <f>VLOOKUP(B140,[2]!Tablo1[#Data],10,0)</f>
        <v>E2E-S05S12-WC-C1</v>
      </c>
      <c r="F140" s="1">
        <v>1</v>
      </c>
      <c r="G140" s="4">
        <f>VLOOKUP(B140,[2]!Tablo1[#Data],13,0)</f>
        <v>60.141509433962263</v>
      </c>
      <c r="H140" s="3">
        <f t="shared" si="4"/>
        <v>60.141509433962263</v>
      </c>
      <c r="I140" s="1" t="s">
        <v>2</v>
      </c>
      <c r="J140" s="1" t="str">
        <f>VLOOKUP(B140,[2]!Tablo1[#Data],3,0)</f>
        <v>Stringer</v>
      </c>
      <c r="K140" s="1" t="s">
        <v>15</v>
      </c>
      <c r="L140" s="2">
        <v>46072</v>
      </c>
      <c r="M140" s="1" t="str">
        <f t="shared" si="5"/>
        <v>Şubat</v>
      </c>
      <c r="N140" s="1" t="s">
        <v>12</v>
      </c>
    </row>
    <row r="141" spans="1:14" x14ac:dyDescent="0.3">
      <c r="A141" s="1">
        <v>140</v>
      </c>
      <c r="B141" s="1">
        <v>100339</v>
      </c>
      <c r="C141" s="1" t="str">
        <f>VLOOKUP(B141,[2]!Tablo1[#Data],16,0)</f>
        <v>85-D</v>
      </c>
      <c r="D141" s="1" t="str">
        <f>VLOOKUP(B141,[2]!Tablo1[#Data],7,0)</f>
        <v>Piston</v>
      </c>
      <c r="E141" s="5" t="str">
        <f>VLOOKUP(B141,[2]!Tablo1[#Data],10,0)</f>
        <v>TCM12×7.5S-WN255B</v>
      </c>
      <c r="F141" s="1">
        <v>1</v>
      </c>
      <c r="G141" s="4">
        <f>VLOOKUP(B141,[2]!Tablo1[#Data],13,0)</f>
        <v>33</v>
      </c>
      <c r="H141" s="3">
        <f t="shared" si="4"/>
        <v>33</v>
      </c>
      <c r="I141" s="1" t="s">
        <v>2</v>
      </c>
      <c r="J141" s="1" t="str">
        <f>VLOOKUP(B141,[2]!Tablo1[#Data],3,0)</f>
        <v>Stringer</v>
      </c>
      <c r="K141" s="1" t="s">
        <v>8</v>
      </c>
      <c r="L141" s="2">
        <v>46073</v>
      </c>
      <c r="M141" s="1" t="str">
        <f t="shared" si="5"/>
        <v>Şubat</v>
      </c>
      <c r="N141" s="1" t="s">
        <v>0</v>
      </c>
    </row>
    <row r="142" spans="1:14" x14ac:dyDescent="0.3">
      <c r="A142" s="1">
        <v>141</v>
      </c>
      <c r="B142" s="1">
        <v>101125</v>
      </c>
      <c r="C142" s="1" t="str">
        <f>VLOOKUP(B142,[2]!Tablo1[#Data],16,0)</f>
        <v>282-B</v>
      </c>
      <c r="D142" s="1" t="str">
        <f>VLOOKUP(B142,[2]!Tablo1[#Data],7,0)</f>
        <v>Klamp Dişli Ara Yay</v>
      </c>
      <c r="E142" s="5" t="str">
        <f>VLOOKUP(B142,[2]!Tablo1[#Data],10,0)</f>
        <v>10x3</v>
      </c>
      <c r="F142" s="1">
        <v>12</v>
      </c>
      <c r="G142" s="4">
        <f>VLOOKUP(B142,[2]!Tablo1[#Data],13,0)</f>
        <v>0</v>
      </c>
      <c r="H142" s="3">
        <f t="shared" si="4"/>
        <v>0</v>
      </c>
      <c r="I142" s="1" t="s">
        <v>5</v>
      </c>
      <c r="J142" s="1" t="str">
        <f>VLOOKUP(B142,[2]!Tablo1[#Data],3,0)</f>
        <v>Stringer</v>
      </c>
      <c r="K142" s="1" t="s">
        <v>1</v>
      </c>
      <c r="L142" s="2">
        <v>46073</v>
      </c>
      <c r="M142" s="1" t="str">
        <f t="shared" si="5"/>
        <v>Şubat</v>
      </c>
      <c r="N142" s="1" t="s">
        <v>16</v>
      </c>
    </row>
    <row r="143" spans="1:14" x14ac:dyDescent="0.3">
      <c r="A143" s="1">
        <v>142</v>
      </c>
      <c r="B143" s="1">
        <v>101214</v>
      </c>
      <c r="C143" s="1" t="str">
        <f>VLOOKUP(B143,[2]!Tablo1[#Data],16,0)</f>
        <v>304-C</v>
      </c>
      <c r="D143" s="1" t="str">
        <f>VLOOKUP(B143,[2]!Tablo1[#Data],7,0)</f>
        <v>İnce Sol Ayna</v>
      </c>
      <c r="E143" s="5" t="str">
        <f>VLOOKUP(B143,[2]!Tablo1[#Data],10,0)</f>
        <v>A050-35-21-051B</v>
      </c>
      <c r="F143" s="1">
        <v>6</v>
      </c>
      <c r="G143" s="4">
        <f>VLOOKUP(B143,[2]!Tablo1[#Data],13,0)</f>
        <v>4.5</v>
      </c>
      <c r="H143" s="3">
        <f t="shared" si="4"/>
        <v>27</v>
      </c>
      <c r="I143" s="1" t="s">
        <v>5</v>
      </c>
      <c r="J143" s="1" t="str">
        <f>VLOOKUP(B143,[2]!Tablo1[#Data],3,0)</f>
        <v>Stringer</v>
      </c>
      <c r="K143" s="1" t="s">
        <v>1</v>
      </c>
      <c r="L143" s="2">
        <v>46073</v>
      </c>
      <c r="M143" s="1" t="str">
        <f t="shared" si="5"/>
        <v>Şubat</v>
      </c>
      <c r="N143" s="1" t="s">
        <v>16</v>
      </c>
    </row>
    <row r="144" spans="1:14" x14ac:dyDescent="0.3">
      <c r="A144" s="1">
        <v>143</v>
      </c>
      <c r="B144" s="1">
        <v>101215</v>
      </c>
      <c r="C144" s="1" t="str">
        <f>VLOOKUP(B144,[2]!Tablo1[#Data],16,0)</f>
        <v>304-D</v>
      </c>
      <c r="D144" s="1" t="str">
        <f>VLOOKUP(B144,[2]!Tablo1[#Data],7,0)</f>
        <v>İnce Sağ Ayna</v>
      </c>
      <c r="E144" s="5" t="str">
        <f>VLOOKUP(B144,[2]!Tablo1[#Data],10,0)</f>
        <v>A050-35-21-052B</v>
      </c>
      <c r="F144" s="1">
        <v>6</v>
      </c>
      <c r="G144" s="4">
        <f>VLOOKUP(B144,[2]!Tablo1[#Data],13,0)</f>
        <v>4.5</v>
      </c>
      <c r="H144" s="3">
        <f t="shared" si="4"/>
        <v>27</v>
      </c>
      <c r="I144" s="1" t="s">
        <v>5</v>
      </c>
      <c r="J144" s="1" t="str">
        <f>VLOOKUP(B144,[2]!Tablo1[#Data],3,0)</f>
        <v>Stringer</v>
      </c>
      <c r="K144" s="1" t="s">
        <v>1</v>
      </c>
      <c r="L144" s="2">
        <v>46073</v>
      </c>
      <c r="M144" s="1" t="str">
        <f t="shared" si="5"/>
        <v>Şubat</v>
      </c>
      <c r="N144" s="1" t="s">
        <v>16</v>
      </c>
    </row>
    <row r="145" spans="1:14" x14ac:dyDescent="0.3">
      <c r="A145" s="1">
        <v>144</v>
      </c>
      <c r="B145" s="1">
        <v>100960</v>
      </c>
      <c r="C145" s="1" t="str">
        <f>VLOOKUP(B145,[2]!Tablo1[#Data],16,0)</f>
        <v>241-A</v>
      </c>
      <c r="D145" s="1" t="str">
        <f>VLOOKUP(B145,[2]!Tablo1[#Data],7,0)</f>
        <v>Vakum Pedi</v>
      </c>
      <c r="E145" s="5">
        <f>VLOOKUP(B145,[2]!Tablo1[#Data],10,0)</f>
        <v>0</v>
      </c>
      <c r="F145" s="1">
        <v>24</v>
      </c>
      <c r="G145" s="4">
        <f>VLOOKUP(B145,[2]!Tablo1[#Data],13,0)</f>
        <v>0</v>
      </c>
      <c r="H145" s="3">
        <f t="shared" si="4"/>
        <v>0</v>
      </c>
      <c r="I145" s="1" t="s">
        <v>5</v>
      </c>
      <c r="J145" s="1" t="str">
        <f>VLOOKUP(B145,[2]!Tablo1[#Data],3,0)</f>
        <v>Band Soyma</v>
      </c>
      <c r="K145" s="1" t="s">
        <v>21</v>
      </c>
      <c r="L145" s="2">
        <v>46073</v>
      </c>
      <c r="M145" s="1" t="str">
        <f t="shared" si="5"/>
        <v>Şubat</v>
      </c>
      <c r="N145" s="1" t="s">
        <v>6</v>
      </c>
    </row>
    <row r="146" spans="1:14" x14ac:dyDescent="0.3">
      <c r="A146" s="1">
        <v>145</v>
      </c>
      <c r="B146" s="1">
        <v>101248</v>
      </c>
      <c r="C146" s="1" t="str">
        <f>VLOOKUP(B146,[2]!Tablo1[#Data],16,0)</f>
        <v>313-A</v>
      </c>
      <c r="D146" s="1" t="str">
        <f>VLOOKUP(B146,[2]!Tablo1[#Data],7,0)</f>
        <v>Konveyör Bandı</v>
      </c>
      <c r="E146" s="5" t="str">
        <f>VLOOKUP(B146,[2]!Tablo1[#Data],10,0)</f>
        <v>A050-86-08-002D</v>
      </c>
      <c r="F146" s="1">
        <v>1</v>
      </c>
      <c r="G146" s="4">
        <f>VLOOKUP(B146,[2]!Tablo1[#Data],13,0)</f>
        <v>200</v>
      </c>
      <c r="H146" s="3">
        <f t="shared" si="4"/>
        <v>200</v>
      </c>
      <c r="I146" s="1" t="s">
        <v>5</v>
      </c>
      <c r="J146" s="1" t="str">
        <f>VLOOKUP(B146,[2]!Tablo1[#Data],3,0)</f>
        <v>Stringer</v>
      </c>
      <c r="K146" s="1" t="s">
        <v>7</v>
      </c>
      <c r="L146" s="2">
        <v>46073</v>
      </c>
      <c r="M146" s="1" t="str">
        <f t="shared" si="5"/>
        <v>Şubat</v>
      </c>
      <c r="N146" s="1" t="s">
        <v>6</v>
      </c>
    </row>
    <row r="147" spans="1:14" x14ac:dyDescent="0.3">
      <c r="A147" s="1">
        <v>146</v>
      </c>
      <c r="B147" s="1">
        <v>101188</v>
      </c>
      <c r="C147" s="1" t="str">
        <f>VLOOKUP(B147,[2]!Tablo1[#Data],16,0)</f>
        <v>298-A</v>
      </c>
      <c r="D147" s="1" t="str">
        <f>VLOOKUP(B147,[2]!Tablo1[#Data],7,0)</f>
        <v>Sabit Bilyalı Rulman</v>
      </c>
      <c r="E147" s="5" t="str">
        <f>VLOOKUP(B147,[2]!Tablo1[#Data],10,0)</f>
        <v>625ZZ R-1650HH</v>
      </c>
      <c r="F147" s="1">
        <v>2</v>
      </c>
      <c r="G147" s="4">
        <f>VLOOKUP(B147,[2]!Tablo1[#Data],13,0)</f>
        <v>1.19</v>
      </c>
      <c r="H147" s="3">
        <f t="shared" si="4"/>
        <v>2.38</v>
      </c>
      <c r="I147" s="1" t="s">
        <v>2</v>
      </c>
      <c r="J147" s="1" t="str">
        <f>VLOOKUP(B147,[2]!Tablo1[#Data],3,0)</f>
        <v>Stringer</v>
      </c>
      <c r="K147" s="1" t="s">
        <v>1</v>
      </c>
      <c r="L147" s="2">
        <v>46073</v>
      </c>
      <c r="M147" s="1" t="str">
        <f t="shared" si="5"/>
        <v>Şubat</v>
      </c>
      <c r="N147" s="1" t="s">
        <v>10</v>
      </c>
    </row>
    <row r="148" spans="1:14" x14ac:dyDescent="0.3">
      <c r="A148" s="1">
        <v>147</v>
      </c>
      <c r="B148" s="1">
        <v>101178</v>
      </c>
      <c r="C148" s="1" t="str">
        <f>VLOOKUP(B148,[2]!Tablo1[#Data],16,0)</f>
        <v>295-C</v>
      </c>
      <c r="D148" s="1" t="str">
        <f>VLOOKUP(B148,[2]!Tablo1[#Data],7,0)</f>
        <v xml:space="preserve"> Kama</v>
      </c>
      <c r="E148" s="5" t="str">
        <f>VLOOKUP(B148,[2]!Tablo1[#Data],10,0)</f>
        <v>A050-03-03-02-012M</v>
      </c>
      <c r="F148" s="1">
        <v>1</v>
      </c>
      <c r="G148" s="4">
        <f>VLOOKUP(B148,[2]!Tablo1[#Data],13,0)</f>
        <v>6.2</v>
      </c>
      <c r="H148" s="3">
        <f t="shared" si="4"/>
        <v>6.2</v>
      </c>
      <c r="I148" s="1" t="s">
        <v>2</v>
      </c>
      <c r="J148" s="1" t="str">
        <f>VLOOKUP(B148,[2]!Tablo1[#Data],3,0)</f>
        <v>Stringer</v>
      </c>
      <c r="K148" s="1" t="s">
        <v>1</v>
      </c>
      <c r="L148" s="2">
        <v>46073</v>
      </c>
      <c r="M148" s="1" t="str">
        <f t="shared" si="5"/>
        <v>Şubat</v>
      </c>
      <c r="N148" s="1" t="s">
        <v>10</v>
      </c>
    </row>
    <row r="149" spans="1:14" x14ac:dyDescent="0.3">
      <c r="A149" s="1">
        <v>148</v>
      </c>
      <c r="B149" s="1">
        <v>101179</v>
      </c>
      <c r="C149" s="1" t="str">
        <f>VLOOKUP(B149,[2]!Tablo1[#Data],16,0)</f>
        <v>295-D</v>
      </c>
      <c r="D149" s="1" t="str">
        <f>VLOOKUP(B149,[2]!Tablo1[#Data],7,0)</f>
        <v xml:space="preserve"> Kama</v>
      </c>
      <c r="E149" s="5" t="str">
        <f>VLOOKUP(B149,[2]!Tablo1[#Data],10,0)</f>
        <v>A050-03-03-02-013M</v>
      </c>
      <c r="F149" s="1">
        <v>1</v>
      </c>
      <c r="G149" s="4">
        <f>VLOOKUP(B149,[2]!Tablo1[#Data],13,0)</f>
        <v>6.2</v>
      </c>
      <c r="H149" s="3">
        <f t="shared" si="4"/>
        <v>6.2</v>
      </c>
      <c r="I149" s="1" t="s">
        <v>2</v>
      </c>
      <c r="J149" s="1" t="str">
        <f>VLOOKUP(B149,[2]!Tablo1[#Data],3,0)</f>
        <v>Stringer</v>
      </c>
      <c r="K149" s="1" t="s">
        <v>1</v>
      </c>
      <c r="L149" s="2">
        <v>46073</v>
      </c>
      <c r="M149" s="1" t="str">
        <f t="shared" si="5"/>
        <v>Şubat</v>
      </c>
      <c r="N149" s="1" t="s">
        <v>10</v>
      </c>
    </row>
    <row r="150" spans="1:14" x14ac:dyDescent="0.3">
      <c r="A150" s="1">
        <v>149</v>
      </c>
      <c r="B150" s="1">
        <v>101316</v>
      </c>
      <c r="C150" s="1" t="str">
        <f>VLOOKUP(B150,[2]!Tablo1[#Data],16,0)</f>
        <v>330-A</v>
      </c>
      <c r="D150" s="1" t="str">
        <f>VLOOKUP(B150,[2]!Tablo1[#Data],7,0)</f>
        <v>Doğrusal Kılavuz</v>
      </c>
      <c r="E150" s="5" t="str">
        <f>VLOOKUP(B150,[2]!Tablo1[#Data],10,0)</f>
        <v>MGN12C1R45Z0C</v>
      </c>
      <c r="F150" s="1">
        <v>2</v>
      </c>
      <c r="G150" s="4">
        <f>VLOOKUP(B150,[2]!Tablo1[#Data],13,0)</f>
        <v>22.44</v>
      </c>
      <c r="H150" s="3">
        <f t="shared" si="4"/>
        <v>44.88</v>
      </c>
      <c r="I150" s="1" t="s">
        <v>2</v>
      </c>
      <c r="J150" s="1" t="str">
        <f>VLOOKUP(B150,[2]!Tablo1[#Data],3,0)</f>
        <v>Stringer</v>
      </c>
      <c r="K150" s="1" t="s">
        <v>1</v>
      </c>
      <c r="L150" s="2">
        <v>46073</v>
      </c>
      <c r="M150" s="1" t="str">
        <f t="shared" si="5"/>
        <v>Şubat</v>
      </c>
      <c r="N150" s="1" t="s">
        <v>10</v>
      </c>
    </row>
    <row r="151" spans="1:14" x14ac:dyDescent="0.3">
      <c r="A151" s="1">
        <v>150</v>
      </c>
      <c r="B151" s="1">
        <v>100396</v>
      </c>
      <c r="C151" s="1" t="str">
        <f>VLOOKUP(B151,[2]!Tablo1[#Data],16,0)</f>
        <v>100-A</v>
      </c>
      <c r="D151" s="1" t="str">
        <f>VLOOKUP(B151,[2]!Tablo1[#Data],7,0)</f>
        <v>Piston</v>
      </c>
      <c r="E151" s="5" t="str">
        <f>VLOOKUP(B151,[2]!Tablo1[#Data],10,0)</f>
        <v>CDUJB16-10D</v>
      </c>
      <c r="F151" s="1">
        <v>1</v>
      </c>
      <c r="G151" s="4">
        <f>VLOOKUP(B151,[2]!Tablo1[#Data],13,0)</f>
        <v>27.122641509433961</v>
      </c>
      <c r="H151" s="3">
        <f t="shared" si="4"/>
        <v>27.122641509433961</v>
      </c>
      <c r="I151" s="1" t="s">
        <v>2</v>
      </c>
      <c r="J151" s="1" t="str">
        <f>VLOOKUP(B151,[2]!Tablo1[#Data],3,0)</f>
        <v>Stringer</v>
      </c>
      <c r="K151" s="1" t="s">
        <v>1</v>
      </c>
      <c r="L151" s="2">
        <v>46074</v>
      </c>
      <c r="M151" s="1" t="str">
        <f t="shared" si="5"/>
        <v>Şubat</v>
      </c>
      <c r="N151" s="1" t="s">
        <v>10</v>
      </c>
    </row>
    <row r="152" spans="1:14" x14ac:dyDescent="0.3">
      <c r="A152" s="1">
        <v>151</v>
      </c>
      <c r="B152" s="1">
        <v>101316</v>
      </c>
      <c r="C152" s="1" t="str">
        <f>VLOOKUP(B152,[2]!Tablo1[#Data],16,0)</f>
        <v>330-A</v>
      </c>
      <c r="D152" s="1" t="str">
        <f>VLOOKUP(B152,[2]!Tablo1[#Data],7,0)</f>
        <v>Doğrusal Kılavuz</v>
      </c>
      <c r="E152" s="5" t="str">
        <f>VLOOKUP(B152,[2]!Tablo1[#Data],10,0)</f>
        <v>MGN12C1R45Z0C</v>
      </c>
      <c r="F152" s="1">
        <v>2</v>
      </c>
      <c r="G152" s="4">
        <f>VLOOKUP(B152,[2]!Tablo1[#Data],13,0)</f>
        <v>22.44</v>
      </c>
      <c r="H152" s="3">
        <f t="shared" si="4"/>
        <v>44.88</v>
      </c>
      <c r="I152" s="1" t="s">
        <v>2</v>
      </c>
      <c r="J152" s="1" t="str">
        <f>VLOOKUP(B152,[2]!Tablo1[#Data],3,0)</f>
        <v>Stringer</v>
      </c>
      <c r="K152" s="1" t="s">
        <v>13</v>
      </c>
      <c r="L152" s="2">
        <v>46075</v>
      </c>
      <c r="M152" s="1" t="str">
        <f t="shared" si="5"/>
        <v>Şubat</v>
      </c>
      <c r="N152" s="1" t="s">
        <v>0</v>
      </c>
    </row>
    <row r="153" spans="1:14" x14ac:dyDescent="0.3">
      <c r="A153" s="1">
        <v>152</v>
      </c>
      <c r="B153" s="1">
        <v>100184</v>
      </c>
      <c r="C153" s="1" t="str">
        <f>VLOOKUP(B153,[2]!Tablo1[#Data],16,0)</f>
        <v>47-A</v>
      </c>
      <c r="D153" s="1" t="str">
        <f>VLOOKUP(B153,[2]!Tablo1[#Data],7,0)</f>
        <v>Rulman</v>
      </c>
      <c r="E153" s="5" t="str">
        <f>VLOOKUP(B153,[2]!Tablo1[#Data],10,0)</f>
        <v>6005-2RZ</v>
      </c>
      <c r="F153" s="1">
        <v>7</v>
      </c>
      <c r="G153" s="4">
        <f>VLOOKUP(B153,[2]!Tablo1[#Data],13,0)</f>
        <v>1</v>
      </c>
      <c r="H153" s="3">
        <f t="shared" si="4"/>
        <v>7</v>
      </c>
      <c r="I153" s="1" t="s">
        <v>5</v>
      </c>
      <c r="J153" s="1" t="str">
        <f>VLOOKUP(B153,[2]!Tablo1[#Data],3,0)</f>
        <v>Edge Grinding</v>
      </c>
      <c r="K153" s="1" t="s">
        <v>21</v>
      </c>
      <c r="L153" s="2">
        <v>46075</v>
      </c>
      <c r="M153" s="1" t="str">
        <f t="shared" si="5"/>
        <v>Şubat</v>
      </c>
      <c r="N153" s="1" t="s">
        <v>16</v>
      </c>
    </row>
    <row r="154" spans="1:14" x14ac:dyDescent="0.3">
      <c r="A154" s="1">
        <v>153</v>
      </c>
      <c r="B154" s="1">
        <v>100688</v>
      </c>
      <c r="C154" s="1" t="str">
        <f>VLOOKUP(B154,[2]!Tablo1[#Data],16,0)</f>
        <v>173-A</v>
      </c>
      <c r="D154" s="1" t="str">
        <f>VLOOKUP(B154,[2]!Tablo1[#Data],7,0)</f>
        <v>Rulman</v>
      </c>
      <c r="E154" s="5" t="str">
        <f>VLOOKUP(B154,[2]!Tablo1[#Data],10,0)</f>
        <v>SPY-6005</v>
      </c>
      <c r="F154" s="1">
        <v>1</v>
      </c>
      <c r="G154" s="4">
        <f>VLOOKUP(B154,[2]!Tablo1[#Data],13,0)</f>
        <v>3</v>
      </c>
      <c r="H154" s="3">
        <f t="shared" si="4"/>
        <v>3</v>
      </c>
      <c r="I154" s="1" t="s">
        <v>5</v>
      </c>
      <c r="J154" s="1" t="str">
        <f>VLOOKUP(B154,[2]!Tablo1[#Data],3,0)</f>
        <v>Auto Potting</v>
      </c>
      <c r="K154" s="1" t="s">
        <v>21</v>
      </c>
      <c r="L154" s="2">
        <v>46075</v>
      </c>
      <c r="M154" s="1" t="str">
        <f t="shared" si="5"/>
        <v>Şubat</v>
      </c>
      <c r="N154" s="1" t="s">
        <v>16</v>
      </c>
    </row>
    <row r="155" spans="1:14" x14ac:dyDescent="0.3">
      <c r="A155" s="1">
        <v>154</v>
      </c>
      <c r="B155" s="1">
        <v>101434</v>
      </c>
      <c r="C155" s="1" t="str">
        <f>VLOOKUP(B155,[2]!Tablo1[#Data],16,0)</f>
        <v>359-C</v>
      </c>
      <c r="D155" s="1" t="str">
        <f>VLOOKUP(B155,[2]!Tablo1[#Data],7,0)</f>
        <v>Vantuz</v>
      </c>
      <c r="E155" s="5" t="str">
        <f>VLOOKUP(B155,[2]!Tablo1[#Data],10,0)</f>
        <v xml:space="preserve">H41104AL1 </v>
      </c>
      <c r="F155" s="1">
        <v>1</v>
      </c>
      <c r="G155" s="4">
        <f>VLOOKUP(B155,[2]!Tablo1[#Data],13,0)</f>
        <v>0</v>
      </c>
      <c r="H155" s="3">
        <f t="shared" si="4"/>
        <v>0</v>
      </c>
      <c r="I155" s="1" t="s">
        <v>2</v>
      </c>
      <c r="J155" s="1">
        <f>VLOOKUP(B155,[2]!Tablo1[#Data],3,0)</f>
        <v>0</v>
      </c>
      <c r="K155" s="1" t="s">
        <v>27</v>
      </c>
      <c r="L155" s="2">
        <v>46075</v>
      </c>
      <c r="M155" s="1" t="str">
        <f t="shared" si="5"/>
        <v>Şubat</v>
      </c>
      <c r="N155" s="1" t="s">
        <v>10</v>
      </c>
    </row>
    <row r="156" spans="1:14" x14ac:dyDescent="0.3">
      <c r="A156" s="1">
        <v>155</v>
      </c>
      <c r="B156" s="1">
        <v>101248</v>
      </c>
      <c r="C156" s="1" t="str">
        <f>VLOOKUP(B156,[2]!Tablo1[#Data],16,0)</f>
        <v>313-A</v>
      </c>
      <c r="D156" s="1" t="str">
        <f>VLOOKUP(B156,[2]!Tablo1[#Data],7,0)</f>
        <v>Konveyör Bandı</v>
      </c>
      <c r="E156" s="5" t="str">
        <f>VLOOKUP(B156,[2]!Tablo1[#Data],10,0)</f>
        <v>A050-86-08-002D</v>
      </c>
      <c r="F156" s="1">
        <v>1</v>
      </c>
      <c r="G156" s="4">
        <f>VLOOKUP(B156,[2]!Tablo1[#Data],13,0)</f>
        <v>200</v>
      </c>
      <c r="H156" s="3">
        <f t="shared" si="4"/>
        <v>200</v>
      </c>
      <c r="I156" s="1" t="s">
        <v>5</v>
      </c>
      <c r="J156" s="1" t="str">
        <f>VLOOKUP(B156,[2]!Tablo1[#Data],3,0)</f>
        <v>Stringer</v>
      </c>
      <c r="K156" s="1" t="s">
        <v>15</v>
      </c>
      <c r="L156" s="2">
        <v>46076</v>
      </c>
      <c r="M156" s="1" t="str">
        <f t="shared" si="5"/>
        <v>Şubat</v>
      </c>
      <c r="N156" s="1" t="s">
        <v>6</v>
      </c>
    </row>
    <row r="157" spans="1:14" x14ac:dyDescent="0.3">
      <c r="A157" s="1">
        <v>156</v>
      </c>
      <c r="B157" s="1">
        <v>101437</v>
      </c>
      <c r="C157" s="1" t="str">
        <f>VLOOKUP(B157,[2]!Tablo1[#Data],16,0)</f>
        <v>360-B</v>
      </c>
      <c r="D157" s="1" t="str">
        <f>VLOOKUP(B157,[2]!Tablo1[#Data],7,0)</f>
        <v>Vantuz</v>
      </c>
      <c r="E157" s="5" t="str">
        <f>VLOOKUP(B157,[2]!Tablo1[#Data],10,0)</f>
        <v>AU2237</v>
      </c>
      <c r="F157" s="1">
        <v>76</v>
      </c>
      <c r="G157" s="4">
        <f>VLOOKUP(B157,[2]!Tablo1[#Data],13,0)</f>
        <v>2.5</v>
      </c>
      <c r="H157" s="3">
        <f t="shared" si="4"/>
        <v>190</v>
      </c>
      <c r="I157" s="1" t="s">
        <v>2</v>
      </c>
      <c r="J157" s="1">
        <f>VLOOKUP(B157,[2]!Tablo1[#Data],3,0)</f>
        <v>0</v>
      </c>
      <c r="K157" s="1" t="s">
        <v>27</v>
      </c>
      <c r="L157" s="2">
        <v>46076</v>
      </c>
      <c r="M157" s="1" t="str">
        <f t="shared" si="5"/>
        <v>Şubat</v>
      </c>
      <c r="N157" s="1" t="s">
        <v>10</v>
      </c>
    </row>
    <row r="158" spans="1:14" x14ac:dyDescent="0.3">
      <c r="A158" s="1">
        <v>157</v>
      </c>
      <c r="B158" s="1">
        <v>101432</v>
      </c>
      <c r="C158" s="1" t="str">
        <f>VLOOKUP(B158,[2]!Tablo1[#Data],16,0)</f>
        <v>359-A</v>
      </c>
      <c r="D158" s="1" t="str">
        <f>VLOOKUP(B158,[2]!Tablo1[#Data],7,0)</f>
        <v>Vantuz</v>
      </c>
      <c r="E158" s="5" t="str">
        <f>VLOOKUP(B158,[2]!Tablo1[#Data],10,0)</f>
        <v>W2585L</v>
      </c>
      <c r="F158" s="1">
        <v>25</v>
      </c>
      <c r="G158" s="4">
        <f>VLOOKUP(B158,[2]!Tablo1[#Data],13,0)</f>
        <v>0.54</v>
      </c>
      <c r="H158" s="3">
        <f t="shared" si="4"/>
        <v>13.5</v>
      </c>
      <c r="I158" s="1" t="s">
        <v>2</v>
      </c>
      <c r="J158" s="1">
        <f>VLOOKUP(B158,[2]!Tablo1[#Data],3,0)</f>
        <v>0</v>
      </c>
      <c r="K158" s="1" t="s">
        <v>27</v>
      </c>
      <c r="L158" s="2">
        <v>46076</v>
      </c>
      <c r="M158" s="1" t="str">
        <f t="shared" si="5"/>
        <v>Şubat</v>
      </c>
      <c r="N158" s="1" t="s">
        <v>10</v>
      </c>
    </row>
    <row r="159" spans="1:14" x14ac:dyDescent="0.3">
      <c r="A159" s="1">
        <v>158</v>
      </c>
      <c r="B159" s="1">
        <v>101433</v>
      </c>
      <c r="C159" s="1" t="str">
        <f>VLOOKUP(B159,[2]!Tablo1[#Data],16,0)</f>
        <v>359-B</v>
      </c>
      <c r="D159" s="1" t="str">
        <f>VLOOKUP(B159,[2]!Tablo1[#Data],7,0)</f>
        <v>Vantuz</v>
      </c>
      <c r="E159" s="5" t="str">
        <f>VLOOKUP(B159,[2]!Tablo1[#Data],10,0)</f>
        <v>W2586L</v>
      </c>
      <c r="F159" s="1">
        <v>21</v>
      </c>
      <c r="G159" s="4">
        <f>VLOOKUP(B159,[2]!Tablo1[#Data],13,0)</f>
        <v>0.54</v>
      </c>
      <c r="H159" s="3">
        <f t="shared" si="4"/>
        <v>11.34</v>
      </c>
      <c r="I159" s="1" t="s">
        <v>2</v>
      </c>
      <c r="J159" s="1">
        <f>VLOOKUP(B159,[2]!Tablo1[#Data],3,0)</f>
        <v>0</v>
      </c>
      <c r="K159" s="1" t="s">
        <v>27</v>
      </c>
      <c r="L159" s="2">
        <v>46076</v>
      </c>
      <c r="M159" s="1" t="str">
        <f t="shared" si="5"/>
        <v>Şubat</v>
      </c>
      <c r="N159" s="1" t="s">
        <v>10</v>
      </c>
    </row>
    <row r="160" spans="1:14" x14ac:dyDescent="0.3">
      <c r="A160" s="1">
        <v>159</v>
      </c>
      <c r="B160" s="1">
        <v>101425</v>
      </c>
      <c r="C160" s="1" t="str">
        <f>VLOOKUP(B160,[2]!Tablo1[#Data],16,0)</f>
        <v>357-B</v>
      </c>
      <c r="D160" s="1" t="str">
        <f>VLOOKUP(B160,[2]!Tablo1[#Data],7,0)</f>
        <v>Seramik Kapak Plakası</v>
      </c>
      <c r="E160" s="5" t="str">
        <f>VLOOKUP(B160,[2]!Tablo1[#Data],10,0)</f>
        <v>LC-AF6619A</v>
      </c>
      <c r="F160" s="1">
        <v>2</v>
      </c>
      <c r="G160" s="4">
        <f>VLOOKUP(B160,[2]!Tablo1[#Data],13,0)</f>
        <v>125</v>
      </c>
      <c r="H160" s="3">
        <f t="shared" si="4"/>
        <v>250</v>
      </c>
      <c r="I160" s="1" t="s">
        <v>2</v>
      </c>
      <c r="J160" s="1">
        <f>VLOOKUP(B160,[2]!Tablo1[#Data],3,0)</f>
        <v>0</v>
      </c>
      <c r="K160" s="1" t="s">
        <v>27</v>
      </c>
      <c r="L160" s="2">
        <v>46076</v>
      </c>
      <c r="M160" s="1" t="str">
        <f t="shared" si="5"/>
        <v>Şubat</v>
      </c>
      <c r="N160" s="1" t="s">
        <v>10</v>
      </c>
    </row>
    <row r="161" spans="1:14" x14ac:dyDescent="0.3">
      <c r="A161" s="1">
        <v>160</v>
      </c>
      <c r="B161" s="1">
        <v>100012</v>
      </c>
      <c r="C161" s="1" t="str">
        <f>VLOOKUP(B161,[2]!Tablo1[#Data],16,0)</f>
        <v>4-A</v>
      </c>
      <c r="D161" s="1" t="str">
        <f>VLOOKUP(B161,[2]!Tablo1[#Data],7,0)</f>
        <v>Rulman</v>
      </c>
      <c r="E161" s="5" t="str">
        <f>VLOOKUP(B161,[2]!Tablo1[#Data],10,0)</f>
        <v>6903RS</v>
      </c>
      <c r="F161" s="1">
        <v>3</v>
      </c>
      <c r="G161" s="4">
        <f>VLOOKUP(B161,[2]!Tablo1[#Data],13,0)</f>
        <v>1</v>
      </c>
      <c r="H161" s="3">
        <f t="shared" si="4"/>
        <v>3</v>
      </c>
      <c r="I161" s="1" t="s">
        <v>2</v>
      </c>
      <c r="J161" s="1" t="str">
        <f>VLOOKUP(B161,[2]!Tablo1[#Data],3,0)</f>
        <v>Auto Rotary CV</v>
      </c>
      <c r="K161" s="1" t="s">
        <v>26</v>
      </c>
      <c r="L161" s="2">
        <v>46076</v>
      </c>
      <c r="M161" s="1" t="str">
        <f t="shared" si="5"/>
        <v>Şubat</v>
      </c>
      <c r="N161" s="1" t="s">
        <v>10</v>
      </c>
    </row>
    <row r="162" spans="1:14" ht="28.8" x14ac:dyDescent="0.3">
      <c r="A162" s="1">
        <v>161</v>
      </c>
      <c r="B162" s="1">
        <v>100013</v>
      </c>
      <c r="C162" s="1" t="str">
        <f>VLOOKUP(B162,[2]!Tablo1[#Data],16,0)</f>
        <v>4-B</v>
      </c>
      <c r="D162" s="1" t="str">
        <f>VLOOKUP(B162,[2]!Tablo1[#Data],7,0)</f>
        <v>Kasnak</v>
      </c>
      <c r="E162" s="5" t="str">
        <f>VLOOKUP(B162,[2]!Tablo1[#Data],10,0)</f>
        <v>40齿,T10,30孔 / 材质增强尼龙 (L.GF00000-00-63)</v>
      </c>
      <c r="F162" s="1">
        <v>1</v>
      </c>
      <c r="G162" s="4">
        <f>VLOOKUP(B162,[2]!Tablo1[#Data],13,0)</f>
        <v>7</v>
      </c>
      <c r="H162" s="3">
        <f t="shared" si="4"/>
        <v>7</v>
      </c>
      <c r="I162" s="1" t="s">
        <v>2</v>
      </c>
      <c r="J162" s="1" t="str">
        <f>VLOOKUP(B162,[2]!Tablo1[#Data],3,0)</f>
        <v>Auto Rotary CV</v>
      </c>
      <c r="K162" s="1" t="s">
        <v>26</v>
      </c>
      <c r="L162" s="2">
        <v>46076</v>
      </c>
      <c r="M162" s="1" t="str">
        <f t="shared" si="5"/>
        <v>Şubat</v>
      </c>
      <c r="N162" s="1" t="s">
        <v>10</v>
      </c>
    </row>
    <row r="163" spans="1:14" x14ac:dyDescent="0.3">
      <c r="A163" s="1">
        <v>162</v>
      </c>
      <c r="B163" s="1">
        <v>100935</v>
      </c>
      <c r="C163" s="1" t="str">
        <f>VLOOKUP(B163,[2]!Tablo1[#Data],16,0)</f>
        <v>234-D</v>
      </c>
      <c r="D163" s="1" t="str">
        <f>VLOOKUP(B163,[2]!Tablo1[#Data],7,0)</f>
        <v>Piston</v>
      </c>
      <c r="E163" s="5" t="str">
        <f>VLOOKUP(B163,[2]!Tablo1[#Data],10,0)</f>
        <v>TN20×40S / 亚德客</v>
      </c>
      <c r="F163" s="1">
        <v>1</v>
      </c>
      <c r="G163" s="4">
        <f>VLOOKUP(B163,[2]!Tablo1[#Data],13,0)</f>
        <v>72</v>
      </c>
      <c r="H163" s="3">
        <f t="shared" si="4"/>
        <v>72</v>
      </c>
      <c r="I163" s="1" t="s">
        <v>2</v>
      </c>
      <c r="J163" s="1" t="str">
        <f>VLOOKUP(B163,[2]!Tablo1[#Data],3,0)</f>
        <v>Auto Framing</v>
      </c>
      <c r="K163" s="1" t="s">
        <v>25</v>
      </c>
      <c r="L163" s="2">
        <v>46076</v>
      </c>
      <c r="M163" s="1" t="str">
        <f t="shared" si="5"/>
        <v>Şubat</v>
      </c>
      <c r="N163" s="1" t="s">
        <v>12</v>
      </c>
    </row>
    <row r="164" spans="1:14" x14ac:dyDescent="0.3">
      <c r="A164" s="1">
        <v>163</v>
      </c>
      <c r="B164" s="1">
        <v>101200</v>
      </c>
      <c r="C164" s="1" t="str">
        <f>VLOOKUP(B164,[2]!Tablo1[#Data],16,0)</f>
        <v>301-A</v>
      </c>
      <c r="D164" s="1" t="str">
        <f>VLOOKUP(B164,[2]!Tablo1[#Data],7,0)</f>
        <v>E-Tipi Yüzük</v>
      </c>
      <c r="E164" s="5" t="str">
        <f>VLOOKUP(B164,[2]!Tablo1[#Data],10,0)</f>
        <v>NETWS2</v>
      </c>
      <c r="F164" s="1">
        <v>6</v>
      </c>
      <c r="G164" s="4">
        <f>VLOOKUP(B164,[2]!Tablo1[#Data],13,0)</f>
        <v>0.05</v>
      </c>
      <c r="H164" s="3">
        <f t="shared" si="4"/>
        <v>0.30000000000000004</v>
      </c>
      <c r="I164" s="1" t="s">
        <v>2</v>
      </c>
      <c r="J164" s="1" t="str">
        <f>VLOOKUP(B164,[2]!Tablo1[#Data],3,0)</f>
        <v>Stringer</v>
      </c>
      <c r="K164" s="1" t="s">
        <v>7</v>
      </c>
      <c r="L164" s="2">
        <v>46076</v>
      </c>
      <c r="M164" s="1" t="str">
        <f t="shared" si="5"/>
        <v>Şubat</v>
      </c>
      <c r="N164" s="1" t="s">
        <v>0</v>
      </c>
    </row>
    <row r="165" spans="1:14" x14ac:dyDescent="0.3">
      <c r="A165" s="1">
        <v>164</v>
      </c>
      <c r="B165" s="1">
        <v>101222</v>
      </c>
      <c r="C165" s="1" t="str">
        <f>VLOOKUP(B165,[2]!Tablo1[#Data],16,0)</f>
        <v>306-C</v>
      </c>
      <c r="D165" s="1" t="str">
        <f>VLOOKUP(B165,[2]!Tablo1[#Data],7,0)</f>
        <v>Kılavuz Direğine Aşağı Basın</v>
      </c>
      <c r="E165" s="5" t="str">
        <f>VLOOKUP(B165,[2]!Tablo1[#Data],10,0)</f>
        <v>A050-02-95-012A</v>
      </c>
      <c r="F165" s="1">
        <v>1</v>
      </c>
      <c r="G165" s="4">
        <f>VLOOKUP(B165,[2]!Tablo1[#Data],13,0)</f>
        <v>2.0499999999999998</v>
      </c>
      <c r="H165" s="3">
        <f t="shared" si="4"/>
        <v>2.0499999999999998</v>
      </c>
      <c r="I165" s="1" t="s">
        <v>2</v>
      </c>
      <c r="J165" s="1" t="str">
        <f>VLOOKUP(B165,[2]!Tablo1[#Data],3,0)</f>
        <v>Stringer</v>
      </c>
      <c r="K165" s="1" t="s">
        <v>1</v>
      </c>
      <c r="L165" s="2">
        <v>46078</v>
      </c>
      <c r="M165" s="1" t="str">
        <f t="shared" si="5"/>
        <v>Şubat</v>
      </c>
      <c r="N165" s="1" t="s">
        <v>0</v>
      </c>
    </row>
    <row r="166" spans="1:14" x14ac:dyDescent="0.3">
      <c r="A166" s="1">
        <v>165</v>
      </c>
      <c r="B166" s="1">
        <v>101223</v>
      </c>
      <c r="C166" s="1" t="str">
        <f>VLOOKUP(B166,[2]!Tablo1[#Data],16,0)</f>
        <v>306-D</v>
      </c>
      <c r="D166" s="1" t="str">
        <f>VLOOKUP(B166,[2]!Tablo1[#Data],7,0)</f>
        <v>Yağsız Burç</v>
      </c>
      <c r="E166" s="5" t="str">
        <f>VLOOKUP(B166,[2]!Tablo1[#Data],10,0)</f>
        <v>OFL03-D8-L10</v>
      </c>
      <c r="F166" s="1">
        <v>1</v>
      </c>
      <c r="G166" s="4">
        <f>VLOOKUP(B166,[2]!Tablo1[#Data],13,0)</f>
        <v>2.81</v>
      </c>
      <c r="H166" s="3">
        <f t="shared" si="4"/>
        <v>2.81</v>
      </c>
      <c r="I166" s="1" t="s">
        <v>2</v>
      </c>
      <c r="J166" s="1" t="str">
        <f>VLOOKUP(B166,[2]!Tablo1[#Data],3,0)</f>
        <v>Stringer</v>
      </c>
      <c r="K166" s="1" t="s">
        <v>1</v>
      </c>
      <c r="L166" s="2">
        <v>46078</v>
      </c>
      <c r="M166" s="1" t="str">
        <f t="shared" si="5"/>
        <v>Şubat</v>
      </c>
      <c r="N166" s="1" t="s">
        <v>0</v>
      </c>
    </row>
    <row r="167" spans="1:14" x14ac:dyDescent="0.3">
      <c r="A167" s="1">
        <v>166</v>
      </c>
      <c r="B167" s="1">
        <v>101248</v>
      </c>
      <c r="C167" s="1" t="str">
        <f>VLOOKUP(B167,[2]!Tablo1[#Data],16,0)</f>
        <v>313-A</v>
      </c>
      <c r="D167" s="1" t="str">
        <f>VLOOKUP(B167,[2]!Tablo1[#Data],7,0)</f>
        <v>Konveyör Bandı</v>
      </c>
      <c r="E167" s="5" t="str">
        <f>VLOOKUP(B167,[2]!Tablo1[#Data],10,0)</f>
        <v>A050-86-08-002D</v>
      </c>
      <c r="F167" s="1">
        <v>1</v>
      </c>
      <c r="G167" s="4">
        <f>VLOOKUP(B167,[2]!Tablo1[#Data],13,0)</f>
        <v>200</v>
      </c>
      <c r="H167" s="3">
        <f t="shared" si="4"/>
        <v>200</v>
      </c>
      <c r="I167" s="1" t="s">
        <v>2</v>
      </c>
      <c r="J167" s="1" t="str">
        <f>VLOOKUP(B167,[2]!Tablo1[#Data],3,0)</f>
        <v>Stringer</v>
      </c>
      <c r="K167" s="1" t="s">
        <v>1</v>
      </c>
      <c r="L167" s="2">
        <v>46078</v>
      </c>
      <c r="M167" s="1" t="str">
        <f t="shared" si="5"/>
        <v>Şubat</v>
      </c>
      <c r="N167" s="1" t="s">
        <v>0</v>
      </c>
    </row>
    <row r="168" spans="1:14" x14ac:dyDescent="0.3">
      <c r="A168" s="1">
        <v>167</v>
      </c>
      <c r="B168" s="1">
        <v>100664</v>
      </c>
      <c r="C168" s="1" t="str">
        <f>VLOOKUP(B168,[2]!Tablo1[#Data],16,0)</f>
        <v>167-A</v>
      </c>
      <c r="D168" s="1" t="str">
        <f>VLOOKUP(B168,[2]!Tablo1[#Data],7,0)</f>
        <v>Kaplin</v>
      </c>
      <c r="E168" s="5" t="str">
        <f>VLOOKUP(B168,[2]!Tablo1[#Data],10,0)</f>
        <v>GB-15×24-8×8</v>
      </c>
      <c r="F168" s="1">
        <v>1</v>
      </c>
      <c r="G168" s="4">
        <f>VLOOKUP(B168,[2]!Tablo1[#Data],13,0)</f>
        <v>19</v>
      </c>
      <c r="H168" s="3">
        <f t="shared" si="4"/>
        <v>19</v>
      </c>
      <c r="I168" s="1" t="s">
        <v>5</v>
      </c>
      <c r="J168" s="1" t="str">
        <f>VLOOKUP(B168,[2]!Tablo1[#Data],3,0)</f>
        <v>Laminator</v>
      </c>
      <c r="K168" s="1" t="s">
        <v>24</v>
      </c>
      <c r="L168" s="2">
        <v>46078</v>
      </c>
      <c r="M168" s="1" t="str">
        <f t="shared" si="5"/>
        <v>Şubat</v>
      </c>
      <c r="N168" s="1" t="s">
        <v>16</v>
      </c>
    </row>
    <row r="169" spans="1:14" x14ac:dyDescent="0.3">
      <c r="A169" s="1">
        <v>168</v>
      </c>
      <c r="B169" s="1">
        <v>101188</v>
      </c>
      <c r="C169" s="1" t="str">
        <f>VLOOKUP(B169,[2]!Tablo1[#Data],16,0)</f>
        <v>298-A</v>
      </c>
      <c r="D169" s="1" t="str">
        <f>VLOOKUP(B169,[2]!Tablo1[#Data],7,0)</f>
        <v>Sabit Bilyalı Rulman</v>
      </c>
      <c r="E169" s="5" t="str">
        <f>VLOOKUP(B169,[2]!Tablo1[#Data],10,0)</f>
        <v>625ZZ R-1650HH</v>
      </c>
      <c r="F169" s="1">
        <v>1</v>
      </c>
      <c r="G169" s="4">
        <f>VLOOKUP(B169,[2]!Tablo1[#Data],13,0)</f>
        <v>1.19</v>
      </c>
      <c r="H169" s="3">
        <f t="shared" si="4"/>
        <v>1.19</v>
      </c>
      <c r="I169" s="1" t="s">
        <v>2</v>
      </c>
      <c r="J169" s="1" t="str">
        <f>VLOOKUP(B169,[2]!Tablo1[#Data],3,0)</f>
        <v>Stringer</v>
      </c>
      <c r="K169" s="1" t="s">
        <v>8</v>
      </c>
      <c r="L169" s="2">
        <v>46079</v>
      </c>
      <c r="M169" s="1" t="str">
        <f t="shared" si="5"/>
        <v>Şubat</v>
      </c>
      <c r="N169" s="1" t="s">
        <v>10</v>
      </c>
    </row>
    <row r="170" spans="1:14" x14ac:dyDescent="0.3">
      <c r="A170" s="1">
        <v>169</v>
      </c>
      <c r="B170" s="1">
        <v>101181</v>
      </c>
      <c r="C170" s="1" t="str">
        <f>VLOOKUP(B170,[2]!Tablo1[#Data],16,0)</f>
        <v>296-B</v>
      </c>
      <c r="D170" s="1" t="str">
        <f>VLOOKUP(B170,[2]!Tablo1[#Data],7,0)</f>
        <v>Normal Yüzük</v>
      </c>
      <c r="E170" s="5" t="str">
        <f>VLOOKUP(B170,[2]!Tablo1[#Data],10,0)</f>
        <v>A050-05-04-03-021B</v>
      </c>
      <c r="F170" s="1">
        <v>4</v>
      </c>
      <c r="G170" s="4">
        <f>VLOOKUP(B170,[2]!Tablo1[#Data],13,0)</f>
        <v>4.67</v>
      </c>
      <c r="H170" s="3">
        <f t="shared" si="4"/>
        <v>18.68</v>
      </c>
      <c r="I170" s="1" t="s">
        <v>5</v>
      </c>
      <c r="J170" s="1" t="str">
        <f>VLOOKUP(B170,[2]!Tablo1[#Data],3,0)</f>
        <v>Stringer</v>
      </c>
      <c r="K170" s="1" t="s">
        <v>8</v>
      </c>
      <c r="L170" s="2">
        <v>46080</v>
      </c>
      <c r="M170" s="1" t="str">
        <f t="shared" si="5"/>
        <v>Şubat</v>
      </c>
      <c r="N170" s="1" t="s">
        <v>16</v>
      </c>
    </row>
    <row r="171" spans="1:14" x14ac:dyDescent="0.3">
      <c r="A171" s="1">
        <v>170</v>
      </c>
      <c r="B171" s="1">
        <v>101248</v>
      </c>
      <c r="C171" s="1" t="str">
        <f>VLOOKUP(B171,[2]!Tablo1[#Data],16,0)</f>
        <v>313-A</v>
      </c>
      <c r="D171" s="1" t="str">
        <f>VLOOKUP(B171,[2]!Tablo1[#Data],7,0)</f>
        <v>Konveyör Bandı</v>
      </c>
      <c r="E171" s="5" t="str">
        <f>VLOOKUP(B171,[2]!Tablo1[#Data],10,0)</f>
        <v>A050-86-08-002D</v>
      </c>
      <c r="F171" s="1">
        <v>1</v>
      </c>
      <c r="G171" s="4">
        <f>VLOOKUP(B171,[2]!Tablo1[#Data],13,0)</f>
        <v>200</v>
      </c>
      <c r="H171" s="3">
        <f t="shared" si="4"/>
        <v>200</v>
      </c>
      <c r="I171" s="1" t="s">
        <v>2</v>
      </c>
      <c r="J171" s="1" t="str">
        <f>VLOOKUP(B171,[2]!Tablo1[#Data],3,0)</f>
        <v>Stringer</v>
      </c>
      <c r="K171" s="1" t="s">
        <v>13</v>
      </c>
      <c r="L171" s="2">
        <v>46080</v>
      </c>
      <c r="M171" s="1" t="str">
        <f t="shared" si="5"/>
        <v>Şubat</v>
      </c>
      <c r="N171" s="1" t="s">
        <v>0</v>
      </c>
    </row>
    <row r="172" spans="1:14" x14ac:dyDescent="0.3">
      <c r="A172" s="1">
        <v>171</v>
      </c>
      <c r="B172" s="1">
        <v>101123</v>
      </c>
      <c r="C172" s="1" t="str">
        <f>VLOOKUP(B172,[2]!Tablo1[#Data],16,0)</f>
        <v>281-D</v>
      </c>
      <c r="D172" s="1" t="str">
        <f>VLOOKUP(B172,[2]!Tablo1[#Data],7,0)</f>
        <v xml:space="preserve">Silindir Makaralı Rulman </v>
      </c>
      <c r="E172" s="5" t="str">
        <f>VLOOKUP(B172,[2]!Tablo1[#Data],10,0)</f>
        <v>NF5-ATW01</v>
      </c>
      <c r="F172" s="1">
        <v>2</v>
      </c>
      <c r="G172" s="4">
        <f>VLOOKUP(B172,[2]!Tablo1[#Data],13,0)</f>
        <v>0</v>
      </c>
      <c r="H172" s="3">
        <f t="shared" si="4"/>
        <v>0</v>
      </c>
      <c r="I172" s="1" t="s">
        <v>5</v>
      </c>
      <c r="J172" s="1" t="str">
        <f>VLOOKUP(B172,[2]!Tablo1[#Data],3,0)</f>
        <v>Stringer</v>
      </c>
      <c r="K172" s="1" t="s">
        <v>20</v>
      </c>
      <c r="L172" s="2">
        <v>46080</v>
      </c>
      <c r="M172" s="1" t="str">
        <f t="shared" si="5"/>
        <v>Şubat</v>
      </c>
      <c r="N172" s="1" t="s">
        <v>16</v>
      </c>
    </row>
    <row r="173" spans="1:14" x14ac:dyDescent="0.3">
      <c r="A173" s="1">
        <v>172</v>
      </c>
      <c r="B173" s="1">
        <v>100626</v>
      </c>
      <c r="C173" s="1" t="str">
        <f>VLOOKUP(B173,[2]!Tablo1[#Data],16,0)</f>
        <v>157-C</v>
      </c>
      <c r="D173" s="1" t="str">
        <f>VLOOKUP(B173,[2]!Tablo1[#Data],7,0)</f>
        <v>Grafit Conta</v>
      </c>
      <c r="E173" s="5" t="str">
        <f>VLOOKUP(B173,[2]!Tablo1[#Data],10,0)</f>
        <v>85×55</v>
      </c>
      <c r="F173" s="1">
        <v>1</v>
      </c>
      <c r="G173" s="4">
        <f>VLOOKUP(B173,[2]!Tablo1[#Data],13,0)</f>
        <v>4</v>
      </c>
      <c r="H173" s="3">
        <f t="shared" si="4"/>
        <v>4</v>
      </c>
      <c r="I173" s="1" t="s">
        <v>2</v>
      </c>
      <c r="J173" s="1" t="str">
        <f>VLOOKUP(B173,[2]!Tablo1[#Data],3,0)</f>
        <v>Laminator</v>
      </c>
      <c r="K173" s="1" t="s">
        <v>9</v>
      </c>
      <c r="L173" s="2">
        <v>46080</v>
      </c>
      <c r="M173" s="1" t="str">
        <f t="shared" si="5"/>
        <v>Şubat</v>
      </c>
      <c r="N173" s="1" t="s">
        <v>0</v>
      </c>
    </row>
    <row r="174" spans="1:14" x14ac:dyDescent="0.3">
      <c r="A174" s="1">
        <v>173</v>
      </c>
      <c r="B174" s="1">
        <v>101239</v>
      </c>
      <c r="C174" s="1" t="str">
        <f>VLOOKUP(B174,[2]!Tablo1[#Data],16,0)</f>
        <v>310-D</v>
      </c>
      <c r="D174" s="1" t="str">
        <f>VLOOKUP(B174,[2]!Tablo1[#Data],7,0)</f>
        <v>Sağ Ayarlanabilir Ayna</v>
      </c>
      <c r="E174" s="5" t="str">
        <f>VLOOKUP(B174,[2]!Tablo1[#Data],10,0)</f>
        <v>A050-51-03-99-002B</v>
      </c>
      <c r="F174" s="1">
        <v>11</v>
      </c>
      <c r="G174" s="4">
        <f>VLOOKUP(B174,[2]!Tablo1[#Data],13,0)</f>
        <v>12.32</v>
      </c>
      <c r="H174" s="3">
        <f t="shared" si="4"/>
        <v>135.52000000000001</v>
      </c>
      <c r="I174" s="1" t="s">
        <v>5</v>
      </c>
      <c r="J174" s="1" t="str">
        <f>VLOOKUP(B174,[2]!Tablo1[#Data],3,0)</f>
        <v>Stringer</v>
      </c>
      <c r="K174" s="1" t="s">
        <v>7</v>
      </c>
      <c r="L174" s="2">
        <v>46081</v>
      </c>
      <c r="M174" s="1" t="str">
        <f t="shared" si="5"/>
        <v>Şubat</v>
      </c>
      <c r="N174" s="1" t="s">
        <v>6</v>
      </c>
    </row>
    <row r="175" spans="1:14" x14ac:dyDescent="0.3">
      <c r="A175" s="1">
        <v>174</v>
      </c>
      <c r="B175" s="1">
        <v>101252</v>
      </c>
      <c r="C175" s="1" t="str">
        <f>VLOOKUP(B175,[2]!Tablo1[#Data],16,0)</f>
        <v>314-A</v>
      </c>
      <c r="D175" s="1" t="str">
        <f>VLOOKUP(B175,[2]!Tablo1[#Data],7,0)</f>
        <v>Kızılötesi Lamba</v>
      </c>
      <c r="E175" s="5" t="str">
        <f>VLOOKUP(B175,[2]!Tablo1[#Data],10,0)</f>
        <v>A050-19-01-40-013A</v>
      </c>
      <c r="F175" s="1">
        <v>1</v>
      </c>
      <c r="G175" s="4">
        <f>VLOOKUP(B175,[2]!Tablo1[#Data],13,0)</f>
        <v>11</v>
      </c>
      <c r="H175" s="3">
        <f t="shared" si="4"/>
        <v>11</v>
      </c>
      <c r="I175" s="1" t="s">
        <v>2</v>
      </c>
      <c r="J175" s="1" t="str">
        <f>VLOOKUP(B175,[2]!Tablo1[#Data],3,0)</f>
        <v>Stringer</v>
      </c>
      <c r="K175" s="1" t="s">
        <v>15</v>
      </c>
      <c r="L175" s="2">
        <v>46081</v>
      </c>
      <c r="M175" s="1" t="str">
        <f t="shared" si="5"/>
        <v>Şubat</v>
      </c>
      <c r="N175" s="1" t="s">
        <v>10</v>
      </c>
    </row>
    <row r="176" spans="1:14" x14ac:dyDescent="0.3">
      <c r="A176" s="1">
        <v>175</v>
      </c>
      <c r="B176" s="1">
        <v>100826</v>
      </c>
      <c r="C176" s="1" t="str">
        <f>VLOOKUP(B176,[2]!Tablo1[#Data],16,0)</f>
        <v>207-C</v>
      </c>
      <c r="D176" s="1" t="str">
        <f>VLOOKUP(B176,[2]!Tablo1[#Data],7,0)</f>
        <v>Konveyör Bandı</v>
      </c>
      <c r="E176" s="5" t="str">
        <f>VLOOKUP(B176,[2]!Tablo1[#Data],10,0)</f>
        <v>A027K-27-01-008B</v>
      </c>
      <c r="F176" s="1">
        <v>1</v>
      </c>
      <c r="G176" s="4">
        <f>VLOOKUP(B176,[2]!Tablo1[#Data],13,0)</f>
        <v>48</v>
      </c>
      <c r="H176" s="3">
        <f t="shared" si="4"/>
        <v>48</v>
      </c>
      <c r="I176" s="1" t="s">
        <v>2</v>
      </c>
      <c r="J176" s="1" t="str">
        <f>VLOOKUP(B176,[2]!Tablo1[#Data],3,0)</f>
        <v>Laser Cutter</v>
      </c>
      <c r="K176" s="1" t="s">
        <v>23</v>
      </c>
      <c r="L176" s="2">
        <v>46081</v>
      </c>
      <c r="M176" s="1" t="str">
        <f t="shared" si="5"/>
        <v>Şubat</v>
      </c>
      <c r="N176" s="1" t="s">
        <v>12</v>
      </c>
    </row>
    <row r="177" spans="1:14" x14ac:dyDescent="0.3">
      <c r="A177" s="1">
        <v>176</v>
      </c>
      <c r="B177" s="1">
        <v>100539</v>
      </c>
      <c r="C177" s="1" t="str">
        <f>VLOOKUP(B177,[2]!Tablo1[#Data],16,0)</f>
        <v>135-D</v>
      </c>
      <c r="D177" s="1" t="str">
        <f>VLOOKUP(B177,[2]!Tablo1[#Data],7,0)</f>
        <v>Limit Anahtarı</v>
      </c>
      <c r="E177" s="5" t="str">
        <f>VLOOKUP(B177,[2]!Tablo1[#Data],10,0)</f>
        <v>D4V-8108Z-N</v>
      </c>
      <c r="F177" s="1">
        <v>1</v>
      </c>
      <c r="G177" s="4">
        <f>VLOOKUP(B177,[2]!Tablo1[#Data],13,0)</f>
        <v>12</v>
      </c>
      <c r="H177" s="3">
        <f t="shared" si="4"/>
        <v>12</v>
      </c>
      <c r="I177" s="1" t="s">
        <v>2</v>
      </c>
      <c r="J177" s="1" t="str">
        <f>VLOOKUP(B177,[2]!Tablo1[#Data],3,0)</f>
        <v>Tape Machine</v>
      </c>
      <c r="K177" s="1" t="s">
        <v>22</v>
      </c>
      <c r="L177" s="2">
        <v>46083</v>
      </c>
      <c r="M177" s="1" t="str">
        <f t="shared" si="5"/>
        <v>Mart</v>
      </c>
      <c r="N177" s="1" t="s">
        <v>0</v>
      </c>
    </row>
    <row r="178" spans="1:14" x14ac:dyDescent="0.3">
      <c r="A178" s="1">
        <v>177</v>
      </c>
      <c r="B178" s="1">
        <v>101193</v>
      </c>
      <c r="C178" s="1" t="str">
        <f>VLOOKUP(B178,[2]!Tablo1[#Data],16,0)</f>
        <v>299-B</v>
      </c>
      <c r="D178" s="1" t="str">
        <f>VLOOKUP(B178,[2]!Tablo1[#Data],7,0)</f>
        <v>Elektromıknatıs</v>
      </c>
      <c r="E178" s="5" t="str">
        <f>VLOOKUP(B178,[2]!Tablo1[#Data],10,0)</f>
        <v>A050E-10-43-003B</v>
      </c>
      <c r="F178" s="1">
        <v>2</v>
      </c>
      <c r="G178" s="4">
        <f>VLOOKUP(B178,[2]!Tablo1[#Data],13,0)</f>
        <v>9.5299999999999994</v>
      </c>
      <c r="H178" s="3">
        <f t="shared" si="4"/>
        <v>19.059999999999999</v>
      </c>
      <c r="I178" s="1" t="s">
        <v>2</v>
      </c>
      <c r="J178" s="1" t="str">
        <f>VLOOKUP(B178,[2]!Tablo1[#Data],3,0)</f>
        <v>Stringer</v>
      </c>
      <c r="K178" s="1" t="s">
        <v>8</v>
      </c>
      <c r="L178" s="2">
        <v>46083</v>
      </c>
      <c r="M178" s="1" t="str">
        <f t="shared" si="5"/>
        <v>Mart</v>
      </c>
      <c r="N178" s="1" t="s">
        <v>12</v>
      </c>
    </row>
    <row r="179" spans="1:14" x14ac:dyDescent="0.3">
      <c r="A179" s="1">
        <v>178</v>
      </c>
      <c r="B179" s="1">
        <v>100411</v>
      </c>
      <c r="C179" s="1" t="str">
        <f>VLOOKUP(B179,[2]!Tablo1[#Data],16,0)</f>
        <v>103-D</v>
      </c>
      <c r="D179" s="1" t="str">
        <f>VLOOKUP(B179,[2]!Tablo1[#Data],7,0)</f>
        <v>Flanşlı Lineer Rulman</v>
      </c>
      <c r="E179" s="5" t="str">
        <f>VLOOKUP(B179,[2]!Tablo1[#Data],10,0)</f>
        <v>LHFC6</v>
      </c>
      <c r="F179" s="1">
        <v>1</v>
      </c>
      <c r="G179" s="4">
        <f>VLOOKUP(B179,[2]!Tablo1[#Data],13,0)</f>
        <v>11.79245283018868</v>
      </c>
      <c r="H179" s="3">
        <f t="shared" si="4"/>
        <v>11.79245283018868</v>
      </c>
      <c r="I179" s="1" t="s">
        <v>2</v>
      </c>
      <c r="J179" s="1" t="str">
        <f>VLOOKUP(B179,[2]!Tablo1[#Data],3,0)</f>
        <v>Stringer</v>
      </c>
      <c r="K179" s="1" t="s">
        <v>8</v>
      </c>
      <c r="L179" s="2">
        <v>46083</v>
      </c>
      <c r="M179" s="1" t="str">
        <f t="shared" si="5"/>
        <v>Mart</v>
      </c>
      <c r="N179" s="1" t="s">
        <v>12</v>
      </c>
    </row>
    <row r="180" spans="1:14" x14ac:dyDescent="0.3">
      <c r="A180" s="1">
        <v>179</v>
      </c>
      <c r="B180" s="1">
        <v>101187</v>
      </c>
      <c r="C180" s="1" t="str">
        <f>VLOOKUP(B180,[2]!Tablo1[#Data],16,0)</f>
        <v>297-D</v>
      </c>
      <c r="D180" s="1" t="str">
        <f>VLOOKUP(B180,[2]!Tablo1[#Data],7,0)</f>
        <v>Sıkıştırma Yayı</v>
      </c>
      <c r="E180" s="5" t="str">
        <f>VLOOKUP(B180,[2]!Tablo1[#Data],10,0)</f>
        <v>YUBB-D6-L9.5</v>
      </c>
      <c r="F180" s="1">
        <v>16</v>
      </c>
      <c r="G180" s="4">
        <f>VLOOKUP(B180,[2]!Tablo1[#Data],13,0)</f>
        <v>8.23</v>
      </c>
      <c r="H180" s="3">
        <f t="shared" si="4"/>
        <v>131.68</v>
      </c>
      <c r="I180" s="1" t="s">
        <v>2</v>
      </c>
      <c r="J180" s="1" t="str">
        <f>VLOOKUP(B180,[2]!Tablo1[#Data],3,0)</f>
        <v>Stringer</v>
      </c>
      <c r="K180" s="1" t="s">
        <v>8</v>
      </c>
      <c r="L180" s="2">
        <v>46084</v>
      </c>
      <c r="M180" s="1" t="str">
        <f t="shared" si="5"/>
        <v>Mart</v>
      </c>
      <c r="N180" s="1" t="s">
        <v>0</v>
      </c>
    </row>
    <row r="181" spans="1:14" x14ac:dyDescent="0.3">
      <c r="A181" s="1">
        <v>180</v>
      </c>
      <c r="B181" s="1">
        <v>101229</v>
      </c>
      <c r="C181" s="1" t="str">
        <f>VLOOKUP(B181,[2]!Tablo1[#Data],16,0)</f>
        <v>308-B</v>
      </c>
      <c r="D181" s="1" t="str">
        <f>VLOOKUP(B181,[2]!Tablo1[#Data],7,0)</f>
        <v>Döner Şaft</v>
      </c>
      <c r="E181" s="5" t="str">
        <f>VLOOKUP(B181,[2]!Tablo1[#Data],10,0)</f>
        <v>A050-35-21-99-005B</v>
      </c>
      <c r="F181" s="1">
        <v>16</v>
      </c>
      <c r="G181" s="4">
        <f>VLOOKUP(B181,[2]!Tablo1[#Data],13,0)</f>
        <v>2.0499999999999998</v>
      </c>
      <c r="H181" s="3">
        <f t="shared" si="4"/>
        <v>32.799999999999997</v>
      </c>
      <c r="I181" s="1" t="s">
        <v>2</v>
      </c>
      <c r="J181" s="1" t="str">
        <f>VLOOKUP(B181,[2]!Tablo1[#Data],3,0)</f>
        <v>Stringer</v>
      </c>
      <c r="K181" s="1" t="s">
        <v>8</v>
      </c>
      <c r="L181" s="2">
        <v>46084</v>
      </c>
      <c r="M181" s="1" t="str">
        <f t="shared" si="5"/>
        <v>Mart</v>
      </c>
      <c r="N181" s="1" t="s">
        <v>0</v>
      </c>
    </row>
    <row r="182" spans="1:14" x14ac:dyDescent="0.3">
      <c r="A182" s="1">
        <v>181</v>
      </c>
      <c r="B182" s="1">
        <v>101239</v>
      </c>
      <c r="C182" s="1" t="str">
        <f>VLOOKUP(B182,[2]!Tablo1[#Data],16,0)</f>
        <v>310-D</v>
      </c>
      <c r="D182" s="1" t="str">
        <f>VLOOKUP(B182,[2]!Tablo1[#Data],7,0)</f>
        <v>Sağ Ayarlanabilir Ayna</v>
      </c>
      <c r="E182" s="5" t="str">
        <f>VLOOKUP(B182,[2]!Tablo1[#Data],10,0)</f>
        <v>A050-51-03-99-002B</v>
      </c>
      <c r="F182" s="1">
        <v>16</v>
      </c>
      <c r="G182" s="4">
        <f>VLOOKUP(B182,[2]!Tablo1[#Data],13,0)</f>
        <v>12.32</v>
      </c>
      <c r="H182" s="3">
        <f t="shared" si="4"/>
        <v>197.12</v>
      </c>
      <c r="I182" s="1" t="s">
        <v>2</v>
      </c>
      <c r="J182" s="1" t="str">
        <f>VLOOKUP(B182,[2]!Tablo1[#Data],3,0)</f>
        <v>Stringer</v>
      </c>
      <c r="K182" s="1" t="s">
        <v>8</v>
      </c>
      <c r="L182" s="2">
        <v>46084</v>
      </c>
      <c r="M182" s="1" t="str">
        <f t="shared" si="5"/>
        <v>Mart</v>
      </c>
      <c r="N182" s="1" t="s">
        <v>0</v>
      </c>
    </row>
    <row r="183" spans="1:14" x14ac:dyDescent="0.3">
      <c r="A183" s="1">
        <v>182</v>
      </c>
      <c r="B183" s="1">
        <v>100548</v>
      </c>
      <c r="C183" s="1" t="str">
        <f>VLOOKUP(B183,[2]!Tablo1[#Data],16,0)</f>
        <v>138-A</v>
      </c>
      <c r="D183" s="1" t="str">
        <f>VLOOKUP(B183,[2]!Tablo1[#Data],7,0)</f>
        <v>Redüktör</v>
      </c>
      <c r="E183" s="5" t="str">
        <f>VLOOKUP(B183,[2]!Tablo1[#Data],10,0)</f>
        <v>PLF060-L1-5-S2-P2</v>
      </c>
      <c r="F183" s="1">
        <v>1</v>
      </c>
      <c r="G183" s="4">
        <f>VLOOKUP(B183,[2]!Tablo1[#Data],13,0)</f>
        <v>48</v>
      </c>
      <c r="H183" s="3">
        <f t="shared" si="4"/>
        <v>48</v>
      </c>
      <c r="I183" s="1" t="s">
        <v>2</v>
      </c>
      <c r="J183" s="1" t="str">
        <f>VLOOKUP(B183,[2]!Tablo1[#Data],3,0)</f>
        <v>Tape Machine</v>
      </c>
      <c r="K183" s="1" t="s">
        <v>21</v>
      </c>
      <c r="L183" s="2">
        <v>46084</v>
      </c>
      <c r="M183" s="1" t="str">
        <f t="shared" si="5"/>
        <v>Mart</v>
      </c>
      <c r="N183" s="1" t="s">
        <v>12</v>
      </c>
    </row>
    <row r="184" spans="1:14" x14ac:dyDescent="0.3">
      <c r="A184" s="1">
        <v>183</v>
      </c>
      <c r="B184" s="1">
        <v>101248</v>
      </c>
      <c r="C184" s="1" t="str">
        <f>VLOOKUP(B184,[2]!Tablo1[#Data],16,0)</f>
        <v>313-A</v>
      </c>
      <c r="D184" s="1" t="str">
        <f>VLOOKUP(B184,[2]!Tablo1[#Data],7,0)</f>
        <v>Konveyör Bandı</v>
      </c>
      <c r="E184" s="5" t="str">
        <f>VLOOKUP(B184,[2]!Tablo1[#Data],10,0)</f>
        <v>A050-86-08-002D</v>
      </c>
      <c r="F184" s="1">
        <v>1</v>
      </c>
      <c r="G184" s="4">
        <f>VLOOKUP(B184,[2]!Tablo1[#Data],13,0)</f>
        <v>200</v>
      </c>
      <c r="H184" s="3">
        <f t="shared" si="4"/>
        <v>200</v>
      </c>
      <c r="I184" s="1" t="s">
        <v>2</v>
      </c>
      <c r="J184" s="1" t="str">
        <f>VLOOKUP(B184,[2]!Tablo1[#Data],3,0)</f>
        <v>Stringer</v>
      </c>
      <c r="K184" s="1" t="s">
        <v>15</v>
      </c>
      <c r="L184" s="2">
        <v>46084</v>
      </c>
      <c r="M184" s="1" t="str">
        <f t="shared" si="5"/>
        <v>Mart</v>
      </c>
      <c r="N184" s="1" t="s">
        <v>0</v>
      </c>
    </row>
    <row r="185" spans="1:14" x14ac:dyDescent="0.3">
      <c r="A185" s="1">
        <v>184</v>
      </c>
      <c r="B185" s="1">
        <v>100401</v>
      </c>
      <c r="C185" s="1" t="str">
        <f>VLOOKUP(B185,[2]!Tablo1[#Data],16,0)</f>
        <v>101-B</v>
      </c>
      <c r="D185" s="1" t="str">
        <f>VLOOKUP(B185,[2]!Tablo1[#Data],7,0)</f>
        <v>Kasnak</v>
      </c>
      <c r="E185" s="5" t="str">
        <f>VLOOKUP(B185,[2]!Tablo1[#Data],10,0)</f>
        <v>HTPA28S5M150-A-N18</v>
      </c>
      <c r="F185" s="1">
        <v>1</v>
      </c>
      <c r="G185" s="4">
        <f>VLOOKUP(B185,[2]!Tablo1[#Data],13,0)</f>
        <v>16.273584905660378</v>
      </c>
      <c r="H185" s="3">
        <f t="shared" si="4"/>
        <v>16.273584905660378</v>
      </c>
      <c r="I185" s="1" t="s">
        <v>2</v>
      </c>
      <c r="J185" s="1" t="str">
        <f>VLOOKUP(B185,[2]!Tablo1[#Data],3,0)</f>
        <v>Stringer</v>
      </c>
      <c r="K185" s="1" t="s">
        <v>19</v>
      </c>
      <c r="L185" s="2">
        <v>46084</v>
      </c>
      <c r="M185" s="1" t="str">
        <f t="shared" si="5"/>
        <v>Mart</v>
      </c>
      <c r="N185" s="1" t="s">
        <v>12</v>
      </c>
    </row>
    <row r="186" spans="1:14" x14ac:dyDescent="0.3">
      <c r="A186" s="1">
        <v>185</v>
      </c>
      <c r="B186" s="1">
        <v>101123</v>
      </c>
      <c r="C186" s="1" t="str">
        <f>VLOOKUP(B186,[2]!Tablo1[#Data],16,0)</f>
        <v>281-D</v>
      </c>
      <c r="D186" s="1" t="str">
        <f>VLOOKUP(B186,[2]!Tablo1[#Data],7,0)</f>
        <v xml:space="preserve">Silindir Makaralı Rulman </v>
      </c>
      <c r="E186" s="5" t="str">
        <f>VLOOKUP(B186,[2]!Tablo1[#Data],10,0)</f>
        <v>NF5-ATW01</v>
      </c>
      <c r="F186" s="1">
        <v>2</v>
      </c>
      <c r="G186" s="4">
        <f>VLOOKUP(B186,[2]!Tablo1[#Data],13,0)</f>
        <v>0</v>
      </c>
      <c r="H186" s="3">
        <f t="shared" si="4"/>
        <v>0</v>
      </c>
      <c r="I186" s="1" t="s">
        <v>5</v>
      </c>
      <c r="J186" s="1" t="str">
        <f>VLOOKUP(B186,[2]!Tablo1[#Data],3,0)</f>
        <v>Stringer</v>
      </c>
      <c r="K186" s="1" t="s">
        <v>20</v>
      </c>
      <c r="L186" s="2">
        <v>46085</v>
      </c>
      <c r="M186" s="1" t="str">
        <f t="shared" si="5"/>
        <v>Mart</v>
      </c>
      <c r="N186" s="1" t="s">
        <v>16</v>
      </c>
    </row>
    <row r="187" spans="1:14" x14ac:dyDescent="0.3">
      <c r="A187" s="1">
        <v>186</v>
      </c>
      <c r="B187" s="1">
        <v>101248</v>
      </c>
      <c r="C187" s="1" t="str">
        <f>VLOOKUP(B187,[2]!Tablo1[#Data],16,0)</f>
        <v>313-A</v>
      </c>
      <c r="D187" s="1" t="str">
        <f>VLOOKUP(B187,[2]!Tablo1[#Data],7,0)</f>
        <v>Konveyör Bandı</v>
      </c>
      <c r="E187" s="5" t="str">
        <f>VLOOKUP(B187,[2]!Tablo1[#Data],10,0)</f>
        <v>A050-86-08-002D</v>
      </c>
      <c r="F187" s="1">
        <v>1</v>
      </c>
      <c r="G187" s="4">
        <f>VLOOKUP(B187,[2]!Tablo1[#Data],13,0)</f>
        <v>200</v>
      </c>
      <c r="H187" s="3">
        <f t="shared" si="4"/>
        <v>200</v>
      </c>
      <c r="I187" s="1" t="s">
        <v>5</v>
      </c>
      <c r="J187" s="1" t="str">
        <f>VLOOKUP(B187,[2]!Tablo1[#Data],3,0)</f>
        <v>Stringer</v>
      </c>
      <c r="K187" s="1" t="s">
        <v>20</v>
      </c>
      <c r="L187" s="2">
        <v>46085</v>
      </c>
      <c r="M187" s="1" t="str">
        <f t="shared" si="5"/>
        <v>Mart</v>
      </c>
      <c r="N187" s="1" t="s">
        <v>16</v>
      </c>
    </row>
    <row r="188" spans="1:14" x14ac:dyDescent="0.3">
      <c r="A188" s="1">
        <v>187</v>
      </c>
      <c r="B188" s="1">
        <v>101248</v>
      </c>
      <c r="C188" s="1" t="str">
        <f>VLOOKUP(B188,[2]!Tablo1[#Data],16,0)</f>
        <v>313-A</v>
      </c>
      <c r="D188" s="1" t="str">
        <f>VLOOKUP(B188,[2]!Tablo1[#Data],7,0)</f>
        <v>Konveyör Bandı</v>
      </c>
      <c r="E188" s="5" t="str">
        <f>VLOOKUP(B188,[2]!Tablo1[#Data],10,0)</f>
        <v>A050-86-08-002D</v>
      </c>
      <c r="F188" s="1">
        <v>1</v>
      </c>
      <c r="G188" s="4">
        <f>VLOOKUP(B188,[2]!Tablo1[#Data],13,0)</f>
        <v>200</v>
      </c>
      <c r="H188" s="3">
        <f t="shared" si="4"/>
        <v>200</v>
      </c>
      <c r="I188" s="1" t="s">
        <v>2</v>
      </c>
      <c r="J188" s="1" t="str">
        <f>VLOOKUP(B188,[2]!Tablo1[#Data],3,0)</f>
        <v>Stringer</v>
      </c>
      <c r="K188" s="1" t="s">
        <v>19</v>
      </c>
      <c r="L188" s="2">
        <v>46086</v>
      </c>
      <c r="M188" s="1" t="str">
        <f t="shared" si="5"/>
        <v>Mart</v>
      </c>
      <c r="N188" s="1" t="s">
        <v>0</v>
      </c>
    </row>
    <row r="189" spans="1:14" x14ac:dyDescent="0.3">
      <c r="A189" s="1">
        <v>188</v>
      </c>
      <c r="B189" s="1">
        <v>100967</v>
      </c>
      <c r="C189" s="1" t="str">
        <f>VLOOKUP(B189,[2]!Tablo1[#Data],16,0)</f>
        <v>242-D</v>
      </c>
      <c r="D189" s="1" t="str">
        <f>VLOOKUP(B189,[2]!Tablo1[#Data],7,0)</f>
        <v>Piston</v>
      </c>
      <c r="E189" s="5" t="str">
        <f>VLOOKUP(B189,[2]!Tablo1[#Data],10,0)</f>
        <v>TR10x20S</v>
      </c>
      <c r="F189" s="1">
        <v>1</v>
      </c>
      <c r="G189" s="4">
        <f>VLOOKUP(B189,[2]!Tablo1[#Data],13,0)</f>
        <v>0</v>
      </c>
      <c r="H189" s="3">
        <f t="shared" si="4"/>
        <v>0</v>
      </c>
      <c r="I189" s="1" t="s">
        <v>2</v>
      </c>
      <c r="J189" s="1">
        <f>VLOOKUP(B189,[2]!Tablo1[#Data],3,0)</f>
        <v>0</v>
      </c>
      <c r="K189" s="1" t="s">
        <v>18</v>
      </c>
      <c r="L189" s="2">
        <v>46087</v>
      </c>
      <c r="M189" s="1" t="str">
        <f t="shared" si="5"/>
        <v>Mart</v>
      </c>
      <c r="N189" s="1" t="s">
        <v>17</v>
      </c>
    </row>
    <row r="190" spans="1:14" x14ac:dyDescent="0.3">
      <c r="A190" s="1">
        <v>189</v>
      </c>
      <c r="B190" s="1">
        <v>101167</v>
      </c>
      <c r="C190" s="1" t="str">
        <f>VLOOKUP(B190,[2]!Tablo1[#Data],16,0)</f>
        <v>292-D</v>
      </c>
      <c r="D190" s="1" t="str">
        <f>VLOOKUP(B190,[2]!Tablo1[#Data],7,0)</f>
        <v>Vakum Pedi</v>
      </c>
      <c r="E190" s="5" t="str">
        <f>VLOOKUP(B190,[2]!Tablo1[#Data],10,0)</f>
        <v>ZP10BS</v>
      </c>
      <c r="F190" s="1">
        <v>8</v>
      </c>
      <c r="G190" s="4">
        <f>VLOOKUP(B190,[2]!Tablo1[#Data],13,0)</f>
        <v>0.8</v>
      </c>
      <c r="H190" s="3">
        <f t="shared" si="4"/>
        <v>6.4</v>
      </c>
      <c r="I190" s="1" t="s">
        <v>5</v>
      </c>
      <c r="J190" s="1">
        <f>VLOOKUP(B190,[2]!Tablo1[#Data],3,0)</f>
        <v>0</v>
      </c>
      <c r="K190" s="1" t="s">
        <v>14</v>
      </c>
      <c r="L190" s="2">
        <v>46087</v>
      </c>
      <c r="M190" s="1" t="str">
        <f t="shared" si="5"/>
        <v>Mart</v>
      </c>
      <c r="N190" s="1" t="s">
        <v>6</v>
      </c>
    </row>
    <row r="191" spans="1:14" x14ac:dyDescent="0.3">
      <c r="A191" s="1">
        <v>190</v>
      </c>
      <c r="B191" s="1">
        <v>101248</v>
      </c>
      <c r="C191" s="1" t="str">
        <f>VLOOKUP(B191,[2]!Tablo1[#Data],16,0)</f>
        <v>313-A</v>
      </c>
      <c r="D191" s="1" t="str">
        <f>VLOOKUP(B191,[2]!Tablo1[#Data],7,0)</f>
        <v>Konveyör Bandı</v>
      </c>
      <c r="E191" s="5" t="str">
        <f>VLOOKUP(B191,[2]!Tablo1[#Data],10,0)</f>
        <v>A050-86-08-002D</v>
      </c>
      <c r="F191" s="1">
        <v>1</v>
      </c>
      <c r="G191" s="4">
        <f>VLOOKUP(B191,[2]!Tablo1[#Data],13,0)</f>
        <v>200</v>
      </c>
      <c r="H191" s="3">
        <f t="shared" si="4"/>
        <v>200</v>
      </c>
      <c r="I191" s="1" t="s">
        <v>5</v>
      </c>
      <c r="J191" s="1" t="str">
        <f>VLOOKUP(B191,[2]!Tablo1[#Data],3,0)</f>
        <v>Stringer</v>
      </c>
      <c r="K191" s="1" t="s">
        <v>14</v>
      </c>
      <c r="L191" s="2">
        <v>46087</v>
      </c>
      <c r="M191" s="1" t="str">
        <f t="shared" si="5"/>
        <v>Mart</v>
      </c>
      <c r="N191" s="1" t="s">
        <v>16</v>
      </c>
    </row>
    <row r="192" spans="1:14" x14ac:dyDescent="0.3">
      <c r="A192" s="1">
        <v>191</v>
      </c>
      <c r="B192" s="1">
        <v>100794</v>
      </c>
      <c r="C192" s="1" t="str">
        <f>VLOOKUP(B192,[2]!Tablo1[#Data],16,0)</f>
        <v>199-C</v>
      </c>
      <c r="D192" s="1" t="str">
        <f>VLOOKUP(B192,[2]!Tablo1[#Data],7,0)</f>
        <v>6Ø  Hız Ayarlı Fittings</v>
      </c>
      <c r="E192" s="5" t="str">
        <f>VLOOKUP(B192,[2]!Tablo1[#Data],10,0)</f>
        <v>PSA6</v>
      </c>
      <c r="F192" s="1">
        <v>1</v>
      </c>
      <c r="G192" s="4">
        <f>VLOOKUP(B192,[2]!Tablo1[#Data],13,0)</f>
        <v>3.3018867924528301</v>
      </c>
      <c r="H192" s="3">
        <f t="shared" si="4"/>
        <v>3.3018867924528301</v>
      </c>
      <c r="I192" s="1" t="s">
        <v>2</v>
      </c>
      <c r="J192" s="1" t="str">
        <f>VLOOKUP(B192,[2]!Tablo1[#Data],3,0)</f>
        <v>Laser Cutter</v>
      </c>
      <c r="K192" s="1" t="s">
        <v>14</v>
      </c>
      <c r="L192" s="2">
        <v>46088</v>
      </c>
      <c r="M192" s="1" t="str">
        <f t="shared" si="5"/>
        <v>Mart</v>
      </c>
      <c r="N192" s="1" t="s">
        <v>0</v>
      </c>
    </row>
    <row r="193" spans="1:14" x14ac:dyDescent="0.3">
      <c r="A193" s="1">
        <v>192</v>
      </c>
      <c r="B193" s="1">
        <v>101214</v>
      </c>
      <c r="C193" s="1" t="str">
        <f>VLOOKUP(B193,[2]!Tablo1[#Data],16,0)</f>
        <v>304-C</v>
      </c>
      <c r="D193" s="1" t="str">
        <f>VLOOKUP(B193,[2]!Tablo1[#Data],7,0)</f>
        <v>İnce Sol Ayna</v>
      </c>
      <c r="E193" s="5" t="str">
        <f>VLOOKUP(B193,[2]!Tablo1[#Data],10,0)</f>
        <v>A050-35-21-051B</v>
      </c>
      <c r="F193" s="1">
        <v>10</v>
      </c>
      <c r="G193" s="4">
        <f>VLOOKUP(B193,[2]!Tablo1[#Data],13,0)</f>
        <v>4.5</v>
      </c>
      <c r="H193" s="3">
        <f t="shared" si="4"/>
        <v>45</v>
      </c>
      <c r="I193" s="1" t="s">
        <v>5</v>
      </c>
      <c r="J193" s="1" t="str">
        <f>VLOOKUP(B193,[2]!Tablo1[#Data],3,0)</f>
        <v>Stringer</v>
      </c>
      <c r="K193" s="1" t="s">
        <v>15</v>
      </c>
      <c r="L193" s="2">
        <v>46088</v>
      </c>
      <c r="M193" s="1" t="str">
        <f t="shared" si="5"/>
        <v>Mart</v>
      </c>
      <c r="N193" s="1" t="s">
        <v>6</v>
      </c>
    </row>
    <row r="194" spans="1:14" x14ac:dyDescent="0.3">
      <c r="A194" s="1">
        <v>193</v>
      </c>
      <c r="B194" s="1">
        <v>101215</v>
      </c>
      <c r="C194" s="1" t="str">
        <f>VLOOKUP(B194,[2]!Tablo1[#Data],16,0)</f>
        <v>304-D</v>
      </c>
      <c r="D194" s="1" t="str">
        <f>VLOOKUP(B194,[2]!Tablo1[#Data],7,0)</f>
        <v>İnce Sağ Ayna</v>
      </c>
      <c r="E194" s="5" t="str">
        <f>VLOOKUP(B194,[2]!Tablo1[#Data],10,0)</f>
        <v>A050-35-21-052B</v>
      </c>
      <c r="F194" s="1">
        <v>10</v>
      </c>
      <c r="G194" s="4">
        <f>VLOOKUP(B194,[2]!Tablo1[#Data],13,0)</f>
        <v>4.5</v>
      </c>
      <c r="H194" s="3">
        <f t="shared" si="4"/>
        <v>45</v>
      </c>
      <c r="I194" s="1" t="s">
        <v>5</v>
      </c>
      <c r="J194" s="1" t="str">
        <f>VLOOKUP(B194,[2]!Tablo1[#Data],3,0)</f>
        <v>Stringer</v>
      </c>
      <c r="K194" s="1" t="s">
        <v>14</v>
      </c>
      <c r="L194" s="2">
        <v>46088</v>
      </c>
      <c r="M194" s="1" t="str">
        <f t="shared" si="5"/>
        <v>Mart</v>
      </c>
      <c r="N194" s="1" t="s">
        <v>6</v>
      </c>
    </row>
    <row r="195" spans="1:14" x14ac:dyDescent="0.3">
      <c r="A195" s="1">
        <v>194</v>
      </c>
      <c r="B195" s="1">
        <v>100366</v>
      </c>
      <c r="C195" s="1" t="str">
        <f>VLOOKUP(B195,[2]!Tablo1[#Data],16,0)</f>
        <v>92-C</v>
      </c>
      <c r="D195" s="1" t="str">
        <f>VLOOKUP(B195,[2]!Tablo1[#Data],7,0)</f>
        <v>Manyetik Sensör</v>
      </c>
      <c r="E195" s="5" t="str">
        <f>VLOOKUP(B195,[2]!Tablo1[#Data],10,0)</f>
        <v>DMSG-020</v>
      </c>
      <c r="F195" s="1">
        <v>1</v>
      </c>
      <c r="G195" s="4">
        <f>VLOOKUP(B195,[2]!Tablo1[#Data],13,0)</f>
        <v>5.8962264150943398</v>
      </c>
      <c r="H195" s="3">
        <f t="shared" ref="H195:H258" si="6">F195*G195</f>
        <v>5.8962264150943398</v>
      </c>
      <c r="I195" s="1" t="s">
        <v>2</v>
      </c>
      <c r="J195" s="1" t="str">
        <f>VLOOKUP(B195,[2]!Tablo1[#Data],3,0)</f>
        <v>Stringer</v>
      </c>
      <c r="K195" s="1" t="s">
        <v>13</v>
      </c>
      <c r="L195" s="2">
        <v>46088</v>
      </c>
      <c r="M195" s="1" t="str">
        <f t="shared" ref="M195:M258" si="7">TEXT(L195,"aaaa")</f>
        <v>Mart</v>
      </c>
      <c r="N195" s="1" t="s">
        <v>12</v>
      </c>
    </row>
    <row r="196" spans="1:14" x14ac:dyDescent="0.3">
      <c r="A196" s="1">
        <v>195</v>
      </c>
      <c r="B196" s="1">
        <v>100004</v>
      </c>
      <c r="C196" s="1" t="str">
        <f>VLOOKUP(B196,[2]!Tablo1[#Data],16,0)</f>
        <v>2-A</v>
      </c>
      <c r="D196" s="1" t="str">
        <f>VLOOKUP(B196,[2]!Tablo1[#Data],7,0)</f>
        <v>Röle</v>
      </c>
      <c r="E196" s="5" t="str">
        <f>VLOOKUP(B196,[2]!Tablo1[#Data],10,0)</f>
        <v>RJ2S-CL D24 / 和泉</v>
      </c>
      <c r="F196" s="1">
        <v>1</v>
      </c>
      <c r="G196" s="4">
        <f>VLOOKUP(B196,[2]!Tablo1[#Data],13,0)</f>
        <v>2</v>
      </c>
      <c r="H196" s="3">
        <f t="shared" si="6"/>
        <v>2</v>
      </c>
      <c r="I196" s="1" t="s">
        <v>2</v>
      </c>
      <c r="J196" s="1" t="str">
        <f>VLOOKUP(B196,[2]!Tablo1[#Data],3,0)</f>
        <v>Auto Rotary CV</v>
      </c>
      <c r="K196" s="1" t="s">
        <v>11</v>
      </c>
      <c r="L196" s="2">
        <v>46088</v>
      </c>
      <c r="M196" s="1" t="str">
        <f t="shared" si="7"/>
        <v>Mart</v>
      </c>
      <c r="N196" s="1" t="s">
        <v>10</v>
      </c>
    </row>
    <row r="197" spans="1:14" x14ac:dyDescent="0.3">
      <c r="A197" s="1">
        <v>196</v>
      </c>
      <c r="B197" s="1">
        <v>101200</v>
      </c>
      <c r="C197" s="1" t="str">
        <f>VLOOKUP(B197,[2]!Tablo1[#Data],16,0)</f>
        <v>301-A</v>
      </c>
      <c r="D197" s="1" t="str">
        <f>VLOOKUP(B197,[2]!Tablo1[#Data],7,0)</f>
        <v>E-Tipi Yüzük</v>
      </c>
      <c r="E197" s="5" t="str">
        <f>VLOOKUP(B197,[2]!Tablo1[#Data],10,0)</f>
        <v>NETWS2</v>
      </c>
      <c r="F197" s="1">
        <v>1</v>
      </c>
      <c r="G197" s="4">
        <f>VLOOKUP(B197,[2]!Tablo1[#Data],13,0)</f>
        <v>0.05</v>
      </c>
      <c r="H197" s="3">
        <f t="shared" si="6"/>
        <v>0.05</v>
      </c>
      <c r="I197" s="1" t="s">
        <v>2</v>
      </c>
      <c r="J197" s="1" t="str">
        <f>VLOOKUP(B197,[2]!Tablo1[#Data],3,0)</f>
        <v>Stringer</v>
      </c>
      <c r="K197" s="1" t="s">
        <v>8</v>
      </c>
      <c r="L197" s="2">
        <v>46090</v>
      </c>
      <c r="M197" s="1" t="str">
        <f t="shared" si="7"/>
        <v>Mart</v>
      </c>
      <c r="N197" s="1" t="s">
        <v>0</v>
      </c>
    </row>
    <row r="198" spans="1:14" x14ac:dyDescent="0.3">
      <c r="A198" s="1">
        <v>197</v>
      </c>
      <c r="B198" s="1">
        <v>101515</v>
      </c>
      <c r="C198" s="1" t="str">
        <f>VLOOKUP(B198,[2]!Tablo1[#Data],16,0)</f>
        <v>379-D</v>
      </c>
      <c r="D198" s="1" t="str">
        <f>VLOOKUP(B198,[2]!Tablo1[#Data],7,0)</f>
        <v>Isı Transfer Pompası</v>
      </c>
      <c r="E198" s="5" t="str">
        <f>VLOOKUP(B198,[2]!Tablo1[#Data],10,0)</f>
        <v>RY 65-40-200</v>
      </c>
      <c r="F198" s="1">
        <v>1</v>
      </c>
      <c r="G198" s="4">
        <f>VLOOKUP(B198,[2]!Tablo1[#Data],13,0)</f>
        <v>1000</v>
      </c>
      <c r="H198" s="3">
        <f t="shared" si="6"/>
        <v>1000</v>
      </c>
      <c r="I198" s="1" t="s">
        <v>2</v>
      </c>
      <c r="J198" s="1" t="str">
        <f>VLOOKUP(B198,[2]!Tablo1[#Data],3,0)</f>
        <v>Laminasyon</v>
      </c>
      <c r="K198" s="1" t="s">
        <v>9</v>
      </c>
      <c r="L198" s="2">
        <v>46080</v>
      </c>
      <c r="M198" s="1" t="str">
        <f t="shared" si="7"/>
        <v>Şubat</v>
      </c>
      <c r="N198" s="1" t="s">
        <v>0</v>
      </c>
    </row>
    <row r="199" spans="1:14" x14ac:dyDescent="0.3">
      <c r="A199" s="1">
        <v>198</v>
      </c>
      <c r="B199" s="1">
        <v>101216</v>
      </c>
      <c r="C199" s="1" t="str">
        <f>VLOOKUP(B199,[2]!Tablo1[#Data],16,0)</f>
        <v>305-A</v>
      </c>
      <c r="D199" s="1" t="str">
        <f>VLOOKUP(B199,[2]!Tablo1[#Data],7,0)</f>
        <v>Düz Vantuz</v>
      </c>
      <c r="E199" s="5" t="str">
        <f>VLOOKUP(B199,[2]!Tablo1[#Data],10,0)</f>
        <v>SPF15WS</v>
      </c>
      <c r="F199" s="1">
        <v>4</v>
      </c>
      <c r="G199" s="4">
        <f>VLOOKUP(B199,[2]!Tablo1[#Data],13,0)</f>
        <v>0.55000000000000004</v>
      </c>
      <c r="H199" s="3">
        <f t="shared" si="6"/>
        <v>2.2000000000000002</v>
      </c>
      <c r="I199" s="1" t="s">
        <v>2</v>
      </c>
      <c r="J199" s="1" t="str">
        <f>VLOOKUP(B199,[2]!Tablo1[#Data],3,0)</f>
        <v>Stringer</v>
      </c>
      <c r="K199" s="1" t="s">
        <v>8</v>
      </c>
      <c r="L199" s="2">
        <v>46090</v>
      </c>
      <c r="M199" s="1" t="str">
        <f t="shared" si="7"/>
        <v>Mart</v>
      </c>
      <c r="N199" s="1" t="s">
        <v>0</v>
      </c>
    </row>
    <row r="200" spans="1:14" x14ac:dyDescent="0.3">
      <c r="A200" s="1">
        <v>199</v>
      </c>
      <c r="B200" s="1">
        <v>101239</v>
      </c>
      <c r="C200" s="1" t="str">
        <f>VLOOKUP(B200,[2]!Tablo1[#Data],16,0)</f>
        <v>310-D</v>
      </c>
      <c r="D200" s="1" t="str">
        <f>VLOOKUP(B200,[2]!Tablo1[#Data],7,0)</f>
        <v>Sağ Ayarlanabilir Ayna</v>
      </c>
      <c r="E200" s="5" t="str">
        <f>VLOOKUP(B200,[2]!Tablo1[#Data],10,0)</f>
        <v>A050-51-03-99-002B</v>
      </c>
      <c r="F200" s="1">
        <v>16</v>
      </c>
      <c r="G200" s="4">
        <f>VLOOKUP(B200,[2]!Tablo1[#Data],13,0)</f>
        <v>12.32</v>
      </c>
      <c r="H200" s="3">
        <f t="shared" si="6"/>
        <v>197.12</v>
      </c>
      <c r="I200" s="1" t="s">
        <v>5</v>
      </c>
      <c r="J200" s="1" t="str">
        <f>VLOOKUP(B200,[2]!Tablo1[#Data],3,0)</f>
        <v>Stringer</v>
      </c>
      <c r="K200" s="1" t="s">
        <v>7</v>
      </c>
      <c r="L200" s="2">
        <v>46090</v>
      </c>
      <c r="M200" s="1" t="str">
        <f t="shared" si="7"/>
        <v>Mart</v>
      </c>
      <c r="N200" s="1" t="s">
        <v>6</v>
      </c>
    </row>
    <row r="201" spans="1:14" x14ac:dyDescent="0.3">
      <c r="A201" s="1">
        <v>200</v>
      </c>
      <c r="B201" s="1">
        <v>101181</v>
      </c>
      <c r="C201" s="1" t="str">
        <f>VLOOKUP(B201,[2]!Tablo1[#Data],16,0)</f>
        <v>296-B</v>
      </c>
      <c r="D201" s="1" t="str">
        <f>VLOOKUP(B201,[2]!Tablo1[#Data],7,0)</f>
        <v>Normal Yüzük</v>
      </c>
      <c r="E201" s="5" t="str">
        <f>VLOOKUP(B201,[2]!Tablo1[#Data],10,0)</f>
        <v>A050-05-04-03-021B</v>
      </c>
      <c r="F201" s="1">
        <v>8</v>
      </c>
      <c r="G201" s="4">
        <f>VLOOKUP(B201,[2]!Tablo1[#Data],13,0)</f>
        <v>4.67</v>
      </c>
      <c r="H201" s="3">
        <f t="shared" si="6"/>
        <v>37.36</v>
      </c>
      <c r="I201" s="1" t="s">
        <v>5</v>
      </c>
      <c r="J201" s="1" t="str">
        <f>VLOOKUP(B201,[2]!Tablo1[#Data],3,0)</f>
        <v>Stringer</v>
      </c>
      <c r="K201" s="1" t="s">
        <v>1</v>
      </c>
      <c r="L201" s="2">
        <v>46091</v>
      </c>
      <c r="M201" s="1" t="str">
        <f t="shared" si="7"/>
        <v>Mart</v>
      </c>
      <c r="N201" s="1" t="s">
        <v>3</v>
      </c>
    </row>
    <row r="202" spans="1:14" x14ac:dyDescent="0.3">
      <c r="A202" s="1">
        <v>201</v>
      </c>
      <c r="B202" s="1">
        <v>100875</v>
      </c>
      <c r="C202" s="1" t="str">
        <f>VLOOKUP(B202,[2]!Tablo1[#Data],16,0)</f>
        <v>219-D</v>
      </c>
      <c r="D202" s="1" t="str">
        <f>VLOOKUP(B202,[2]!Tablo1[#Data],7,0)</f>
        <v>Fan</v>
      </c>
      <c r="E202" s="5" t="str">
        <f>VLOOKUP(B202,[2]!Tablo1[#Data],10,0)</f>
        <v>SJ1725HA2-S</v>
      </c>
      <c r="F202" s="1">
        <v>2</v>
      </c>
      <c r="G202" s="4">
        <f>VLOOKUP(B202,[2]!Tablo1[#Data],13,0)</f>
        <v>28.773584905660375</v>
      </c>
      <c r="H202" s="3">
        <f t="shared" si="6"/>
        <v>57.547169811320749</v>
      </c>
      <c r="I202" s="1" t="s">
        <v>5</v>
      </c>
      <c r="J202" s="1" t="str">
        <f>VLOOKUP(B202,[2]!Tablo1[#Data],3,0)</f>
        <v>Laser Cutter</v>
      </c>
      <c r="K202" s="1" t="s">
        <v>4</v>
      </c>
      <c r="L202" s="2">
        <v>46091</v>
      </c>
      <c r="M202" s="1" t="str">
        <f t="shared" si="7"/>
        <v>Mart</v>
      </c>
      <c r="N202" s="1" t="s">
        <v>3</v>
      </c>
    </row>
    <row r="203" spans="1:14" x14ac:dyDescent="0.3">
      <c r="A203" s="1">
        <v>202</v>
      </c>
      <c r="B203" s="1">
        <v>101200</v>
      </c>
      <c r="C203" s="1" t="str">
        <f>VLOOKUP(B203,[2]!Tablo1[#Data],16,0)</f>
        <v>301-A</v>
      </c>
      <c r="D203" s="1" t="str">
        <f>VLOOKUP(B203,[2]!Tablo1[#Data],7,0)</f>
        <v>E-Tipi Yüzük</v>
      </c>
      <c r="E203" s="5" t="str">
        <f>VLOOKUP(B203,[2]!Tablo1[#Data],10,0)</f>
        <v>NETWS2</v>
      </c>
      <c r="F203" s="1">
        <v>1</v>
      </c>
      <c r="G203" s="4">
        <f>VLOOKUP(B203,[2]!Tablo1[#Data],13,0)</f>
        <v>0.05</v>
      </c>
      <c r="H203" s="3">
        <f t="shared" si="6"/>
        <v>0.05</v>
      </c>
      <c r="I203" s="1" t="s">
        <v>2</v>
      </c>
      <c r="J203" s="1" t="str">
        <f>VLOOKUP(B203,[2]!Tablo1[#Data],3,0)</f>
        <v>Stringer</v>
      </c>
      <c r="K203" s="1" t="s">
        <v>1</v>
      </c>
      <c r="L203" s="2">
        <v>46091</v>
      </c>
      <c r="M203" s="1" t="str">
        <f t="shared" si="7"/>
        <v>Mart</v>
      </c>
      <c r="N203" s="1" t="s">
        <v>0</v>
      </c>
    </row>
  </sheetData>
  <mergeCells count="3">
    <mergeCell ref="A1:B1"/>
    <mergeCell ref="D1:K1"/>
    <mergeCell ref="L1:N1"/>
  </mergeCells>
  <dataValidations count="1">
    <dataValidation type="list" allowBlank="1" showInputMessage="1" showErrorMessage="1" sqref="I3:I203" xr:uid="{17A568EE-B475-4B88-A991-4F7275DE4BED}">
      <formula1>"HSA 1, HSA 2"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YASİN A. 241613026</dc:creator>
  <cp:lastModifiedBy>YASİN A. 241613026</cp:lastModifiedBy>
  <dcterms:created xsi:type="dcterms:W3CDTF">2026-03-16T05:41:39Z</dcterms:created>
  <dcterms:modified xsi:type="dcterms:W3CDTF">2026-03-16T05:44:46Z</dcterms:modified>
</cp:coreProperties>
</file>