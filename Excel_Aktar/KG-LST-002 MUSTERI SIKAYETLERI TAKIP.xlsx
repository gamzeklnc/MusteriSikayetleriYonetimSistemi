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9.xml" ContentType="application/vnd.openxmlformats-officedocument.drawingml.chartshape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10.0.10.70\kalite guvence\17-MUSTERI SIKAYETLERI\"/>
    </mc:Choice>
  </mc:AlternateContent>
  <xr:revisionPtr revIDLastSave="0" documentId="13_ncr:1_{6EB4D212-B77A-4ED0-8B91-62739402918D}" xr6:coauthVersionLast="47" xr6:coauthVersionMax="47" xr10:uidLastSave="{00000000-0000-0000-0000-000000000000}"/>
  <bookViews>
    <workbookView xWindow="-120" yWindow="-120" windowWidth="29040" windowHeight="15840" tabRatio="888" activeTab="8" xr2:uid="{93BA87D0-C7FA-4BE5-8B1A-8908CA2207C1}"/>
  </bookViews>
  <sheets>
    <sheet name="GENEL LİSTE" sheetId="1" r:id="rId1"/>
    <sheet name="BARKODLAR" sheetId="73" r:id="rId2"/>
    <sheet name="ÜRETİM ADETLERİ" sheetId="64" state="hidden" r:id="rId3"/>
    <sheet name="AYLIK ŞİKAYET DAĞILIMI" sheetId="97" r:id="rId4"/>
    <sheet name="ŞİKAYET MARKA DAĞILIMI" sheetId="99" r:id="rId5"/>
    <sheet name="HATA TİPİ ANALİZİ - MODÜL" sheetId="78" state="hidden" r:id="rId6"/>
    <sheet name="HATA TÜRLERİ VE FABRİKA" sheetId="94" r:id="rId7"/>
    <sheet name="MÜŞTERİ- ŞİKAYET BİLGİSİ" sheetId="100" r:id="rId8"/>
    <sheet name="KPI - MODÜL SAYISI FABRİKA" sheetId="95" r:id="rId9"/>
    <sheet name="İŞLEM DURUMLARI" sheetId="90" r:id="rId10"/>
    <sheet name="Sayfa2" sheetId="2" state="hidden" r:id="rId11"/>
  </sheets>
  <definedNames>
    <definedName name="_xlnm._FilterDatabase" localSheetId="1" hidden="1">BARKODLAR!$A$1:$P$2855</definedName>
    <definedName name="_xlnm._FilterDatabase" localSheetId="0" hidden="1">'GENEL LİSTE'!$A$1:$Q$74</definedName>
    <definedName name="kurulum">Sayfa2!$A$2:$A$4</definedName>
    <definedName name="kurulumtipi">Sayfa2!$A$2:$A$4</definedName>
    <definedName name="kusur">Sayfa2!$B$2:$B$4</definedName>
    <definedName name="kusurlubilesen">Sayfa2!$B$2:$B$4</definedName>
    <definedName name="sorunzamanı">Sayfa2!$D$2:$D$5</definedName>
    <definedName name="_xlnm.Print_Area" localSheetId="1">BARKODLAR!$A$1:$M$489</definedName>
    <definedName name="_xlnm.Print_Area" localSheetId="0">'GENEL LİSTE'!$A$1:$M$34</definedName>
  </definedNames>
  <calcPr calcId="191029"/>
  <pivotCaches>
    <pivotCache cacheId="0" r:id="rId12"/>
    <pivotCache cacheId="1" r:id="rId13"/>
    <pivotCache cacheId="2" r:id="rId14"/>
    <pivotCache cacheId="3" r:id="rId15"/>
    <pivotCache cacheId="13" r:id="rId1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74" i="1" l="1"/>
  <c r="O74" i="1"/>
  <c r="N74" i="1"/>
  <c r="Q2855" i="73"/>
  <c r="P2855" i="73"/>
  <c r="P2834" i="73"/>
  <c r="Q2834" i="73"/>
  <c r="P2835" i="73"/>
  <c r="Q2835" i="73"/>
  <c r="P2836" i="73"/>
  <c r="Q2836" i="73"/>
  <c r="P2837" i="73"/>
  <c r="Q2837" i="73"/>
  <c r="P2838" i="73"/>
  <c r="Q2838" i="73"/>
  <c r="P2839" i="73"/>
  <c r="Q2839" i="73"/>
  <c r="P2840" i="73"/>
  <c r="Q2840" i="73"/>
  <c r="P2841" i="73"/>
  <c r="Q2841" i="73"/>
  <c r="P2842" i="73"/>
  <c r="Q2842" i="73"/>
  <c r="P2843" i="73"/>
  <c r="Q2843" i="73"/>
  <c r="P2844" i="73"/>
  <c r="Q2844" i="73"/>
  <c r="P2845" i="73"/>
  <c r="Q2845" i="73"/>
  <c r="P2846" i="73"/>
  <c r="Q2846" i="73"/>
  <c r="P2847" i="73"/>
  <c r="Q2847" i="73"/>
  <c r="P2848" i="73"/>
  <c r="Q2848" i="73"/>
  <c r="P2849" i="73"/>
  <c r="Q2849" i="73"/>
  <c r="P2850" i="73"/>
  <c r="Q2850" i="73"/>
  <c r="P2851" i="73"/>
  <c r="Q2851" i="73"/>
  <c r="P2852" i="73"/>
  <c r="Q2852" i="73"/>
  <c r="P2853" i="73"/>
  <c r="Q2853" i="73"/>
  <c r="P2854" i="73"/>
  <c r="Q2854" i="73"/>
  <c r="P2833" i="73"/>
  <c r="Q2833" i="73"/>
  <c r="N73" i="1"/>
  <c r="O73" i="1"/>
  <c r="P73" i="1"/>
  <c r="Q2832" i="73"/>
  <c r="P2832" i="73"/>
  <c r="Q2831" i="73"/>
  <c r="P2831" i="73"/>
  <c r="Q2830" i="73"/>
  <c r="P2830" i="73"/>
  <c r="Q2829" i="73"/>
  <c r="P2829" i="73"/>
  <c r="Q2828" i="73"/>
  <c r="P2828" i="73"/>
  <c r="Q2827" i="73"/>
  <c r="P2827" i="73"/>
  <c r="Q2826" i="73"/>
  <c r="P2826" i="73"/>
  <c r="Q2825" i="73"/>
  <c r="P2825" i="73"/>
  <c r="Q2824" i="73"/>
  <c r="P2824" i="73"/>
  <c r="Q2823" i="73"/>
  <c r="P2823" i="73"/>
  <c r="Q2822" i="73"/>
  <c r="P2822" i="73"/>
  <c r="Q2821" i="73"/>
  <c r="P2821" i="73"/>
  <c r="Q2820" i="73"/>
  <c r="P2820" i="73"/>
  <c r="Q2819" i="73"/>
  <c r="P2819" i="73"/>
  <c r="Q2818" i="73"/>
  <c r="P2818" i="73"/>
  <c r="P2757" i="73"/>
  <c r="Q2757" i="73"/>
  <c r="P2758" i="73"/>
  <c r="Q2758" i="73"/>
  <c r="P2759" i="73"/>
  <c r="Q2759" i="73"/>
  <c r="P2760" i="73"/>
  <c r="Q2760" i="73"/>
  <c r="P2761" i="73"/>
  <c r="Q2761" i="73"/>
  <c r="P2762" i="73"/>
  <c r="Q2762" i="73"/>
  <c r="P2763" i="73"/>
  <c r="Q2763" i="73"/>
  <c r="P2764" i="73"/>
  <c r="Q2764" i="73"/>
  <c r="P2765" i="73"/>
  <c r="Q2765" i="73"/>
  <c r="P2766" i="73"/>
  <c r="Q2766" i="73"/>
  <c r="P2767" i="73"/>
  <c r="Q2767" i="73"/>
  <c r="P2768" i="73"/>
  <c r="Q2768" i="73"/>
  <c r="P2769" i="73"/>
  <c r="Q2769" i="73"/>
  <c r="P2770" i="73"/>
  <c r="Q2770" i="73"/>
  <c r="P2771" i="73"/>
  <c r="Q2771" i="73"/>
  <c r="P2772" i="73"/>
  <c r="Q2772" i="73"/>
  <c r="P2773" i="73"/>
  <c r="Q2773" i="73"/>
  <c r="P2774" i="73"/>
  <c r="Q2774" i="73"/>
  <c r="P2775" i="73"/>
  <c r="Q2775" i="73"/>
  <c r="P2776" i="73"/>
  <c r="Q2776" i="73"/>
  <c r="P2777" i="73"/>
  <c r="Q2777" i="73"/>
  <c r="P2778" i="73"/>
  <c r="Q2778" i="73"/>
  <c r="P2779" i="73"/>
  <c r="Q2779" i="73"/>
  <c r="P2780" i="73"/>
  <c r="Q2780" i="73"/>
  <c r="P2781" i="73"/>
  <c r="Q2781" i="73"/>
  <c r="P2782" i="73"/>
  <c r="Q2782" i="73"/>
  <c r="P2783" i="73"/>
  <c r="Q2783" i="73"/>
  <c r="P2784" i="73"/>
  <c r="Q2784" i="73"/>
  <c r="P2785" i="73"/>
  <c r="Q2785" i="73"/>
  <c r="P2786" i="73"/>
  <c r="Q2786" i="73"/>
  <c r="P2787" i="73"/>
  <c r="Q2787" i="73"/>
  <c r="P2788" i="73"/>
  <c r="Q2788" i="73"/>
  <c r="P2789" i="73"/>
  <c r="Q2789" i="73"/>
  <c r="P2790" i="73"/>
  <c r="Q2790" i="73"/>
  <c r="P2791" i="73"/>
  <c r="Q2791" i="73"/>
  <c r="P2792" i="73"/>
  <c r="Q2792" i="73"/>
  <c r="P2793" i="73"/>
  <c r="Q2793" i="73"/>
  <c r="P2794" i="73"/>
  <c r="Q2794" i="73"/>
  <c r="P2795" i="73"/>
  <c r="Q2795" i="73"/>
  <c r="P2796" i="73"/>
  <c r="Q2796" i="73"/>
  <c r="P2797" i="73"/>
  <c r="Q2797" i="73"/>
  <c r="P2798" i="73"/>
  <c r="Q2798" i="73"/>
  <c r="P2799" i="73"/>
  <c r="Q2799" i="73"/>
  <c r="P2800" i="73"/>
  <c r="Q2800" i="73"/>
  <c r="P2801" i="73"/>
  <c r="Q2801" i="73"/>
  <c r="P2802" i="73"/>
  <c r="Q2802" i="73"/>
  <c r="P2803" i="73"/>
  <c r="Q2803" i="73"/>
  <c r="P2804" i="73"/>
  <c r="Q2804" i="73"/>
  <c r="P2805" i="73"/>
  <c r="Q2805" i="73"/>
  <c r="P2806" i="73"/>
  <c r="Q2806" i="73"/>
  <c r="P2807" i="73"/>
  <c r="Q2807" i="73"/>
  <c r="P2808" i="73"/>
  <c r="Q2808" i="73"/>
  <c r="P2809" i="73"/>
  <c r="Q2809" i="73"/>
  <c r="P2810" i="73"/>
  <c r="Q2810" i="73"/>
  <c r="P2811" i="73"/>
  <c r="Q2811" i="73"/>
  <c r="P2812" i="73"/>
  <c r="Q2812" i="73"/>
  <c r="P2813" i="73"/>
  <c r="Q2813" i="73"/>
  <c r="P2814" i="73"/>
  <c r="Q2814" i="73"/>
  <c r="P2815" i="73"/>
  <c r="Q2815" i="73"/>
  <c r="P2816" i="73"/>
  <c r="Q2816" i="73"/>
  <c r="P2817" i="73"/>
  <c r="Q2817" i="73"/>
  <c r="P2756" i="73"/>
  <c r="Q2756" i="73"/>
  <c r="N72" i="1"/>
  <c r="O72" i="1"/>
  <c r="P72" i="1"/>
  <c r="Q3" i="73"/>
  <c r="Q4" i="73"/>
  <c r="Q5" i="73"/>
  <c r="Q6" i="73"/>
  <c r="Q7" i="73"/>
  <c r="Q8" i="73"/>
  <c r="Q9" i="73"/>
  <c r="Q10" i="73"/>
  <c r="Q11" i="73"/>
  <c r="Q12" i="73"/>
  <c r="Q13" i="73"/>
  <c r="Q14" i="73"/>
  <c r="Q15" i="73"/>
  <c r="Q16" i="73"/>
  <c r="Q17" i="73"/>
  <c r="Q18" i="73"/>
  <c r="Q19" i="73"/>
  <c r="Q20" i="73"/>
  <c r="Q21" i="73"/>
  <c r="Q22" i="73"/>
  <c r="Q23" i="73"/>
  <c r="Q24" i="73"/>
  <c r="Q25" i="73"/>
  <c r="Q26" i="73"/>
  <c r="Q27" i="73"/>
  <c r="Q28" i="73"/>
  <c r="Q29" i="73"/>
  <c r="Q30" i="73"/>
  <c r="Q31" i="73"/>
  <c r="Q32" i="73"/>
  <c r="Q33" i="73"/>
  <c r="Q34" i="73"/>
  <c r="Q35" i="73"/>
  <c r="Q36" i="73"/>
  <c r="Q37" i="73"/>
  <c r="Q38" i="73"/>
  <c r="Q39" i="73"/>
  <c r="Q40" i="73"/>
  <c r="Q41" i="73"/>
  <c r="Q42" i="73"/>
  <c r="Q43" i="73"/>
  <c r="Q44" i="73"/>
  <c r="Q45" i="73"/>
  <c r="Q46" i="73"/>
  <c r="Q47" i="73"/>
  <c r="Q48" i="73"/>
  <c r="Q49" i="73"/>
  <c r="Q50" i="73"/>
  <c r="Q51" i="73"/>
  <c r="Q52" i="73"/>
  <c r="Q53" i="73"/>
  <c r="Q54" i="73"/>
  <c r="Q55" i="73"/>
  <c r="Q56" i="73"/>
  <c r="Q57" i="73"/>
  <c r="Q58" i="73"/>
  <c r="Q59" i="73"/>
  <c r="Q60" i="73"/>
  <c r="Q61" i="73"/>
  <c r="Q62" i="73"/>
  <c r="Q63" i="73"/>
  <c r="Q64" i="73"/>
  <c r="Q65" i="73"/>
  <c r="Q66" i="73"/>
  <c r="Q67" i="73"/>
  <c r="Q68" i="73"/>
  <c r="Q69" i="73"/>
  <c r="Q70" i="73"/>
  <c r="Q71" i="73"/>
  <c r="Q72" i="73"/>
  <c r="Q73" i="73"/>
  <c r="Q74" i="73"/>
  <c r="Q75" i="73"/>
  <c r="Q76" i="73"/>
  <c r="Q77" i="73"/>
  <c r="Q78" i="73"/>
  <c r="Q79" i="73"/>
  <c r="Q80" i="73"/>
  <c r="Q81" i="73"/>
  <c r="Q82" i="73"/>
  <c r="Q83" i="73"/>
  <c r="Q84" i="73"/>
  <c r="Q85" i="73"/>
  <c r="Q86" i="73"/>
  <c r="Q87" i="73"/>
  <c r="Q88" i="73"/>
  <c r="Q89" i="73"/>
  <c r="Q90" i="73"/>
  <c r="Q91" i="73"/>
  <c r="Q92" i="73"/>
  <c r="Q93" i="73"/>
  <c r="Q94" i="73"/>
  <c r="Q95" i="73"/>
  <c r="Q96" i="73"/>
  <c r="Q97" i="73"/>
  <c r="Q98" i="73"/>
  <c r="Q99" i="73"/>
  <c r="Q100" i="73"/>
  <c r="Q101" i="73"/>
  <c r="Q102" i="73"/>
  <c r="Q103" i="73"/>
  <c r="Q104" i="73"/>
  <c r="Q105" i="73"/>
  <c r="Q106" i="73"/>
  <c r="Q107" i="73"/>
  <c r="Q108" i="73"/>
  <c r="Q109" i="73"/>
  <c r="Q110" i="73"/>
  <c r="Q111" i="73"/>
  <c r="Q112" i="73"/>
  <c r="Q113" i="73"/>
  <c r="Q114" i="73"/>
  <c r="Q115" i="73"/>
  <c r="Q116" i="73"/>
  <c r="Q117" i="73"/>
  <c r="Q118" i="73"/>
  <c r="Q119" i="73"/>
  <c r="Q120" i="73"/>
  <c r="Q121" i="73"/>
  <c r="Q122" i="73"/>
  <c r="Q123" i="73"/>
  <c r="Q124" i="73"/>
  <c r="Q125" i="73"/>
  <c r="Q126" i="73"/>
  <c r="Q127" i="73"/>
  <c r="Q128" i="73"/>
  <c r="Q129" i="73"/>
  <c r="Q130" i="73"/>
  <c r="Q131" i="73"/>
  <c r="Q132" i="73"/>
  <c r="Q133" i="73"/>
  <c r="Q134" i="73"/>
  <c r="Q135" i="73"/>
  <c r="Q136" i="73"/>
  <c r="Q137" i="73"/>
  <c r="Q138" i="73"/>
  <c r="Q139" i="73"/>
  <c r="Q140" i="73"/>
  <c r="Q141" i="73"/>
  <c r="Q142" i="73"/>
  <c r="Q143" i="73"/>
  <c r="Q144" i="73"/>
  <c r="Q145" i="73"/>
  <c r="Q146" i="73"/>
  <c r="Q147" i="73"/>
  <c r="Q148" i="73"/>
  <c r="Q149" i="73"/>
  <c r="Q150" i="73"/>
  <c r="Q151" i="73"/>
  <c r="Q152" i="73"/>
  <c r="Q153" i="73"/>
  <c r="Q154" i="73"/>
  <c r="Q155" i="73"/>
  <c r="Q156" i="73"/>
  <c r="Q157" i="73"/>
  <c r="Q158" i="73"/>
  <c r="Q159" i="73"/>
  <c r="Q160" i="73"/>
  <c r="Q161" i="73"/>
  <c r="Q162" i="73"/>
  <c r="Q163" i="73"/>
  <c r="Q164" i="73"/>
  <c r="Q165" i="73"/>
  <c r="Q166" i="73"/>
  <c r="Q167" i="73"/>
  <c r="Q168" i="73"/>
  <c r="Q169" i="73"/>
  <c r="Q170" i="73"/>
  <c r="Q171" i="73"/>
  <c r="Q172" i="73"/>
  <c r="Q173" i="73"/>
  <c r="Q174" i="73"/>
  <c r="Q175" i="73"/>
  <c r="Q176" i="73"/>
  <c r="Q177" i="73"/>
  <c r="Q178" i="73"/>
  <c r="Q179" i="73"/>
  <c r="Q180" i="73"/>
  <c r="Q181" i="73"/>
  <c r="Q182" i="73"/>
  <c r="Q183" i="73"/>
  <c r="Q184" i="73"/>
  <c r="Q185" i="73"/>
  <c r="Q186" i="73"/>
  <c r="Q187" i="73"/>
  <c r="Q188" i="73"/>
  <c r="Q189" i="73"/>
  <c r="Q190" i="73"/>
  <c r="Q191" i="73"/>
  <c r="Q192" i="73"/>
  <c r="Q193" i="73"/>
  <c r="Q194" i="73"/>
  <c r="Q195" i="73"/>
  <c r="Q196" i="73"/>
  <c r="Q197" i="73"/>
  <c r="Q198" i="73"/>
  <c r="Q199" i="73"/>
  <c r="Q200" i="73"/>
  <c r="Q201" i="73"/>
  <c r="Q202" i="73"/>
  <c r="Q203" i="73"/>
  <c r="Q204" i="73"/>
  <c r="Q205" i="73"/>
  <c r="Q206" i="73"/>
  <c r="Q207" i="73"/>
  <c r="Q208" i="73"/>
  <c r="Q209" i="73"/>
  <c r="Q210" i="73"/>
  <c r="Q211" i="73"/>
  <c r="Q212" i="73"/>
  <c r="Q213" i="73"/>
  <c r="Q214" i="73"/>
  <c r="Q215" i="73"/>
  <c r="Q216" i="73"/>
  <c r="Q217" i="73"/>
  <c r="Q218" i="73"/>
  <c r="Q219" i="73"/>
  <c r="Q220" i="73"/>
  <c r="Q221" i="73"/>
  <c r="Q222" i="73"/>
  <c r="Q223" i="73"/>
  <c r="Q224" i="73"/>
  <c r="Q225" i="73"/>
  <c r="Q226" i="73"/>
  <c r="Q227" i="73"/>
  <c r="Q228" i="73"/>
  <c r="Q229" i="73"/>
  <c r="Q230" i="73"/>
  <c r="Q231" i="73"/>
  <c r="Q232" i="73"/>
  <c r="Q233" i="73"/>
  <c r="Q234" i="73"/>
  <c r="Q235" i="73"/>
  <c r="Q236" i="73"/>
  <c r="Q237" i="73"/>
  <c r="Q238" i="73"/>
  <c r="Q239" i="73"/>
  <c r="Q240" i="73"/>
  <c r="Q241" i="73"/>
  <c r="Q242" i="73"/>
  <c r="Q243" i="73"/>
  <c r="Q244" i="73"/>
  <c r="Q245" i="73"/>
  <c r="Q246" i="73"/>
  <c r="Q247" i="73"/>
  <c r="Q248" i="73"/>
  <c r="Q249" i="73"/>
  <c r="Q250" i="73"/>
  <c r="Q251" i="73"/>
  <c r="Q252" i="73"/>
  <c r="Q253" i="73"/>
  <c r="Q254" i="73"/>
  <c r="Q255" i="73"/>
  <c r="Q256" i="73"/>
  <c r="Q257" i="73"/>
  <c r="Q258" i="73"/>
  <c r="Q259" i="73"/>
  <c r="Q260" i="73"/>
  <c r="Q261" i="73"/>
  <c r="Q262" i="73"/>
  <c r="Q263" i="73"/>
  <c r="Q264" i="73"/>
  <c r="Q265" i="73"/>
  <c r="Q266" i="73"/>
  <c r="Q267" i="73"/>
  <c r="Q268" i="73"/>
  <c r="Q269" i="73"/>
  <c r="Q270" i="73"/>
  <c r="Q271" i="73"/>
  <c r="Q272" i="73"/>
  <c r="Q273" i="73"/>
  <c r="Q274" i="73"/>
  <c r="Q275" i="73"/>
  <c r="Q276" i="73"/>
  <c r="Q277" i="73"/>
  <c r="Q278" i="73"/>
  <c r="Q279" i="73"/>
  <c r="Q280" i="73"/>
  <c r="Q281" i="73"/>
  <c r="Q282" i="73"/>
  <c r="Q283" i="73"/>
  <c r="Q284" i="73"/>
  <c r="Q285" i="73"/>
  <c r="Q286" i="73"/>
  <c r="Q287" i="73"/>
  <c r="Q288" i="73"/>
  <c r="Q289" i="73"/>
  <c r="Q290" i="73"/>
  <c r="Q291" i="73"/>
  <c r="Q292" i="73"/>
  <c r="Q293" i="73"/>
  <c r="Q294" i="73"/>
  <c r="Q295" i="73"/>
  <c r="Q296" i="73"/>
  <c r="Q297" i="73"/>
  <c r="Q298" i="73"/>
  <c r="Q299" i="73"/>
  <c r="Q300" i="73"/>
  <c r="Q301" i="73"/>
  <c r="Q302" i="73"/>
  <c r="Q303" i="73"/>
  <c r="Q304" i="73"/>
  <c r="Q305" i="73"/>
  <c r="Q306" i="73"/>
  <c r="Q307" i="73"/>
  <c r="Q308" i="73"/>
  <c r="Q309" i="73"/>
  <c r="Q310" i="73"/>
  <c r="Q311" i="73"/>
  <c r="Q312" i="73"/>
  <c r="Q313" i="73"/>
  <c r="Q314" i="73"/>
  <c r="Q315" i="73"/>
  <c r="Q316" i="73"/>
  <c r="Q317" i="73"/>
  <c r="Q318" i="73"/>
  <c r="Q319" i="73"/>
  <c r="Q320" i="73"/>
  <c r="Q321" i="73"/>
  <c r="Q322" i="73"/>
  <c r="Q323" i="73"/>
  <c r="Q324" i="73"/>
  <c r="Q325" i="73"/>
  <c r="Q326" i="73"/>
  <c r="Q327" i="73"/>
  <c r="Q328" i="73"/>
  <c r="Q329" i="73"/>
  <c r="Q330" i="73"/>
  <c r="Q331" i="73"/>
  <c r="Q332" i="73"/>
  <c r="Q333" i="73"/>
  <c r="Q334" i="73"/>
  <c r="Q335" i="73"/>
  <c r="Q336" i="73"/>
  <c r="Q337" i="73"/>
  <c r="Q338" i="73"/>
  <c r="Q339" i="73"/>
  <c r="Q340" i="73"/>
  <c r="Q341" i="73"/>
  <c r="Q342" i="73"/>
  <c r="Q343" i="73"/>
  <c r="Q344" i="73"/>
  <c r="Q345" i="73"/>
  <c r="Q346" i="73"/>
  <c r="Q347" i="73"/>
  <c r="Q348" i="73"/>
  <c r="Q349" i="73"/>
  <c r="Q350" i="73"/>
  <c r="Q351" i="73"/>
  <c r="Q352" i="73"/>
  <c r="Q353" i="73"/>
  <c r="Q354" i="73"/>
  <c r="Q355" i="73"/>
  <c r="Q356" i="73"/>
  <c r="Q357" i="73"/>
  <c r="Q358" i="73"/>
  <c r="Q359" i="73"/>
  <c r="Q360" i="73"/>
  <c r="Q361" i="73"/>
  <c r="Q362" i="73"/>
  <c r="Q363" i="73"/>
  <c r="Q364" i="73"/>
  <c r="Q365" i="73"/>
  <c r="Q366" i="73"/>
  <c r="Q367" i="73"/>
  <c r="Q368" i="73"/>
  <c r="Q369" i="73"/>
  <c r="Q370" i="73"/>
  <c r="Q371" i="73"/>
  <c r="Q372" i="73"/>
  <c r="Q373" i="73"/>
  <c r="Q374" i="73"/>
  <c r="Q375" i="73"/>
  <c r="Q376" i="73"/>
  <c r="Q377" i="73"/>
  <c r="Q378" i="73"/>
  <c r="Q379" i="73"/>
  <c r="Q380" i="73"/>
  <c r="Q381" i="73"/>
  <c r="Q382" i="73"/>
  <c r="Q383" i="73"/>
  <c r="Q384" i="73"/>
  <c r="Q385" i="73"/>
  <c r="Q386" i="73"/>
  <c r="Q387" i="73"/>
  <c r="Q388" i="73"/>
  <c r="Q389" i="73"/>
  <c r="Q390" i="73"/>
  <c r="Q391" i="73"/>
  <c r="Q392" i="73"/>
  <c r="Q393" i="73"/>
  <c r="Q394" i="73"/>
  <c r="Q395" i="73"/>
  <c r="Q396" i="73"/>
  <c r="Q397" i="73"/>
  <c r="Q398" i="73"/>
  <c r="Q399" i="73"/>
  <c r="Q400" i="73"/>
  <c r="Q401" i="73"/>
  <c r="Q402" i="73"/>
  <c r="Q403" i="73"/>
  <c r="Q404" i="73"/>
  <c r="Q405" i="73"/>
  <c r="Q406" i="73"/>
  <c r="Q407" i="73"/>
  <c r="Q408" i="73"/>
  <c r="Q409" i="73"/>
  <c r="Q410" i="73"/>
  <c r="Q411" i="73"/>
  <c r="Q412" i="73"/>
  <c r="Q413" i="73"/>
  <c r="Q414" i="73"/>
  <c r="Q415" i="73"/>
  <c r="Q416" i="73"/>
  <c r="Q417" i="73"/>
  <c r="Q418" i="73"/>
  <c r="Q419" i="73"/>
  <c r="Q420" i="73"/>
  <c r="Q421" i="73"/>
  <c r="Q422" i="73"/>
  <c r="Q423" i="73"/>
  <c r="Q424" i="73"/>
  <c r="Q425" i="73"/>
  <c r="Q426" i="73"/>
  <c r="Q427" i="73"/>
  <c r="Q428" i="73"/>
  <c r="Q429" i="73"/>
  <c r="Q430" i="73"/>
  <c r="Q431" i="73"/>
  <c r="Q432" i="73"/>
  <c r="Q433" i="73"/>
  <c r="Q434" i="73"/>
  <c r="Q435" i="73"/>
  <c r="Q436" i="73"/>
  <c r="Q437" i="73"/>
  <c r="Q438" i="73"/>
  <c r="Q439" i="73"/>
  <c r="Q440" i="73"/>
  <c r="Q441" i="73"/>
  <c r="Q442" i="73"/>
  <c r="Q443" i="73"/>
  <c r="Q444" i="73"/>
  <c r="Q445" i="73"/>
  <c r="Q446" i="73"/>
  <c r="Q447" i="73"/>
  <c r="Q448" i="73"/>
  <c r="Q449" i="73"/>
  <c r="Q450" i="73"/>
  <c r="Q451" i="73"/>
  <c r="Q452" i="73"/>
  <c r="Q453" i="73"/>
  <c r="Q454" i="73"/>
  <c r="Q455" i="73"/>
  <c r="Q456" i="73"/>
  <c r="Q457" i="73"/>
  <c r="Q458" i="73"/>
  <c r="Q459" i="73"/>
  <c r="Q460" i="73"/>
  <c r="Q461" i="73"/>
  <c r="Q462" i="73"/>
  <c r="Q463" i="73"/>
  <c r="Q464" i="73"/>
  <c r="Q465" i="73"/>
  <c r="Q466" i="73"/>
  <c r="Q467" i="73"/>
  <c r="Q468" i="73"/>
  <c r="Q469" i="73"/>
  <c r="Q470" i="73"/>
  <c r="Q471" i="73"/>
  <c r="Q472" i="73"/>
  <c r="Q473" i="73"/>
  <c r="Q474" i="73"/>
  <c r="Q475" i="73"/>
  <c r="Q476" i="73"/>
  <c r="Q477" i="73"/>
  <c r="Q478" i="73"/>
  <c r="Q479" i="73"/>
  <c r="Q480" i="73"/>
  <c r="Q481" i="73"/>
  <c r="Q482" i="73"/>
  <c r="Q483" i="73"/>
  <c r="Q484" i="73"/>
  <c r="Q485" i="73"/>
  <c r="Q486" i="73"/>
  <c r="Q487" i="73"/>
  <c r="Q488" i="73"/>
  <c r="Q489" i="73"/>
  <c r="Q490" i="73"/>
  <c r="Q491" i="73"/>
  <c r="Q492" i="73"/>
  <c r="Q493" i="73"/>
  <c r="Q494" i="73"/>
  <c r="Q495" i="73"/>
  <c r="Q496" i="73"/>
  <c r="Q497" i="73"/>
  <c r="Q498" i="73"/>
  <c r="Q499" i="73"/>
  <c r="Q500" i="73"/>
  <c r="Q501" i="73"/>
  <c r="Q502" i="73"/>
  <c r="Q503" i="73"/>
  <c r="Q504" i="73"/>
  <c r="Q505" i="73"/>
  <c r="Q506" i="73"/>
  <c r="Q507" i="73"/>
  <c r="Q508" i="73"/>
  <c r="Q509" i="73"/>
  <c r="Q510" i="73"/>
  <c r="Q511" i="73"/>
  <c r="Q512" i="73"/>
  <c r="Q513" i="73"/>
  <c r="Q514" i="73"/>
  <c r="Q515" i="73"/>
  <c r="Q516" i="73"/>
  <c r="Q517" i="73"/>
  <c r="Q518" i="73"/>
  <c r="Q519" i="73"/>
  <c r="Q520" i="73"/>
  <c r="Q521" i="73"/>
  <c r="Q522" i="73"/>
  <c r="Q523" i="73"/>
  <c r="Q524" i="73"/>
  <c r="Q525" i="73"/>
  <c r="Q526" i="73"/>
  <c r="Q527" i="73"/>
  <c r="Q528" i="73"/>
  <c r="Q529" i="73"/>
  <c r="Q530" i="73"/>
  <c r="Q531" i="73"/>
  <c r="Q532" i="73"/>
  <c r="Q533" i="73"/>
  <c r="Q534" i="73"/>
  <c r="Q535" i="73"/>
  <c r="Q536" i="73"/>
  <c r="Q537" i="73"/>
  <c r="Q538" i="73"/>
  <c r="Q539" i="73"/>
  <c r="Q540" i="73"/>
  <c r="Q541" i="73"/>
  <c r="Q542" i="73"/>
  <c r="Q543" i="73"/>
  <c r="Q544" i="73"/>
  <c r="Q545" i="73"/>
  <c r="Q546" i="73"/>
  <c r="Q547" i="73"/>
  <c r="Q548" i="73"/>
  <c r="Q549" i="73"/>
  <c r="Q550" i="73"/>
  <c r="Q551" i="73"/>
  <c r="Q552" i="73"/>
  <c r="Q553" i="73"/>
  <c r="Q554" i="73"/>
  <c r="Q555" i="73"/>
  <c r="Q556" i="73"/>
  <c r="Q557" i="73"/>
  <c r="Q558" i="73"/>
  <c r="Q559" i="73"/>
  <c r="Q560" i="73"/>
  <c r="Q561" i="73"/>
  <c r="Q562" i="73"/>
  <c r="Q563" i="73"/>
  <c r="Q564" i="73"/>
  <c r="Q565" i="73"/>
  <c r="Q566" i="73"/>
  <c r="Q567" i="73"/>
  <c r="Q568" i="73"/>
  <c r="Q569" i="73"/>
  <c r="Q570" i="73"/>
  <c r="Q571" i="73"/>
  <c r="Q572" i="73"/>
  <c r="Q573" i="73"/>
  <c r="Q574" i="73"/>
  <c r="Q575" i="73"/>
  <c r="Q576" i="73"/>
  <c r="Q577" i="73"/>
  <c r="Q578" i="73"/>
  <c r="Q579" i="73"/>
  <c r="Q580" i="73"/>
  <c r="Q581" i="73"/>
  <c r="Q582" i="73"/>
  <c r="Q583" i="73"/>
  <c r="Q584" i="73"/>
  <c r="Q585" i="73"/>
  <c r="Q586" i="73"/>
  <c r="Q587" i="73"/>
  <c r="Q588" i="73"/>
  <c r="Q589" i="73"/>
  <c r="Q590" i="73"/>
  <c r="Q591" i="73"/>
  <c r="Q592" i="73"/>
  <c r="Q593" i="73"/>
  <c r="Q594" i="73"/>
  <c r="Q595" i="73"/>
  <c r="Q596" i="73"/>
  <c r="Q597" i="73"/>
  <c r="Q598" i="73"/>
  <c r="Q599" i="73"/>
  <c r="Q600" i="73"/>
  <c r="Q601" i="73"/>
  <c r="Q602" i="73"/>
  <c r="Q603" i="73"/>
  <c r="Q604" i="73"/>
  <c r="Q605" i="73"/>
  <c r="Q606" i="73"/>
  <c r="Q607" i="73"/>
  <c r="Q608" i="73"/>
  <c r="Q609" i="73"/>
  <c r="Q610" i="73"/>
  <c r="Q611" i="73"/>
  <c r="Q612" i="73"/>
  <c r="Q613" i="73"/>
  <c r="Q614" i="73"/>
  <c r="Q615" i="73"/>
  <c r="Q616" i="73"/>
  <c r="Q617" i="73"/>
  <c r="Q618" i="73"/>
  <c r="Q619" i="73"/>
  <c r="Q620" i="73"/>
  <c r="Q621" i="73"/>
  <c r="Q622" i="73"/>
  <c r="Q623" i="73"/>
  <c r="Q624" i="73"/>
  <c r="Q625" i="73"/>
  <c r="Q626" i="73"/>
  <c r="Q627" i="73"/>
  <c r="Q628" i="73"/>
  <c r="Q629" i="73"/>
  <c r="Q630" i="73"/>
  <c r="Q631" i="73"/>
  <c r="Q632" i="73"/>
  <c r="Q633" i="73"/>
  <c r="Q634" i="73"/>
  <c r="Q635" i="73"/>
  <c r="Q636" i="73"/>
  <c r="Q637" i="73"/>
  <c r="Q638" i="73"/>
  <c r="Q639" i="73"/>
  <c r="Q640" i="73"/>
  <c r="Q641" i="73"/>
  <c r="Q642" i="73"/>
  <c r="Q643" i="73"/>
  <c r="Q644" i="73"/>
  <c r="Q645" i="73"/>
  <c r="Q646" i="73"/>
  <c r="Q647" i="73"/>
  <c r="Q648" i="73"/>
  <c r="Q649" i="73"/>
  <c r="Q650" i="73"/>
  <c r="Q651" i="73"/>
  <c r="Q652" i="73"/>
  <c r="Q653" i="73"/>
  <c r="Q654" i="73"/>
  <c r="Q655" i="73"/>
  <c r="Q656" i="73"/>
  <c r="Q657" i="73"/>
  <c r="Q658" i="73"/>
  <c r="Q659" i="73"/>
  <c r="Q660" i="73"/>
  <c r="Q661" i="73"/>
  <c r="Q662" i="73"/>
  <c r="Q663" i="73"/>
  <c r="Q664" i="73"/>
  <c r="Q665" i="73"/>
  <c r="Q666" i="73"/>
  <c r="Q667" i="73"/>
  <c r="Q668" i="73"/>
  <c r="Q669" i="73"/>
  <c r="Q670" i="73"/>
  <c r="Q671" i="73"/>
  <c r="Q672" i="73"/>
  <c r="Q673" i="73"/>
  <c r="Q674" i="73"/>
  <c r="Q675" i="73"/>
  <c r="Q676" i="73"/>
  <c r="Q677" i="73"/>
  <c r="Q678" i="73"/>
  <c r="Q679" i="73"/>
  <c r="Q680" i="73"/>
  <c r="Q681" i="73"/>
  <c r="Q682" i="73"/>
  <c r="Q683" i="73"/>
  <c r="Q684" i="73"/>
  <c r="Q685" i="73"/>
  <c r="Q686" i="73"/>
  <c r="Q687" i="73"/>
  <c r="Q688" i="73"/>
  <c r="Q689" i="73"/>
  <c r="Q690" i="73"/>
  <c r="Q691" i="73"/>
  <c r="Q692" i="73"/>
  <c r="Q693" i="73"/>
  <c r="Q694" i="73"/>
  <c r="Q695" i="73"/>
  <c r="Q696" i="73"/>
  <c r="Q697" i="73"/>
  <c r="Q698" i="73"/>
  <c r="Q699" i="73"/>
  <c r="Q700" i="73"/>
  <c r="Q701" i="73"/>
  <c r="Q702" i="73"/>
  <c r="Q703" i="73"/>
  <c r="Q704" i="73"/>
  <c r="Q705" i="73"/>
  <c r="Q706" i="73"/>
  <c r="Q707" i="73"/>
  <c r="Q708" i="73"/>
  <c r="Q709" i="73"/>
  <c r="Q710" i="73"/>
  <c r="Q711" i="73"/>
  <c r="Q712" i="73"/>
  <c r="Q713" i="73"/>
  <c r="Q714" i="73"/>
  <c r="Q715" i="73"/>
  <c r="Q716" i="73"/>
  <c r="Q717" i="73"/>
  <c r="Q718" i="73"/>
  <c r="Q719" i="73"/>
  <c r="Q720" i="73"/>
  <c r="Q721" i="73"/>
  <c r="Q722" i="73"/>
  <c r="Q723" i="73"/>
  <c r="Q724" i="73"/>
  <c r="Q725" i="73"/>
  <c r="Q726" i="73"/>
  <c r="Q727" i="73"/>
  <c r="Q728" i="73"/>
  <c r="Q729" i="73"/>
  <c r="Q730" i="73"/>
  <c r="Q731" i="73"/>
  <c r="Q732" i="73"/>
  <c r="Q733" i="73"/>
  <c r="Q734" i="73"/>
  <c r="Q735" i="73"/>
  <c r="Q736" i="73"/>
  <c r="Q737" i="73"/>
  <c r="Q738" i="73"/>
  <c r="Q739" i="73"/>
  <c r="Q740" i="73"/>
  <c r="Q741" i="73"/>
  <c r="Q742" i="73"/>
  <c r="Q743" i="73"/>
  <c r="Q744" i="73"/>
  <c r="Q745" i="73"/>
  <c r="Q746" i="73"/>
  <c r="Q747" i="73"/>
  <c r="Q748" i="73"/>
  <c r="Q749" i="73"/>
  <c r="Q750" i="73"/>
  <c r="Q751" i="73"/>
  <c r="Q752" i="73"/>
  <c r="Q753" i="73"/>
  <c r="Q754" i="73"/>
  <c r="Q755" i="73"/>
  <c r="Q756" i="73"/>
  <c r="Q757" i="73"/>
  <c r="Q758" i="73"/>
  <c r="Q759" i="73"/>
  <c r="Q760" i="73"/>
  <c r="Q761" i="73"/>
  <c r="Q762" i="73"/>
  <c r="Q763" i="73"/>
  <c r="Q764" i="73"/>
  <c r="Q765" i="73"/>
  <c r="Q766" i="73"/>
  <c r="Q767" i="73"/>
  <c r="Q768" i="73"/>
  <c r="Q769" i="73"/>
  <c r="Q770" i="73"/>
  <c r="Q771" i="73"/>
  <c r="Q772" i="73"/>
  <c r="Q773" i="73"/>
  <c r="Q774" i="73"/>
  <c r="Q775" i="73"/>
  <c r="Q776" i="73"/>
  <c r="Q777" i="73"/>
  <c r="Q778" i="73"/>
  <c r="Q779" i="73"/>
  <c r="Q780" i="73"/>
  <c r="Q781" i="73"/>
  <c r="Q782" i="73"/>
  <c r="Q783" i="73"/>
  <c r="Q784" i="73"/>
  <c r="Q785" i="73"/>
  <c r="Q786" i="73"/>
  <c r="Q787" i="73"/>
  <c r="Q788" i="73"/>
  <c r="Q789" i="73"/>
  <c r="Q790" i="73"/>
  <c r="Q791" i="73"/>
  <c r="Q792" i="73"/>
  <c r="Q793" i="73"/>
  <c r="Q794" i="73"/>
  <c r="Q795" i="73"/>
  <c r="Q796" i="73"/>
  <c r="Q797" i="73"/>
  <c r="Q798" i="73"/>
  <c r="Q799" i="73"/>
  <c r="Q800" i="73"/>
  <c r="Q801" i="73"/>
  <c r="Q802" i="73"/>
  <c r="Q803" i="73"/>
  <c r="Q804" i="73"/>
  <c r="Q805" i="73"/>
  <c r="Q806" i="73"/>
  <c r="Q807" i="73"/>
  <c r="Q808" i="73"/>
  <c r="Q809" i="73"/>
  <c r="Q810" i="73"/>
  <c r="Q811" i="73"/>
  <c r="Q812" i="73"/>
  <c r="Q813" i="73"/>
  <c r="Q814" i="73"/>
  <c r="Q815" i="73"/>
  <c r="Q816" i="73"/>
  <c r="Q817" i="73"/>
  <c r="Q818" i="73"/>
  <c r="Q819" i="73"/>
  <c r="Q820" i="73"/>
  <c r="Q821" i="73"/>
  <c r="Q822" i="73"/>
  <c r="Q823" i="73"/>
  <c r="Q824" i="73"/>
  <c r="Q825" i="73"/>
  <c r="Q826" i="73"/>
  <c r="Q827" i="73"/>
  <c r="Q828" i="73"/>
  <c r="Q829" i="73"/>
  <c r="Q830" i="73"/>
  <c r="Q831" i="73"/>
  <c r="Q832" i="73"/>
  <c r="Q833" i="73"/>
  <c r="Q834" i="73"/>
  <c r="Q835" i="73"/>
  <c r="Q836" i="73"/>
  <c r="Q837" i="73"/>
  <c r="Q838" i="73"/>
  <c r="Q839" i="73"/>
  <c r="Q840" i="73"/>
  <c r="Q841" i="73"/>
  <c r="Q842" i="73"/>
  <c r="Q843" i="73"/>
  <c r="Q844" i="73"/>
  <c r="Q845" i="73"/>
  <c r="Q846" i="73"/>
  <c r="Q847" i="73"/>
  <c r="Q848" i="73"/>
  <c r="Q849" i="73"/>
  <c r="Q850" i="73"/>
  <c r="Q851" i="73"/>
  <c r="Q852" i="73"/>
  <c r="Q853" i="73"/>
  <c r="Q854" i="73"/>
  <c r="Q855" i="73"/>
  <c r="Q856" i="73"/>
  <c r="Q857" i="73"/>
  <c r="Q858" i="73"/>
  <c r="Q859" i="73"/>
  <c r="Q860" i="73"/>
  <c r="Q861" i="73"/>
  <c r="Q862" i="73"/>
  <c r="Q863" i="73"/>
  <c r="Q864" i="73"/>
  <c r="Q865" i="73"/>
  <c r="Q866" i="73"/>
  <c r="Q867" i="73"/>
  <c r="Q868" i="73"/>
  <c r="Q869" i="73"/>
  <c r="Q870" i="73"/>
  <c r="Q871" i="73"/>
  <c r="Q872" i="73"/>
  <c r="Q873" i="73"/>
  <c r="Q874" i="73"/>
  <c r="Q875" i="73"/>
  <c r="Q876" i="73"/>
  <c r="Q877" i="73"/>
  <c r="Q878" i="73"/>
  <c r="Q879" i="73"/>
  <c r="Q880" i="73"/>
  <c r="Q881" i="73"/>
  <c r="Q882" i="73"/>
  <c r="Q883" i="73"/>
  <c r="Q884" i="73"/>
  <c r="Q885" i="73"/>
  <c r="Q886" i="73"/>
  <c r="Q887" i="73"/>
  <c r="Q888" i="73"/>
  <c r="Q889" i="73"/>
  <c r="Q890" i="73"/>
  <c r="Q891" i="73"/>
  <c r="Q892" i="73"/>
  <c r="Q893" i="73"/>
  <c r="Q894" i="73"/>
  <c r="Q895" i="73"/>
  <c r="Q896" i="73"/>
  <c r="Q897" i="73"/>
  <c r="Q898" i="73"/>
  <c r="Q899" i="73"/>
  <c r="Q900" i="73"/>
  <c r="Q901" i="73"/>
  <c r="Q902" i="73"/>
  <c r="Q903" i="73"/>
  <c r="Q904" i="73"/>
  <c r="Q905" i="73"/>
  <c r="Q906" i="73"/>
  <c r="Q907" i="73"/>
  <c r="Q908" i="73"/>
  <c r="Q909" i="73"/>
  <c r="Q910" i="73"/>
  <c r="Q911" i="73"/>
  <c r="Q912" i="73"/>
  <c r="Q913" i="73"/>
  <c r="Q914" i="73"/>
  <c r="Q915" i="73"/>
  <c r="Q916" i="73"/>
  <c r="Q917" i="73"/>
  <c r="Q918" i="73"/>
  <c r="Q919" i="73"/>
  <c r="Q920" i="73"/>
  <c r="Q921" i="73"/>
  <c r="Q922" i="73"/>
  <c r="Q923" i="73"/>
  <c r="Q924" i="73"/>
  <c r="Q925" i="73"/>
  <c r="Q926" i="73"/>
  <c r="Q927" i="73"/>
  <c r="Q928" i="73"/>
  <c r="Q929" i="73"/>
  <c r="Q930" i="73"/>
  <c r="Q931" i="73"/>
  <c r="Q932" i="73"/>
  <c r="Q933" i="73"/>
  <c r="Q934" i="73"/>
  <c r="Q935" i="73"/>
  <c r="Q936" i="73"/>
  <c r="Q937" i="73"/>
  <c r="Q938" i="73"/>
  <c r="Q939" i="73"/>
  <c r="Q940" i="73"/>
  <c r="Q941" i="73"/>
  <c r="Q942" i="73"/>
  <c r="Q943" i="73"/>
  <c r="Q944" i="73"/>
  <c r="Q945" i="73"/>
  <c r="Q946" i="73"/>
  <c r="Q947" i="73"/>
  <c r="Q948" i="73"/>
  <c r="Q949" i="73"/>
  <c r="Q950" i="73"/>
  <c r="Q951" i="73"/>
  <c r="Q952" i="73"/>
  <c r="Q953" i="73"/>
  <c r="Q954" i="73"/>
  <c r="Q955" i="73"/>
  <c r="Q956" i="73"/>
  <c r="Q957" i="73"/>
  <c r="Q958" i="73"/>
  <c r="Q959" i="73"/>
  <c r="Q960" i="73"/>
  <c r="Q961" i="73"/>
  <c r="Q962" i="73"/>
  <c r="Q963" i="73"/>
  <c r="Q964" i="73"/>
  <c r="Q965" i="73"/>
  <c r="Q966" i="73"/>
  <c r="Q967" i="73"/>
  <c r="Q968" i="73"/>
  <c r="Q969" i="73"/>
  <c r="Q970" i="73"/>
  <c r="Q971" i="73"/>
  <c r="Q972" i="73"/>
  <c r="Q973" i="73"/>
  <c r="Q974" i="73"/>
  <c r="Q975" i="73"/>
  <c r="Q976" i="73"/>
  <c r="Q977" i="73"/>
  <c r="Q978" i="73"/>
  <c r="Q979" i="73"/>
  <c r="Q980" i="73"/>
  <c r="Q981" i="73"/>
  <c r="Q982" i="73"/>
  <c r="Q983" i="73"/>
  <c r="Q984" i="73"/>
  <c r="Q985" i="73"/>
  <c r="Q986" i="73"/>
  <c r="Q987" i="73"/>
  <c r="Q988" i="73"/>
  <c r="Q989" i="73"/>
  <c r="Q990" i="73"/>
  <c r="Q991" i="73"/>
  <c r="Q992" i="73"/>
  <c r="Q993" i="73"/>
  <c r="Q994" i="73"/>
  <c r="Q995" i="73"/>
  <c r="Q996" i="73"/>
  <c r="Q997" i="73"/>
  <c r="Q998" i="73"/>
  <c r="Q999" i="73"/>
  <c r="Q1000" i="73"/>
  <c r="Q1001" i="73"/>
  <c r="Q1002" i="73"/>
  <c r="Q1003" i="73"/>
  <c r="Q1004" i="73"/>
  <c r="Q1005" i="73"/>
  <c r="Q1006" i="73"/>
  <c r="Q1007" i="73"/>
  <c r="Q1008" i="73"/>
  <c r="Q1009" i="73"/>
  <c r="Q1010" i="73"/>
  <c r="Q1011" i="73"/>
  <c r="Q1012" i="73"/>
  <c r="Q1013" i="73"/>
  <c r="Q1014" i="73"/>
  <c r="Q1015" i="73"/>
  <c r="Q1016" i="73"/>
  <c r="Q1017" i="73"/>
  <c r="Q1018" i="73"/>
  <c r="Q1019" i="73"/>
  <c r="Q1020" i="73"/>
  <c r="Q1021" i="73"/>
  <c r="Q1022" i="73"/>
  <c r="Q1023" i="73"/>
  <c r="Q1024" i="73"/>
  <c r="Q1025" i="73"/>
  <c r="Q1026" i="73"/>
  <c r="Q1027" i="73"/>
  <c r="Q1028" i="73"/>
  <c r="Q1029" i="73"/>
  <c r="Q1030" i="73"/>
  <c r="Q1031" i="73"/>
  <c r="Q1032" i="73"/>
  <c r="Q1033" i="73"/>
  <c r="Q1034" i="73"/>
  <c r="Q1035" i="73"/>
  <c r="Q1036" i="73"/>
  <c r="Q1037" i="73"/>
  <c r="Q1038" i="73"/>
  <c r="Q1039" i="73"/>
  <c r="Q1040" i="73"/>
  <c r="Q1041" i="73"/>
  <c r="Q1042" i="73"/>
  <c r="Q1043" i="73"/>
  <c r="Q1044" i="73"/>
  <c r="Q1045" i="73"/>
  <c r="Q1046" i="73"/>
  <c r="Q1047" i="73"/>
  <c r="Q1048" i="73"/>
  <c r="Q1049" i="73"/>
  <c r="Q1050" i="73"/>
  <c r="Q1051" i="73"/>
  <c r="Q1052" i="73"/>
  <c r="Q1053" i="73"/>
  <c r="Q1054" i="73"/>
  <c r="Q1055" i="73"/>
  <c r="Q1056" i="73"/>
  <c r="Q1057" i="73"/>
  <c r="Q1058" i="73"/>
  <c r="Q1059" i="73"/>
  <c r="Q1060" i="73"/>
  <c r="Q1061" i="73"/>
  <c r="Q1062" i="73"/>
  <c r="Q1063" i="73"/>
  <c r="Q1064" i="73"/>
  <c r="Q1065" i="73"/>
  <c r="Q1066" i="73"/>
  <c r="Q1067" i="73"/>
  <c r="Q1068" i="73"/>
  <c r="Q1069" i="73"/>
  <c r="Q1070" i="73"/>
  <c r="Q1071" i="73"/>
  <c r="Q1072" i="73"/>
  <c r="Q1073" i="73"/>
  <c r="Q1074" i="73"/>
  <c r="Q1075" i="73"/>
  <c r="Q1076" i="73"/>
  <c r="Q1077" i="73"/>
  <c r="Q1078" i="73"/>
  <c r="Q1079" i="73"/>
  <c r="Q1080" i="73"/>
  <c r="Q1081" i="73"/>
  <c r="Q1082" i="73"/>
  <c r="Q1083" i="73"/>
  <c r="Q1084" i="73"/>
  <c r="Q1085" i="73"/>
  <c r="Q1086" i="73"/>
  <c r="Q1087" i="73"/>
  <c r="Q1088" i="73"/>
  <c r="Q1089" i="73"/>
  <c r="Q1090" i="73"/>
  <c r="Q1091" i="73"/>
  <c r="Q1092" i="73"/>
  <c r="Q1093" i="73"/>
  <c r="Q1094" i="73"/>
  <c r="Q1095" i="73"/>
  <c r="Q1096" i="73"/>
  <c r="Q1097" i="73"/>
  <c r="Q1098" i="73"/>
  <c r="Q1099" i="73"/>
  <c r="Q1100" i="73"/>
  <c r="Q1101" i="73"/>
  <c r="Q1102" i="73"/>
  <c r="Q1103" i="73"/>
  <c r="Q1104" i="73"/>
  <c r="Q1105" i="73"/>
  <c r="Q1106" i="73"/>
  <c r="Q1107" i="73"/>
  <c r="Q1108" i="73"/>
  <c r="Q1109" i="73"/>
  <c r="Q1110" i="73"/>
  <c r="Q1111" i="73"/>
  <c r="Q1112" i="73"/>
  <c r="Q1113" i="73"/>
  <c r="Q1114" i="73"/>
  <c r="Q1115" i="73"/>
  <c r="Q1116" i="73"/>
  <c r="Q1117" i="73"/>
  <c r="Q1118" i="73"/>
  <c r="Q1119" i="73"/>
  <c r="Q1120" i="73"/>
  <c r="Q1121" i="73"/>
  <c r="Q1122" i="73"/>
  <c r="Q1123" i="73"/>
  <c r="Q1124" i="73"/>
  <c r="Q1125" i="73"/>
  <c r="Q1126" i="73"/>
  <c r="Q1127" i="73"/>
  <c r="Q1128" i="73"/>
  <c r="Q1129" i="73"/>
  <c r="Q1130" i="73"/>
  <c r="Q1131" i="73"/>
  <c r="Q1132" i="73"/>
  <c r="Q1133" i="73"/>
  <c r="Q1134" i="73"/>
  <c r="Q1135" i="73"/>
  <c r="Q1136" i="73"/>
  <c r="Q1137" i="73"/>
  <c r="Q1138" i="73"/>
  <c r="Q1139" i="73"/>
  <c r="Q1140" i="73"/>
  <c r="Q1141" i="73"/>
  <c r="Q1142" i="73"/>
  <c r="Q1143" i="73"/>
  <c r="Q1144" i="73"/>
  <c r="Q1145" i="73"/>
  <c r="Q1146" i="73"/>
  <c r="Q1147" i="73"/>
  <c r="Q1148" i="73"/>
  <c r="Q1149" i="73"/>
  <c r="Q1150" i="73"/>
  <c r="Q1151" i="73"/>
  <c r="Q1152" i="73"/>
  <c r="Q1153" i="73"/>
  <c r="Q1154" i="73"/>
  <c r="Q1155" i="73"/>
  <c r="Q1156" i="73"/>
  <c r="Q1157" i="73"/>
  <c r="Q1158" i="73"/>
  <c r="Q1159" i="73"/>
  <c r="Q1160" i="73"/>
  <c r="Q1161" i="73"/>
  <c r="Q1162" i="73"/>
  <c r="Q1163" i="73"/>
  <c r="Q1164" i="73"/>
  <c r="Q1165" i="73"/>
  <c r="Q1166" i="73"/>
  <c r="Q1167" i="73"/>
  <c r="Q1168" i="73"/>
  <c r="Q1169" i="73"/>
  <c r="Q1170" i="73"/>
  <c r="Q1171" i="73"/>
  <c r="Q1172" i="73"/>
  <c r="Q1173" i="73"/>
  <c r="Q1174" i="73"/>
  <c r="Q1175" i="73"/>
  <c r="Q1176" i="73"/>
  <c r="Q1177" i="73"/>
  <c r="Q1178" i="73"/>
  <c r="Q1179" i="73"/>
  <c r="Q1180" i="73"/>
  <c r="Q1181" i="73"/>
  <c r="Q1182" i="73"/>
  <c r="Q1183" i="73"/>
  <c r="Q1184" i="73"/>
  <c r="Q1185" i="73"/>
  <c r="Q1186" i="73"/>
  <c r="Q1187" i="73"/>
  <c r="Q1188" i="73"/>
  <c r="Q1189" i="73"/>
  <c r="Q1190" i="73"/>
  <c r="Q1191" i="73"/>
  <c r="Q1192" i="73"/>
  <c r="Q1193" i="73"/>
  <c r="Q1194" i="73"/>
  <c r="Q1195" i="73"/>
  <c r="Q1196" i="73"/>
  <c r="Q1197" i="73"/>
  <c r="Q1198" i="73"/>
  <c r="Q1199" i="73"/>
  <c r="Q1200" i="73"/>
  <c r="Q1201" i="73"/>
  <c r="Q1202" i="73"/>
  <c r="Q1203" i="73"/>
  <c r="Q1204" i="73"/>
  <c r="Q1205" i="73"/>
  <c r="Q1206" i="73"/>
  <c r="Q1207" i="73"/>
  <c r="Q1208" i="73"/>
  <c r="Q1209" i="73"/>
  <c r="Q1210" i="73"/>
  <c r="Q1211" i="73"/>
  <c r="Q1212" i="73"/>
  <c r="Q1213" i="73"/>
  <c r="Q1214" i="73"/>
  <c r="Q1215" i="73"/>
  <c r="Q1216" i="73"/>
  <c r="Q1217" i="73"/>
  <c r="Q1218" i="73"/>
  <c r="Q1219" i="73"/>
  <c r="Q1220" i="73"/>
  <c r="Q1221" i="73"/>
  <c r="Q1222" i="73"/>
  <c r="Q1223" i="73"/>
  <c r="Q1224" i="73"/>
  <c r="Q1225" i="73"/>
  <c r="Q1226" i="73"/>
  <c r="Q1227" i="73"/>
  <c r="Q1228" i="73"/>
  <c r="Q1229" i="73"/>
  <c r="Q1230" i="73"/>
  <c r="Q1231" i="73"/>
  <c r="Q1232" i="73"/>
  <c r="Q1233" i="73"/>
  <c r="Q1234" i="73"/>
  <c r="Q1235" i="73"/>
  <c r="Q1236" i="73"/>
  <c r="Q1237" i="73"/>
  <c r="Q1238" i="73"/>
  <c r="Q1239" i="73"/>
  <c r="Q1240" i="73"/>
  <c r="Q1241" i="73"/>
  <c r="Q1242" i="73"/>
  <c r="Q1243" i="73"/>
  <c r="Q1244" i="73"/>
  <c r="Q1245" i="73"/>
  <c r="Q1246" i="73"/>
  <c r="Q1247" i="73"/>
  <c r="Q1248" i="73"/>
  <c r="Q1249" i="73"/>
  <c r="Q1250" i="73"/>
  <c r="Q1251" i="73"/>
  <c r="Q1252" i="73"/>
  <c r="Q1253" i="73"/>
  <c r="Q1254" i="73"/>
  <c r="Q1255" i="73"/>
  <c r="Q1256" i="73"/>
  <c r="Q1257" i="73"/>
  <c r="Q1258" i="73"/>
  <c r="Q1259" i="73"/>
  <c r="Q1260" i="73"/>
  <c r="Q1261" i="73"/>
  <c r="Q1262" i="73"/>
  <c r="Q1263" i="73"/>
  <c r="Q1264" i="73"/>
  <c r="Q1265" i="73"/>
  <c r="Q1266" i="73"/>
  <c r="Q1267" i="73"/>
  <c r="Q1268" i="73"/>
  <c r="Q1269" i="73"/>
  <c r="Q1270" i="73"/>
  <c r="Q1271" i="73"/>
  <c r="Q1272" i="73"/>
  <c r="Q1273" i="73"/>
  <c r="Q1274" i="73"/>
  <c r="Q1275" i="73"/>
  <c r="Q1276" i="73"/>
  <c r="Q1277" i="73"/>
  <c r="Q1278" i="73"/>
  <c r="Q1279" i="73"/>
  <c r="Q1280" i="73"/>
  <c r="Q1281" i="73"/>
  <c r="Q1282" i="73"/>
  <c r="Q1283" i="73"/>
  <c r="Q1284" i="73"/>
  <c r="Q1285" i="73"/>
  <c r="Q1286" i="73"/>
  <c r="Q1287" i="73"/>
  <c r="Q1288" i="73"/>
  <c r="Q1289" i="73"/>
  <c r="Q1290" i="73"/>
  <c r="Q1291" i="73"/>
  <c r="Q1292" i="73"/>
  <c r="Q1293" i="73"/>
  <c r="Q1294" i="73"/>
  <c r="Q1295" i="73"/>
  <c r="Q1296" i="73"/>
  <c r="Q1297" i="73"/>
  <c r="Q1298" i="73"/>
  <c r="Q1299" i="73"/>
  <c r="Q1300" i="73"/>
  <c r="Q1301" i="73"/>
  <c r="Q1302" i="73"/>
  <c r="Q1303" i="73"/>
  <c r="Q1304" i="73"/>
  <c r="Q1305" i="73"/>
  <c r="Q1306" i="73"/>
  <c r="Q1307" i="73"/>
  <c r="Q1308" i="73"/>
  <c r="Q1309" i="73"/>
  <c r="Q1310" i="73"/>
  <c r="Q1311" i="73"/>
  <c r="Q1312" i="73"/>
  <c r="Q1313" i="73"/>
  <c r="Q1314" i="73"/>
  <c r="Q1315" i="73"/>
  <c r="Q1316" i="73"/>
  <c r="Q1317" i="73"/>
  <c r="Q1318" i="73"/>
  <c r="Q1319" i="73"/>
  <c r="Q1320" i="73"/>
  <c r="Q1321" i="73"/>
  <c r="Q1322" i="73"/>
  <c r="Q1323" i="73"/>
  <c r="Q1324" i="73"/>
  <c r="Q1325" i="73"/>
  <c r="Q1326" i="73"/>
  <c r="Q1327" i="73"/>
  <c r="Q1328" i="73"/>
  <c r="Q1329" i="73"/>
  <c r="Q1330" i="73"/>
  <c r="Q1331" i="73"/>
  <c r="Q1332" i="73"/>
  <c r="Q1333" i="73"/>
  <c r="Q1334" i="73"/>
  <c r="Q1335" i="73"/>
  <c r="Q1336" i="73"/>
  <c r="Q1337" i="73"/>
  <c r="Q1338" i="73"/>
  <c r="Q1339" i="73"/>
  <c r="Q1340" i="73"/>
  <c r="Q1341" i="73"/>
  <c r="Q1342" i="73"/>
  <c r="Q1343" i="73"/>
  <c r="Q1344" i="73"/>
  <c r="Q1345" i="73"/>
  <c r="Q1346" i="73"/>
  <c r="Q1347" i="73"/>
  <c r="Q1348" i="73"/>
  <c r="Q1349" i="73"/>
  <c r="Q1350" i="73"/>
  <c r="Q1351" i="73"/>
  <c r="Q1352" i="73"/>
  <c r="Q1353" i="73"/>
  <c r="Q1354" i="73"/>
  <c r="Q1355" i="73"/>
  <c r="Q1356" i="73"/>
  <c r="Q1357" i="73"/>
  <c r="Q1358" i="73"/>
  <c r="Q1359" i="73"/>
  <c r="Q1360" i="73"/>
  <c r="Q1361" i="73"/>
  <c r="Q1362" i="73"/>
  <c r="Q1363" i="73"/>
  <c r="Q1364" i="73"/>
  <c r="Q1365" i="73"/>
  <c r="Q1366" i="73"/>
  <c r="Q1367" i="73"/>
  <c r="Q1368" i="73"/>
  <c r="Q1369" i="73"/>
  <c r="Q1370" i="73"/>
  <c r="Q1371" i="73"/>
  <c r="Q1372" i="73"/>
  <c r="Q1373" i="73"/>
  <c r="Q1374" i="73"/>
  <c r="Q1375" i="73"/>
  <c r="Q1376" i="73"/>
  <c r="Q1377" i="73"/>
  <c r="Q1378" i="73"/>
  <c r="Q1379" i="73"/>
  <c r="Q1380" i="73"/>
  <c r="Q1381" i="73"/>
  <c r="Q1382" i="73"/>
  <c r="Q1383" i="73"/>
  <c r="Q1384" i="73"/>
  <c r="Q1385" i="73"/>
  <c r="Q1386" i="73"/>
  <c r="Q1387" i="73"/>
  <c r="Q1388" i="73"/>
  <c r="Q1389" i="73"/>
  <c r="Q1390" i="73"/>
  <c r="Q1391" i="73"/>
  <c r="Q1392" i="73"/>
  <c r="Q1393" i="73"/>
  <c r="Q1394" i="73"/>
  <c r="Q1395" i="73"/>
  <c r="Q1396" i="73"/>
  <c r="Q1397" i="73"/>
  <c r="Q1398" i="73"/>
  <c r="Q1399" i="73"/>
  <c r="Q1400" i="73"/>
  <c r="Q1401" i="73"/>
  <c r="Q1402" i="73"/>
  <c r="Q1403" i="73"/>
  <c r="Q1404" i="73"/>
  <c r="Q1405" i="73"/>
  <c r="Q1406" i="73"/>
  <c r="Q1407" i="73"/>
  <c r="Q1408" i="73"/>
  <c r="Q1409" i="73"/>
  <c r="Q1410" i="73"/>
  <c r="Q1411" i="73"/>
  <c r="Q1412" i="73"/>
  <c r="Q1413" i="73"/>
  <c r="Q1414" i="73"/>
  <c r="Q1415" i="73"/>
  <c r="Q1416" i="73"/>
  <c r="Q1417" i="73"/>
  <c r="Q1418" i="73"/>
  <c r="Q1419" i="73"/>
  <c r="Q1420" i="73"/>
  <c r="Q1421" i="73"/>
  <c r="Q1422" i="73"/>
  <c r="Q1423" i="73"/>
  <c r="Q1424" i="73"/>
  <c r="Q1425" i="73"/>
  <c r="Q1426" i="73"/>
  <c r="Q1427" i="73"/>
  <c r="Q1428" i="73"/>
  <c r="Q1429" i="73"/>
  <c r="Q1430" i="73"/>
  <c r="Q1431" i="73"/>
  <c r="Q1432" i="73"/>
  <c r="Q1433" i="73"/>
  <c r="Q1434" i="73"/>
  <c r="Q1435" i="73"/>
  <c r="Q1436" i="73"/>
  <c r="Q1437" i="73"/>
  <c r="Q1438" i="73"/>
  <c r="Q1439" i="73"/>
  <c r="Q1440" i="73"/>
  <c r="Q1441" i="73"/>
  <c r="Q1442" i="73"/>
  <c r="Q1443" i="73"/>
  <c r="Q1444" i="73"/>
  <c r="Q1445" i="73"/>
  <c r="Q1446" i="73"/>
  <c r="Q1447" i="73"/>
  <c r="Q1448" i="73"/>
  <c r="Q1449" i="73"/>
  <c r="Q1450" i="73"/>
  <c r="Q1451" i="73"/>
  <c r="Q1452" i="73"/>
  <c r="Q1453" i="73"/>
  <c r="Q1454" i="73"/>
  <c r="Q1455" i="73"/>
  <c r="Q1456" i="73"/>
  <c r="Q1457" i="73"/>
  <c r="Q1458" i="73"/>
  <c r="Q1459" i="73"/>
  <c r="Q1460" i="73"/>
  <c r="Q1461" i="73"/>
  <c r="Q1462" i="73"/>
  <c r="Q1463" i="73"/>
  <c r="Q1464" i="73"/>
  <c r="Q1465" i="73"/>
  <c r="Q1466" i="73"/>
  <c r="Q1467" i="73"/>
  <c r="Q1468" i="73"/>
  <c r="Q1469" i="73"/>
  <c r="Q1470" i="73"/>
  <c r="Q1471" i="73"/>
  <c r="Q1472" i="73"/>
  <c r="Q1473" i="73"/>
  <c r="Q1474" i="73"/>
  <c r="Q1475" i="73"/>
  <c r="Q1476" i="73"/>
  <c r="Q1477" i="73"/>
  <c r="Q1478" i="73"/>
  <c r="Q1479" i="73"/>
  <c r="Q1480" i="73"/>
  <c r="Q1481" i="73"/>
  <c r="Q1482" i="73"/>
  <c r="Q1483" i="73"/>
  <c r="Q1484" i="73"/>
  <c r="Q1485" i="73"/>
  <c r="Q1486" i="73"/>
  <c r="Q1487" i="73"/>
  <c r="Q1488" i="73"/>
  <c r="Q1489" i="73"/>
  <c r="Q1490" i="73"/>
  <c r="Q1491" i="73"/>
  <c r="Q1492" i="73"/>
  <c r="Q1493" i="73"/>
  <c r="Q1494" i="73"/>
  <c r="Q1495" i="73"/>
  <c r="Q1496" i="73"/>
  <c r="Q1497" i="73"/>
  <c r="Q1498" i="73"/>
  <c r="Q1499" i="73"/>
  <c r="Q1500" i="73"/>
  <c r="Q1501" i="73"/>
  <c r="Q1502" i="73"/>
  <c r="Q1503" i="73"/>
  <c r="Q1504" i="73"/>
  <c r="Q1505" i="73"/>
  <c r="Q1506" i="73"/>
  <c r="Q1507" i="73"/>
  <c r="Q1508" i="73"/>
  <c r="Q1509" i="73"/>
  <c r="Q1510" i="73"/>
  <c r="Q1511" i="73"/>
  <c r="Q1512" i="73"/>
  <c r="Q1513" i="73"/>
  <c r="Q1514" i="73"/>
  <c r="Q1515" i="73"/>
  <c r="Q1516" i="73"/>
  <c r="Q1517" i="73"/>
  <c r="Q1518" i="73"/>
  <c r="Q1519" i="73"/>
  <c r="Q1520" i="73"/>
  <c r="Q1521" i="73"/>
  <c r="Q1522" i="73"/>
  <c r="Q1523" i="73"/>
  <c r="Q1524" i="73"/>
  <c r="Q1525" i="73"/>
  <c r="Q1526" i="73"/>
  <c r="Q1527" i="73"/>
  <c r="Q1528" i="73"/>
  <c r="Q1529" i="73"/>
  <c r="Q1530" i="73"/>
  <c r="Q1531" i="73"/>
  <c r="Q1532" i="73"/>
  <c r="Q1533" i="73"/>
  <c r="Q1534" i="73"/>
  <c r="Q1535" i="73"/>
  <c r="Q1536" i="73"/>
  <c r="Q1537" i="73"/>
  <c r="Q1538" i="73"/>
  <c r="Q1539" i="73"/>
  <c r="Q1540" i="73"/>
  <c r="Q1541" i="73"/>
  <c r="Q1542" i="73"/>
  <c r="Q1543" i="73"/>
  <c r="Q1544" i="73"/>
  <c r="Q1545" i="73"/>
  <c r="Q1546" i="73"/>
  <c r="Q1547" i="73"/>
  <c r="Q1548" i="73"/>
  <c r="Q1549" i="73"/>
  <c r="Q1550" i="73"/>
  <c r="Q1551" i="73"/>
  <c r="Q1552" i="73"/>
  <c r="Q1553" i="73"/>
  <c r="Q1554" i="73"/>
  <c r="Q1555" i="73"/>
  <c r="Q1556" i="73"/>
  <c r="Q1557" i="73"/>
  <c r="Q1558" i="73"/>
  <c r="Q1559" i="73"/>
  <c r="Q1560" i="73"/>
  <c r="Q1561" i="73"/>
  <c r="Q1562" i="73"/>
  <c r="Q1563" i="73"/>
  <c r="Q1564" i="73"/>
  <c r="Q1565" i="73"/>
  <c r="Q1566" i="73"/>
  <c r="Q1567" i="73"/>
  <c r="Q1568" i="73"/>
  <c r="Q1569" i="73"/>
  <c r="Q1570" i="73"/>
  <c r="Q1571" i="73"/>
  <c r="Q1572" i="73"/>
  <c r="Q1573" i="73"/>
  <c r="Q1574" i="73"/>
  <c r="Q1575" i="73"/>
  <c r="Q1576" i="73"/>
  <c r="Q1577" i="73"/>
  <c r="Q1578" i="73"/>
  <c r="Q1579" i="73"/>
  <c r="Q1580" i="73"/>
  <c r="Q1581" i="73"/>
  <c r="Q1582" i="73"/>
  <c r="Q1583" i="73"/>
  <c r="Q1584" i="73"/>
  <c r="Q1585" i="73"/>
  <c r="Q1586" i="73"/>
  <c r="Q1587" i="73"/>
  <c r="Q1588" i="73"/>
  <c r="Q1589" i="73"/>
  <c r="Q1590" i="73"/>
  <c r="Q1591" i="73"/>
  <c r="Q1592" i="73"/>
  <c r="Q1593" i="73"/>
  <c r="Q1594" i="73"/>
  <c r="Q1595" i="73"/>
  <c r="Q1596" i="73"/>
  <c r="Q1597" i="73"/>
  <c r="Q1598" i="73"/>
  <c r="Q1599" i="73"/>
  <c r="Q1600" i="73"/>
  <c r="Q1601" i="73"/>
  <c r="Q1602" i="73"/>
  <c r="Q1603" i="73"/>
  <c r="Q1604" i="73"/>
  <c r="Q1605" i="73"/>
  <c r="Q1606" i="73"/>
  <c r="Q1607" i="73"/>
  <c r="Q1608" i="73"/>
  <c r="Q1609" i="73"/>
  <c r="Q1610" i="73"/>
  <c r="Q1611" i="73"/>
  <c r="Q1612" i="73"/>
  <c r="Q1613" i="73"/>
  <c r="Q1614" i="73"/>
  <c r="Q1615" i="73"/>
  <c r="Q1616" i="73"/>
  <c r="Q1617" i="73"/>
  <c r="Q1618" i="73"/>
  <c r="Q1619" i="73"/>
  <c r="Q1620" i="73"/>
  <c r="Q1621" i="73"/>
  <c r="Q1622" i="73"/>
  <c r="Q1623" i="73"/>
  <c r="Q1624" i="73"/>
  <c r="Q1625" i="73"/>
  <c r="Q1626" i="73"/>
  <c r="Q1627" i="73"/>
  <c r="Q1628" i="73"/>
  <c r="Q1629" i="73"/>
  <c r="Q1630" i="73"/>
  <c r="Q1631" i="73"/>
  <c r="Q1632" i="73"/>
  <c r="Q1633" i="73"/>
  <c r="Q1634" i="73"/>
  <c r="Q1635" i="73"/>
  <c r="Q1636" i="73"/>
  <c r="Q1637" i="73"/>
  <c r="Q1638" i="73"/>
  <c r="Q1639" i="73"/>
  <c r="Q1640" i="73"/>
  <c r="Q1641" i="73"/>
  <c r="Q1642" i="73"/>
  <c r="Q1643" i="73"/>
  <c r="Q1644" i="73"/>
  <c r="Q1645" i="73"/>
  <c r="Q1646" i="73"/>
  <c r="Q1647" i="73"/>
  <c r="Q1648" i="73"/>
  <c r="Q1649" i="73"/>
  <c r="Q1650" i="73"/>
  <c r="Q1651" i="73"/>
  <c r="Q1652" i="73"/>
  <c r="Q1653" i="73"/>
  <c r="Q1654" i="73"/>
  <c r="Q1655" i="73"/>
  <c r="Q1656" i="73"/>
  <c r="Q1657" i="73"/>
  <c r="Q1658" i="73"/>
  <c r="Q1659" i="73"/>
  <c r="Q1660" i="73"/>
  <c r="Q1661" i="73"/>
  <c r="Q1662" i="73"/>
  <c r="Q1663" i="73"/>
  <c r="Q1664" i="73"/>
  <c r="Q1665" i="73"/>
  <c r="Q1666" i="73"/>
  <c r="Q1667" i="73"/>
  <c r="Q1668" i="73"/>
  <c r="Q1669" i="73"/>
  <c r="Q1670" i="73"/>
  <c r="Q1671" i="73"/>
  <c r="Q1672" i="73"/>
  <c r="Q1673" i="73"/>
  <c r="Q1674" i="73"/>
  <c r="Q1675" i="73"/>
  <c r="Q1676" i="73"/>
  <c r="Q1677" i="73"/>
  <c r="Q1678" i="73"/>
  <c r="Q1679" i="73"/>
  <c r="Q1680" i="73"/>
  <c r="Q1681" i="73"/>
  <c r="Q1682" i="73"/>
  <c r="Q1683" i="73"/>
  <c r="Q1684" i="73"/>
  <c r="Q1685" i="73"/>
  <c r="Q1686" i="73"/>
  <c r="Q1687" i="73"/>
  <c r="Q1688" i="73"/>
  <c r="Q1689" i="73"/>
  <c r="Q1690" i="73"/>
  <c r="Q1691" i="73"/>
  <c r="Q1692" i="73"/>
  <c r="Q1693" i="73"/>
  <c r="Q1694" i="73"/>
  <c r="Q1695" i="73"/>
  <c r="Q1696" i="73"/>
  <c r="Q1697" i="73"/>
  <c r="Q1698" i="73"/>
  <c r="Q1699" i="73"/>
  <c r="Q1700" i="73"/>
  <c r="Q1701" i="73"/>
  <c r="Q1702" i="73"/>
  <c r="Q1703" i="73"/>
  <c r="Q1704" i="73"/>
  <c r="Q1705" i="73"/>
  <c r="Q1706" i="73"/>
  <c r="Q1707" i="73"/>
  <c r="Q1708" i="73"/>
  <c r="Q1709" i="73"/>
  <c r="Q1710" i="73"/>
  <c r="Q1711" i="73"/>
  <c r="Q1712" i="73"/>
  <c r="Q1713" i="73"/>
  <c r="Q1714" i="73"/>
  <c r="Q1715" i="73"/>
  <c r="Q1716" i="73"/>
  <c r="Q1717" i="73"/>
  <c r="Q1718" i="73"/>
  <c r="Q1719" i="73"/>
  <c r="Q1720" i="73"/>
  <c r="Q1721" i="73"/>
  <c r="Q1722" i="73"/>
  <c r="Q1723" i="73"/>
  <c r="Q1724" i="73"/>
  <c r="Q1725" i="73"/>
  <c r="Q1726" i="73"/>
  <c r="Q1727" i="73"/>
  <c r="Q1728" i="73"/>
  <c r="Q1729" i="73"/>
  <c r="Q1730" i="73"/>
  <c r="Q1731" i="73"/>
  <c r="Q1732" i="73"/>
  <c r="Q1733" i="73"/>
  <c r="Q1734" i="73"/>
  <c r="Q1735" i="73"/>
  <c r="Q1736" i="73"/>
  <c r="Q1737" i="73"/>
  <c r="Q1738" i="73"/>
  <c r="Q1739" i="73"/>
  <c r="Q1740" i="73"/>
  <c r="Q1741" i="73"/>
  <c r="Q1742" i="73"/>
  <c r="Q1743" i="73"/>
  <c r="Q1744" i="73"/>
  <c r="Q1745" i="73"/>
  <c r="Q1746" i="73"/>
  <c r="Q1747" i="73"/>
  <c r="Q1748" i="73"/>
  <c r="Q1749" i="73"/>
  <c r="Q1750" i="73"/>
  <c r="Q1751" i="73"/>
  <c r="Q1752" i="73"/>
  <c r="Q1753" i="73"/>
  <c r="Q1754" i="73"/>
  <c r="Q1755" i="73"/>
  <c r="Q1756" i="73"/>
  <c r="Q1757" i="73"/>
  <c r="Q1758" i="73"/>
  <c r="Q1759" i="73"/>
  <c r="Q1760" i="73"/>
  <c r="Q1761" i="73"/>
  <c r="Q1762" i="73"/>
  <c r="Q1763" i="73"/>
  <c r="Q1764" i="73"/>
  <c r="Q1765" i="73"/>
  <c r="Q1766" i="73"/>
  <c r="Q1767" i="73"/>
  <c r="Q1768" i="73"/>
  <c r="Q1769" i="73"/>
  <c r="Q1770" i="73"/>
  <c r="Q1771" i="73"/>
  <c r="Q1772" i="73"/>
  <c r="Q1773" i="73"/>
  <c r="Q1774" i="73"/>
  <c r="Q1775" i="73"/>
  <c r="Q1776" i="73"/>
  <c r="Q1777" i="73"/>
  <c r="Q1778" i="73"/>
  <c r="Q1779" i="73"/>
  <c r="Q1780" i="73"/>
  <c r="Q1781" i="73"/>
  <c r="Q1782" i="73"/>
  <c r="Q1783" i="73"/>
  <c r="Q1784" i="73"/>
  <c r="Q1785" i="73"/>
  <c r="Q1786" i="73"/>
  <c r="Q1787" i="73"/>
  <c r="Q1788" i="73"/>
  <c r="Q1789" i="73"/>
  <c r="Q1790" i="73"/>
  <c r="Q1791" i="73"/>
  <c r="Q1792" i="73"/>
  <c r="Q1793" i="73"/>
  <c r="Q1794" i="73"/>
  <c r="Q1795" i="73"/>
  <c r="Q1796" i="73"/>
  <c r="Q1797" i="73"/>
  <c r="Q1798" i="73"/>
  <c r="Q1799" i="73"/>
  <c r="Q1800" i="73"/>
  <c r="Q1801" i="73"/>
  <c r="Q1802" i="73"/>
  <c r="Q1803" i="73"/>
  <c r="Q1804" i="73"/>
  <c r="Q1805" i="73"/>
  <c r="Q1806" i="73"/>
  <c r="Q1807" i="73"/>
  <c r="Q1808" i="73"/>
  <c r="Q1809" i="73"/>
  <c r="Q1810" i="73"/>
  <c r="Q1811" i="73"/>
  <c r="Q1812" i="73"/>
  <c r="Q1813" i="73"/>
  <c r="Q1814" i="73"/>
  <c r="Q1815" i="73"/>
  <c r="Q1816" i="73"/>
  <c r="Q1817" i="73"/>
  <c r="Q1818" i="73"/>
  <c r="Q1819" i="73"/>
  <c r="Q1820" i="73"/>
  <c r="Q1821" i="73"/>
  <c r="Q1822" i="73"/>
  <c r="Q1823" i="73"/>
  <c r="Q1824" i="73"/>
  <c r="Q1825" i="73"/>
  <c r="Q1826" i="73"/>
  <c r="Q1827" i="73"/>
  <c r="Q1828" i="73"/>
  <c r="Q1829" i="73"/>
  <c r="Q1830" i="73"/>
  <c r="Q1831" i="73"/>
  <c r="Q1832" i="73"/>
  <c r="Q1833" i="73"/>
  <c r="Q1834" i="73"/>
  <c r="Q1835" i="73"/>
  <c r="Q1836" i="73"/>
  <c r="Q1837" i="73"/>
  <c r="Q1838" i="73"/>
  <c r="Q1839" i="73"/>
  <c r="Q1840" i="73"/>
  <c r="Q1841" i="73"/>
  <c r="Q1842" i="73"/>
  <c r="Q1843" i="73"/>
  <c r="Q1844" i="73"/>
  <c r="Q1845" i="73"/>
  <c r="Q1846" i="73"/>
  <c r="Q1847" i="73"/>
  <c r="Q1848" i="73"/>
  <c r="Q1849" i="73"/>
  <c r="Q1850" i="73"/>
  <c r="Q1851" i="73"/>
  <c r="Q1852" i="73"/>
  <c r="Q1853" i="73"/>
  <c r="Q1854" i="73"/>
  <c r="Q1855" i="73"/>
  <c r="Q1856" i="73"/>
  <c r="Q1857" i="73"/>
  <c r="Q1858" i="73"/>
  <c r="Q1859" i="73"/>
  <c r="Q1860" i="73"/>
  <c r="Q1861" i="73"/>
  <c r="Q1862" i="73"/>
  <c r="Q1863" i="73"/>
  <c r="Q1864" i="73"/>
  <c r="Q1865" i="73"/>
  <c r="Q1866" i="73"/>
  <c r="Q1867" i="73"/>
  <c r="Q1868" i="73"/>
  <c r="Q1869" i="73"/>
  <c r="Q1870" i="73"/>
  <c r="Q1871" i="73"/>
  <c r="Q1872" i="73"/>
  <c r="Q1873" i="73"/>
  <c r="Q1874" i="73"/>
  <c r="Q1875" i="73"/>
  <c r="Q1876" i="73"/>
  <c r="Q1877" i="73"/>
  <c r="Q1878" i="73"/>
  <c r="Q1879" i="73"/>
  <c r="Q1880" i="73"/>
  <c r="Q1881" i="73"/>
  <c r="Q1882" i="73"/>
  <c r="Q1883" i="73"/>
  <c r="Q1884" i="73"/>
  <c r="Q1885" i="73"/>
  <c r="Q1886" i="73"/>
  <c r="Q1887" i="73"/>
  <c r="Q1888" i="73"/>
  <c r="Q1889" i="73"/>
  <c r="Q1890" i="73"/>
  <c r="Q1891" i="73"/>
  <c r="Q1892" i="73"/>
  <c r="Q1893" i="73"/>
  <c r="Q1894" i="73"/>
  <c r="Q1895" i="73"/>
  <c r="Q1896" i="73"/>
  <c r="Q1897" i="73"/>
  <c r="Q1898" i="73"/>
  <c r="Q1899" i="73"/>
  <c r="Q1900" i="73"/>
  <c r="Q1901" i="73"/>
  <c r="Q1902" i="73"/>
  <c r="Q1903" i="73"/>
  <c r="Q1904" i="73"/>
  <c r="Q1905" i="73"/>
  <c r="Q1906" i="73"/>
  <c r="Q1907" i="73"/>
  <c r="Q1908" i="73"/>
  <c r="Q1909" i="73"/>
  <c r="Q1910" i="73"/>
  <c r="Q1911" i="73"/>
  <c r="Q1912" i="73"/>
  <c r="Q1913" i="73"/>
  <c r="Q1914" i="73"/>
  <c r="Q1915" i="73"/>
  <c r="Q1916" i="73"/>
  <c r="Q1917" i="73"/>
  <c r="Q1918" i="73"/>
  <c r="Q1919" i="73"/>
  <c r="Q1920" i="73"/>
  <c r="Q1921" i="73"/>
  <c r="Q1922" i="73"/>
  <c r="Q1923" i="73"/>
  <c r="Q1924" i="73"/>
  <c r="Q1925" i="73"/>
  <c r="Q1926" i="73"/>
  <c r="Q1927" i="73"/>
  <c r="Q1928" i="73"/>
  <c r="Q1929" i="73"/>
  <c r="Q1930" i="73"/>
  <c r="Q1931" i="73"/>
  <c r="Q1932" i="73"/>
  <c r="Q1933" i="73"/>
  <c r="Q1934" i="73"/>
  <c r="Q1935" i="73"/>
  <c r="Q1936" i="73"/>
  <c r="Q1937" i="73"/>
  <c r="Q1938" i="73"/>
  <c r="Q1939" i="73"/>
  <c r="Q1940" i="73"/>
  <c r="Q1941" i="73"/>
  <c r="Q1942" i="73"/>
  <c r="Q1943" i="73"/>
  <c r="Q1944" i="73"/>
  <c r="Q1945" i="73"/>
  <c r="Q1946" i="73"/>
  <c r="Q1947" i="73"/>
  <c r="Q1948" i="73"/>
  <c r="Q1949" i="73"/>
  <c r="Q1950" i="73"/>
  <c r="Q1951" i="73"/>
  <c r="Q1952" i="73"/>
  <c r="Q1953" i="73"/>
  <c r="Q1954" i="73"/>
  <c r="Q1955" i="73"/>
  <c r="Q1956" i="73"/>
  <c r="Q1957" i="73"/>
  <c r="Q1958" i="73"/>
  <c r="Q1959" i="73"/>
  <c r="Q1960" i="73"/>
  <c r="Q1961" i="73"/>
  <c r="Q1962" i="73"/>
  <c r="Q1963" i="73"/>
  <c r="Q1964" i="73"/>
  <c r="Q1965" i="73"/>
  <c r="Q1966" i="73"/>
  <c r="Q1967" i="73"/>
  <c r="Q1968" i="73"/>
  <c r="Q1969" i="73"/>
  <c r="Q1970" i="73"/>
  <c r="Q1971" i="73"/>
  <c r="Q1972" i="73"/>
  <c r="Q1973" i="73"/>
  <c r="Q1974" i="73"/>
  <c r="Q1975" i="73"/>
  <c r="Q1976" i="73"/>
  <c r="Q1977" i="73"/>
  <c r="Q1978" i="73"/>
  <c r="Q1979" i="73"/>
  <c r="Q1980" i="73"/>
  <c r="Q1981" i="73"/>
  <c r="Q1982" i="73"/>
  <c r="Q1983" i="73"/>
  <c r="Q1984" i="73"/>
  <c r="Q1985" i="73"/>
  <c r="Q1986" i="73"/>
  <c r="Q1987" i="73"/>
  <c r="Q1988" i="73"/>
  <c r="Q1989" i="73"/>
  <c r="Q1990" i="73"/>
  <c r="Q1991" i="73"/>
  <c r="Q1992" i="73"/>
  <c r="Q1993" i="73"/>
  <c r="Q1994" i="73"/>
  <c r="Q1995" i="73"/>
  <c r="Q1996" i="73"/>
  <c r="Q1997" i="73"/>
  <c r="Q1998" i="73"/>
  <c r="Q1999" i="73"/>
  <c r="Q2000" i="73"/>
  <c r="Q2001" i="73"/>
  <c r="Q2002" i="73"/>
  <c r="Q2003" i="73"/>
  <c r="Q2004" i="73"/>
  <c r="Q2005" i="73"/>
  <c r="Q2006" i="73"/>
  <c r="Q2007" i="73"/>
  <c r="Q2008" i="73"/>
  <c r="Q2009" i="73"/>
  <c r="Q2010" i="73"/>
  <c r="Q2011" i="73"/>
  <c r="Q2012" i="73"/>
  <c r="Q2013" i="73"/>
  <c r="Q2014" i="73"/>
  <c r="Q2015" i="73"/>
  <c r="Q2016" i="73"/>
  <c r="Q2017" i="73"/>
  <c r="Q2018" i="73"/>
  <c r="Q2019" i="73"/>
  <c r="Q2020" i="73"/>
  <c r="Q2021" i="73"/>
  <c r="Q2022" i="73"/>
  <c r="Q2023" i="73"/>
  <c r="Q2024" i="73"/>
  <c r="Q2025" i="73"/>
  <c r="Q2026" i="73"/>
  <c r="Q2027" i="73"/>
  <c r="Q2028" i="73"/>
  <c r="Q2029" i="73"/>
  <c r="Q2030" i="73"/>
  <c r="Q2031" i="73"/>
  <c r="Q2032" i="73"/>
  <c r="Q2033" i="73"/>
  <c r="Q2034" i="73"/>
  <c r="Q2035" i="73"/>
  <c r="Q2036" i="73"/>
  <c r="Q2037" i="73"/>
  <c r="Q2038" i="73"/>
  <c r="Q2039" i="73"/>
  <c r="Q2040" i="73"/>
  <c r="Q2041" i="73"/>
  <c r="Q2042" i="73"/>
  <c r="Q2043" i="73"/>
  <c r="Q2044" i="73"/>
  <c r="Q2045" i="73"/>
  <c r="Q2046" i="73"/>
  <c r="Q2047" i="73"/>
  <c r="Q2048" i="73"/>
  <c r="Q2049" i="73"/>
  <c r="Q2050" i="73"/>
  <c r="Q2051" i="73"/>
  <c r="Q2052" i="73"/>
  <c r="Q2053" i="73"/>
  <c r="Q2054" i="73"/>
  <c r="Q2055" i="73"/>
  <c r="Q2056" i="73"/>
  <c r="Q2057" i="73"/>
  <c r="Q2058" i="73"/>
  <c r="Q2059" i="73"/>
  <c r="Q2060" i="73"/>
  <c r="Q2061" i="73"/>
  <c r="Q2062" i="73"/>
  <c r="Q2063" i="73"/>
  <c r="Q2064" i="73"/>
  <c r="Q2065" i="73"/>
  <c r="Q2066" i="73"/>
  <c r="Q2067" i="73"/>
  <c r="Q2068" i="73"/>
  <c r="Q2069" i="73"/>
  <c r="Q2070" i="73"/>
  <c r="Q2071" i="73"/>
  <c r="Q2072" i="73"/>
  <c r="Q2073" i="73"/>
  <c r="Q2074" i="73"/>
  <c r="Q2075" i="73"/>
  <c r="Q2076" i="73"/>
  <c r="Q2077" i="73"/>
  <c r="Q2078" i="73"/>
  <c r="Q2079" i="73"/>
  <c r="Q2080" i="73"/>
  <c r="Q2081" i="73"/>
  <c r="Q2082" i="73"/>
  <c r="Q2083" i="73"/>
  <c r="Q2084" i="73"/>
  <c r="Q2085" i="73"/>
  <c r="Q2086" i="73"/>
  <c r="Q2087" i="73"/>
  <c r="Q2088" i="73"/>
  <c r="Q2089" i="73"/>
  <c r="Q2090" i="73"/>
  <c r="Q2091" i="73"/>
  <c r="Q2092" i="73"/>
  <c r="Q2093" i="73"/>
  <c r="Q2094" i="73"/>
  <c r="Q2095" i="73"/>
  <c r="Q2096" i="73"/>
  <c r="Q2097" i="73"/>
  <c r="Q2098" i="73"/>
  <c r="Q2099" i="73"/>
  <c r="Q2100" i="73"/>
  <c r="Q2101" i="73"/>
  <c r="Q2102" i="73"/>
  <c r="Q2103" i="73"/>
  <c r="Q2104" i="73"/>
  <c r="Q2105" i="73"/>
  <c r="Q2106" i="73"/>
  <c r="Q2107" i="73"/>
  <c r="Q2108" i="73"/>
  <c r="Q2109" i="73"/>
  <c r="Q2110" i="73"/>
  <c r="Q2111" i="73"/>
  <c r="Q2112" i="73"/>
  <c r="Q2113" i="73"/>
  <c r="Q2114" i="73"/>
  <c r="Q2115" i="73"/>
  <c r="Q2116" i="73"/>
  <c r="Q2117" i="73"/>
  <c r="Q2118" i="73"/>
  <c r="Q2119" i="73"/>
  <c r="Q2120" i="73"/>
  <c r="Q2121" i="73"/>
  <c r="Q2122" i="73"/>
  <c r="Q2123" i="73"/>
  <c r="Q2124" i="73"/>
  <c r="Q2125" i="73"/>
  <c r="Q2126" i="73"/>
  <c r="Q2127" i="73"/>
  <c r="Q2128" i="73"/>
  <c r="Q2129" i="73"/>
  <c r="Q2130" i="73"/>
  <c r="Q2131" i="73"/>
  <c r="Q2132" i="73"/>
  <c r="Q2133" i="73"/>
  <c r="Q2134" i="73"/>
  <c r="Q2135" i="73"/>
  <c r="Q2136" i="73"/>
  <c r="Q2137" i="73"/>
  <c r="Q2138" i="73"/>
  <c r="Q2139" i="73"/>
  <c r="Q2140" i="73"/>
  <c r="Q2141" i="73"/>
  <c r="Q2142" i="73"/>
  <c r="Q2143" i="73"/>
  <c r="Q2144" i="73"/>
  <c r="Q2145" i="73"/>
  <c r="Q2146" i="73"/>
  <c r="Q2147" i="73"/>
  <c r="Q2148" i="73"/>
  <c r="Q2149" i="73"/>
  <c r="Q2150" i="73"/>
  <c r="Q2151" i="73"/>
  <c r="Q2152" i="73"/>
  <c r="Q2153" i="73"/>
  <c r="Q2154" i="73"/>
  <c r="Q2155" i="73"/>
  <c r="Q2156" i="73"/>
  <c r="Q2157" i="73"/>
  <c r="Q2158" i="73"/>
  <c r="Q2159" i="73"/>
  <c r="Q2160" i="73"/>
  <c r="Q2161" i="73"/>
  <c r="Q2162" i="73"/>
  <c r="Q2163" i="73"/>
  <c r="Q2164" i="73"/>
  <c r="Q2165" i="73"/>
  <c r="Q2166" i="73"/>
  <c r="Q2167" i="73"/>
  <c r="Q2168" i="73"/>
  <c r="Q2169" i="73"/>
  <c r="Q2170" i="73"/>
  <c r="Q2171" i="73"/>
  <c r="Q2172" i="73"/>
  <c r="Q2173" i="73"/>
  <c r="Q2174" i="73"/>
  <c r="Q2175" i="73"/>
  <c r="Q2176" i="73"/>
  <c r="Q2177" i="73"/>
  <c r="Q2178" i="73"/>
  <c r="Q2179" i="73"/>
  <c r="Q2180" i="73"/>
  <c r="Q2181" i="73"/>
  <c r="Q2182" i="73"/>
  <c r="Q2183" i="73"/>
  <c r="Q2184" i="73"/>
  <c r="Q2185" i="73"/>
  <c r="Q2186" i="73"/>
  <c r="Q2187" i="73"/>
  <c r="Q2188" i="73"/>
  <c r="Q2189" i="73"/>
  <c r="Q2190" i="73"/>
  <c r="Q2191" i="73"/>
  <c r="Q2192" i="73"/>
  <c r="Q2193" i="73"/>
  <c r="Q2194" i="73"/>
  <c r="Q2195" i="73"/>
  <c r="Q2196" i="73"/>
  <c r="Q2197" i="73"/>
  <c r="Q2198" i="73"/>
  <c r="Q2199" i="73"/>
  <c r="Q2200" i="73"/>
  <c r="Q2201" i="73"/>
  <c r="Q2202" i="73"/>
  <c r="Q2203" i="73"/>
  <c r="Q2204" i="73"/>
  <c r="Q2205" i="73"/>
  <c r="Q2206" i="73"/>
  <c r="Q2207" i="73"/>
  <c r="Q2208" i="73"/>
  <c r="Q2209" i="73"/>
  <c r="Q2210" i="73"/>
  <c r="Q2211" i="73"/>
  <c r="Q2212" i="73"/>
  <c r="Q2213" i="73"/>
  <c r="Q2214" i="73"/>
  <c r="Q2215" i="73"/>
  <c r="Q2216" i="73"/>
  <c r="Q2217" i="73"/>
  <c r="Q2218" i="73"/>
  <c r="Q2219" i="73"/>
  <c r="Q2220" i="73"/>
  <c r="Q2221" i="73"/>
  <c r="Q2222" i="73"/>
  <c r="Q2223" i="73"/>
  <c r="Q2224" i="73"/>
  <c r="Q2225" i="73"/>
  <c r="Q2226" i="73"/>
  <c r="Q2227" i="73"/>
  <c r="Q2228" i="73"/>
  <c r="Q2229" i="73"/>
  <c r="Q2230" i="73"/>
  <c r="Q2231" i="73"/>
  <c r="Q2232" i="73"/>
  <c r="Q2233" i="73"/>
  <c r="Q2234" i="73"/>
  <c r="Q2235" i="73"/>
  <c r="Q2236" i="73"/>
  <c r="Q2237" i="73"/>
  <c r="Q2238" i="73"/>
  <c r="Q2239" i="73"/>
  <c r="Q2240" i="73"/>
  <c r="Q2241" i="73"/>
  <c r="Q2242" i="73"/>
  <c r="Q2243" i="73"/>
  <c r="Q2244" i="73"/>
  <c r="Q2245" i="73"/>
  <c r="Q2246" i="73"/>
  <c r="Q2247" i="73"/>
  <c r="Q2248" i="73"/>
  <c r="Q2249" i="73"/>
  <c r="Q2250" i="73"/>
  <c r="Q2251" i="73"/>
  <c r="Q2252" i="73"/>
  <c r="Q2253" i="73"/>
  <c r="Q2254" i="73"/>
  <c r="Q2255" i="73"/>
  <c r="Q2256" i="73"/>
  <c r="Q2257" i="73"/>
  <c r="Q2258" i="73"/>
  <c r="Q2259" i="73"/>
  <c r="Q2260" i="73"/>
  <c r="Q2261" i="73"/>
  <c r="Q2262" i="73"/>
  <c r="Q2263" i="73"/>
  <c r="Q2264" i="73"/>
  <c r="Q2265" i="73"/>
  <c r="Q2266" i="73"/>
  <c r="Q2267" i="73"/>
  <c r="Q2268" i="73"/>
  <c r="Q2269" i="73"/>
  <c r="Q2270" i="73"/>
  <c r="Q2271" i="73"/>
  <c r="Q2272" i="73"/>
  <c r="Q2273" i="73"/>
  <c r="Q2274" i="73"/>
  <c r="Q2275" i="73"/>
  <c r="Q2276" i="73"/>
  <c r="Q2277" i="73"/>
  <c r="Q2278" i="73"/>
  <c r="Q2279" i="73"/>
  <c r="Q2280" i="73"/>
  <c r="Q2281" i="73"/>
  <c r="Q2282" i="73"/>
  <c r="Q2283" i="73"/>
  <c r="Q2284" i="73"/>
  <c r="Q2285" i="73"/>
  <c r="Q2286" i="73"/>
  <c r="Q2287" i="73"/>
  <c r="Q2288" i="73"/>
  <c r="Q2289" i="73"/>
  <c r="Q2290" i="73"/>
  <c r="Q2291" i="73"/>
  <c r="Q2292" i="73"/>
  <c r="Q2293" i="73"/>
  <c r="Q2294" i="73"/>
  <c r="Q2295" i="73"/>
  <c r="Q2296" i="73"/>
  <c r="Q2297" i="73"/>
  <c r="Q2298" i="73"/>
  <c r="Q2299" i="73"/>
  <c r="Q2300" i="73"/>
  <c r="Q2301" i="73"/>
  <c r="Q2302" i="73"/>
  <c r="Q2303" i="73"/>
  <c r="Q2304" i="73"/>
  <c r="Q2305" i="73"/>
  <c r="Q2306" i="73"/>
  <c r="Q2307" i="73"/>
  <c r="Q2308" i="73"/>
  <c r="Q2309" i="73"/>
  <c r="Q2310" i="73"/>
  <c r="Q2311" i="73"/>
  <c r="Q2312" i="73"/>
  <c r="Q2313" i="73"/>
  <c r="Q2314" i="73"/>
  <c r="Q2315" i="73"/>
  <c r="Q2316" i="73"/>
  <c r="Q2317" i="73"/>
  <c r="Q2318" i="73"/>
  <c r="Q2319" i="73"/>
  <c r="Q2320" i="73"/>
  <c r="Q2321" i="73"/>
  <c r="Q2322" i="73"/>
  <c r="Q2323" i="73"/>
  <c r="Q2324" i="73"/>
  <c r="Q2325" i="73"/>
  <c r="Q2326" i="73"/>
  <c r="Q2327" i="73"/>
  <c r="Q2328" i="73"/>
  <c r="Q2329" i="73"/>
  <c r="Q2330" i="73"/>
  <c r="Q2331" i="73"/>
  <c r="Q2332" i="73"/>
  <c r="Q2333" i="73"/>
  <c r="Q2334" i="73"/>
  <c r="Q2335" i="73"/>
  <c r="Q2336" i="73"/>
  <c r="Q2337" i="73"/>
  <c r="Q2338" i="73"/>
  <c r="Q2339" i="73"/>
  <c r="Q2340" i="73"/>
  <c r="Q2341" i="73"/>
  <c r="Q2342" i="73"/>
  <c r="Q2343" i="73"/>
  <c r="Q2344" i="73"/>
  <c r="Q2345" i="73"/>
  <c r="Q2346" i="73"/>
  <c r="Q2347" i="73"/>
  <c r="Q2348" i="73"/>
  <c r="Q2349" i="73"/>
  <c r="Q2350" i="73"/>
  <c r="Q2351" i="73"/>
  <c r="Q2352" i="73"/>
  <c r="Q2353" i="73"/>
  <c r="Q2354" i="73"/>
  <c r="Q2355" i="73"/>
  <c r="Q2356" i="73"/>
  <c r="Q2357" i="73"/>
  <c r="Q2358" i="73"/>
  <c r="Q2359" i="73"/>
  <c r="Q2360" i="73"/>
  <c r="Q2361" i="73"/>
  <c r="Q2362" i="73"/>
  <c r="Q2363" i="73"/>
  <c r="Q2364" i="73"/>
  <c r="Q2365" i="73"/>
  <c r="Q2366" i="73"/>
  <c r="Q2367" i="73"/>
  <c r="Q2368" i="73"/>
  <c r="Q2369" i="73"/>
  <c r="Q2370" i="73"/>
  <c r="Q2371" i="73"/>
  <c r="Q2372" i="73"/>
  <c r="Q2373" i="73"/>
  <c r="Q2374" i="73"/>
  <c r="Q2375" i="73"/>
  <c r="Q2376" i="73"/>
  <c r="Q2377" i="73"/>
  <c r="Q2378" i="73"/>
  <c r="Q2379" i="73"/>
  <c r="Q2380" i="73"/>
  <c r="Q2381" i="73"/>
  <c r="Q2382" i="73"/>
  <c r="Q2383" i="73"/>
  <c r="Q2384" i="73"/>
  <c r="Q2385" i="73"/>
  <c r="Q2386" i="73"/>
  <c r="Q2387" i="73"/>
  <c r="Q2388" i="73"/>
  <c r="Q2389" i="73"/>
  <c r="Q2390" i="73"/>
  <c r="Q2391" i="73"/>
  <c r="Q2392" i="73"/>
  <c r="Q2393" i="73"/>
  <c r="Q2394" i="73"/>
  <c r="Q2395" i="73"/>
  <c r="Q2396" i="73"/>
  <c r="Q2397" i="73"/>
  <c r="Q2398" i="73"/>
  <c r="Q2399" i="73"/>
  <c r="Q2400" i="73"/>
  <c r="Q2401" i="73"/>
  <c r="Q2402" i="73"/>
  <c r="Q2403" i="73"/>
  <c r="Q2404" i="73"/>
  <c r="Q2405" i="73"/>
  <c r="Q2406" i="73"/>
  <c r="Q2407" i="73"/>
  <c r="Q2408" i="73"/>
  <c r="Q2409" i="73"/>
  <c r="Q2410" i="73"/>
  <c r="Q2411" i="73"/>
  <c r="Q2412" i="73"/>
  <c r="Q2413" i="73"/>
  <c r="Q2414" i="73"/>
  <c r="Q2415" i="73"/>
  <c r="Q2416" i="73"/>
  <c r="Q2417" i="73"/>
  <c r="Q2418" i="73"/>
  <c r="Q2419" i="73"/>
  <c r="Q2420" i="73"/>
  <c r="Q2421" i="73"/>
  <c r="Q2422" i="73"/>
  <c r="Q2423" i="73"/>
  <c r="Q2424" i="73"/>
  <c r="Q2425" i="73"/>
  <c r="Q2426" i="73"/>
  <c r="Q2427" i="73"/>
  <c r="Q2428" i="73"/>
  <c r="Q2429" i="73"/>
  <c r="Q2430" i="73"/>
  <c r="Q2431" i="73"/>
  <c r="Q2432" i="73"/>
  <c r="Q2433" i="73"/>
  <c r="Q2434" i="73"/>
  <c r="Q2435" i="73"/>
  <c r="Q2436" i="73"/>
  <c r="Q2437" i="73"/>
  <c r="Q2438" i="73"/>
  <c r="Q2439" i="73"/>
  <c r="Q2440" i="73"/>
  <c r="Q2441" i="73"/>
  <c r="Q2442" i="73"/>
  <c r="Q2443" i="73"/>
  <c r="Q2444" i="73"/>
  <c r="Q2445" i="73"/>
  <c r="Q2446" i="73"/>
  <c r="Q2447" i="73"/>
  <c r="Q2448" i="73"/>
  <c r="Q2449" i="73"/>
  <c r="Q2450" i="73"/>
  <c r="Q2451" i="73"/>
  <c r="Q2452" i="73"/>
  <c r="Q2453" i="73"/>
  <c r="Q2454" i="73"/>
  <c r="Q2455" i="73"/>
  <c r="Q2456" i="73"/>
  <c r="Q2457" i="73"/>
  <c r="Q2458" i="73"/>
  <c r="Q2459" i="73"/>
  <c r="Q2460" i="73"/>
  <c r="Q2461" i="73"/>
  <c r="Q2462" i="73"/>
  <c r="Q2463" i="73"/>
  <c r="Q2464" i="73"/>
  <c r="Q2465" i="73"/>
  <c r="Q2466" i="73"/>
  <c r="Q2467" i="73"/>
  <c r="Q2468" i="73"/>
  <c r="Q2469" i="73"/>
  <c r="Q2470" i="73"/>
  <c r="Q2471" i="73"/>
  <c r="Q2472" i="73"/>
  <c r="Q2473" i="73"/>
  <c r="Q2474" i="73"/>
  <c r="Q2475" i="73"/>
  <c r="Q2476" i="73"/>
  <c r="Q2477" i="73"/>
  <c r="Q2478" i="73"/>
  <c r="Q2479" i="73"/>
  <c r="Q2480" i="73"/>
  <c r="Q2481" i="73"/>
  <c r="Q2482" i="73"/>
  <c r="Q2483" i="73"/>
  <c r="Q2484" i="73"/>
  <c r="Q2485" i="73"/>
  <c r="Q2486" i="73"/>
  <c r="Q2487" i="73"/>
  <c r="Q2488" i="73"/>
  <c r="Q2489" i="73"/>
  <c r="Q2490" i="73"/>
  <c r="Q2491" i="73"/>
  <c r="Q2492" i="73"/>
  <c r="Q2493" i="73"/>
  <c r="Q2494" i="73"/>
  <c r="Q2495" i="73"/>
  <c r="Q2496" i="73"/>
  <c r="Q2497" i="73"/>
  <c r="Q2498" i="73"/>
  <c r="Q2499" i="73"/>
  <c r="Q2500" i="73"/>
  <c r="Q2501" i="73"/>
  <c r="Q2502" i="73"/>
  <c r="Q2503" i="73"/>
  <c r="Q2504" i="73"/>
  <c r="Q2505" i="73"/>
  <c r="Q2506" i="73"/>
  <c r="Q2507" i="73"/>
  <c r="Q2508" i="73"/>
  <c r="Q2509" i="73"/>
  <c r="Q2510" i="73"/>
  <c r="Q2511" i="73"/>
  <c r="Q2512" i="73"/>
  <c r="Q2513" i="73"/>
  <c r="Q2514" i="73"/>
  <c r="Q2515" i="73"/>
  <c r="Q2516" i="73"/>
  <c r="Q2517" i="73"/>
  <c r="Q2518" i="73"/>
  <c r="Q2519" i="73"/>
  <c r="Q2520" i="73"/>
  <c r="Q2521" i="73"/>
  <c r="Q2522" i="73"/>
  <c r="Q2523" i="73"/>
  <c r="Q2524" i="73"/>
  <c r="Q2525" i="73"/>
  <c r="Q2526" i="73"/>
  <c r="Q2527" i="73"/>
  <c r="Q2528" i="73"/>
  <c r="Q2529" i="73"/>
  <c r="Q2530" i="73"/>
  <c r="Q2531" i="73"/>
  <c r="Q2532" i="73"/>
  <c r="Q2533" i="73"/>
  <c r="Q2534" i="73"/>
  <c r="Q2535" i="73"/>
  <c r="Q2536" i="73"/>
  <c r="Q2537" i="73"/>
  <c r="Q2538" i="73"/>
  <c r="Q2539" i="73"/>
  <c r="Q2540" i="73"/>
  <c r="Q2541" i="73"/>
  <c r="Q2542" i="73"/>
  <c r="Q2543" i="73"/>
  <c r="Q2544" i="73"/>
  <c r="Q2545" i="73"/>
  <c r="Q2546" i="73"/>
  <c r="Q2547" i="73"/>
  <c r="Q2548" i="73"/>
  <c r="Q2549" i="73"/>
  <c r="Q2550" i="73"/>
  <c r="Q2551" i="73"/>
  <c r="Q2552" i="73"/>
  <c r="Q2553" i="73"/>
  <c r="Q2554" i="73"/>
  <c r="Q2555" i="73"/>
  <c r="Q2556" i="73"/>
  <c r="Q2557" i="73"/>
  <c r="Q2558" i="73"/>
  <c r="Q2559" i="73"/>
  <c r="Q2560" i="73"/>
  <c r="Q2561" i="73"/>
  <c r="Q2562" i="73"/>
  <c r="Q2563" i="73"/>
  <c r="Q2564" i="73"/>
  <c r="Q2565" i="73"/>
  <c r="Q2566" i="73"/>
  <c r="Q2567" i="73"/>
  <c r="Q2568" i="73"/>
  <c r="Q2569" i="73"/>
  <c r="Q2570" i="73"/>
  <c r="Q2571" i="73"/>
  <c r="Q2572" i="73"/>
  <c r="Q2573" i="73"/>
  <c r="Q2574" i="73"/>
  <c r="Q2575" i="73"/>
  <c r="Q2576" i="73"/>
  <c r="Q2577" i="73"/>
  <c r="Q2578" i="73"/>
  <c r="Q2579" i="73"/>
  <c r="Q2580" i="73"/>
  <c r="Q2581" i="73"/>
  <c r="Q2582" i="73"/>
  <c r="Q2583" i="73"/>
  <c r="Q2584" i="73"/>
  <c r="Q2585" i="73"/>
  <c r="Q2586" i="73"/>
  <c r="Q2587" i="73"/>
  <c r="Q2588" i="73"/>
  <c r="Q2589" i="73"/>
  <c r="Q2590" i="73"/>
  <c r="Q2591" i="73"/>
  <c r="Q2592" i="73"/>
  <c r="Q2593" i="73"/>
  <c r="Q2594" i="73"/>
  <c r="Q2595" i="73"/>
  <c r="Q2596" i="73"/>
  <c r="Q2597" i="73"/>
  <c r="Q2598" i="73"/>
  <c r="Q2599" i="73"/>
  <c r="Q2600" i="73"/>
  <c r="Q2601" i="73"/>
  <c r="Q2602" i="73"/>
  <c r="Q2603" i="73"/>
  <c r="Q2604" i="73"/>
  <c r="Q2605" i="73"/>
  <c r="Q2606" i="73"/>
  <c r="Q2607" i="73"/>
  <c r="Q2608" i="73"/>
  <c r="Q2609" i="73"/>
  <c r="Q2610" i="73"/>
  <c r="Q2611" i="73"/>
  <c r="Q2612" i="73"/>
  <c r="Q2613" i="73"/>
  <c r="Q2614" i="73"/>
  <c r="Q2615" i="73"/>
  <c r="Q2616" i="73"/>
  <c r="Q2617" i="73"/>
  <c r="Q2618" i="73"/>
  <c r="Q2619" i="73"/>
  <c r="Q2620" i="73"/>
  <c r="Q2621" i="73"/>
  <c r="Q2622" i="73"/>
  <c r="Q2623" i="73"/>
  <c r="Q2624" i="73"/>
  <c r="Q2625" i="73"/>
  <c r="Q2626" i="73"/>
  <c r="Q2627" i="73"/>
  <c r="Q2628" i="73"/>
  <c r="Q2629" i="73"/>
  <c r="Q2630" i="73"/>
  <c r="Q2631" i="73"/>
  <c r="Q2632" i="73"/>
  <c r="Q2633" i="73"/>
  <c r="Q2634" i="73"/>
  <c r="Q2635" i="73"/>
  <c r="Q2636" i="73"/>
  <c r="Q2637" i="73"/>
  <c r="Q2638" i="73"/>
  <c r="Q2639" i="73"/>
  <c r="Q2640" i="73"/>
  <c r="Q2641" i="73"/>
  <c r="Q2642" i="73"/>
  <c r="Q2643" i="73"/>
  <c r="Q2644" i="73"/>
  <c r="Q2645" i="73"/>
  <c r="Q2646" i="73"/>
  <c r="Q2647" i="73"/>
  <c r="Q2648" i="73"/>
  <c r="Q2649" i="73"/>
  <c r="Q2650" i="73"/>
  <c r="Q2651" i="73"/>
  <c r="Q2652" i="73"/>
  <c r="Q2653" i="73"/>
  <c r="Q2654" i="73"/>
  <c r="Q2655" i="73"/>
  <c r="Q2656" i="73"/>
  <c r="Q2657" i="73"/>
  <c r="Q2658" i="73"/>
  <c r="Q2659" i="73"/>
  <c r="Q2660" i="73"/>
  <c r="Q2661" i="73"/>
  <c r="Q2662" i="73"/>
  <c r="Q2663" i="73"/>
  <c r="Q2664" i="73"/>
  <c r="Q2665" i="73"/>
  <c r="Q2666" i="73"/>
  <c r="Q2667" i="73"/>
  <c r="Q2668" i="73"/>
  <c r="Q2669" i="73"/>
  <c r="Q2670" i="73"/>
  <c r="Q2671" i="73"/>
  <c r="Q2672" i="73"/>
  <c r="Q2673" i="73"/>
  <c r="Q2674" i="73"/>
  <c r="Q2675" i="73"/>
  <c r="Q2676" i="73"/>
  <c r="Q2677" i="73"/>
  <c r="Q2678" i="73"/>
  <c r="Q2679" i="73"/>
  <c r="Q2680" i="73"/>
  <c r="Q2681" i="73"/>
  <c r="Q2682" i="73"/>
  <c r="Q2683" i="73"/>
  <c r="Q2684" i="73"/>
  <c r="Q2685" i="73"/>
  <c r="Q2686" i="73"/>
  <c r="Q2687" i="73"/>
  <c r="Q2688" i="73"/>
  <c r="Q2689" i="73"/>
  <c r="Q2690" i="73"/>
  <c r="Q2691" i="73"/>
  <c r="Q2692" i="73"/>
  <c r="Q2693" i="73"/>
  <c r="Q2694" i="73"/>
  <c r="Q2695" i="73"/>
  <c r="Q2696" i="73"/>
  <c r="Q2697" i="73"/>
  <c r="Q2698" i="73"/>
  <c r="Q2699" i="73"/>
  <c r="Q2700" i="73"/>
  <c r="Q2701" i="73"/>
  <c r="Q2702" i="73"/>
  <c r="Q2703" i="73"/>
  <c r="Q2704" i="73"/>
  <c r="Q2705" i="73"/>
  <c r="Q2706" i="73"/>
  <c r="Q2707" i="73"/>
  <c r="Q2708" i="73"/>
  <c r="Q2709" i="73"/>
  <c r="Q2710" i="73"/>
  <c r="Q2711" i="73"/>
  <c r="Q2712" i="73"/>
  <c r="Q2713" i="73"/>
  <c r="Q2714" i="73"/>
  <c r="Q2715" i="73"/>
  <c r="Q2716" i="73"/>
  <c r="Q2717" i="73"/>
  <c r="Q2718" i="73"/>
  <c r="Q2719" i="73"/>
  <c r="Q2720" i="73"/>
  <c r="Q2721" i="73"/>
  <c r="Q2722" i="73"/>
  <c r="Q2723" i="73"/>
  <c r="Q2724" i="73"/>
  <c r="Q2725" i="73"/>
  <c r="Q2726" i="73"/>
  <c r="Q2727" i="73"/>
  <c r="Q2728" i="73"/>
  <c r="Q2729" i="73"/>
  <c r="Q2730" i="73"/>
  <c r="Q2731" i="73"/>
  <c r="Q2732" i="73"/>
  <c r="Q2733" i="73"/>
  <c r="Q2734" i="73"/>
  <c r="Q2735" i="73"/>
  <c r="Q2736" i="73"/>
  <c r="Q2737" i="73"/>
  <c r="Q2738" i="73"/>
  <c r="Q2739" i="73"/>
  <c r="Q2740" i="73"/>
  <c r="Q2741" i="73"/>
  <c r="Q2742" i="73"/>
  <c r="Q2743" i="73"/>
  <c r="Q2744" i="73"/>
  <c r="Q2745" i="73"/>
  <c r="Q2746" i="73"/>
  <c r="Q2747" i="73"/>
  <c r="Q2748" i="73"/>
  <c r="Q2749" i="73"/>
  <c r="Q2750" i="73"/>
  <c r="Q2751" i="73"/>
  <c r="Q2752" i="73"/>
  <c r="Q2753" i="73"/>
  <c r="Q2754" i="73"/>
  <c r="Q2755" i="73"/>
  <c r="Q2" i="73"/>
  <c r="O71" i="1"/>
  <c r="P71"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2" i="1"/>
  <c r="P2750" i="73"/>
  <c r="P2751" i="73"/>
  <c r="P2752" i="73"/>
  <c r="P2753" i="73"/>
  <c r="P2754" i="73"/>
  <c r="P2755" i="73"/>
  <c r="P2749" i="73"/>
  <c r="O70" i="1" l="1"/>
  <c r="P70" i="1"/>
  <c r="P2743" i="73" l="1"/>
  <c r="P2744" i="73"/>
  <c r="P2745" i="73"/>
  <c r="P2746" i="73"/>
  <c r="P2747" i="73"/>
  <c r="P2748" i="73"/>
  <c r="O69" i="1"/>
  <c r="P69" i="1"/>
  <c r="P2552" i="73"/>
  <c r="P2550" i="73"/>
  <c r="P2653" i="73"/>
  <c r="P2654" i="73"/>
  <c r="P2655" i="73"/>
  <c r="P2656" i="73"/>
  <c r="P2657" i="73"/>
  <c r="P2658" i="73"/>
  <c r="P2659" i="73"/>
  <c r="P2660" i="73"/>
  <c r="P2661" i="73"/>
  <c r="P2662" i="73"/>
  <c r="P2663" i="73"/>
  <c r="P2664" i="73"/>
  <c r="P2665" i="73"/>
  <c r="P2666" i="73"/>
  <c r="P2667" i="73"/>
  <c r="P2668" i="73"/>
  <c r="P2669" i="73"/>
  <c r="P2670" i="73"/>
  <c r="P2671" i="73"/>
  <c r="P2672" i="73"/>
  <c r="P2673" i="73"/>
  <c r="P2674" i="73"/>
  <c r="P2675" i="73"/>
  <c r="P2676" i="73"/>
  <c r="P2677" i="73"/>
  <c r="P2678" i="73"/>
  <c r="P2679" i="73"/>
  <c r="P2680" i="73"/>
  <c r="P2681" i="73"/>
  <c r="P2682" i="73"/>
  <c r="P2683" i="73"/>
  <c r="P2684" i="73"/>
  <c r="P2685" i="73"/>
  <c r="P2686" i="73"/>
  <c r="P2687" i="73"/>
  <c r="P2688" i="73"/>
  <c r="P2689" i="73"/>
  <c r="P2690" i="73"/>
  <c r="P2691" i="73"/>
  <c r="P2692" i="73"/>
  <c r="P2693" i="73"/>
  <c r="P2694" i="73"/>
  <c r="P2695" i="73"/>
  <c r="P2696" i="73"/>
  <c r="P2697" i="73"/>
  <c r="P2698" i="73"/>
  <c r="P2699" i="73"/>
  <c r="P2700" i="73"/>
  <c r="P2701" i="73"/>
  <c r="P2702" i="73"/>
  <c r="P2703" i="73"/>
  <c r="P2704" i="73"/>
  <c r="P2705" i="73"/>
  <c r="P2706" i="73"/>
  <c r="P2707" i="73"/>
  <c r="P2708" i="73"/>
  <c r="P2709" i="73"/>
  <c r="P2710" i="73"/>
  <c r="P2711" i="73"/>
  <c r="P2712" i="73"/>
  <c r="P2713" i="73"/>
  <c r="P2714" i="73"/>
  <c r="P2715" i="73"/>
  <c r="P2716" i="73"/>
  <c r="P2717" i="73"/>
  <c r="P2718" i="73"/>
  <c r="P2719" i="73"/>
  <c r="P2720" i="73"/>
  <c r="P2721" i="73"/>
  <c r="P2722" i="73"/>
  <c r="P2723" i="73"/>
  <c r="P2724" i="73"/>
  <c r="P2725" i="73"/>
  <c r="P2726" i="73"/>
  <c r="P2727" i="73"/>
  <c r="P2728" i="73"/>
  <c r="P2729" i="73"/>
  <c r="P2730" i="73"/>
  <c r="P2731" i="73"/>
  <c r="P2732" i="73"/>
  <c r="P2733" i="73"/>
  <c r="P2734" i="73"/>
  <c r="P2735" i="73"/>
  <c r="P2736" i="73"/>
  <c r="P2737" i="73"/>
  <c r="P2738" i="73"/>
  <c r="P2739" i="73"/>
  <c r="P2740" i="73"/>
  <c r="P2741" i="73"/>
  <c r="P2742" i="73"/>
  <c r="O68" i="1"/>
  <c r="P68" i="1"/>
  <c r="P2649" i="73"/>
  <c r="P2650" i="73"/>
  <c r="P2651" i="73"/>
  <c r="P2652" i="73"/>
  <c r="P2648" i="73"/>
  <c r="O67" i="1"/>
  <c r="P67" i="1"/>
  <c r="P2624" i="73"/>
  <c r="P2645" i="73"/>
  <c r="P2644" i="73"/>
  <c r="P2643" i="73"/>
  <c r="P2642" i="73"/>
  <c r="P2641" i="73"/>
  <c r="P2640" i="73"/>
  <c r="P2639" i="73"/>
  <c r="P2638" i="73"/>
  <c r="P2637" i="73"/>
  <c r="P2636" i="73"/>
  <c r="P2635" i="73"/>
  <c r="P2634" i="73"/>
  <c r="P2633" i="73"/>
  <c r="P2632" i="73"/>
  <c r="P2647" i="73"/>
  <c r="P2646" i="73"/>
  <c r="P2631" i="73"/>
  <c r="P2630" i="73"/>
  <c r="P2629" i="73"/>
  <c r="P2628" i="73"/>
  <c r="P2627" i="73"/>
  <c r="P2626" i="73"/>
  <c r="P2625" i="73"/>
  <c r="P2623" i="73"/>
  <c r="P2622" i="73"/>
  <c r="P2621" i="73"/>
  <c r="P2620" i="73"/>
  <c r="P2619" i="73"/>
  <c r="P2618" i="73"/>
  <c r="P2617" i="73"/>
  <c r="P2616" i="73"/>
  <c r="P2615" i="73"/>
  <c r="P2614" i="73"/>
  <c r="P2613" i="73"/>
  <c r="P2612" i="73"/>
  <c r="P2611" i="73"/>
  <c r="P2610" i="73"/>
  <c r="P2609" i="73"/>
  <c r="P2608" i="73"/>
  <c r="P2607" i="73"/>
  <c r="P2606" i="73"/>
  <c r="P2605" i="73"/>
  <c r="P2604" i="73"/>
  <c r="P2603" i="73"/>
  <c r="P2602" i="73"/>
  <c r="P2601" i="73"/>
  <c r="P2600" i="73"/>
  <c r="P2599" i="73"/>
  <c r="P2598" i="73"/>
  <c r="P2597" i="73"/>
  <c r="P2596" i="73"/>
  <c r="P2595" i="73"/>
  <c r="P2594" i="73"/>
  <c r="P2593" i="73"/>
  <c r="P2592" i="73"/>
  <c r="P2591" i="73"/>
  <c r="P2590" i="73"/>
  <c r="P2589" i="73"/>
  <c r="P2588" i="73"/>
  <c r="P2587" i="73"/>
  <c r="P2586" i="73"/>
  <c r="P2585" i="73"/>
  <c r="P2584" i="73"/>
  <c r="P2583" i="73"/>
  <c r="P2582" i="73"/>
  <c r="P2581" i="73"/>
  <c r="P2580" i="73"/>
  <c r="P2579" i="73"/>
  <c r="P2578" i="73"/>
  <c r="P2577" i="73"/>
  <c r="P2576" i="73"/>
  <c r="P2575" i="73"/>
  <c r="P2574" i="73"/>
  <c r="P2573" i="73"/>
  <c r="P2572" i="73"/>
  <c r="P2571" i="73"/>
  <c r="P2570" i="73"/>
  <c r="P2569" i="73"/>
  <c r="P2568" i="73"/>
  <c r="P2567" i="73"/>
  <c r="P2566" i="73"/>
  <c r="P2565" i="73"/>
  <c r="P2564" i="73"/>
  <c r="P2563" i="73"/>
  <c r="P2562" i="73"/>
  <c r="P2561" i="73"/>
  <c r="P2560" i="73"/>
  <c r="P2559" i="73"/>
  <c r="P2558" i="73"/>
  <c r="P2549" i="73"/>
  <c r="P2551" i="73"/>
  <c r="P66" i="1"/>
  <c r="O66" i="1"/>
  <c r="O65" i="1"/>
  <c r="P65" i="1"/>
  <c r="P493" i="73"/>
  <c r="P494" i="73"/>
  <c r="P495" i="73"/>
  <c r="P496" i="73"/>
  <c r="P497" i="73"/>
  <c r="P498" i="73"/>
  <c r="P499" i="73"/>
  <c r="P500" i="73"/>
  <c r="P501" i="73"/>
  <c r="P502" i="73"/>
  <c r="P503" i="73"/>
  <c r="P504" i="73"/>
  <c r="P505" i="73"/>
  <c r="P506" i="73"/>
  <c r="P507" i="73"/>
  <c r="P508" i="73"/>
  <c r="P509" i="73"/>
  <c r="P510" i="73"/>
  <c r="P511" i="73"/>
  <c r="P512" i="73"/>
  <c r="P513" i="73"/>
  <c r="P514" i="73"/>
  <c r="P515" i="73"/>
  <c r="P516" i="73"/>
  <c r="P517" i="73"/>
  <c r="P518" i="73"/>
  <c r="P519" i="73"/>
  <c r="P520" i="73"/>
  <c r="P521" i="73"/>
  <c r="P522" i="73"/>
  <c r="P523" i="73"/>
  <c r="P524" i="73"/>
  <c r="P525" i="73"/>
  <c r="P526" i="73"/>
  <c r="P527" i="73"/>
  <c r="P528" i="73"/>
  <c r="P529" i="73"/>
  <c r="P530" i="73"/>
  <c r="P531" i="73"/>
  <c r="P532" i="73"/>
  <c r="P533" i="73"/>
  <c r="P534" i="73"/>
  <c r="P535" i="73"/>
  <c r="P536" i="73"/>
  <c r="P537" i="73"/>
  <c r="P538" i="73"/>
  <c r="P539" i="73"/>
  <c r="P540" i="73"/>
  <c r="P541" i="73"/>
  <c r="P542" i="73"/>
  <c r="P543" i="73"/>
  <c r="P544" i="73"/>
  <c r="P545" i="73"/>
  <c r="P546" i="73"/>
  <c r="P547" i="73"/>
  <c r="P548" i="73"/>
  <c r="P549" i="73"/>
  <c r="P550" i="73"/>
  <c r="P551" i="73"/>
  <c r="P492" i="73"/>
  <c r="O61" i="1"/>
  <c r="P61" i="1"/>
  <c r="O62" i="1"/>
  <c r="P62" i="1"/>
  <c r="O63" i="1"/>
  <c r="P63" i="1"/>
  <c r="O64" i="1"/>
  <c r="P64" i="1"/>
  <c r="P2555" i="73"/>
  <c r="P2556" i="73"/>
  <c r="P2557" i="73"/>
  <c r="P2554" i="73"/>
  <c r="P1964" i="73"/>
  <c r="L1964" i="73"/>
  <c r="K1964" i="73"/>
  <c r="J1964" i="73"/>
  <c r="P29" i="73"/>
  <c r="L29" i="73"/>
  <c r="K29" i="73"/>
  <c r="J29" i="73"/>
  <c r="P2544" i="73"/>
  <c r="P2545" i="73"/>
  <c r="P2546" i="73"/>
  <c r="P2547" i="73"/>
  <c r="P2548" i="73"/>
  <c r="P2553" i="73"/>
  <c r="P2540" i="73"/>
  <c r="P2539" i="73"/>
  <c r="P2538" i="73"/>
  <c r="P2537" i="73"/>
  <c r="P2536" i="73"/>
  <c r="P2535" i="73"/>
  <c r="P2534" i="73"/>
  <c r="P2533" i="73"/>
  <c r="P2532" i="73"/>
  <c r="P2531" i="73"/>
  <c r="P2530" i="73"/>
  <c r="P2529" i="73"/>
  <c r="P2528" i="73"/>
  <c r="P2527" i="73"/>
  <c r="P2526" i="73"/>
  <c r="P2525" i="73"/>
  <c r="P2524" i="73"/>
  <c r="P2523" i="73"/>
  <c r="P2522" i="73"/>
  <c r="P2521" i="73"/>
  <c r="P2520" i="73"/>
  <c r="P2519" i="73"/>
  <c r="P2518" i="73"/>
  <c r="P2517" i="73"/>
  <c r="P2516" i="73"/>
  <c r="P2515" i="73"/>
  <c r="P2514" i="73"/>
  <c r="P2513" i="73"/>
  <c r="P2512" i="73"/>
  <c r="P2511" i="73"/>
  <c r="P2510" i="73"/>
  <c r="P2509" i="73"/>
  <c r="P2508" i="73"/>
  <c r="P2507" i="73"/>
  <c r="P2506" i="73"/>
  <c r="P2505" i="73"/>
  <c r="P2504" i="73"/>
  <c r="P2503" i="73"/>
  <c r="P2502" i="73"/>
  <c r="P2501" i="73"/>
  <c r="P2500" i="73"/>
  <c r="P2499" i="73"/>
  <c r="P2498" i="73"/>
  <c r="P2497" i="73"/>
  <c r="P2496" i="73"/>
  <c r="P2495" i="73"/>
  <c r="P2494" i="73"/>
  <c r="P2493" i="73"/>
  <c r="P2492" i="73"/>
  <c r="P2491" i="73"/>
  <c r="P2490" i="73"/>
  <c r="P2489" i="73"/>
  <c r="P2488" i="73"/>
  <c r="P2487" i="73"/>
  <c r="P2486" i="73"/>
  <c r="P2485" i="73"/>
  <c r="P2484" i="73"/>
  <c r="P2483" i="73"/>
  <c r="P2482" i="73"/>
  <c r="P2481" i="73"/>
  <c r="P2480" i="73"/>
  <c r="P2479" i="73"/>
  <c r="P2478" i="73"/>
  <c r="P2477" i="73"/>
  <c r="P2476" i="73"/>
  <c r="P2475" i="73"/>
  <c r="P2474" i="73"/>
  <c r="P2473" i="73"/>
  <c r="P2472" i="73"/>
  <c r="P2471" i="73"/>
  <c r="P2470" i="73"/>
  <c r="P2469" i="73"/>
  <c r="P2468" i="73"/>
  <c r="P2467" i="73"/>
  <c r="P2466" i="73"/>
  <c r="P2465" i="73"/>
  <c r="P2464" i="73"/>
  <c r="P2463" i="73"/>
  <c r="P2462" i="73"/>
  <c r="P2461" i="73"/>
  <c r="P2460" i="73"/>
  <c r="P2459" i="73"/>
  <c r="P2458" i="73"/>
  <c r="P2457" i="73"/>
  <c r="P2456" i="73"/>
  <c r="P2455" i="73"/>
  <c r="P2454" i="73"/>
  <c r="P2453" i="73"/>
  <c r="P2452" i="73"/>
  <c r="P2451" i="73"/>
  <c r="P2450" i="73"/>
  <c r="P2449" i="73"/>
  <c r="P2448" i="73"/>
  <c r="P2447" i="73"/>
  <c r="P2446" i="73"/>
  <c r="P2445" i="73"/>
  <c r="P2444" i="73"/>
  <c r="P2443" i="73"/>
  <c r="P2442" i="73"/>
  <c r="P2441" i="73"/>
  <c r="P2440" i="73"/>
  <c r="P2439" i="73"/>
  <c r="P2438" i="73"/>
  <c r="P2437" i="73"/>
  <c r="P2436" i="73"/>
  <c r="P2435" i="73"/>
  <c r="P2434" i="73"/>
  <c r="P2433" i="73"/>
  <c r="P2432" i="73"/>
  <c r="P2431" i="73"/>
  <c r="P2430" i="73"/>
  <c r="P2429" i="73"/>
  <c r="P2428" i="73"/>
  <c r="P2427" i="73"/>
  <c r="P2426" i="73"/>
  <c r="P2425" i="73"/>
  <c r="P2424" i="73"/>
  <c r="P2423" i="73"/>
  <c r="P2422" i="73"/>
  <c r="P2421" i="73"/>
  <c r="P2420" i="73"/>
  <c r="P2419" i="73"/>
  <c r="P2418" i="73"/>
  <c r="P2417" i="73"/>
  <c r="P2416" i="73"/>
  <c r="P2415" i="73"/>
  <c r="P2414" i="73"/>
  <c r="P2413" i="73"/>
  <c r="P2412" i="73"/>
  <c r="P2411" i="73"/>
  <c r="P2410" i="73"/>
  <c r="P2409" i="73"/>
  <c r="P2408" i="73"/>
  <c r="P2407" i="73"/>
  <c r="P2406" i="73"/>
  <c r="P2405" i="73"/>
  <c r="P2404" i="73"/>
  <c r="P2403" i="73"/>
  <c r="P2402" i="73"/>
  <c r="P2401" i="73"/>
  <c r="P2400" i="73"/>
  <c r="P2399" i="73"/>
  <c r="P2398" i="73"/>
  <c r="P2397" i="73"/>
  <c r="P2396" i="73"/>
  <c r="P2395" i="73"/>
  <c r="P2394" i="73"/>
  <c r="P2393" i="73"/>
  <c r="P2392" i="73"/>
  <c r="P2391" i="73"/>
  <c r="P2390" i="73"/>
  <c r="P2389" i="73"/>
  <c r="P2388" i="73"/>
  <c r="P2387" i="73"/>
  <c r="P2386" i="73"/>
  <c r="P2385" i="73"/>
  <c r="P2384" i="73"/>
  <c r="P2383" i="73"/>
  <c r="P2382" i="73"/>
  <c r="P2381" i="73"/>
  <c r="P2380" i="73"/>
  <c r="P2379" i="73"/>
  <c r="P2378" i="73"/>
  <c r="P2377" i="73"/>
  <c r="P2376" i="73"/>
  <c r="P2375" i="73"/>
  <c r="P2374" i="73"/>
  <c r="P2373" i="73"/>
  <c r="P2372" i="73"/>
  <c r="P2371" i="73"/>
  <c r="P2370" i="73"/>
  <c r="P2369" i="73"/>
  <c r="P2368" i="73"/>
  <c r="P2367" i="73"/>
  <c r="P2366" i="73"/>
  <c r="P2365" i="73"/>
  <c r="P2364" i="73"/>
  <c r="P2363" i="73"/>
  <c r="P2362" i="73"/>
  <c r="P2361" i="73"/>
  <c r="P2360" i="73"/>
  <c r="P2359" i="73"/>
  <c r="P2358" i="73"/>
  <c r="P2357" i="73"/>
  <c r="P2356" i="73"/>
  <c r="P2355" i="73"/>
  <c r="P2354" i="73"/>
  <c r="P2353" i="73"/>
  <c r="P2352" i="73"/>
  <c r="P2351" i="73"/>
  <c r="P2350" i="73"/>
  <c r="P2349" i="73"/>
  <c r="P2348" i="73"/>
  <c r="P2347" i="73"/>
  <c r="P2346" i="73"/>
  <c r="P2345" i="73"/>
  <c r="P2344" i="73"/>
  <c r="P2343" i="73"/>
  <c r="P2342" i="73"/>
  <c r="P2341" i="73"/>
  <c r="P2340" i="73"/>
  <c r="P2339" i="73"/>
  <c r="P2338" i="73"/>
  <c r="P2337" i="73"/>
  <c r="P2336" i="73"/>
  <c r="P2335" i="73"/>
  <c r="P2334" i="73"/>
  <c r="P2333" i="73"/>
  <c r="P2332" i="73"/>
  <c r="P2331" i="73"/>
  <c r="P2330" i="73"/>
  <c r="P2329" i="73"/>
  <c r="P2328" i="73"/>
  <c r="P2327" i="73"/>
  <c r="P2326" i="73"/>
  <c r="P2325" i="73"/>
  <c r="P2324" i="73"/>
  <c r="P2323" i="73"/>
  <c r="P2322" i="73"/>
  <c r="P2321" i="73"/>
  <c r="P2320" i="73"/>
  <c r="P2319" i="73"/>
  <c r="P2318" i="73"/>
  <c r="P2317" i="73"/>
  <c r="P2316" i="73"/>
  <c r="P2315" i="73"/>
  <c r="P2314" i="73"/>
  <c r="P2313" i="73"/>
  <c r="P2312" i="73"/>
  <c r="P2311" i="73"/>
  <c r="P2310" i="73"/>
  <c r="P2309" i="73"/>
  <c r="P2308" i="73"/>
  <c r="P2307" i="73"/>
  <c r="P2306" i="73"/>
  <c r="P2305" i="73"/>
  <c r="P2304" i="73"/>
  <c r="P2303" i="73"/>
  <c r="P2302" i="73"/>
  <c r="P2301" i="73"/>
  <c r="P2300" i="73"/>
  <c r="P2299" i="73"/>
  <c r="P2298" i="73"/>
  <c r="P2297" i="73"/>
  <c r="P2296" i="73"/>
  <c r="P2295" i="73"/>
  <c r="P2294" i="73"/>
  <c r="P2293" i="73"/>
  <c r="P2292" i="73"/>
  <c r="P2291" i="73"/>
  <c r="P2290" i="73"/>
  <c r="P2289" i="73"/>
  <c r="P2264" i="73"/>
  <c r="P2263" i="73"/>
  <c r="P2262" i="73"/>
  <c r="P2261" i="73"/>
  <c r="P2260" i="73"/>
  <c r="P2259" i="73"/>
  <c r="P2258" i="73"/>
  <c r="P2257" i="73"/>
  <c r="P2256" i="73"/>
  <c r="P2255" i="73"/>
  <c r="P2254" i="73"/>
  <c r="P2253" i="73"/>
  <c r="P2252" i="73"/>
  <c r="P2251" i="73"/>
  <c r="P2250" i="73"/>
  <c r="P2249" i="73"/>
  <c r="P2248" i="73"/>
  <c r="P2247" i="73"/>
  <c r="P2246" i="73"/>
  <c r="P2245" i="73"/>
  <c r="P2244" i="73"/>
  <c r="P2243" i="73"/>
  <c r="P2242" i="73"/>
  <c r="P2241" i="73"/>
  <c r="P2276" i="73"/>
  <c r="P2275" i="73"/>
  <c r="P2274" i="73"/>
  <c r="P2273" i="73"/>
  <c r="P2272" i="73"/>
  <c r="P2271" i="73"/>
  <c r="P2270" i="73"/>
  <c r="P2269" i="73"/>
  <c r="P2268" i="73"/>
  <c r="P2267" i="73"/>
  <c r="P2266" i="73"/>
  <c r="P2265" i="73"/>
  <c r="P2282" i="73"/>
  <c r="P2281" i="73"/>
  <c r="P2280" i="73"/>
  <c r="P2279" i="73"/>
  <c r="P2278" i="73"/>
  <c r="P2277" i="73"/>
  <c r="P2285" i="73"/>
  <c r="P2284" i="73"/>
  <c r="P2283" i="73"/>
  <c r="P2287" i="73"/>
  <c r="P2286" i="73"/>
  <c r="P2288" i="73"/>
  <c r="P2541" i="73"/>
  <c r="P2542" i="73"/>
  <c r="P2543" i="73"/>
  <c r="O60" i="1"/>
  <c r="P60" i="1"/>
  <c r="O59" i="1"/>
  <c r="P59" i="1"/>
  <c r="P2238" i="73"/>
  <c r="P2239" i="73"/>
  <c r="P2240" i="73"/>
  <c r="P2237" i="73"/>
  <c r="O58" i="1"/>
  <c r="P58" i="1"/>
  <c r="P2236" i="73"/>
  <c r="O57" i="1"/>
  <c r="P57" i="1"/>
  <c r="O56" i="1"/>
  <c r="P56" i="1"/>
  <c r="P55" i="1"/>
  <c r="O55" i="1"/>
  <c r="P2235" i="73"/>
  <c r="P2234" i="73"/>
  <c r="P2233" i="73"/>
  <c r="P2232" i="73"/>
  <c r="P2231" i="73"/>
  <c r="P2230" i="73"/>
  <c r="P2229" i="73"/>
  <c r="P2228" i="73"/>
  <c r="P2227" i="73"/>
  <c r="P2226" i="73"/>
  <c r="P2225" i="73"/>
  <c r="P2224" i="73"/>
  <c r="P2223" i="73"/>
  <c r="P2222" i="73"/>
  <c r="P2221" i="73"/>
  <c r="P2220" i="73"/>
  <c r="P2219" i="73"/>
  <c r="P2218" i="73"/>
  <c r="P2217" i="73"/>
  <c r="P2216" i="73"/>
  <c r="P2215" i="73"/>
  <c r="P2214" i="73"/>
  <c r="P2213" i="73"/>
  <c r="P2212" i="73"/>
  <c r="P2211" i="73"/>
  <c r="P2210" i="73"/>
  <c r="P2209" i="73"/>
  <c r="P2208" i="73"/>
  <c r="P2207" i="73"/>
  <c r="P2206" i="73"/>
  <c r="P2205" i="73"/>
  <c r="P2204" i="73"/>
  <c r="P2203" i="73"/>
  <c r="P2202" i="73"/>
  <c r="P2201" i="73"/>
  <c r="P2200" i="73"/>
  <c r="P2199" i="73"/>
  <c r="P2198" i="73"/>
  <c r="P2197" i="73"/>
  <c r="P2196" i="73"/>
  <c r="P2195" i="73"/>
  <c r="P2194" i="73"/>
  <c r="P2193" i="73"/>
  <c r="P2192" i="73"/>
  <c r="P2191" i="73"/>
  <c r="P2190" i="73"/>
  <c r="P2189" i="73"/>
  <c r="P2188" i="73"/>
  <c r="P2187" i="73"/>
  <c r="P2186" i="73"/>
  <c r="P2185" i="73"/>
  <c r="P2184" i="73"/>
  <c r="P2183" i="73"/>
  <c r="P2182" i="73"/>
  <c r="P2181" i="73"/>
  <c r="P2180" i="73"/>
  <c r="P2179" i="73"/>
  <c r="P2178" i="73"/>
  <c r="P2177" i="73"/>
  <c r="P2176" i="73"/>
  <c r="P2175" i="73"/>
  <c r="P2174" i="73"/>
  <c r="P2173" i="73"/>
  <c r="P2172" i="73"/>
  <c r="L2166" i="73"/>
  <c r="L2167" i="73"/>
  <c r="L2168" i="73"/>
  <c r="L2169" i="73"/>
  <c r="L2170" i="73"/>
  <c r="L2171" i="73"/>
  <c r="P2166" i="73"/>
  <c r="P2167" i="73"/>
  <c r="P2168" i="73"/>
  <c r="P2169" i="73"/>
  <c r="P2170" i="73"/>
  <c r="P2171" i="73"/>
  <c r="P2077" i="73" l="1"/>
  <c r="P2078" i="73"/>
  <c r="P2079" i="73"/>
  <c r="P2080" i="73"/>
  <c r="P2081" i="73"/>
  <c r="P2082" i="73"/>
  <c r="P2083" i="73"/>
  <c r="P2084" i="73"/>
  <c r="P2085" i="73"/>
  <c r="P2086" i="73"/>
  <c r="P2087" i="73"/>
  <c r="P2088" i="73"/>
  <c r="P2089" i="73"/>
  <c r="P2090" i="73"/>
  <c r="P2091" i="73"/>
  <c r="P2092" i="73"/>
  <c r="P2093" i="73"/>
  <c r="P2094" i="73"/>
  <c r="P2095" i="73"/>
  <c r="P2096" i="73"/>
  <c r="P2097" i="73"/>
  <c r="P2098" i="73"/>
  <c r="P2099" i="73"/>
  <c r="P2100" i="73"/>
  <c r="P2101" i="73"/>
  <c r="P2102" i="73"/>
  <c r="P2103" i="73"/>
  <c r="P2104" i="73"/>
  <c r="P2105" i="73"/>
  <c r="P2106" i="73"/>
  <c r="P2107" i="73"/>
  <c r="P2108" i="73"/>
  <c r="P2109" i="73"/>
  <c r="P2110" i="73"/>
  <c r="P2111" i="73"/>
  <c r="P2112" i="73"/>
  <c r="P2113" i="73"/>
  <c r="P2114" i="73"/>
  <c r="P2115" i="73"/>
  <c r="P2116" i="73"/>
  <c r="P2117" i="73"/>
  <c r="P2118" i="73"/>
  <c r="P2119" i="73"/>
  <c r="P2120" i="73"/>
  <c r="P2121" i="73"/>
  <c r="P2122" i="73"/>
  <c r="P2123" i="73"/>
  <c r="P2124" i="73"/>
  <c r="P2125" i="73"/>
  <c r="P2126" i="73"/>
  <c r="P2127" i="73"/>
  <c r="P2128" i="73"/>
  <c r="P2129" i="73"/>
  <c r="P2130" i="73"/>
  <c r="P2131" i="73"/>
  <c r="P2132" i="73"/>
  <c r="P2133" i="73"/>
  <c r="P2134" i="73"/>
  <c r="P2135" i="73"/>
  <c r="P2136" i="73"/>
  <c r="P2137" i="73"/>
  <c r="P2138" i="73"/>
  <c r="P2139" i="73"/>
  <c r="P2140" i="73"/>
  <c r="P2141" i="73"/>
  <c r="P2142" i="73"/>
  <c r="P2143" i="73"/>
  <c r="P2144" i="73"/>
  <c r="P2145" i="73"/>
  <c r="P2146" i="73"/>
  <c r="P2147" i="73"/>
  <c r="P2148" i="73"/>
  <c r="P2076" i="73"/>
  <c r="P2165" i="73"/>
  <c r="L2165" i="73"/>
  <c r="K2165" i="73"/>
  <c r="J2165" i="73"/>
  <c r="P2164" i="73"/>
  <c r="L2164" i="73"/>
  <c r="K2164" i="73"/>
  <c r="J2164" i="73"/>
  <c r="P2163" i="73"/>
  <c r="L2163" i="73"/>
  <c r="K2163" i="73"/>
  <c r="J2163" i="73"/>
  <c r="P2162" i="73"/>
  <c r="L2162" i="73"/>
  <c r="K2162" i="73"/>
  <c r="J2162" i="73"/>
  <c r="P2161" i="73"/>
  <c r="L2161" i="73"/>
  <c r="K2161" i="73"/>
  <c r="J2161" i="73"/>
  <c r="P2160" i="73"/>
  <c r="L2160" i="73"/>
  <c r="K2160" i="73"/>
  <c r="J2160" i="73"/>
  <c r="P2159" i="73"/>
  <c r="L2159" i="73"/>
  <c r="K2159" i="73"/>
  <c r="J2159" i="73"/>
  <c r="P2158" i="73"/>
  <c r="L2158" i="73"/>
  <c r="K2158" i="73"/>
  <c r="J2158" i="73"/>
  <c r="P2157" i="73"/>
  <c r="L2157" i="73"/>
  <c r="K2157" i="73"/>
  <c r="J2157" i="73"/>
  <c r="P2156" i="73"/>
  <c r="L2156" i="73"/>
  <c r="K2156" i="73"/>
  <c r="J2156" i="73"/>
  <c r="P2155" i="73"/>
  <c r="L2155" i="73"/>
  <c r="K2155" i="73"/>
  <c r="J2155" i="73"/>
  <c r="P2154" i="73"/>
  <c r="L2154" i="73"/>
  <c r="K2154" i="73"/>
  <c r="J2154" i="73"/>
  <c r="P2153" i="73"/>
  <c r="L2153" i="73"/>
  <c r="K2153" i="73"/>
  <c r="J2153" i="73"/>
  <c r="P2152" i="73"/>
  <c r="L2152" i="73"/>
  <c r="K2152" i="73"/>
  <c r="J2152" i="73"/>
  <c r="P2151" i="73"/>
  <c r="L2151" i="73"/>
  <c r="K2151" i="73"/>
  <c r="J2151" i="73"/>
  <c r="P2150" i="73"/>
  <c r="L2150" i="73"/>
  <c r="K2150" i="73"/>
  <c r="J2150" i="73"/>
  <c r="P2149" i="73"/>
  <c r="L2149" i="73"/>
  <c r="K2149" i="73"/>
  <c r="J2149" i="73"/>
  <c r="O50" i="1"/>
  <c r="P50" i="1"/>
  <c r="O51" i="1"/>
  <c r="P51" i="1"/>
  <c r="O52" i="1"/>
  <c r="P52" i="1"/>
  <c r="O53" i="1"/>
  <c r="P53" i="1"/>
  <c r="O54" i="1"/>
  <c r="P54" i="1"/>
  <c r="O48" i="1"/>
  <c r="P48" i="1"/>
  <c r="O49" i="1"/>
  <c r="P49" i="1"/>
  <c r="P2017" i="73"/>
  <c r="P2018" i="73"/>
  <c r="P2019" i="73"/>
  <c r="P2020" i="73"/>
  <c r="P2021" i="73"/>
  <c r="P2022" i="73"/>
  <c r="P2023" i="73"/>
  <c r="P2024" i="73"/>
  <c r="P2025" i="73"/>
  <c r="P2026" i="73"/>
  <c r="P2027" i="73"/>
  <c r="P2028" i="73"/>
  <c r="P2029" i="73"/>
  <c r="P2030" i="73"/>
  <c r="P2031" i="73"/>
  <c r="P2032" i="73"/>
  <c r="P2033" i="73"/>
  <c r="P2034" i="73"/>
  <c r="P2035" i="73"/>
  <c r="P2036" i="73"/>
  <c r="P2037" i="73"/>
  <c r="P2038" i="73"/>
  <c r="P2039" i="73"/>
  <c r="P2040" i="73"/>
  <c r="P2041" i="73"/>
  <c r="P2042" i="73"/>
  <c r="P2043" i="73"/>
  <c r="P2044" i="73"/>
  <c r="P2045" i="73"/>
  <c r="P2046" i="73"/>
  <c r="P2047" i="73"/>
  <c r="P2048" i="73"/>
  <c r="P2049" i="73"/>
  <c r="P2050" i="73"/>
  <c r="P2051" i="73"/>
  <c r="P2052" i="73"/>
  <c r="P2053" i="73"/>
  <c r="P2054" i="73"/>
  <c r="P2055" i="73"/>
  <c r="P2056" i="73"/>
  <c r="P2057" i="73"/>
  <c r="P2058" i="73"/>
  <c r="P2059" i="73"/>
  <c r="P2060" i="73"/>
  <c r="P2061" i="73"/>
  <c r="P2062" i="73"/>
  <c r="P2063" i="73"/>
  <c r="P2064" i="73"/>
  <c r="P2065" i="73"/>
  <c r="P2066" i="73"/>
  <c r="P2067" i="73"/>
  <c r="P2068" i="73"/>
  <c r="P2069" i="73"/>
  <c r="P2070" i="73"/>
  <c r="P2071" i="73"/>
  <c r="P2072" i="73"/>
  <c r="P2073" i="73"/>
  <c r="P2074" i="73"/>
  <c r="P2075" i="73"/>
  <c r="J2017" i="73"/>
  <c r="K2017" i="73"/>
  <c r="L2017" i="73"/>
  <c r="J2018" i="73"/>
  <c r="K2018" i="73"/>
  <c r="L2018" i="73"/>
  <c r="J2019" i="73"/>
  <c r="K2019" i="73"/>
  <c r="L2019" i="73"/>
  <c r="J2020" i="73"/>
  <c r="K2020" i="73"/>
  <c r="L2020" i="73"/>
  <c r="J2021" i="73"/>
  <c r="K2021" i="73"/>
  <c r="L2021" i="73"/>
  <c r="J2022" i="73"/>
  <c r="K2022" i="73"/>
  <c r="L2022" i="73"/>
  <c r="J2023" i="73"/>
  <c r="K2023" i="73"/>
  <c r="L2023" i="73"/>
  <c r="J2024" i="73"/>
  <c r="K2024" i="73"/>
  <c r="L2024" i="73"/>
  <c r="J2025" i="73"/>
  <c r="K2025" i="73"/>
  <c r="L2025" i="73"/>
  <c r="J2026" i="73"/>
  <c r="K2026" i="73"/>
  <c r="L2026" i="73"/>
  <c r="J2027" i="73"/>
  <c r="K2027" i="73"/>
  <c r="L2027" i="73"/>
  <c r="J2028" i="73"/>
  <c r="K2028" i="73"/>
  <c r="L2028" i="73"/>
  <c r="J2029" i="73"/>
  <c r="K2029" i="73"/>
  <c r="L2029" i="73"/>
  <c r="J2030" i="73"/>
  <c r="K2030" i="73"/>
  <c r="L2030" i="73"/>
  <c r="J2031" i="73"/>
  <c r="K2031" i="73"/>
  <c r="L2031" i="73"/>
  <c r="J2032" i="73"/>
  <c r="K2032" i="73"/>
  <c r="L2032" i="73"/>
  <c r="J2033" i="73"/>
  <c r="K2033" i="73"/>
  <c r="L2033" i="73"/>
  <c r="J2034" i="73"/>
  <c r="K2034" i="73"/>
  <c r="L2034" i="73"/>
  <c r="J2035" i="73"/>
  <c r="K2035" i="73"/>
  <c r="L2035" i="73"/>
  <c r="J2036" i="73"/>
  <c r="K2036" i="73"/>
  <c r="L2036" i="73"/>
  <c r="J2037" i="73"/>
  <c r="K2037" i="73"/>
  <c r="L2037" i="73"/>
  <c r="J2038" i="73"/>
  <c r="K2038" i="73"/>
  <c r="L2038" i="73"/>
  <c r="J2039" i="73"/>
  <c r="K2039" i="73"/>
  <c r="L2039" i="73"/>
  <c r="J2040" i="73"/>
  <c r="K2040" i="73"/>
  <c r="L2040" i="73"/>
  <c r="J2041" i="73"/>
  <c r="K2041" i="73"/>
  <c r="L2041" i="73"/>
  <c r="J2042" i="73"/>
  <c r="K2042" i="73"/>
  <c r="L2042" i="73"/>
  <c r="J2043" i="73"/>
  <c r="K2043" i="73"/>
  <c r="L2043" i="73"/>
  <c r="J2044" i="73"/>
  <c r="K2044" i="73"/>
  <c r="L2044" i="73"/>
  <c r="J2045" i="73"/>
  <c r="K2045" i="73"/>
  <c r="L2045" i="73"/>
  <c r="J2046" i="73"/>
  <c r="K2046" i="73"/>
  <c r="L2046" i="73"/>
  <c r="J2047" i="73"/>
  <c r="K2047" i="73"/>
  <c r="L2047" i="73"/>
  <c r="J2048" i="73"/>
  <c r="K2048" i="73"/>
  <c r="L2048" i="73"/>
  <c r="J2049" i="73"/>
  <c r="K2049" i="73"/>
  <c r="L2049" i="73"/>
  <c r="J2050" i="73"/>
  <c r="K2050" i="73"/>
  <c r="L2050" i="73"/>
  <c r="J2051" i="73"/>
  <c r="K2051" i="73"/>
  <c r="L2051" i="73"/>
  <c r="J2052" i="73"/>
  <c r="K2052" i="73"/>
  <c r="L2052" i="73"/>
  <c r="J2053" i="73"/>
  <c r="K2053" i="73"/>
  <c r="L2053" i="73"/>
  <c r="J2054" i="73"/>
  <c r="K2054" i="73"/>
  <c r="L2054" i="73"/>
  <c r="J2055" i="73"/>
  <c r="K2055" i="73"/>
  <c r="L2055" i="73"/>
  <c r="J2056" i="73"/>
  <c r="K2056" i="73"/>
  <c r="L2056" i="73"/>
  <c r="J2057" i="73"/>
  <c r="K2057" i="73"/>
  <c r="L2057" i="73"/>
  <c r="J2058" i="73"/>
  <c r="K2058" i="73"/>
  <c r="L2058" i="73"/>
  <c r="J2059" i="73"/>
  <c r="K2059" i="73"/>
  <c r="L2059" i="73"/>
  <c r="J2060" i="73"/>
  <c r="K2060" i="73"/>
  <c r="L2060" i="73"/>
  <c r="J2061" i="73"/>
  <c r="K2061" i="73"/>
  <c r="L2061" i="73"/>
  <c r="J2062" i="73"/>
  <c r="K2062" i="73"/>
  <c r="L2062" i="73"/>
  <c r="J2063" i="73"/>
  <c r="K2063" i="73"/>
  <c r="L2063" i="73"/>
  <c r="J2064" i="73"/>
  <c r="K2064" i="73"/>
  <c r="L2064" i="73"/>
  <c r="J2065" i="73"/>
  <c r="K2065" i="73"/>
  <c r="L2065" i="73"/>
  <c r="J2066" i="73"/>
  <c r="K2066" i="73"/>
  <c r="L2066" i="73"/>
  <c r="J2067" i="73"/>
  <c r="K2067" i="73"/>
  <c r="L2067" i="73"/>
  <c r="J2068" i="73"/>
  <c r="K2068" i="73"/>
  <c r="L2068" i="73"/>
  <c r="J2069" i="73"/>
  <c r="K2069" i="73"/>
  <c r="L2069" i="73"/>
  <c r="J2070" i="73"/>
  <c r="K2070" i="73"/>
  <c r="L2070" i="73"/>
  <c r="J2071" i="73"/>
  <c r="K2071" i="73"/>
  <c r="L2071" i="73"/>
  <c r="J2072" i="73"/>
  <c r="K2072" i="73"/>
  <c r="L2072" i="73"/>
  <c r="J2073" i="73"/>
  <c r="K2073" i="73"/>
  <c r="L2073" i="73"/>
  <c r="J2074" i="73"/>
  <c r="K2074" i="73"/>
  <c r="L2074" i="73"/>
  <c r="J2075" i="73"/>
  <c r="K2075" i="73"/>
  <c r="L2075" i="73"/>
  <c r="J2076" i="73"/>
  <c r="K2076" i="73"/>
  <c r="L2076" i="73"/>
  <c r="P1965" i="73"/>
  <c r="P1966" i="73"/>
  <c r="P1967" i="73"/>
  <c r="P1968" i="73"/>
  <c r="P1969" i="73"/>
  <c r="P1970" i="73"/>
  <c r="P1971" i="73"/>
  <c r="P1972" i="73"/>
  <c r="P1973" i="73"/>
  <c r="P1974" i="73"/>
  <c r="P1975" i="73"/>
  <c r="P1976" i="73"/>
  <c r="P1977" i="73"/>
  <c r="P1978" i="73"/>
  <c r="P1979" i="73"/>
  <c r="P1980" i="73"/>
  <c r="P1981" i="73"/>
  <c r="P1982" i="73"/>
  <c r="P1983" i="73"/>
  <c r="P1984" i="73"/>
  <c r="P1985" i="73"/>
  <c r="P1986" i="73"/>
  <c r="P1987" i="73"/>
  <c r="P1988" i="73"/>
  <c r="P1989" i="73"/>
  <c r="P1990" i="73"/>
  <c r="P1991" i="73"/>
  <c r="P1992" i="73"/>
  <c r="P1993" i="73"/>
  <c r="P1994" i="73"/>
  <c r="P1995" i="73"/>
  <c r="P1996" i="73"/>
  <c r="P1997" i="73"/>
  <c r="P1998" i="73"/>
  <c r="P1999" i="73"/>
  <c r="P2000" i="73"/>
  <c r="P2001" i="73"/>
  <c r="P2002" i="73"/>
  <c r="P2003" i="73"/>
  <c r="P2004" i="73"/>
  <c r="P2005" i="73"/>
  <c r="P2006" i="73"/>
  <c r="P2007" i="73"/>
  <c r="P2008" i="73"/>
  <c r="P2009" i="73"/>
  <c r="P2010" i="73"/>
  <c r="P2011" i="73"/>
  <c r="P2012" i="73"/>
  <c r="P2013" i="73"/>
  <c r="P2014" i="73"/>
  <c r="P2015" i="73"/>
  <c r="P2016" i="73"/>
  <c r="J1965" i="73"/>
  <c r="K1965" i="73"/>
  <c r="L1965" i="73"/>
  <c r="J1966" i="73"/>
  <c r="K1966" i="73"/>
  <c r="L1966" i="73"/>
  <c r="J1967" i="73"/>
  <c r="K1967" i="73"/>
  <c r="L1967" i="73"/>
  <c r="J1968" i="73"/>
  <c r="K1968" i="73"/>
  <c r="L1968" i="73"/>
  <c r="J1969" i="73"/>
  <c r="K1969" i="73"/>
  <c r="L1969" i="73"/>
  <c r="J1970" i="73"/>
  <c r="K1970" i="73"/>
  <c r="L1970" i="73"/>
  <c r="J1971" i="73"/>
  <c r="K1971" i="73"/>
  <c r="L1971" i="73"/>
  <c r="J1972" i="73"/>
  <c r="K1972" i="73"/>
  <c r="L1972" i="73"/>
  <c r="J1973" i="73"/>
  <c r="K1973" i="73"/>
  <c r="L1973" i="73"/>
  <c r="J1974" i="73"/>
  <c r="K1974" i="73"/>
  <c r="L1974" i="73"/>
  <c r="J1975" i="73"/>
  <c r="K1975" i="73"/>
  <c r="L1975" i="73"/>
  <c r="J1976" i="73"/>
  <c r="K1976" i="73"/>
  <c r="L1976" i="73"/>
  <c r="J1977" i="73"/>
  <c r="K1977" i="73"/>
  <c r="L1977" i="73"/>
  <c r="J1978" i="73"/>
  <c r="K1978" i="73"/>
  <c r="L1978" i="73"/>
  <c r="J1979" i="73"/>
  <c r="K1979" i="73"/>
  <c r="L1979" i="73"/>
  <c r="J1980" i="73"/>
  <c r="K1980" i="73"/>
  <c r="L1980" i="73"/>
  <c r="J1981" i="73"/>
  <c r="K1981" i="73"/>
  <c r="L1981" i="73"/>
  <c r="J1982" i="73"/>
  <c r="K1982" i="73"/>
  <c r="L1982" i="73"/>
  <c r="J1983" i="73"/>
  <c r="K1983" i="73"/>
  <c r="L1983" i="73"/>
  <c r="J1984" i="73"/>
  <c r="K1984" i="73"/>
  <c r="L1984" i="73"/>
  <c r="J1985" i="73"/>
  <c r="K1985" i="73"/>
  <c r="L1985" i="73"/>
  <c r="J1986" i="73"/>
  <c r="K1986" i="73"/>
  <c r="L1986" i="73"/>
  <c r="J1987" i="73"/>
  <c r="K1987" i="73"/>
  <c r="L1987" i="73"/>
  <c r="J1988" i="73"/>
  <c r="K1988" i="73"/>
  <c r="L1988" i="73"/>
  <c r="J1989" i="73"/>
  <c r="K1989" i="73"/>
  <c r="L1989" i="73"/>
  <c r="J1990" i="73"/>
  <c r="K1990" i="73"/>
  <c r="L1990" i="73"/>
  <c r="J1991" i="73"/>
  <c r="K1991" i="73"/>
  <c r="L1991" i="73"/>
  <c r="J1992" i="73"/>
  <c r="K1992" i="73"/>
  <c r="L1992" i="73"/>
  <c r="J1993" i="73"/>
  <c r="K1993" i="73"/>
  <c r="L1993" i="73"/>
  <c r="J1994" i="73"/>
  <c r="K1994" i="73"/>
  <c r="L1994" i="73"/>
  <c r="J1995" i="73"/>
  <c r="K1995" i="73"/>
  <c r="L1995" i="73"/>
  <c r="J1996" i="73"/>
  <c r="K1996" i="73"/>
  <c r="L1996" i="73"/>
  <c r="J1997" i="73"/>
  <c r="K1997" i="73"/>
  <c r="L1997" i="73"/>
  <c r="J1998" i="73"/>
  <c r="K1998" i="73"/>
  <c r="L1998" i="73"/>
  <c r="J1999" i="73"/>
  <c r="K1999" i="73"/>
  <c r="L1999" i="73"/>
  <c r="J2000" i="73"/>
  <c r="K2000" i="73"/>
  <c r="L2000" i="73"/>
  <c r="J2001" i="73"/>
  <c r="K2001" i="73"/>
  <c r="L2001" i="73"/>
  <c r="J2002" i="73"/>
  <c r="K2002" i="73"/>
  <c r="L2002" i="73"/>
  <c r="J2003" i="73"/>
  <c r="K2003" i="73"/>
  <c r="L2003" i="73"/>
  <c r="J2004" i="73"/>
  <c r="K2004" i="73"/>
  <c r="L2004" i="73"/>
  <c r="J2005" i="73"/>
  <c r="K2005" i="73"/>
  <c r="L2005" i="73"/>
  <c r="J2006" i="73"/>
  <c r="K2006" i="73"/>
  <c r="L2006" i="73"/>
  <c r="J2007" i="73"/>
  <c r="K2007" i="73"/>
  <c r="L2007" i="73"/>
  <c r="J2008" i="73"/>
  <c r="K2008" i="73"/>
  <c r="L2008" i="73"/>
  <c r="J2009" i="73"/>
  <c r="K2009" i="73"/>
  <c r="L2009" i="73"/>
  <c r="J2010" i="73"/>
  <c r="K2010" i="73"/>
  <c r="L2010" i="73"/>
  <c r="J2011" i="73"/>
  <c r="K2011" i="73"/>
  <c r="L2011" i="73"/>
  <c r="J2012" i="73"/>
  <c r="K2012" i="73"/>
  <c r="L2012" i="73"/>
  <c r="J2013" i="73"/>
  <c r="K2013" i="73"/>
  <c r="L2013" i="73"/>
  <c r="J2014" i="73"/>
  <c r="K2014" i="73"/>
  <c r="L2014" i="73"/>
  <c r="J2015" i="73"/>
  <c r="K2015" i="73"/>
  <c r="L2015" i="73"/>
  <c r="J2016" i="73"/>
  <c r="K2016" i="73"/>
  <c r="L2016" i="73"/>
  <c r="P1738" i="73"/>
  <c r="L1738" i="73"/>
  <c r="K1738" i="73"/>
  <c r="J1738" i="73"/>
  <c r="P1739" i="73"/>
  <c r="L1739" i="73"/>
  <c r="K1739" i="73"/>
  <c r="J1739" i="73"/>
  <c r="P1737" i="73"/>
  <c r="L1737" i="73"/>
  <c r="K1737" i="73"/>
  <c r="J1737" i="73"/>
  <c r="P1740" i="73"/>
  <c r="L1740" i="73"/>
  <c r="K1740" i="73"/>
  <c r="J1740" i="73"/>
  <c r="P1741" i="73"/>
  <c r="L1741" i="73"/>
  <c r="K1741" i="73"/>
  <c r="J1741" i="73"/>
  <c r="P1742" i="73"/>
  <c r="P1743" i="73"/>
  <c r="P1744" i="73"/>
  <c r="P1745" i="73"/>
  <c r="P1746" i="73"/>
  <c r="P1747" i="73"/>
  <c r="P1748" i="73"/>
  <c r="P1749" i="73"/>
  <c r="P1750" i="73"/>
  <c r="P1751" i="73"/>
  <c r="P1752" i="73"/>
  <c r="P1753" i="73"/>
  <c r="P1754" i="73"/>
  <c r="P1755" i="73"/>
  <c r="P1756" i="73"/>
  <c r="P1757" i="73"/>
  <c r="P1758" i="73"/>
  <c r="P1759" i="73"/>
  <c r="P1760" i="73"/>
  <c r="P1761" i="73"/>
  <c r="P1762" i="73"/>
  <c r="P1763" i="73"/>
  <c r="P1764" i="73"/>
  <c r="P1765" i="73"/>
  <c r="P1766" i="73"/>
  <c r="P1767" i="73"/>
  <c r="P1768" i="73"/>
  <c r="P1769" i="73"/>
  <c r="P1770" i="73"/>
  <c r="P1771" i="73"/>
  <c r="P1772" i="73"/>
  <c r="P1773" i="73"/>
  <c r="P1774" i="73"/>
  <c r="P1775" i="73"/>
  <c r="P1776" i="73"/>
  <c r="P1777" i="73"/>
  <c r="P1778" i="73"/>
  <c r="P1779" i="73"/>
  <c r="P1780" i="73"/>
  <c r="P1781" i="73"/>
  <c r="P1782" i="73"/>
  <c r="P1783" i="73"/>
  <c r="P1784" i="73"/>
  <c r="P1785" i="73"/>
  <c r="P1786" i="73"/>
  <c r="P1787" i="73"/>
  <c r="P1788" i="73"/>
  <c r="P1789" i="73"/>
  <c r="P1790" i="73"/>
  <c r="P1791" i="73"/>
  <c r="P1792" i="73"/>
  <c r="P1793" i="73"/>
  <c r="P1794" i="73"/>
  <c r="P1795" i="73"/>
  <c r="P1796" i="73"/>
  <c r="P1797" i="73"/>
  <c r="P1798" i="73"/>
  <c r="P1799" i="73"/>
  <c r="P1800" i="73"/>
  <c r="P1801" i="73"/>
  <c r="P1802" i="73"/>
  <c r="P1803" i="73"/>
  <c r="P1804" i="73"/>
  <c r="P1805" i="73"/>
  <c r="P1806" i="73"/>
  <c r="P1807" i="73"/>
  <c r="P1808" i="73"/>
  <c r="P1809" i="73"/>
  <c r="P1810" i="73"/>
  <c r="P1811" i="73"/>
  <c r="P1812" i="73"/>
  <c r="P1813" i="73"/>
  <c r="P1814" i="73"/>
  <c r="P1815" i="73"/>
  <c r="P1816" i="73"/>
  <c r="P1817" i="73"/>
  <c r="P1818" i="73"/>
  <c r="P1819" i="73"/>
  <c r="P1820" i="73"/>
  <c r="P1821" i="73"/>
  <c r="P1822" i="73"/>
  <c r="P1823" i="73"/>
  <c r="P1824" i="73"/>
  <c r="P1825" i="73"/>
  <c r="P1826" i="73"/>
  <c r="P1827" i="73"/>
  <c r="P1828" i="73"/>
  <c r="P1829" i="73"/>
  <c r="P1830" i="73"/>
  <c r="P1831" i="73"/>
  <c r="P1832" i="73"/>
  <c r="P1833" i="73"/>
  <c r="P1834" i="73"/>
  <c r="P1835" i="73"/>
  <c r="P1836" i="73"/>
  <c r="P1837" i="73"/>
  <c r="P1838" i="73"/>
  <c r="P1839" i="73"/>
  <c r="P1840" i="73"/>
  <c r="P1841" i="73"/>
  <c r="P1842" i="73"/>
  <c r="P1843" i="73"/>
  <c r="P1844" i="73"/>
  <c r="P1845" i="73"/>
  <c r="P1846" i="73"/>
  <c r="P1847" i="73"/>
  <c r="P1848" i="73"/>
  <c r="P1849" i="73"/>
  <c r="P1850" i="73"/>
  <c r="P1851" i="73"/>
  <c r="P1852" i="73"/>
  <c r="P1853" i="73"/>
  <c r="P1854" i="73"/>
  <c r="P1855" i="73"/>
  <c r="P1856" i="73"/>
  <c r="P1857" i="73"/>
  <c r="P1858" i="73"/>
  <c r="P1859" i="73"/>
  <c r="P1860" i="73"/>
  <c r="P1861" i="73"/>
  <c r="P1862" i="73"/>
  <c r="P1863" i="73"/>
  <c r="P1864" i="73"/>
  <c r="P1865" i="73"/>
  <c r="P1866" i="73"/>
  <c r="P1867" i="73"/>
  <c r="P1868" i="73"/>
  <c r="P1869" i="73"/>
  <c r="P1870" i="73"/>
  <c r="P1871" i="73"/>
  <c r="P1872" i="73"/>
  <c r="P1873" i="73"/>
  <c r="P1874" i="73"/>
  <c r="P1875" i="73"/>
  <c r="P1876" i="73"/>
  <c r="P1877" i="73"/>
  <c r="P1878" i="73"/>
  <c r="P1879" i="73"/>
  <c r="P1880" i="73"/>
  <c r="P1881" i="73"/>
  <c r="P1882" i="73"/>
  <c r="P1883" i="73"/>
  <c r="P1884" i="73"/>
  <c r="P1885" i="73"/>
  <c r="P1886" i="73"/>
  <c r="P1887" i="73"/>
  <c r="P1888" i="73"/>
  <c r="P1889" i="73"/>
  <c r="P1890" i="73"/>
  <c r="P1891" i="73"/>
  <c r="P1892" i="73"/>
  <c r="P1893" i="73"/>
  <c r="P1894" i="73"/>
  <c r="P1895" i="73"/>
  <c r="P1896" i="73"/>
  <c r="P1897" i="73"/>
  <c r="P1898" i="73"/>
  <c r="P1899" i="73"/>
  <c r="P1900" i="73"/>
  <c r="P1901" i="73"/>
  <c r="P1902" i="73"/>
  <c r="P1903" i="73"/>
  <c r="P1904" i="73"/>
  <c r="P1905" i="73"/>
  <c r="P1906" i="73"/>
  <c r="P1907" i="73"/>
  <c r="P1908" i="73"/>
  <c r="P1909" i="73"/>
  <c r="P1910" i="73"/>
  <c r="P1911" i="73"/>
  <c r="P1912" i="73"/>
  <c r="P1913" i="73"/>
  <c r="P1914" i="73"/>
  <c r="P1915" i="73"/>
  <c r="P1916" i="73"/>
  <c r="P1917" i="73"/>
  <c r="P1918" i="73"/>
  <c r="P1919" i="73"/>
  <c r="P1920" i="73"/>
  <c r="P1921" i="73"/>
  <c r="P1922" i="73"/>
  <c r="P1923" i="73"/>
  <c r="P1924" i="73"/>
  <c r="P1925" i="73"/>
  <c r="P1926" i="73"/>
  <c r="P1927" i="73"/>
  <c r="P1928" i="73"/>
  <c r="P1929" i="73"/>
  <c r="P1930" i="73"/>
  <c r="P1931" i="73"/>
  <c r="P1932" i="73"/>
  <c r="P1933" i="73"/>
  <c r="P1934" i="73"/>
  <c r="P1935" i="73"/>
  <c r="P1936" i="73"/>
  <c r="P1937" i="73"/>
  <c r="P1938" i="73"/>
  <c r="P1939" i="73"/>
  <c r="P1940" i="73"/>
  <c r="P1941" i="73"/>
  <c r="P1942" i="73"/>
  <c r="P1943" i="73"/>
  <c r="P1944" i="73"/>
  <c r="P1945" i="73"/>
  <c r="P1946" i="73"/>
  <c r="P1947" i="73"/>
  <c r="P1948" i="73"/>
  <c r="P1949" i="73"/>
  <c r="P1950" i="73"/>
  <c r="P1951" i="73"/>
  <c r="P1952" i="73"/>
  <c r="P1953" i="73"/>
  <c r="P1954" i="73"/>
  <c r="P1955" i="73"/>
  <c r="P1956" i="73"/>
  <c r="P1957" i="73"/>
  <c r="P1958" i="73"/>
  <c r="P1959" i="73"/>
  <c r="P1960" i="73"/>
  <c r="P1961" i="73"/>
  <c r="P1962" i="73"/>
  <c r="P1963" i="73"/>
  <c r="J1742" i="73"/>
  <c r="K1742" i="73"/>
  <c r="L1742" i="73"/>
  <c r="J1743" i="73"/>
  <c r="K1743" i="73"/>
  <c r="L1743" i="73"/>
  <c r="J1744" i="73"/>
  <c r="K1744" i="73"/>
  <c r="L1744" i="73"/>
  <c r="J1745" i="73"/>
  <c r="K1745" i="73"/>
  <c r="L1745" i="73"/>
  <c r="J1746" i="73"/>
  <c r="K1746" i="73"/>
  <c r="L1746" i="73"/>
  <c r="J1747" i="73"/>
  <c r="K1747" i="73"/>
  <c r="L1747" i="73"/>
  <c r="J1748" i="73"/>
  <c r="K1748" i="73"/>
  <c r="L1748" i="73"/>
  <c r="J1749" i="73"/>
  <c r="K1749" i="73"/>
  <c r="L1749" i="73"/>
  <c r="J1750" i="73"/>
  <c r="K1750" i="73"/>
  <c r="L1750" i="73"/>
  <c r="J1751" i="73"/>
  <c r="K1751" i="73"/>
  <c r="L1751" i="73"/>
  <c r="J1752" i="73"/>
  <c r="K1752" i="73"/>
  <c r="L1752" i="73"/>
  <c r="J1753" i="73"/>
  <c r="K1753" i="73"/>
  <c r="L1753" i="73"/>
  <c r="J1754" i="73"/>
  <c r="K1754" i="73"/>
  <c r="L1754" i="73"/>
  <c r="J1755" i="73"/>
  <c r="K1755" i="73"/>
  <c r="L1755" i="73"/>
  <c r="J1756" i="73"/>
  <c r="K1756" i="73"/>
  <c r="L1756" i="73"/>
  <c r="J1757" i="73"/>
  <c r="K1757" i="73"/>
  <c r="L1757" i="73"/>
  <c r="J1758" i="73"/>
  <c r="K1758" i="73"/>
  <c r="L1758" i="73"/>
  <c r="J1759" i="73"/>
  <c r="K1759" i="73"/>
  <c r="L1759" i="73"/>
  <c r="J1760" i="73"/>
  <c r="K1760" i="73"/>
  <c r="L1760" i="73"/>
  <c r="J1761" i="73"/>
  <c r="K1761" i="73"/>
  <c r="L1761" i="73"/>
  <c r="J1762" i="73"/>
  <c r="K1762" i="73"/>
  <c r="L1762" i="73"/>
  <c r="J1763" i="73"/>
  <c r="K1763" i="73"/>
  <c r="L1763" i="73"/>
  <c r="J1764" i="73"/>
  <c r="K1764" i="73"/>
  <c r="L1764" i="73"/>
  <c r="J1765" i="73"/>
  <c r="K1765" i="73"/>
  <c r="L1765" i="73"/>
  <c r="J1766" i="73"/>
  <c r="K1766" i="73"/>
  <c r="L1766" i="73"/>
  <c r="J1767" i="73"/>
  <c r="K1767" i="73"/>
  <c r="L1767" i="73"/>
  <c r="J1768" i="73"/>
  <c r="K1768" i="73"/>
  <c r="L1768" i="73"/>
  <c r="J1769" i="73"/>
  <c r="K1769" i="73"/>
  <c r="L1769" i="73"/>
  <c r="J1770" i="73"/>
  <c r="K1770" i="73"/>
  <c r="L1770" i="73"/>
  <c r="J1771" i="73"/>
  <c r="K1771" i="73"/>
  <c r="L1771" i="73"/>
  <c r="J1772" i="73"/>
  <c r="K1772" i="73"/>
  <c r="L1772" i="73"/>
  <c r="J1773" i="73"/>
  <c r="K1773" i="73"/>
  <c r="L1773" i="73"/>
  <c r="J1774" i="73"/>
  <c r="K1774" i="73"/>
  <c r="L1774" i="73"/>
  <c r="J1775" i="73"/>
  <c r="K1775" i="73"/>
  <c r="L1775" i="73"/>
  <c r="J1776" i="73"/>
  <c r="K1776" i="73"/>
  <c r="L1776" i="73"/>
  <c r="J1777" i="73"/>
  <c r="K1777" i="73"/>
  <c r="L1777" i="73"/>
  <c r="J1778" i="73"/>
  <c r="K1778" i="73"/>
  <c r="L1778" i="73"/>
  <c r="J1779" i="73"/>
  <c r="K1779" i="73"/>
  <c r="L1779" i="73"/>
  <c r="J1780" i="73"/>
  <c r="K1780" i="73"/>
  <c r="L1780" i="73"/>
  <c r="J1781" i="73"/>
  <c r="K1781" i="73"/>
  <c r="L1781" i="73"/>
  <c r="J1782" i="73"/>
  <c r="K1782" i="73"/>
  <c r="L1782" i="73"/>
  <c r="J1783" i="73"/>
  <c r="K1783" i="73"/>
  <c r="L1783" i="73"/>
  <c r="J1784" i="73"/>
  <c r="K1784" i="73"/>
  <c r="L1784" i="73"/>
  <c r="J1785" i="73"/>
  <c r="K1785" i="73"/>
  <c r="L1785" i="73"/>
  <c r="J1786" i="73"/>
  <c r="K1786" i="73"/>
  <c r="L1786" i="73"/>
  <c r="J1787" i="73"/>
  <c r="K1787" i="73"/>
  <c r="L1787" i="73"/>
  <c r="J1788" i="73"/>
  <c r="K1788" i="73"/>
  <c r="L1788" i="73"/>
  <c r="J1789" i="73"/>
  <c r="K1789" i="73"/>
  <c r="L1789" i="73"/>
  <c r="J1790" i="73"/>
  <c r="K1790" i="73"/>
  <c r="L1790" i="73"/>
  <c r="J1791" i="73"/>
  <c r="K1791" i="73"/>
  <c r="L1791" i="73"/>
  <c r="J1792" i="73"/>
  <c r="K1792" i="73"/>
  <c r="L1792" i="73"/>
  <c r="J1793" i="73"/>
  <c r="K1793" i="73"/>
  <c r="L1793" i="73"/>
  <c r="J1794" i="73"/>
  <c r="K1794" i="73"/>
  <c r="L1794" i="73"/>
  <c r="J1795" i="73"/>
  <c r="K1795" i="73"/>
  <c r="L1795" i="73"/>
  <c r="J1796" i="73"/>
  <c r="K1796" i="73"/>
  <c r="L1796" i="73"/>
  <c r="J1797" i="73"/>
  <c r="K1797" i="73"/>
  <c r="L1797" i="73"/>
  <c r="J1798" i="73"/>
  <c r="K1798" i="73"/>
  <c r="L1798" i="73"/>
  <c r="J1799" i="73"/>
  <c r="K1799" i="73"/>
  <c r="L1799" i="73"/>
  <c r="J1800" i="73"/>
  <c r="K1800" i="73"/>
  <c r="L1800" i="73"/>
  <c r="J1801" i="73"/>
  <c r="K1801" i="73"/>
  <c r="L1801" i="73"/>
  <c r="J1802" i="73"/>
  <c r="K1802" i="73"/>
  <c r="L1802" i="73"/>
  <c r="J1803" i="73"/>
  <c r="K1803" i="73"/>
  <c r="L1803" i="73"/>
  <c r="J1804" i="73"/>
  <c r="K1804" i="73"/>
  <c r="L1804" i="73"/>
  <c r="J1805" i="73"/>
  <c r="K1805" i="73"/>
  <c r="L1805" i="73"/>
  <c r="J1806" i="73"/>
  <c r="K1806" i="73"/>
  <c r="L1806" i="73"/>
  <c r="J1807" i="73"/>
  <c r="K1807" i="73"/>
  <c r="L1807" i="73"/>
  <c r="J1808" i="73"/>
  <c r="K1808" i="73"/>
  <c r="L1808" i="73"/>
  <c r="J1809" i="73"/>
  <c r="K1809" i="73"/>
  <c r="L1809" i="73"/>
  <c r="J1810" i="73"/>
  <c r="K1810" i="73"/>
  <c r="L1810" i="73"/>
  <c r="J1811" i="73"/>
  <c r="K1811" i="73"/>
  <c r="L1811" i="73"/>
  <c r="J1812" i="73"/>
  <c r="K1812" i="73"/>
  <c r="L1812" i="73"/>
  <c r="J1813" i="73"/>
  <c r="K1813" i="73"/>
  <c r="L1813" i="73"/>
  <c r="J1814" i="73"/>
  <c r="K1814" i="73"/>
  <c r="L1814" i="73"/>
  <c r="J1815" i="73"/>
  <c r="K1815" i="73"/>
  <c r="L1815" i="73"/>
  <c r="J1816" i="73"/>
  <c r="K1816" i="73"/>
  <c r="L1816" i="73"/>
  <c r="J1817" i="73"/>
  <c r="K1817" i="73"/>
  <c r="L1817" i="73"/>
  <c r="J1818" i="73"/>
  <c r="K1818" i="73"/>
  <c r="L1818" i="73"/>
  <c r="J1819" i="73"/>
  <c r="K1819" i="73"/>
  <c r="L1819" i="73"/>
  <c r="J1820" i="73"/>
  <c r="K1820" i="73"/>
  <c r="L1820" i="73"/>
  <c r="J1821" i="73"/>
  <c r="K1821" i="73"/>
  <c r="L1821" i="73"/>
  <c r="J1822" i="73"/>
  <c r="K1822" i="73"/>
  <c r="L1822" i="73"/>
  <c r="J1823" i="73"/>
  <c r="K1823" i="73"/>
  <c r="L1823" i="73"/>
  <c r="J1824" i="73"/>
  <c r="K1824" i="73"/>
  <c r="L1824" i="73"/>
  <c r="J1825" i="73"/>
  <c r="K1825" i="73"/>
  <c r="L1825" i="73"/>
  <c r="J1826" i="73"/>
  <c r="K1826" i="73"/>
  <c r="L1826" i="73"/>
  <c r="J1827" i="73"/>
  <c r="K1827" i="73"/>
  <c r="L1827" i="73"/>
  <c r="J1828" i="73"/>
  <c r="K1828" i="73"/>
  <c r="L1828" i="73"/>
  <c r="J1829" i="73"/>
  <c r="K1829" i="73"/>
  <c r="L1829" i="73"/>
  <c r="J1830" i="73"/>
  <c r="K1830" i="73"/>
  <c r="L1830" i="73"/>
  <c r="J1831" i="73"/>
  <c r="K1831" i="73"/>
  <c r="L1831" i="73"/>
  <c r="J1832" i="73"/>
  <c r="K1832" i="73"/>
  <c r="L1832" i="73"/>
  <c r="J1833" i="73"/>
  <c r="K1833" i="73"/>
  <c r="L1833" i="73"/>
  <c r="J1834" i="73"/>
  <c r="K1834" i="73"/>
  <c r="L1834" i="73"/>
  <c r="J1835" i="73"/>
  <c r="K1835" i="73"/>
  <c r="L1835" i="73"/>
  <c r="J1836" i="73"/>
  <c r="K1836" i="73"/>
  <c r="L1836" i="73"/>
  <c r="J1837" i="73"/>
  <c r="K1837" i="73"/>
  <c r="L1837" i="73"/>
  <c r="J1838" i="73"/>
  <c r="K1838" i="73"/>
  <c r="L1838" i="73"/>
  <c r="J1839" i="73"/>
  <c r="K1839" i="73"/>
  <c r="L1839" i="73"/>
  <c r="J1840" i="73"/>
  <c r="K1840" i="73"/>
  <c r="L1840" i="73"/>
  <c r="J1841" i="73"/>
  <c r="K1841" i="73"/>
  <c r="L1841" i="73"/>
  <c r="J1842" i="73"/>
  <c r="K1842" i="73"/>
  <c r="L1842" i="73"/>
  <c r="J1843" i="73"/>
  <c r="K1843" i="73"/>
  <c r="L1843" i="73"/>
  <c r="J1844" i="73"/>
  <c r="K1844" i="73"/>
  <c r="L1844" i="73"/>
  <c r="J1845" i="73"/>
  <c r="K1845" i="73"/>
  <c r="L1845" i="73"/>
  <c r="J1846" i="73"/>
  <c r="K1846" i="73"/>
  <c r="L1846" i="73"/>
  <c r="J1847" i="73"/>
  <c r="K1847" i="73"/>
  <c r="L1847" i="73"/>
  <c r="J1848" i="73"/>
  <c r="K1848" i="73"/>
  <c r="L1848" i="73"/>
  <c r="J1849" i="73"/>
  <c r="K1849" i="73"/>
  <c r="L1849" i="73"/>
  <c r="J1850" i="73"/>
  <c r="K1850" i="73"/>
  <c r="L1850" i="73"/>
  <c r="J1851" i="73"/>
  <c r="K1851" i="73"/>
  <c r="L1851" i="73"/>
  <c r="J1852" i="73"/>
  <c r="K1852" i="73"/>
  <c r="L1852" i="73"/>
  <c r="J1853" i="73"/>
  <c r="K1853" i="73"/>
  <c r="L1853" i="73"/>
  <c r="J1854" i="73"/>
  <c r="K1854" i="73"/>
  <c r="L1854" i="73"/>
  <c r="J1855" i="73"/>
  <c r="K1855" i="73"/>
  <c r="L1855" i="73"/>
  <c r="J1856" i="73"/>
  <c r="K1856" i="73"/>
  <c r="L1856" i="73"/>
  <c r="J1857" i="73"/>
  <c r="K1857" i="73"/>
  <c r="L1857" i="73"/>
  <c r="J1858" i="73"/>
  <c r="K1858" i="73"/>
  <c r="L1858" i="73"/>
  <c r="J1859" i="73"/>
  <c r="K1859" i="73"/>
  <c r="L1859" i="73"/>
  <c r="J1860" i="73"/>
  <c r="K1860" i="73"/>
  <c r="L1860" i="73"/>
  <c r="J1861" i="73"/>
  <c r="K1861" i="73"/>
  <c r="L1861" i="73"/>
  <c r="J1862" i="73"/>
  <c r="K1862" i="73"/>
  <c r="L1862" i="73"/>
  <c r="J1863" i="73"/>
  <c r="K1863" i="73"/>
  <c r="L1863" i="73"/>
  <c r="J1864" i="73"/>
  <c r="K1864" i="73"/>
  <c r="L1864" i="73"/>
  <c r="J1865" i="73"/>
  <c r="K1865" i="73"/>
  <c r="L1865" i="73"/>
  <c r="J1866" i="73"/>
  <c r="K1866" i="73"/>
  <c r="L1866" i="73"/>
  <c r="J1867" i="73"/>
  <c r="K1867" i="73"/>
  <c r="L1867" i="73"/>
  <c r="J1868" i="73"/>
  <c r="K1868" i="73"/>
  <c r="L1868" i="73"/>
  <c r="J1869" i="73"/>
  <c r="K1869" i="73"/>
  <c r="L1869" i="73"/>
  <c r="J1870" i="73"/>
  <c r="K1870" i="73"/>
  <c r="L1870" i="73"/>
  <c r="J1871" i="73"/>
  <c r="K1871" i="73"/>
  <c r="L1871" i="73"/>
  <c r="J1872" i="73"/>
  <c r="K1872" i="73"/>
  <c r="L1872" i="73"/>
  <c r="J1873" i="73"/>
  <c r="K1873" i="73"/>
  <c r="L1873" i="73"/>
  <c r="J1874" i="73"/>
  <c r="K1874" i="73"/>
  <c r="L1874" i="73"/>
  <c r="J1875" i="73"/>
  <c r="K1875" i="73"/>
  <c r="L1875" i="73"/>
  <c r="J1876" i="73"/>
  <c r="K1876" i="73"/>
  <c r="L1876" i="73"/>
  <c r="J1877" i="73"/>
  <c r="K1877" i="73"/>
  <c r="L1877" i="73"/>
  <c r="J1878" i="73"/>
  <c r="K1878" i="73"/>
  <c r="L1878" i="73"/>
  <c r="J1879" i="73"/>
  <c r="K1879" i="73"/>
  <c r="L1879" i="73"/>
  <c r="J1880" i="73"/>
  <c r="K1880" i="73"/>
  <c r="L1880" i="73"/>
  <c r="J1881" i="73"/>
  <c r="K1881" i="73"/>
  <c r="L1881" i="73"/>
  <c r="J1882" i="73"/>
  <c r="K1882" i="73"/>
  <c r="L1882" i="73"/>
  <c r="J1883" i="73"/>
  <c r="K1883" i="73"/>
  <c r="L1883" i="73"/>
  <c r="J1884" i="73"/>
  <c r="K1884" i="73"/>
  <c r="L1884" i="73"/>
  <c r="J1885" i="73"/>
  <c r="K1885" i="73"/>
  <c r="L1885" i="73"/>
  <c r="J1886" i="73"/>
  <c r="K1886" i="73"/>
  <c r="L1886" i="73"/>
  <c r="J1887" i="73"/>
  <c r="K1887" i="73"/>
  <c r="L1887" i="73"/>
  <c r="J1888" i="73"/>
  <c r="K1888" i="73"/>
  <c r="L1888" i="73"/>
  <c r="J1889" i="73"/>
  <c r="K1889" i="73"/>
  <c r="L1889" i="73"/>
  <c r="J1890" i="73"/>
  <c r="K1890" i="73"/>
  <c r="L1890" i="73"/>
  <c r="J1891" i="73"/>
  <c r="K1891" i="73"/>
  <c r="L1891" i="73"/>
  <c r="J1892" i="73"/>
  <c r="K1892" i="73"/>
  <c r="L1892" i="73"/>
  <c r="J1893" i="73"/>
  <c r="K1893" i="73"/>
  <c r="L1893" i="73"/>
  <c r="J1894" i="73"/>
  <c r="K1894" i="73"/>
  <c r="L1894" i="73"/>
  <c r="J1895" i="73"/>
  <c r="K1895" i="73"/>
  <c r="L1895" i="73"/>
  <c r="J1896" i="73"/>
  <c r="K1896" i="73"/>
  <c r="L1896" i="73"/>
  <c r="J1897" i="73"/>
  <c r="K1897" i="73"/>
  <c r="L1897" i="73"/>
  <c r="J1898" i="73"/>
  <c r="K1898" i="73"/>
  <c r="L1898" i="73"/>
  <c r="J1899" i="73"/>
  <c r="K1899" i="73"/>
  <c r="L1899" i="73"/>
  <c r="J1900" i="73"/>
  <c r="K1900" i="73"/>
  <c r="L1900" i="73"/>
  <c r="J1901" i="73"/>
  <c r="K1901" i="73"/>
  <c r="L1901" i="73"/>
  <c r="J1902" i="73"/>
  <c r="K1902" i="73"/>
  <c r="L1902" i="73"/>
  <c r="J1903" i="73"/>
  <c r="K1903" i="73"/>
  <c r="L1903" i="73"/>
  <c r="J1904" i="73"/>
  <c r="K1904" i="73"/>
  <c r="L1904" i="73"/>
  <c r="J1905" i="73"/>
  <c r="K1905" i="73"/>
  <c r="L1905" i="73"/>
  <c r="J1906" i="73"/>
  <c r="K1906" i="73"/>
  <c r="L1906" i="73"/>
  <c r="J1907" i="73"/>
  <c r="K1907" i="73"/>
  <c r="L1907" i="73"/>
  <c r="J1908" i="73"/>
  <c r="K1908" i="73"/>
  <c r="L1908" i="73"/>
  <c r="J1909" i="73"/>
  <c r="K1909" i="73"/>
  <c r="L1909" i="73"/>
  <c r="J1910" i="73"/>
  <c r="K1910" i="73"/>
  <c r="L1910" i="73"/>
  <c r="J1911" i="73"/>
  <c r="K1911" i="73"/>
  <c r="L1911" i="73"/>
  <c r="J1912" i="73"/>
  <c r="K1912" i="73"/>
  <c r="L1912" i="73"/>
  <c r="J1913" i="73"/>
  <c r="K1913" i="73"/>
  <c r="L1913" i="73"/>
  <c r="J1914" i="73"/>
  <c r="K1914" i="73"/>
  <c r="L1914" i="73"/>
  <c r="J1915" i="73"/>
  <c r="K1915" i="73"/>
  <c r="L1915" i="73"/>
  <c r="J1916" i="73"/>
  <c r="K1916" i="73"/>
  <c r="L1916" i="73"/>
  <c r="J1917" i="73"/>
  <c r="K1917" i="73"/>
  <c r="L1917" i="73"/>
  <c r="J1918" i="73"/>
  <c r="K1918" i="73"/>
  <c r="L1918" i="73"/>
  <c r="J1919" i="73"/>
  <c r="K1919" i="73"/>
  <c r="L1919" i="73"/>
  <c r="J1920" i="73"/>
  <c r="K1920" i="73"/>
  <c r="L1920" i="73"/>
  <c r="J1921" i="73"/>
  <c r="K1921" i="73"/>
  <c r="L1921" i="73"/>
  <c r="J1922" i="73"/>
  <c r="K1922" i="73"/>
  <c r="L1922" i="73"/>
  <c r="J1923" i="73"/>
  <c r="K1923" i="73"/>
  <c r="L1923" i="73"/>
  <c r="J1924" i="73"/>
  <c r="K1924" i="73"/>
  <c r="L1924" i="73"/>
  <c r="J1925" i="73"/>
  <c r="K1925" i="73"/>
  <c r="L1925" i="73"/>
  <c r="J1926" i="73"/>
  <c r="K1926" i="73"/>
  <c r="L1926" i="73"/>
  <c r="J1927" i="73"/>
  <c r="K1927" i="73"/>
  <c r="L1927" i="73"/>
  <c r="J1928" i="73"/>
  <c r="K1928" i="73"/>
  <c r="L1928" i="73"/>
  <c r="J1929" i="73"/>
  <c r="K1929" i="73"/>
  <c r="L1929" i="73"/>
  <c r="J1930" i="73"/>
  <c r="K1930" i="73"/>
  <c r="L1930" i="73"/>
  <c r="J1931" i="73"/>
  <c r="K1931" i="73"/>
  <c r="L1931" i="73"/>
  <c r="J1932" i="73"/>
  <c r="K1932" i="73"/>
  <c r="L1932" i="73"/>
  <c r="J1933" i="73"/>
  <c r="K1933" i="73"/>
  <c r="L1933" i="73"/>
  <c r="J1934" i="73"/>
  <c r="K1934" i="73"/>
  <c r="L1934" i="73"/>
  <c r="J1935" i="73"/>
  <c r="K1935" i="73"/>
  <c r="L1935" i="73"/>
  <c r="J1936" i="73"/>
  <c r="K1936" i="73"/>
  <c r="L1936" i="73"/>
  <c r="J1937" i="73"/>
  <c r="K1937" i="73"/>
  <c r="L1937" i="73"/>
  <c r="J1938" i="73"/>
  <c r="K1938" i="73"/>
  <c r="L1938" i="73"/>
  <c r="J1939" i="73"/>
  <c r="K1939" i="73"/>
  <c r="L1939" i="73"/>
  <c r="J1940" i="73"/>
  <c r="K1940" i="73"/>
  <c r="L1940" i="73"/>
  <c r="J1941" i="73"/>
  <c r="K1941" i="73"/>
  <c r="L1941" i="73"/>
  <c r="J1942" i="73"/>
  <c r="K1942" i="73"/>
  <c r="L1942" i="73"/>
  <c r="J1943" i="73"/>
  <c r="K1943" i="73"/>
  <c r="L1943" i="73"/>
  <c r="J1944" i="73"/>
  <c r="K1944" i="73"/>
  <c r="L1944" i="73"/>
  <c r="J1945" i="73"/>
  <c r="K1945" i="73"/>
  <c r="L1945" i="73"/>
  <c r="J1946" i="73"/>
  <c r="K1946" i="73"/>
  <c r="L1946" i="73"/>
  <c r="J1947" i="73"/>
  <c r="K1947" i="73"/>
  <c r="L1947" i="73"/>
  <c r="J1948" i="73"/>
  <c r="K1948" i="73"/>
  <c r="L1948" i="73"/>
  <c r="J1949" i="73"/>
  <c r="K1949" i="73"/>
  <c r="L1949" i="73"/>
  <c r="J1950" i="73"/>
  <c r="K1950" i="73"/>
  <c r="L1950" i="73"/>
  <c r="J1951" i="73"/>
  <c r="K1951" i="73"/>
  <c r="L1951" i="73"/>
  <c r="J1952" i="73"/>
  <c r="K1952" i="73"/>
  <c r="L1952" i="73"/>
  <c r="J1953" i="73"/>
  <c r="K1953" i="73"/>
  <c r="L1953" i="73"/>
  <c r="J1954" i="73"/>
  <c r="K1954" i="73"/>
  <c r="L1954" i="73"/>
  <c r="J1955" i="73"/>
  <c r="K1955" i="73"/>
  <c r="L1955" i="73"/>
  <c r="J1956" i="73"/>
  <c r="K1956" i="73"/>
  <c r="L1956" i="73"/>
  <c r="J1957" i="73"/>
  <c r="K1957" i="73"/>
  <c r="L1957" i="73"/>
  <c r="J1958" i="73"/>
  <c r="K1958" i="73"/>
  <c r="L1958" i="73"/>
  <c r="J1959" i="73"/>
  <c r="K1959" i="73"/>
  <c r="L1959" i="73"/>
  <c r="J1960" i="73"/>
  <c r="K1960" i="73"/>
  <c r="L1960" i="73"/>
  <c r="J1961" i="73"/>
  <c r="K1961" i="73"/>
  <c r="L1961" i="73"/>
  <c r="J1962" i="73"/>
  <c r="K1962" i="73"/>
  <c r="L1962" i="73"/>
  <c r="J1963" i="73"/>
  <c r="K1963" i="73"/>
  <c r="L1963" i="73"/>
  <c r="O47" i="1"/>
  <c r="P47" i="1"/>
  <c r="P46" i="1"/>
  <c r="O46" i="1"/>
  <c r="P1694" i="73"/>
  <c r="P1695" i="73"/>
  <c r="P1696" i="73"/>
  <c r="P1697" i="73"/>
  <c r="P1698" i="73"/>
  <c r="P1699" i="73"/>
  <c r="P1700" i="73"/>
  <c r="P1701" i="73"/>
  <c r="P1702" i="73"/>
  <c r="P1703" i="73"/>
  <c r="P1704" i="73"/>
  <c r="P1705" i="73"/>
  <c r="P1706" i="73"/>
  <c r="P1707" i="73"/>
  <c r="P1708" i="73"/>
  <c r="P1709" i="73"/>
  <c r="P1710" i="73"/>
  <c r="P1711" i="73"/>
  <c r="P1712" i="73"/>
  <c r="P1713" i="73"/>
  <c r="P1714" i="73"/>
  <c r="P1715" i="73"/>
  <c r="P1716" i="73"/>
  <c r="P1717" i="73"/>
  <c r="P1718" i="73"/>
  <c r="P1719" i="73"/>
  <c r="P1720" i="73"/>
  <c r="P1721" i="73"/>
  <c r="P1722" i="73"/>
  <c r="P1723" i="73"/>
  <c r="P1724" i="73"/>
  <c r="P1725" i="73"/>
  <c r="P1726" i="73"/>
  <c r="P1727" i="73"/>
  <c r="P1728" i="73"/>
  <c r="P1729" i="73"/>
  <c r="P1730" i="73"/>
  <c r="P1731" i="73"/>
  <c r="P1732" i="73"/>
  <c r="P1733" i="73"/>
  <c r="P1734" i="73"/>
  <c r="P1735" i="73"/>
  <c r="P1736" i="73"/>
  <c r="P3" i="73"/>
  <c r="P4" i="73"/>
  <c r="P5" i="73"/>
  <c r="P6" i="73"/>
  <c r="P7" i="73"/>
  <c r="P8" i="73"/>
  <c r="P9" i="73"/>
  <c r="P10" i="73"/>
  <c r="P11" i="73"/>
  <c r="P12" i="73"/>
  <c r="P13" i="73"/>
  <c r="P14" i="73"/>
  <c r="P15" i="73"/>
  <c r="P16" i="73"/>
  <c r="P17" i="73"/>
  <c r="P18" i="73"/>
  <c r="P19" i="73"/>
  <c r="P20" i="73"/>
  <c r="P21" i="73"/>
  <c r="P22" i="73"/>
  <c r="P23" i="73"/>
  <c r="P24" i="73"/>
  <c r="P25" i="73"/>
  <c r="P26" i="73"/>
  <c r="P27" i="73"/>
  <c r="P28" i="73"/>
  <c r="P30" i="73"/>
  <c r="P31" i="73"/>
  <c r="P32" i="73"/>
  <c r="P33" i="73"/>
  <c r="P34" i="73"/>
  <c r="P35" i="73"/>
  <c r="P36" i="73"/>
  <c r="P37" i="73"/>
  <c r="P38" i="73"/>
  <c r="P39" i="73"/>
  <c r="P40" i="73"/>
  <c r="P41" i="73"/>
  <c r="P42" i="73"/>
  <c r="P43" i="73"/>
  <c r="P44" i="73"/>
  <c r="P45" i="73"/>
  <c r="P46" i="73"/>
  <c r="P47" i="73"/>
  <c r="P48" i="73"/>
  <c r="P49" i="73"/>
  <c r="P50" i="73"/>
  <c r="P51" i="73"/>
  <c r="P52" i="73"/>
  <c r="P53" i="73"/>
  <c r="P54" i="73"/>
  <c r="P55" i="73"/>
  <c r="P56" i="73"/>
  <c r="P57" i="73"/>
  <c r="P58" i="73"/>
  <c r="P59" i="73"/>
  <c r="P60" i="73"/>
  <c r="P61" i="73"/>
  <c r="P62" i="73"/>
  <c r="P63" i="73"/>
  <c r="P64" i="73"/>
  <c r="P65" i="73"/>
  <c r="P66" i="73"/>
  <c r="P67" i="73"/>
  <c r="P68" i="73"/>
  <c r="P69" i="73"/>
  <c r="P70" i="73"/>
  <c r="P71" i="73"/>
  <c r="P72" i="73"/>
  <c r="P73" i="73"/>
  <c r="P74" i="73"/>
  <c r="P75" i="73"/>
  <c r="P76" i="73"/>
  <c r="P77" i="73"/>
  <c r="P78" i="73"/>
  <c r="P79" i="73"/>
  <c r="P80" i="73"/>
  <c r="P81" i="73"/>
  <c r="P82" i="73"/>
  <c r="P83" i="73"/>
  <c r="P84" i="73"/>
  <c r="P85" i="73"/>
  <c r="P86" i="73"/>
  <c r="P87" i="73"/>
  <c r="P88" i="73"/>
  <c r="P89" i="73"/>
  <c r="P90" i="73"/>
  <c r="P91" i="73"/>
  <c r="P92" i="73"/>
  <c r="P93" i="73"/>
  <c r="P94" i="73"/>
  <c r="P95" i="73"/>
  <c r="P96" i="73"/>
  <c r="P97" i="73"/>
  <c r="P98" i="73"/>
  <c r="P99" i="73"/>
  <c r="P100" i="73"/>
  <c r="P101" i="73"/>
  <c r="P102" i="73"/>
  <c r="P103" i="73"/>
  <c r="P104" i="73"/>
  <c r="P105" i="73"/>
  <c r="P106" i="73"/>
  <c r="P107" i="73"/>
  <c r="P108" i="73"/>
  <c r="P109" i="73"/>
  <c r="P110" i="73"/>
  <c r="P111" i="73"/>
  <c r="P112" i="73"/>
  <c r="P113" i="73"/>
  <c r="P114" i="73"/>
  <c r="P115" i="73"/>
  <c r="P116" i="73"/>
  <c r="P117" i="73"/>
  <c r="P118" i="73"/>
  <c r="P119" i="73"/>
  <c r="P120" i="73"/>
  <c r="P121" i="73"/>
  <c r="P122" i="73"/>
  <c r="P123" i="73"/>
  <c r="P124" i="73"/>
  <c r="P125" i="73"/>
  <c r="P126" i="73"/>
  <c r="P127" i="73"/>
  <c r="P128" i="73"/>
  <c r="P129" i="73"/>
  <c r="P130" i="73"/>
  <c r="P131" i="73"/>
  <c r="P132" i="73"/>
  <c r="P133" i="73"/>
  <c r="P134" i="73"/>
  <c r="P135" i="73"/>
  <c r="P136" i="73"/>
  <c r="P137" i="73"/>
  <c r="P138" i="73"/>
  <c r="P139" i="73"/>
  <c r="P140" i="73"/>
  <c r="P141" i="73"/>
  <c r="P142" i="73"/>
  <c r="P143" i="73"/>
  <c r="P144" i="73"/>
  <c r="P145" i="73"/>
  <c r="P146" i="73"/>
  <c r="P147" i="73"/>
  <c r="P148" i="73"/>
  <c r="P149" i="73"/>
  <c r="P150" i="73"/>
  <c r="P151" i="73"/>
  <c r="P152" i="73"/>
  <c r="P153" i="73"/>
  <c r="P154" i="73"/>
  <c r="P155" i="73"/>
  <c r="P156" i="73"/>
  <c r="P157" i="73"/>
  <c r="P158" i="73"/>
  <c r="P159" i="73"/>
  <c r="P160" i="73"/>
  <c r="P161" i="73"/>
  <c r="P162" i="73"/>
  <c r="P163" i="73"/>
  <c r="P164" i="73"/>
  <c r="P165" i="73"/>
  <c r="P166" i="73"/>
  <c r="P167" i="73"/>
  <c r="P168" i="73"/>
  <c r="P169" i="73"/>
  <c r="P170" i="73"/>
  <c r="P171" i="73"/>
  <c r="P172" i="73"/>
  <c r="P173" i="73"/>
  <c r="P174" i="73"/>
  <c r="P175" i="73"/>
  <c r="P176" i="73"/>
  <c r="P177" i="73"/>
  <c r="P178" i="73"/>
  <c r="P179" i="73"/>
  <c r="P180" i="73"/>
  <c r="P181" i="73"/>
  <c r="P182" i="73"/>
  <c r="P183" i="73"/>
  <c r="P184" i="73"/>
  <c r="P185" i="73"/>
  <c r="P186" i="73"/>
  <c r="P187" i="73"/>
  <c r="P188" i="73"/>
  <c r="P189" i="73"/>
  <c r="P190" i="73"/>
  <c r="P191" i="73"/>
  <c r="P192" i="73"/>
  <c r="P193" i="73"/>
  <c r="P194" i="73"/>
  <c r="P195" i="73"/>
  <c r="P196" i="73"/>
  <c r="P197" i="73"/>
  <c r="P198" i="73"/>
  <c r="P199" i="73"/>
  <c r="P200" i="73"/>
  <c r="P201" i="73"/>
  <c r="P202" i="73"/>
  <c r="P203" i="73"/>
  <c r="P204" i="73"/>
  <c r="P205" i="73"/>
  <c r="P206" i="73"/>
  <c r="P207" i="73"/>
  <c r="P208" i="73"/>
  <c r="P209" i="73"/>
  <c r="P210" i="73"/>
  <c r="P211" i="73"/>
  <c r="P212" i="73"/>
  <c r="P213" i="73"/>
  <c r="P214" i="73"/>
  <c r="P215" i="73"/>
  <c r="P216" i="73"/>
  <c r="P217" i="73"/>
  <c r="P218" i="73"/>
  <c r="P219" i="73"/>
  <c r="P220" i="73"/>
  <c r="P221" i="73"/>
  <c r="P222" i="73"/>
  <c r="P223" i="73"/>
  <c r="P224" i="73"/>
  <c r="P225" i="73"/>
  <c r="P226" i="73"/>
  <c r="P227" i="73"/>
  <c r="P228" i="73"/>
  <c r="P229" i="73"/>
  <c r="P230" i="73"/>
  <c r="P231" i="73"/>
  <c r="P232" i="73"/>
  <c r="P233" i="73"/>
  <c r="P234" i="73"/>
  <c r="P235" i="73"/>
  <c r="P236" i="73"/>
  <c r="P237" i="73"/>
  <c r="P238" i="73"/>
  <c r="P239" i="73"/>
  <c r="P240" i="73"/>
  <c r="P241" i="73"/>
  <c r="P242" i="73"/>
  <c r="P243" i="73"/>
  <c r="P244" i="73"/>
  <c r="P245" i="73"/>
  <c r="P246" i="73"/>
  <c r="P247" i="73"/>
  <c r="P248" i="73"/>
  <c r="P249" i="73"/>
  <c r="P250" i="73"/>
  <c r="P251" i="73"/>
  <c r="P252" i="73"/>
  <c r="P253" i="73"/>
  <c r="P254" i="73"/>
  <c r="P255" i="73"/>
  <c r="P256" i="73"/>
  <c r="P257" i="73"/>
  <c r="P258" i="73"/>
  <c r="P259" i="73"/>
  <c r="P260" i="73"/>
  <c r="P261" i="73"/>
  <c r="P262" i="73"/>
  <c r="P263" i="73"/>
  <c r="P264" i="73"/>
  <c r="P265" i="73"/>
  <c r="P266" i="73"/>
  <c r="P267" i="73"/>
  <c r="P268" i="73"/>
  <c r="P269" i="73"/>
  <c r="P270" i="73"/>
  <c r="P271" i="73"/>
  <c r="P272" i="73"/>
  <c r="P273" i="73"/>
  <c r="P274" i="73"/>
  <c r="P275" i="73"/>
  <c r="P276" i="73"/>
  <c r="P277" i="73"/>
  <c r="P278" i="73"/>
  <c r="P279" i="73"/>
  <c r="P280" i="73"/>
  <c r="P281" i="73"/>
  <c r="P282" i="73"/>
  <c r="P283" i="73"/>
  <c r="P284" i="73"/>
  <c r="P285" i="73"/>
  <c r="P286" i="73"/>
  <c r="P287" i="73"/>
  <c r="P288" i="73"/>
  <c r="P289" i="73"/>
  <c r="P290" i="73"/>
  <c r="P291" i="73"/>
  <c r="P292" i="73"/>
  <c r="P293" i="73"/>
  <c r="P294" i="73"/>
  <c r="P295" i="73"/>
  <c r="P296" i="73"/>
  <c r="P297" i="73"/>
  <c r="P298" i="73"/>
  <c r="P299" i="73"/>
  <c r="P300" i="73"/>
  <c r="P301" i="73"/>
  <c r="P302" i="73"/>
  <c r="P303" i="73"/>
  <c r="P304" i="73"/>
  <c r="P305" i="73"/>
  <c r="P306" i="73"/>
  <c r="P307" i="73"/>
  <c r="P308" i="73"/>
  <c r="P309" i="73"/>
  <c r="P310" i="73"/>
  <c r="P311" i="73"/>
  <c r="P312" i="73"/>
  <c r="P313" i="73"/>
  <c r="P314" i="73"/>
  <c r="P315" i="73"/>
  <c r="P316" i="73"/>
  <c r="P2" i="73"/>
  <c r="P318" i="73"/>
  <c r="P319" i="73"/>
  <c r="P320" i="73"/>
  <c r="P321" i="73"/>
  <c r="P322" i="73"/>
  <c r="P323" i="73"/>
  <c r="P324" i="73"/>
  <c r="P325" i="73"/>
  <c r="P326" i="73"/>
  <c r="P327" i="73"/>
  <c r="P328" i="73"/>
  <c r="P329" i="73"/>
  <c r="P330" i="73"/>
  <c r="P331" i="73"/>
  <c r="P332" i="73"/>
  <c r="P333" i="73"/>
  <c r="P334" i="73"/>
  <c r="P335" i="73"/>
  <c r="P336" i="73"/>
  <c r="P337" i="73"/>
  <c r="P338" i="73"/>
  <c r="P339" i="73"/>
  <c r="P340" i="73"/>
  <c r="P341" i="73"/>
  <c r="P342" i="73"/>
  <c r="P343" i="73"/>
  <c r="P344" i="73"/>
  <c r="P345" i="73"/>
  <c r="P346" i="73"/>
  <c r="P347" i="73"/>
  <c r="P348" i="73"/>
  <c r="P349" i="73"/>
  <c r="P350" i="73"/>
  <c r="P351" i="73"/>
  <c r="P352" i="73"/>
  <c r="P353" i="73"/>
  <c r="P354" i="73"/>
  <c r="P355" i="73"/>
  <c r="P356" i="73"/>
  <c r="P357" i="73"/>
  <c r="P358" i="73"/>
  <c r="P359" i="73"/>
  <c r="P360" i="73"/>
  <c r="P361" i="73"/>
  <c r="P362" i="73"/>
  <c r="P363" i="73"/>
  <c r="P364" i="73"/>
  <c r="P365" i="73"/>
  <c r="P366" i="73"/>
  <c r="P367" i="73"/>
  <c r="P368" i="73"/>
  <c r="P369" i="73"/>
  <c r="P370" i="73"/>
  <c r="P371" i="73"/>
  <c r="P372" i="73"/>
  <c r="P373" i="73"/>
  <c r="P374" i="73"/>
  <c r="P375" i="73"/>
  <c r="P376" i="73"/>
  <c r="P377" i="73"/>
  <c r="P378" i="73"/>
  <c r="P379" i="73"/>
  <c r="P380" i="73"/>
  <c r="P381" i="73"/>
  <c r="P382" i="73"/>
  <c r="P383" i="73"/>
  <c r="P384" i="73"/>
  <c r="P385" i="73"/>
  <c r="P386" i="73"/>
  <c r="P387" i="73"/>
  <c r="P388" i="73"/>
  <c r="P389" i="73"/>
  <c r="P390" i="73"/>
  <c r="P391" i="73"/>
  <c r="P392" i="73"/>
  <c r="P393" i="73"/>
  <c r="P394" i="73"/>
  <c r="P395" i="73"/>
  <c r="P396" i="73"/>
  <c r="P397" i="73"/>
  <c r="P398" i="73"/>
  <c r="P399" i="73"/>
  <c r="P400" i="73"/>
  <c r="P401" i="73"/>
  <c r="P402" i="73"/>
  <c r="P403" i="73"/>
  <c r="P404" i="73"/>
  <c r="P405" i="73"/>
  <c r="P406" i="73"/>
  <c r="P407" i="73"/>
  <c r="P408" i="73"/>
  <c r="P409" i="73"/>
  <c r="P410" i="73"/>
  <c r="P411" i="73"/>
  <c r="P412" i="73"/>
  <c r="P413" i="73"/>
  <c r="P414" i="73"/>
  <c r="P415" i="73"/>
  <c r="P416" i="73"/>
  <c r="P417" i="73"/>
  <c r="P418" i="73"/>
  <c r="P419" i="73"/>
  <c r="P420" i="73"/>
  <c r="P421" i="73"/>
  <c r="P422" i="73"/>
  <c r="P423" i="73"/>
  <c r="P424" i="73"/>
  <c r="P425" i="73"/>
  <c r="P426" i="73"/>
  <c r="P427" i="73"/>
  <c r="P428" i="73"/>
  <c r="P429" i="73"/>
  <c r="P430" i="73"/>
  <c r="P431" i="73"/>
  <c r="P432" i="73"/>
  <c r="P433" i="73"/>
  <c r="P434" i="73"/>
  <c r="P435" i="73"/>
  <c r="P436" i="73"/>
  <c r="P437" i="73"/>
  <c r="P438" i="73"/>
  <c r="P439" i="73"/>
  <c r="P440" i="73"/>
  <c r="P441" i="73"/>
  <c r="P442" i="73"/>
  <c r="P443" i="73"/>
  <c r="P444" i="73"/>
  <c r="P445" i="73"/>
  <c r="P446" i="73"/>
  <c r="P447" i="73"/>
  <c r="P448" i="73"/>
  <c r="P449" i="73"/>
  <c r="P450" i="73"/>
  <c r="P451" i="73"/>
  <c r="P452" i="73"/>
  <c r="P453" i="73"/>
  <c r="P454" i="73"/>
  <c r="P455" i="73"/>
  <c r="P456" i="73"/>
  <c r="P457" i="73"/>
  <c r="P458" i="73"/>
  <c r="P459" i="73"/>
  <c r="P460" i="73"/>
  <c r="P461" i="73"/>
  <c r="P462" i="73"/>
  <c r="P463" i="73"/>
  <c r="P464" i="73"/>
  <c r="P465" i="73"/>
  <c r="P466" i="73"/>
  <c r="P467" i="73"/>
  <c r="P468" i="73"/>
  <c r="P469" i="73"/>
  <c r="P470" i="73"/>
  <c r="P471" i="73"/>
  <c r="P472" i="73"/>
  <c r="P473" i="73"/>
  <c r="P1693" i="73"/>
  <c r="P1692" i="73"/>
  <c r="P1691" i="73"/>
  <c r="P1690" i="73"/>
  <c r="P1689" i="73"/>
  <c r="P1688" i="73"/>
  <c r="P1687" i="73"/>
  <c r="P1686" i="73"/>
  <c r="P1685" i="73"/>
  <c r="P1684" i="73"/>
  <c r="P1683" i="73"/>
  <c r="P1682" i="73"/>
  <c r="P1681" i="73"/>
  <c r="P1680" i="73"/>
  <c r="P1679" i="73"/>
  <c r="P1678" i="73"/>
  <c r="P1677" i="73"/>
  <c r="P1676" i="73"/>
  <c r="P1675" i="73"/>
  <c r="P1674" i="73"/>
  <c r="P1673" i="73"/>
  <c r="P1672" i="73"/>
  <c r="P1671" i="73"/>
  <c r="P1670" i="73"/>
  <c r="P1669" i="73"/>
  <c r="P1668" i="73"/>
  <c r="P1667" i="73"/>
  <c r="P1666" i="73"/>
  <c r="P1665" i="73"/>
  <c r="P1664" i="73"/>
  <c r="P1663" i="73"/>
  <c r="P1662" i="73"/>
  <c r="P1661" i="73"/>
  <c r="P1660" i="73"/>
  <c r="P1659" i="73"/>
  <c r="P1658" i="73"/>
  <c r="P1657" i="73"/>
  <c r="P1656" i="73"/>
  <c r="P1655" i="73"/>
  <c r="P1654" i="73"/>
  <c r="P1653" i="73"/>
  <c r="P1652" i="73"/>
  <c r="P1651" i="73"/>
  <c r="P1650" i="73"/>
  <c r="P1649" i="73"/>
  <c r="P1648" i="73"/>
  <c r="P1647" i="73"/>
  <c r="P1646" i="73"/>
  <c r="P1645" i="73"/>
  <c r="P1644" i="73"/>
  <c r="P1643" i="73"/>
  <c r="P1642" i="73"/>
  <c r="P1641" i="73"/>
  <c r="P1640" i="73"/>
  <c r="P1639" i="73"/>
  <c r="P1638" i="73"/>
  <c r="P1637" i="73"/>
  <c r="P1636" i="73"/>
  <c r="P1635" i="73"/>
  <c r="P1634" i="73"/>
  <c r="P1633" i="73"/>
  <c r="P1632" i="73"/>
  <c r="P1631" i="73"/>
  <c r="P1630" i="73"/>
  <c r="P1629" i="73"/>
  <c r="P1628" i="73"/>
  <c r="P1627" i="73"/>
  <c r="P1626" i="73"/>
  <c r="P1625" i="73"/>
  <c r="P1624" i="73"/>
  <c r="P1623" i="73"/>
  <c r="P1622" i="73"/>
  <c r="P1621" i="73"/>
  <c r="P1620" i="73"/>
  <c r="P1619" i="73"/>
  <c r="P1618" i="73"/>
  <c r="P1617" i="73"/>
  <c r="P1616" i="73"/>
  <c r="P1615" i="73"/>
  <c r="P1614" i="73"/>
  <c r="P1613" i="73"/>
  <c r="P1612" i="73"/>
  <c r="P1611" i="73"/>
  <c r="P1610" i="73"/>
  <c r="P1609" i="73"/>
  <c r="P1608" i="73"/>
  <c r="P1607" i="73"/>
  <c r="P1606" i="73"/>
  <c r="P1605" i="73"/>
  <c r="P1604" i="73"/>
  <c r="P1603" i="73"/>
  <c r="P1602" i="73"/>
  <c r="P1601" i="73"/>
  <c r="P1600" i="73"/>
  <c r="P1599" i="73"/>
  <c r="P1598" i="73"/>
  <c r="P1597" i="73"/>
  <c r="P1596" i="73"/>
  <c r="P1595" i="73"/>
  <c r="P1594" i="73"/>
  <c r="P1593" i="73"/>
  <c r="P1592" i="73"/>
  <c r="P1591" i="73"/>
  <c r="P1590" i="73"/>
  <c r="P1589" i="73"/>
  <c r="P1588" i="73"/>
  <c r="P1587" i="73"/>
  <c r="P1586" i="73"/>
  <c r="P1585" i="73"/>
  <c r="P1584" i="73"/>
  <c r="P1583" i="73"/>
  <c r="P1582" i="73"/>
  <c r="P1581" i="73"/>
  <c r="P1580" i="73"/>
  <c r="P1579" i="73"/>
  <c r="P1578" i="73"/>
  <c r="P1577" i="73"/>
  <c r="P1576" i="73"/>
  <c r="P1575" i="73"/>
  <c r="P1574" i="73"/>
  <c r="P1573" i="73"/>
  <c r="P1572" i="73"/>
  <c r="P1571" i="73"/>
  <c r="P1570" i="73"/>
  <c r="P1569" i="73"/>
  <c r="P1568" i="73"/>
  <c r="P1567" i="73"/>
  <c r="P1566" i="73"/>
  <c r="P1565" i="73"/>
  <c r="P1564" i="73"/>
  <c r="P1563" i="73"/>
  <c r="P1562" i="73"/>
  <c r="P1561" i="73"/>
  <c r="P1560" i="73"/>
  <c r="P1559" i="73"/>
  <c r="P1558" i="73"/>
  <c r="P1557" i="73"/>
  <c r="P1556" i="73"/>
  <c r="P1555" i="73"/>
  <c r="P1554" i="73"/>
  <c r="P1553" i="73"/>
  <c r="P1552" i="73"/>
  <c r="P1551" i="73"/>
  <c r="P1550" i="73"/>
  <c r="P1549" i="73"/>
  <c r="P1548" i="73"/>
  <c r="P1547" i="73"/>
  <c r="P1546" i="73"/>
  <c r="P1545" i="73"/>
  <c r="P1544" i="73"/>
  <c r="P1543" i="73"/>
  <c r="P1542" i="73"/>
  <c r="P1541" i="73"/>
  <c r="P1540" i="73"/>
  <c r="P1539" i="73"/>
  <c r="P1538" i="73"/>
  <c r="P1537" i="73"/>
  <c r="P1536" i="73"/>
  <c r="P1535" i="73"/>
  <c r="P1534" i="73"/>
  <c r="P1533" i="73"/>
  <c r="P1532" i="73"/>
  <c r="P1531" i="73"/>
  <c r="P1530" i="73"/>
  <c r="P1529" i="73"/>
  <c r="P1528" i="73"/>
  <c r="P1527" i="73"/>
  <c r="P1526" i="73"/>
  <c r="P1525" i="73"/>
  <c r="P1524" i="73"/>
  <c r="P1523" i="73"/>
  <c r="P1522" i="73"/>
  <c r="P1521" i="73"/>
  <c r="P1520" i="73"/>
  <c r="P1519" i="73"/>
  <c r="P1518" i="73"/>
  <c r="P1517" i="73"/>
  <c r="P1516" i="73"/>
  <c r="P1515" i="73"/>
  <c r="P1514" i="73"/>
  <c r="P1513" i="73"/>
  <c r="P1512" i="73"/>
  <c r="P1511" i="73"/>
  <c r="P1510" i="73"/>
  <c r="P1509" i="73"/>
  <c r="P1508" i="73"/>
  <c r="P1507" i="73"/>
  <c r="P1506" i="73"/>
  <c r="P1505" i="73"/>
  <c r="P1504" i="73"/>
  <c r="P1503" i="73"/>
  <c r="P1502" i="73"/>
  <c r="P1501" i="73"/>
  <c r="P1500" i="73"/>
  <c r="P1499" i="73"/>
  <c r="P1498" i="73"/>
  <c r="P1497" i="73"/>
  <c r="P1496" i="73"/>
  <c r="P1495" i="73"/>
  <c r="P1494" i="73"/>
  <c r="P1493" i="73"/>
  <c r="P1492" i="73"/>
  <c r="P1491" i="73"/>
  <c r="P1490" i="73"/>
  <c r="P1489" i="73"/>
  <c r="P1488" i="73"/>
  <c r="P1487" i="73"/>
  <c r="P1486" i="73"/>
  <c r="P1485" i="73"/>
  <c r="P1484" i="73"/>
  <c r="P1483" i="73"/>
  <c r="P1482" i="73"/>
  <c r="P1481" i="73"/>
  <c r="P1480" i="73"/>
  <c r="P1479" i="73"/>
  <c r="P1478" i="73"/>
  <c r="P1477" i="73"/>
  <c r="P1476" i="73"/>
  <c r="P1475" i="73"/>
  <c r="P1474" i="73"/>
  <c r="P1473" i="73"/>
  <c r="P1472" i="73"/>
  <c r="P1471" i="73"/>
  <c r="P1470" i="73"/>
  <c r="P1469" i="73"/>
  <c r="P1468" i="73"/>
  <c r="P1467" i="73"/>
  <c r="P1466" i="73"/>
  <c r="P1465" i="73"/>
  <c r="P1464" i="73"/>
  <c r="P1463" i="73"/>
  <c r="P1462" i="73"/>
  <c r="P1461" i="73"/>
  <c r="P1460" i="73"/>
  <c r="P1459" i="73"/>
  <c r="P1458" i="73"/>
  <c r="P1457" i="73"/>
  <c r="P1456" i="73"/>
  <c r="P1455" i="73"/>
  <c r="P1454" i="73"/>
  <c r="P1453" i="73"/>
  <c r="P1452" i="73"/>
  <c r="P1451" i="73"/>
  <c r="P1450" i="73"/>
  <c r="P1449" i="73"/>
  <c r="P1448" i="73"/>
  <c r="P1447" i="73"/>
  <c r="P1446" i="73"/>
  <c r="P1445" i="73"/>
  <c r="P1444" i="73"/>
  <c r="P1443" i="73"/>
  <c r="P1442" i="73"/>
  <c r="P1441" i="73"/>
  <c r="P1440" i="73"/>
  <c r="P1439" i="73"/>
  <c r="P1438" i="73"/>
  <c r="P1437" i="73"/>
  <c r="P1436" i="73"/>
  <c r="P1435" i="73"/>
  <c r="P1434" i="73"/>
  <c r="P1433" i="73"/>
  <c r="P1432" i="73"/>
  <c r="P1431" i="73"/>
  <c r="P1430" i="73"/>
  <c r="P1429" i="73"/>
  <c r="P1428" i="73"/>
  <c r="P1427" i="73"/>
  <c r="P1426" i="73"/>
  <c r="P1425" i="73"/>
  <c r="P1424" i="73"/>
  <c r="P1423" i="73"/>
  <c r="P1422" i="73"/>
  <c r="P1421" i="73"/>
  <c r="P1420" i="73"/>
  <c r="P1419" i="73"/>
  <c r="P1418" i="73"/>
  <c r="P1417" i="73"/>
  <c r="P1416" i="73"/>
  <c r="P1415" i="73"/>
  <c r="P1414" i="73"/>
  <c r="P1413" i="73"/>
  <c r="P1412" i="73"/>
  <c r="P1411" i="73"/>
  <c r="P1410" i="73"/>
  <c r="P1409" i="73"/>
  <c r="P1408" i="73"/>
  <c r="P1407" i="73"/>
  <c r="P1406" i="73"/>
  <c r="P1405" i="73"/>
  <c r="P1404" i="73"/>
  <c r="P1403" i="73"/>
  <c r="P1402" i="73"/>
  <c r="P1401" i="73"/>
  <c r="P1400" i="73"/>
  <c r="P1399" i="73"/>
  <c r="P1398" i="73"/>
  <c r="P1397" i="73"/>
  <c r="P1396" i="73"/>
  <c r="P1395" i="73"/>
  <c r="P1394" i="73"/>
  <c r="P1393" i="73"/>
  <c r="P1392" i="73"/>
  <c r="P1391" i="73"/>
  <c r="P1390" i="73"/>
  <c r="P1389" i="73"/>
  <c r="P1388" i="73"/>
  <c r="P1387" i="73"/>
  <c r="P1386" i="73"/>
  <c r="P1385" i="73"/>
  <c r="P1384" i="73"/>
  <c r="P1383" i="73"/>
  <c r="P1382" i="73"/>
  <c r="P1381" i="73"/>
  <c r="P1380" i="73"/>
  <c r="P1379" i="73"/>
  <c r="P1378" i="73"/>
  <c r="P1377" i="73"/>
  <c r="P1376" i="73"/>
  <c r="P1375" i="73"/>
  <c r="P1374" i="73"/>
  <c r="P1373" i="73"/>
  <c r="P1372" i="73"/>
  <c r="P1371" i="73"/>
  <c r="P1370" i="73"/>
  <c r="P1369" i="73"/>
  <c r="P1368" i="73"/>
  <c r="P1367" i="73"/>
  <c r="P1366" i="73"/>
  <c r="P1365" i="73"/>
  <c r="P1364" i="73"/>
  <c r="P1363" i="73"/>
  <c r="P1362" i="73"/>
  <c r="P1361" i="73"/>
  <c r="P1360" i="73"/>
  <c r="P1359" i="73"/>
  <c r="P1358" i="73"/>
  <c r="P1357" i="73"/>
  <c r="P1356" i="73"/>
  <c r="P1355" i="73"/>
  <c r="P1354" i="73"/>
  <c r="P1353" i="73"/>
  <c r="P1352" i="73"/>
  <c r="P1351" i="73"/>
  <c r="P1350" i="73"/>
  <c r="P1349" i="73"/>
  <c r="P1348" i="73"/>
  <c r="P1347" i="73"/>
  <c r="P1346" i="73"/>
  <c r="P1345" i="73"/>
  <c r="P1344" i="73"/>
  <c r="P1343" i="73"/>
  <c r="P1342" i="73"/>
  <c r="P1341" i="73"/>
  <c r="P1340" i="73"/>
  <c r="P1339" i="73"/>
  <c r="P1338" i="73"/>
  <c r="P1337" i="73"/>
  <c r="P1336" i="73"/>
  <c r="P1335" i="73"/>
  <c r="P1334" i="73"/>
  <c r="P1333" i="73"/>
  <c r="P1332" i="73"/>
  <c r="P1331" i="73"/>
  <c r="P1330" i="73"/>
  <c r="P1329" i="73"/>
  <c r="P1328" i="73"/>
  <c r="P1327" i="73"/>
  <c r="P1326" i="73"/>
  <c r="P1325" i="73"/>
  <c r="P1324" i="73"/>
  <c r="P1323" i="73"/>
  <c r="P1322" i="73"/>
  <c r="P1321" i="73"/>
  <c r="P1320" i="73"/>
  <c r="P1319" i="73"/>
  <c r="P1318" i="73"/>
  <c r="P1317" i="73"/>
  <c r="P1316" i="73"/>
  <c r="P1315" i="73"/>
  <c r="P1314" i="73"/>
  <c r="P1313" i="73"/>
  <c r="P1312" i="73"/>
  <c r="P1311" i="73"/>
  <c r="P1310" i="73"/>
  <c r="P1309" i="73"/>
  <c r="P1308" i="73"/>
  <c r="P1307" i="73"/>
  <c r="P1306" i="73"/>
  <c r="P1305" i="73"/>
  <c r="P1304" i="73"/>
  <c r="P1303" i="73"/>
  <c r="P1302" i="73"/>
  <c r="P1301" i="73"/>
  <c r="P1300" i="73"/>
  <c r="P1299" i="73"/>
  <c r="P1298" i="73"/>
  <c r="P1297" i="73"/>
  <c r="P1296" i="73"/>
  <c r="P1295" i="73"/>
  <c r="P1294" i="73"/>
  <c r="P1293" i="73"/>
  <c r="P1292" i="73"/>
  <c r="P1291" i="73"/>
  <c r="P1290" i="73"/>
  <c r="P1289" i="73"/>
  <c r="P1288" i="73"/>
  <c r="P1287" i="73"/>
  <c r="P1286" i="73"/>
  <c r="P1285" i="73"/>
  <c r="P1284" i="73"/>
  <c r="P1283" i="73"/>
  <c r="P1282" i="73"/>
  <c r="P1281" i="73"/>
  <c r="P1280" i="73"/>
  <c r="P1279" i="73"/>
  <c r="P1278" i="73"/>
  <c r="P1277" i="73"/>
  <c r="P1276" i="73"/>
  <c r="P1275" i="73"/>
  <c r="P1274" i="73"/>
  <c r="P1273" i="73"/>
  <c r="P1272" i="73"/>
  <c r="P1271" i="73"/>
  <c r="P1270" i="73"/>
  <c r="P1269" i="73"/>
  <c r="P1268" i="73"/>
  <c r="P1267" i="73"/>
  <c r="P1266" i="73"/>
  <c r="P1265" i="73"/>
  <c r="P1264" i="73"/>
  <c r="P1263" i="73"/>
  <c r="P1262" i="73"/>
  <c r="P1261" i="73"/>
  <c r="P1260" i="73"/>
  <c r="P1259" i="73"/>
  <c r="P1258" i="73"/>
  <c r="P1257" i="73"/>
  <c r="P1256" i="73"/>
  <c r="P1255" i="73"/>
  <c r="P1254" i="73"/>
  <c r="P1253" i="73"/>
  <c r="P1252" i="73"/>
  <c r="P1251" i="73"/>
  <c r="P1250" i="73"/>
  <c r="P1249" i="73"/>
  <c r="P1248" i="73"/>
  <c r="P1247" i="73"/>
  <c r="P1246" i="73"/>
  <c r="P1245" i="73"/>
  <c r="P1244" i="73"/>
  <c r="P1243" i="73"/>
  <c r="P1242" i="73"/>
  <c r="P1241" i="73"/>
  <c r="P1240" i="73"/>
  <c r="P1239" i="73"/>
  <c r="P1238" i="73"/>
  <c r="P1237" i="73"/>
  <c r="P1236" i="73"/>
  <c r="P1235" i="73"/>
  <c r="P1234" i="73"/>
  <c r="P1233" i="73"/>
  <c r="P1232" i="73"/>
  <c r="P1231" i="73"/>
  <c r="P1230" i="73"/>
  <c r="P1229" i="73"/>
  <c r="P1228" i="73"/>
  <c r="P1227" i="73"/>
  <c r="P1226" i="73"/>
  <c r="P1225" i="73"/>
  <c r="P1224" i="73"/>
  <c r="P1223" i="73"/>
  <c r="P1222" i="73"/>
  <c r="P1221" i="73"/>
  <c r="P1220" i="73"/>
  <c r="P1219" i="73"/>
  <c r="P1218" i="73"/>
  <c r="P1217" i="73"/>
  <c r="P1216" i="73"/>
  <c r="P1215" i="73"/>
  <c r="P1214" i="73"/>
  <c r="P1213" i="73"/>
  <c r="P1212" i="73"/>
  <c r="P1211" i="73"/>
  <c r="P1210" i="73"/>
  <c r="P1209" i="73"/>
  <c r="P1208" i="73"/>
  <c r="P1207" i="73"/>
  <c r="P1206" i="73"/>
  <c r="P1205" i="73"/>
  <c r="P1204" i="73"/>
  <c r="P1203" i="73"/>
  <c r="P1202" i="73"/>
  <c r="P1201" i="73"/>
  <c r="P1200" i="73"/>
  <c r="P1199" i="73"/>
  <c r="P1198" i="73"/>
  <c r="P1197" i="73"/>
  <c r="P1196" i="73"/>
  <c r="P1195" i="73"/>
  <c r="P1194" i="73"/>
  <c r="P1193" i="73"/>
  <c r="P1192" i="73"/>
  <c r="P1191" i="73"/>
  <c r="P1190" i="73"/>
  <c r="P1189" i="73"/>
  <c r="P1188" i="73"/>
  <c r="P1187" i="73"/>
  <c r="P1186" i="73"/>
  <c r="P1185" i="73"/>
  <c r="P1184" i="73"/>
  <c r="P1183" i="73"/>
  <c r="P1182" i="73"/>
  <c r="P1181" i="73"/>
  <c r="P1180" i="73"/>
  <c r="P1179" i="73"/>
  <c r="P1178" i="73"/>
  <c r="P1177" i="73"/>
  <c r="P1176" i="73"/>
  <c r="P1175" i="73"/>
  <c r="P1174" i="73"/>
  <c r="P1173" i="73"/>
  <c r="P1172" i="73"/>
  <c r="P1171" i="73"/>
  <c r="P1170" i="73"/>
  <c r="P1169" i="73"/>
  <c r="P1168" i="73"/>
  <c r="P1167" i="73"/>
  <c r="P1166" i="73"/>
  <c r="P1165" i="73"/>
  <c r="P1164" i="73"/>
  <c r="P1163" i="73"/>
  <c r="P1162" i="73"/>
  <c r="P1161" i="73"/>
  <c r="P1160" i="73"/>
  <c r="P1159" i="73"/>
  <c r="P1158" i="73"/>
  <c r="P1157" i="73"/>
  <c r="P1156" i="73"/>
  <c r="P1155" i="73"/>
  <c r="P1154" i="73"/>
  <c r="P1153" i="73"/>
  <c r="P1152" i="73"/>
  <c r="P1151" i="73"/>
  <c r="P1150" i="73"/>
  <c r="P1149" i="73"/>
  <c r="P1148" i="73"/>
  <c r="P1147" i="73"/>
  <c r="P1146" i="73"/>
  <c r="P1145" i="73"/>
  <c r="P1144" i="73"/>
  <c r="P1143" i="73"/>
  <c r="P1142" i="73"/>
  <c r="P1141" i="73"/>
  <c r="P1140" i="73"/>
  <c r="P1139" i="73"/>
  <c r="P1138" i="73"/>
  <c r="P1137" i="73"/>
  <c r="P1136" i="73"/>
  <c r="P1135" i="73"/>
  <c r="P1134" i="73"/>
  <c r="P1133" i="73"/>
  <c r="P1132" i="73"/>
  <c r="P1131" i="73"/>
  <c r="P1130" i="73"/>
  <c r="P1129" i="73"/>
  <c r="P1128" i="73"/>
  <c r="P1127" i="73"/>
  <c r="P1126" i="73"/>
  <c r="P1125" i="73"/>
  <c r="P1124" i="73"/>
  <c r="P1123" i="73"/>
  <c r="P1122" i="73"/>
  <c r="P1121" i="73"/>
  <c r="P1120" i="73"/>
  <c r="P1119" i="73"/>
  <c r="P1118" i="73"/>
  <c r="P1117" i="73"/>
  <c r="P1116" i="73"/>
  <c r="P1115" i="73"/>
  <c r="P1114" i="73"/>
  <c r="P1113" i="73"/>
  <c r="P1112" i="73"/>
  <c r="P1111" i="73"/>
  <c r="P1110" i="73"/>
  <c r="P1109" i="73"/>
  <c r="P1108" i="73"/>
  <c r="P1107" i="73"/>
  <c r="P1106" i="73"/>
  <c r="P1105" i="73"/>
  <c r="P1104" i="73"/>
  <c r="P1103" i="73"/>
  <c r="P1102" i="73"/>
  <c r="P1101" i="73"/>
  <c r="P1100" i="73"/>
  <c r="P1099" i="73"/>
  <c r="P1098" i="73"/>
  <c r="P1097" i="73"/>
  <c r="P1096" i="73"/>
  <c r="P1095" i="73"/>
  <c r="P1094" i="73"/>
  <c r="P1093" i="73"/>
  <c r="P1092" i="73"/>
  <c r="P1091" i="73"/>
  <c r="P1090" i="73"/>
  <c r="P1089" i="73"/>
  <c r="P1088" i="73"/>
  <c r="P1087" i="73"/>
  <c r="P1086" i="73"/>
  <c r="P1085" i="73"/>
  <c r="P1084" i="73"/>
  <c r="P1083" i="73"/>
  <c r="P1082" i="73"/>
  <c r="P1081" i="73"/>
  <c r="P1080" i="73"/>
  <c r="P1079" i="73"/>
  <c r="P1078" i="73"/>
  <c r="P1077" i="73"/>
  <c r="P1076" i="73"/>
  <c r="P1075" i="73"/>
  <c r="P1074" i="73"/>
  <c r="P1073" i="73"/>
  <c r="P1072" i="73"/>
  <c r="P1071" i="73"/>
  <c r="P1070" i="73"/>
  <c r="P1069" i="73"/>
  <c r="P1068" i="73"/>
  <c r="P1067" i="73"/>
  <c r="P1066" i="73"/>
  <c r="P1065" i="73"/>
  <c r="P1064" i="73"/>
  <c r="P1063" i="73"/>
  <c r="P1062" i="73"/>
  <c r="P1061" i="73"/>
  <c r="P1060" i="73"/>
  <c r="P1059" i="73"/>
  <c r="P1058" i="73"/>
  <c r="P1057" i="73"/>
  <c r="P1056" i="73"/>
  <c r="P1055" i="73"/>
  <c r="P1054" i="73"/>
  <c r="P1053" i="73"/>
  <c r="P1052" i="73"/>
  <c r="P1051" i="73"/>
  <c r="P1050" i="73"/>
  <c r="P1049" i="73"/>
  <c r="P1048" i="73"/>
  <c r="P1047" i="73"/>
  <c r="P1046" i="73"/>
  <c r="P1045" i="73"/>
  <c r="P1044" i="73"/>
  <c r="P1043" i="73"/>
  <c r="P1042" i="73"/>
  <c r="P1041" i="73"/>
  <c r="P1040" i="73"/>
  <c r="P1039" i="73"/>
  <c r="P1038" i="73"/>
  <c r="P1037" i="73"/>
  <c r="P1036" i="73"/>
  <c r="P1035" i="73"/>
  <c r="P1034" i="73"/>
  <c r="P1033" i="73"/>
  <c r="P1032" i="73"/>
  <c r="P1031" i="73"/>
  <c r="P1030" i="73"/>
  <c r="P1029" i="73"/>
  <c r="P1028" i="73"/>
  <c r="P1027" i="73"/>
  <c r="P1026" i="73"/>
  <c r="P1025" i="73"/>
  <c r="P1024" i="73"/>
  <c r="P1023" i="73"/>
  <c r="P1022" i="73"/>
  <c r="P1021" i="73"/>
  <c r="P1020" i="73"/>
  <c r="P1019" i="73"/>
  <c r="P1018" i="73"/>
  <c r="P1017" i="73"/>
  <c r="P1016" i="73"/>
  <c r="P1015" i="73"/>
  <c r="P1014" i="73"/>
  <c r="P1013" i="73"/>
  <c r="P1012" i="73"/>
  <c r="P1011" i="73"/>
  <c r="P1010" i="73"/>
  <c r="P1009" i="73"/>
  <c r="P1008" i="73"/>
  <c r="P1007" i="73"/>
  <c r="P1006" i="73"/>
  <c r="P1005" i="73"/>
  <c r="P1004" i="73"/>
  <c r="P1003" i="73"/>
  <c r="P1002" i="73"/>
  <c r="P1001" i="73"/>
  <c r="P1000" i="73"/>
  <c r="P999" i="73"/>
  <c r="P998" i="73"/>
  <c r="P997" i="73"/>
  <c r="P996" i="73"/>
  <c r="P995" i="73"/>
  <c r="P994" i="73"/>
  <c r="P993" i="73"/>
  <c r="P992" i="73"/>
  <c r="P991" i="73"/>
  <c r="P990" i="73"/>
  <c r="P989" i="73"/>
  <c r="P988" i="73"/>
  <c r="P987" i="73"/>
  <c r="P986" i="73"/>
  <c r="P985" i="73"/>
  <c r="P984" i="73"/>
  <c r="P983" i="73"/>
  <c r="P982" i="73"/>
  <c r="P981" i="73"/>
  <c r="P980" i="73"/>
  <c r="P979" i="73"/>
  <c r="P978" i="73"/>
  <c r="P977" i="73"/>
  <c r="P976" i="73"/>
  <c r="P975" i="73"/>
  <c r="P974" i="73"/>
  <c r="P973" i="73"/>
  <c r="P972" i="73"/>
  <c r="P971" i="73"/>
  <c r="P970" i="73"/>
  <c r="P969" i="73"/>
  <c r="P968" i="73"/>
  <c r="P967" i="73"/>
  <c r="P966" i="73"/>
  <c r="P965" i="73"/>
  <c r="P964" i="73"/>
  <c r="P963" i="73"/>
  <c r="P962" i="73"/>
  <c r="P961" i="73"/>
  <c r="P960" i="73"/>
  <c r="P959" i="73"/>
  <c r="P958" i="73"/>
  <c r="P957" i="73"/>
  <c r="P956" i="73"/>
  <c r="P955" i="73"/>
  <c r="P954" i="73"/>
  <c r="P953" i="73"/>
  <c r="P952" i="73"/>
  <c r="P951" i="73"/>
  <c r="P950" i="73"/>
  <c r="P949" i="73"/>
  <c r="P948" i="73"/>
  <c r="P947" i="73"/>
  <c r="P946" i="73"/>
  <c r="P945" i="73"/>
  <c r="P944" i="73"/>
  <c r="P943" i="73"/>
  <c r="P942" i="73"/>
  <c r="P941" i="73"/>
  <c r="P940" i="73"/>
  <c r="P939" i="73"/>
  <c r="P938" i="73"/>
  <c r="P937" i="73"/>
  <c r="P936" i="73"/>
  <c r="P935" i="73"/>
  <c r="P934" i="73"/>
  <c r="P933" i="73"/>
  <c r="P932" i="73"/>
  <c r="P931" i="73"/>
  <c r="P930" i="73"/>
  <c r="P929" i="73"/>
  <c r="P928" i="73"/>
  <c r="P927" i="73"/>
  <c r="P926" i="73"/>
  <c r="P925" i="73"/>
  <c r="P924" i="73"/>
  <c r="P923" i="73"/>
  <c r="P922" i="73"/>
  <c r="P921" i="73"/>
  <c r="P920" i="73"/>
  <c r="P919" i="73"/>
  <c r="P918" i="73"/>
  <c r="P917" i="73"/>
  <c r="P916" i="73"/>
  <c r="P915" i="73"/>
  <c r="P914" i="73"/>
  <c r="P913" i="73"/>
  <c r="P912" i="73"/>
  <c r="P911" i="73"/>
  <c r="P910" i="73"/>
  <c r="P909" i="73"/>
  <c r="P908" i="73"/>
  <c r="P907" i="73"/>
  <c r="P906" i="73"/>
  <c r="P905" i="73"/>
  <c r="P904" i="73"/>
  <c r="P903" i="73"/>
  <c r="P902" i="73"/>
  <c r="P901" i="73"/>
  <c r="P900" i="73"/>
  <c r="P899" i="73"/>
  <c r="P898" i="73"/>
  <c r="P897" i="73"/>
  <c r="P896" i="73"/>
  <c r="P895" i="73"/>
  <c r="P894" i="73"/>
  <c r="P893" i="73"/>
  <c r="P892" i="73"/>
  <c r="P891" i="73"/>
  <c r="P890" i="73"/>
  <c r="P889" i="73"/>
  <c r="P888" i="73"/>
  <c r="P887" i="73"/>
  <c r="P886" i="73"/>
  <c r="P885" i="73"/>
  <c r="P884" i="73"/>
  <c r="P883" i="73"/>
  <c r="P882" i="73"/>
  <c r="P881" i="73"/>
  <c r="P880" i="73"/>
  <c r="P879" i="73"/>
  <c r="P878" i="73"/>
  <c r="P877" i="73"/>
  <c r="P876" i="73"/>
  <c r="P875" i="73"/>
  <c r="P874" i="73"/>
  <c r="P873" i="73"/>
  <c r="P872" i="73"/>
  <c r="P871" i="73"/>
  <c r="P870" i="73"/>
  <c r="P869" i="73"/>
  <c r="P868" i="73"/>
  <c r="P867" i="73"/>
  <c r="P866" i="73"/>
  <c r="P865" i="73"/>
  <c r="P864" i="73"/>
  <c r="P863" i="73"/>
  <c r="P862" i="73"/>
  <c r="P861" i="73"/>
  <c r="P860" i="73"/>
  <c r="P859" i="73"/>
  <c r="P858" i="73"/>
  <c r="P857" i="73"/>
  <c r="P856" i="73"/>
  <c r="P855" i="73"/>
  <c r="P854" i="73"/>
  <c r="P853" i="73"/>
  <c r="P852" i="73"/>
  <c r="P851" i="73"/>
  <c r="P850" i="73"/>
  <c r="P849" i="73"/>
  <c r="P848" i="73"/>
  <c r="P847" i="73"/>
  <c r="P846" i="73"/>
  <c r="P845" i="73"/>
  <c r="P844" i="73"/>
  <c r="P843" i="73"/>
  <c r="P842" i="73"/>
  <c r="P841" i="73"/>
  <c r="P840" i="73"/>
  <c r="P839" i="73"/>
  <c r="P838" i="73"/>
  <c r="P837" i="73"/>
  <c r="P836" i="73"/>
  <c r="P835" i="73"/>
  <c r="P834" i="73"/>
  <c r="P833" i="73"/>
  <c r="P832" i="73"/>
  <c r="P831" i="73"/>
  <c r="P830" i="73"/>
  <c r="P829" i="73"/>
  <c r="P828" i="73"/>
  <c r="P827" i="73"/>
  <c r="P826" i="73"/>
  <c r="P825" i="73"/>
  <c r="P824" i="73"/>
  <c r="P823" i="73"/>
  <c r="P822" i="73"/>
  <c r="P821" i="73"/>
  <c r="P820" i="73"/>
  <c r="P819" i="73"/>
  <c r="P818" i="73"/>
  <c r="P817" i="73"/>
  <c r="P816" i="73"/>
  <c r="P815" i="73"/>
  <c r="P814" i="73"/>
  <c r="P813" i="73"/>
  <c r="P812" i="73"/>
  <c r="P811" i="73"/>
  <c r="P810" i="73"/>
  <c r="P809" i="73"/>
  <c r="P808" i="73"/>
  <c r="P807" i="73"/>
  <c r="P806" i="73"/>
  <c r="P805" i="73"/>
  <c r="P804" i="73"/>
  <c r="P803" i="73"/>
  <c r="P802" i="73"/>
  <c r="P801" i="73"/>
  <c r="P800" i="73"/>
  <c r="P799" i="73"/>
  <c r="P798" i="73"/>
  <c r="P797" i="73"/>
  <c r="P796" i="73"/>
  <c r="P795" i="73"/>
  <c r="P794" i="73"/>
  <c r="P793" i="73"/>
  <c r="P792" i="73"/>
  <c r="P791" i="73"/>
  <c r="P790" i="73"/>
  <c r="P789" i="73"/>
  <c r="P788" i="73"/>
  <c r="P787" i="73"/>
  <c r="P786" i="73"/>
  <c r="P785" i="73"/>
  <c r="P784" i="73"/>
  <c r="P783" i="73"/>
  <c r="P782" i="73"/>
  <c r="P781" i="73"/>
  <c r="P780" i="73"/>
  <c r="P779" i="73"/>
  <c r="P778" i="73"/>
  <c r="P777" i="73"/>
  <c r="P776" i="73"/>
  <c r="P775" i="73"/>
  <c r="P774" i="73"/>
  <c r="P773" i="73"/>
  <c r="P772" i="73"/>
  <c r="P771" i="73"/>
  <c r="P770" i="73"/>
  <c r="P769" i="73"/>
  <c r="P768" i="73"/>
  <c r="P767" i="73"/>
  <c r="P766" i="73"/>
  <c r="P765" i="73"/>
  <c r="P764" i="73"/>
  <c r="P763" i="73"/>
  <c r="P762" i="73"/>
  <c r="P761" i="73"/>
  <c r="P760" i="73"/>
  <c r="P759" i="73"/>
  <c r="P758" i="73"/>
  <c r="P757" i="73"/>
  <c r="P756" i="73"/>
  <c r="P755" i="73"/>
  <c r="P754" i="73"/>
  <c r="P753" i="73"/>
  <c r="P752" i="73"/>
  <c r="P751" i="73"/>
  <c r="P750" i="73"/>
  <c r="P749" i="73"/>
  <c r="P748" i="73"/>
  <c r="P747" i="73"/>
  <c r="P746" i="73"/>
  <c r="P745" i="73"/>
  <c r="P744" i="73"/>
  <c r="P743" i="73"/>
  <c r="P742" i="73"/>
  <c r="P741" i="73"/>
  <c r="P740" i="73"/>
  <c r="P739" i="73"/>
  <c r="P738" i="73"/>
  <c r="P737" i="73"/>
  <c r="P736" i="73"/>
  <c r="P735" i="73"/>
  <c r="P734" i="73"/>
  <c r="P733" i="73"/>
  <c r="P732" i="73"/>
  <c r="P731" i="73"/>
  <c r="P730" i="73"/>
  <c r="P729" i="73"/>
  <c r="P728" i="73"/>
  <c r="P727" i="73"/>
  <c r="P726" i="73"/>
  <c r="P725" i="73"/>
  <c r="P724" i="73"/>
  <c r="P723" i="73"/>
  <c r="P722" i="73"/>
  <c r="P721" i="73"/>
  <c r="P720" i="73"/>
  <c r="P719" i="73"/>
  <c r="P718" i="73"/>
  <c r="P717" i="73"/>
  <c r="P716" i="73"/>
  <c r="P715" i="73"/>
  <c r="P714" i="73"/>
  <c r="P713" i="73"/>
  <c r="P712" i="73"/>
  <c r="P711" i="73"/>
  <c r="P710" i="73"/>
  <c r="P709" i="73"/>
  <c r="P708" i="73"/>
  <c r="P707" i="73"/>
  <c r="P706" i="73"/>
  <c r="P705" i="73"/>
  <c r="P704" i="73"/>
  <c r="P703" i="73"/>
  <c r="P702" i="73"/>
  <c r="P701" i="73"/>
  <c r="P700" i="73"/>
  <c r="P699" i="73"/>
  <c r="P698" i="73"/>
  <c r="P697" i="73"/>
  <c r="P696" i="73"/>
  <c r="P695" i="73"/>
  <c r="P694" i="73"/>
  <c r="P693" i="73"/>
  <c r="P692" i="73"/>
  <c r="P691" i="73"/>
  <c r="P690" i="73"/>
  <c r="P689" i="73"/>
  <c r="P688" i="73"/>
  <c r="P687" i="73"/>
  <c r="P686" i="73"/>
  <c r="P685" i="73"/>
  <c r="P684" i="73"/>
  <c r="P683" i="73"/>
  <c r="P682" i="73"/>
  <c r="P681" i="73"/>
  <c r="P680" i="73"/>
  <c r="P679" i="73"/>
  <c r="P678" i="73"/>
  <c r="P677" i="73"/>
  <c r="P676" i="73"/>
  <c r="P675" i="73"/>
  <c r="P674" i="73"/>
  <c r="P673" i="73"/>
  <c r="P672" i="73"/>
  <c r="P671" i="73"/>
  <c r="P670" i="73"/>
  <c r="P669" i="73"/>
  <c r="P668" i="73"/>
  <c r="P667" i="73"/>
  <c r="P666" i="73"/>
  <c r="P665" i="73"/>
  <c r="P664" i="73"/>
  <c r="P663" i="73"/>
  <c r="P662" i="73"/>
  <c r="P661" i="73"/>
  <c r="P660" i="73"/>
  <c r="P659" i="73"/>
  <c r="P658" i="73"/>
  <c r="P657" i="73"/>
  <c r="P656" i="73"/>
  <c r="P655" i="73"/>
  <c r="P654" i="73"/>
  <c r="P653" i="73"/>
  <c r="P652" i="73"/>
  <c r="P651" i="73"/>
  <c r="P650" i="73"/>
  <c r="P649" i="73"/>
  <c r="P648" i="73"/>
  <c r="P647" i="73"/>
  <c r="P646" i="73"/>
  <c r="P645" i="73"/>
  <c r="P644" i="73"/>
  <c r="P643" i="73"/>
  <c r="P642" i="73"/>
  <c r="P641" i="73"/>
  <c r="P640" i="73"/>
  <c r="P639" i="73"/>
  <c r="P638" i="73"/>
  <c r="P637" i="73"/>
  <c r="P636" i="73"/>
  <c r="P635" i="73"/>
  <c r="P634" i="73"/>
  <c r="P633" i="73"/>
  <c r="P632" i="73"/>
  <c r="P631" i="73"/>
  <c r="P630" i="73"/>
  <c r="P629" i="73"/>
  <c r="P628" i="73"/>
  <c r="P627" i="73"/>
  <c r="P626" i="73"/>
  <c r="P625" i="73"/>
  <c r="P624" i="73"/>
  <c r="P623" i="73"/>
  <c r="P622" i="73"/>
  <c r="P621" i="73"/>
  <c r="P620" i="73"/>
  <c r="P619" i="73"/>
  <c r="P618" i="73"/>
  <c r="P617" i="73"/>
  <c r="P616" i="73"/>
  <c r="P615" i="73"/>
  <c r="P614" i="73"/>
  <c r="P613" i="73"/>
  <c r="P612" i="73"/>
  <c r="P611" i="73"/>
  <c r="P610" i="73"/>
  <c r="P609" i="73"/>
  <c r="P608" i="73"/>
  <c r="P607" i="73"/>
  <c r="P606" i="73"/>
  <c r="P605" i="73"/>
  <c r="P604" i="73"/>
  <c r="P603" i="73"/>
  <c r="P602" i="73"/>
  <c r="P601" i="73"/>
  <c r="P600" i="73"/>
  <c r="P599" i="73"/>
  <c r="P598" i="73"/>
  <c r="P597" i="73"/>
  <c r="P596" i="73"/>
  <c r="P595" i="73"/>
  <c r="P594" i="73"/>
  <c r="P593" i="73"/>
  <c r="P592" i="73"/>
  <c r="P591" i="73"/>
  <c r="P590" i="73"/>
  <c r="P589" i="73"/>
  <c r="P588" i="73"/>
  <c r="P587" i="73"/>
  <c r="P586" i="73"/>
  <c r="P585" i="73"/>
  <c r="P584" i="73"/>
  <c r="P583" i="73"/>
  <c r="P582" i="73"/>
  <c r="P581" i="73"/>
  <c r="P580" i="73"/>
  <c r="P579" i="73"/>
  <c r="P578" i="73"/>
  <c r="P577" i="73"/>
  <c r="P576" i="73"/>
  <c r="P575" i="73"/>
  <c r="P574" i="73"/>
  <c r="P573" i="73"/>
  <c r="P572" i="73"/>
  <c r="P571" i="73"/>
  <c r="P570" i="73"/>
  <c r="P569" i="73"/>
  <c r="P568" i="73"/>
  <c r="P567" i="73"/>
  <c r="P566" i="73"/>
  <c r="P565" i="73"/>
  <c r="P564" i="73"/>
  <c r="P563" i="73"/>
  <c r="P562" i="73"/>
  <c r="P561" i="73"/>
  <c r="P560" i="73"/>
  <c r="P559" i="73"/>
  <c r="P558" i="73"/>
  <c r="P557" i="73"/>
  <c r="P556" i="73"/>
  <c r="P555" i="73"/>
  <c r="P554" i="73"/>
  <c r="P553" i="73"/>
  <c r="P552" i="73"/>
  <c r="P491" i="73"/>
  <c r="P490" i="73"/>
  <c r="P489" i="73"/>
  <c r="P488" i="73"/>
  <c r="P487" i="73"/>
  <c r="P486" i="73"/>
  <c r="P485" i="73"/>
  <c r="P484" i="73"/>
  <c r="P483" i="73"/>
  <c r="P482" i="73"/>
  <c r="P481" i="73"/>
  <c r="P480" i="73"/>
  <c r="P479" i="73"/>
  <c r="P478" i="73"/>
  <c r="P477" i="73"/>
  <c r="P476" i="73"/>
  <c r="P475" i="73"/>
  <c r="P474" i="73"/>
  <c r="P317" i="73"/>
  <c r="J1715" i="73"/>
  <c r="K1715" i="73"/>
  <c r="L1715" i="73"/>
  <c r="J1716" i="73"/>
  <c r="K1716" i="73"/>
  <c r="L1716" i="73"/>
  <c r="J1717" i="73"/>
  <c r="K1717" i="73"/>
  <c r="L1717" i="73"/>
  <c r="J1718" i="73"/>
  <c r="K1718" i="73"/>
  <c r="L1718" i="73"/>
  <c r="J1719" i="73"/>
  <c r="K1719" i="73"/>
  <c r="L1719" i="73"/>
  <c r="J1720" i="73"/>
  <c r="K1720" i="73"/>
  <c r="L1720" i="73"/>
  <c r="J1721" i="73"/>
  <c r="K1721" i="73"/>
  <c r="L1721" i="73"/>
  <c r="J1722" i="73"/>
  <c r="K1722" i="73"/>
  <c r="L1722" i="73"/>
  <c r="J1723" i="73"/>
  <c r="K1723" i="73"/>
  <c r="L1723" i="73"/>
  <c r="J1724" i="73"/>
  <c r="K1724" i="73"/>
  <c r="L1724" i="73"/>
  <c r="J1725" i="73"/>
  <c r="K1725" i="73"/>
  <c r="L1725" i="73"/>
  <c r="J1726" i="73"/>
  <c r="K1726" i="73"/>
  <c r="L1726" i="73"/>
  <c r="J1727" i="73"/>
  <c r="K1727" i="73"/>
  <c r="L1727" i="73"/>
  <c r="J1728" i="73"/>
  <c r="K1728" i="73"/>
  <c r="L1728" i="73"/>
  <c r="J1729" i="73"/>
  <c r="K1729" i="73"/>
  <c r="L1729" i="73"/>
  <c r="J1730" i="73"/>
  <c r="K1730" i="73"/>
  <c r="L1730" i="73"/>
  <c r="J1731" i="73"/>
  <c r="K1731" i="73"/>
  <c r="L1731" i="73"/>
  <c r="J1732" i="73"/>
  <c r="K1732" i="73"/>
  <c r="L1732" i="73"/>
  <c r="J1733" i="73"/>
  <c r="K1733" i="73"/>
  <c r="L1733" i="73"/>
  <c r="J1734" i="73"/>
  <c r="K1734" i="73"/>
  <c r="L1734" i="73"/>
  <c r="J1735" i="73"/>
  <c r="K1735" i="73"/>
  <c r="L1735" i="73"/>
  <c r="J1736" i="73"/>
  <c r="K1736" i="73"/>
  <c r="L1736" i="73"/>
  <c r="J1700" i="73"/>
  <c r="K1700" i="73"/>
  <c r="L1700" i="73"/>
  <c r="J1701" i="73"/>
  <c r="K1701" i="73"/>
  <c r="L1701" i="73"/>
  <c r="J1702" i="73"/>
  <c r="K1702" i="73"/>
  <c r="L1702" i="73"/>
  <c r="J1703" i="73"/>
  <c r="K1703" i="73"/>
  <c r="L1703" i="73"/>
  <c r="J1704" i="73"/>
  <c r="K1704" i="73"/>
  <c r="L1704" i="73"/>
  <c r="J1705" i="73"/>
  <c r="K1705" i="73"/>
  <c r="L1705" i="73"/>
  <c r="J1706" i="73"/>
  <c r="K1706" i="73"/>
  <c r="L1706" i="73"/>
  <c r="J1707" i="73"/>
  <c r="K1707" i="73"/>
  <c r="L1707" i="73"/>
  <c r="J1708" i="73"/>
  <c r="K1708" i="73"/>
  <c r="L1708" i="73"/>
  <c r="J1709" i="73"/>
  <c r="K1709" i="73"/>
  <c r="L1709" i="73"/>
  <c r="J1710" i="73"/>
  <c r="K1710" i="73"/>
  <c r="L1710" i="73"/>
  <c r="J1711" i="73"/>
  <c r="K1711" i="73"/>
  <c r="L1711" i="73"/>
  <c r="J1712" i="73"/>
  <c r="K1712" i="73"/>
  <c r="L1712" i="73"/>
  <c r="J1713" i="73"/>
  <c r="K1713" i="73"/>
  <c r="L1713" i="73"/>
  <c r="J1714" i="73"/>
  <c r="K1714" i="73"/>
  <c r="L1714" i="73"/>
  <c r="O45" i="1"/>
  <c r="P45" i="1"/>
  <c r="L1699" i="73"/>
  <c r="K1699" i="73"/>
  <c r="J1699" i="73"/>
  <c r="K330" i="73"/>
  <c r="L330" i="73"/>
  <c r="K331" i="73"/>
  <c r="L331" i="73"/>
  <c r="K332" i="73"/>
  <c r="L332" i="73"/>
  <c r="K333" i="73"/>
  <c r="L333" i="73"/>
  <c r="K334" i="73"/>
  <c r="L334" i="73"/>
  <c r="K335" i="73"/>
  <c r="L335" i="73"/>
  <c r="K336" i="73"/>
  <c r="L336" i="73"/>
  <c r="K337" i="73"/>
  <c r="L337" i="73"/>
  <c r="K338" i="73"/>
  <c r="L338" i="73"/>
  <c r="K339" i="73"/>
  <c r="L339" i="73"/>
  <c r="K340" i="73"/>
  <c r="L340" i="73"/>
  <c r="K341" i="73"/>
  <c r="L341" i="73"/>
  <c r="K342" i="73"/>
  <c r="L342" i="73"/>
  <c r="K343" i="73"/>
  <c r="L343" i="73"/>
  <c r="K344" i="73"/>
  <c r="L344" i="73"/>
  <c r="K345" i="73"/>
  <c r="L345" i="73"/>
  <c r="K346" i="73"/>
  <c r="L346" i="73"/>
  <c r="K347" i="73"/>
  <c r="L347" i="73"/>
  <c r="K348" i="73"/>
  <c r="L348" i="73"/>
  <c r="K349" i="73"/>
  <c r="L349" i="73"/>
  <c r="K350" i="73"/>
  <c r="L350" i="73"/>
  <c r="K351" i="73"/>
  <c r="L351" i="73"/>
  <c r="K352" i="73"/>
  <c r="L352" i="73"/>
  <c r="K353" i="73"/>
  <c r="L353" i="73"/>
  <c r="K354" i="73"/>
  <c r="L354" i="73"/>
  <c r="K355" i="73"/>
  <c r="L355" i="73"/>
  <c r="K356" i="73"/>
  <c r="L356" i="73"/>
  <c r="K357" i="73"/>
  <c r="L357" i="73"/>
  <c r="K358" i="73"/>
  <c r="L358" i="73"/>
  <c r="K359" i="73"/>
  <c r="L359" i="73"/>
  <c r="K360" i="73"/>
  <c r="L360" i="73"/>
  <c r="K361" i="73"/>
  <c r="L361" i="73"/>
  <c r="K362" i="73"/>
  <c r="L362" i="73"/>
  <c r="K363" i="73"/>
  <c r="L363" i="73"/>
  <c r="K364" i="73"/>
  <c r="L364" i="73"/>
  <c r="K365" i="73"/>
  <c r="L365" i="73"/>
  <c r="K366" i="73"/>
  <c r="L366" i="73"/>
  <c r="K367" i="73"/>
  <c r="L367" i="73"/>
  <c r="K368" i="73"/>
  <c r="L368" i="73"/>
  <c r="K369" i="73"/>
  <c r="L369" i="73"/>
  <c r="K370" i="73"/>
  <c r="L370" i="73"/>
  <c r="K371" i="73"/>
  <c r="L371" i="73"/>
  <c r="K372" i="73"/>
  <c r="L372" i="73"/>
  <c r="K373" i="73"/>
  <c r="L373" i="73"/>
  <c r="K374" i="73"/>
  <c r="L374" i="73"/>
  <c r="K375" i="73"/>
  <c r="L375" i="73"/>
  <c r="K376" i="73"/>
  <c r="L376" i="73"/>
  <c r="K377" i="73"/>
  <c r="L377" i="73"/>
  <c r="K378" i="73"/>
  <c r="L378" i="73"/>
  <c r="K379" i="73"/>
  <c r="L379" i="73"/>
  <c r="K380" i="73"/>
  <c r="L380" i="73"/>
  <c r="K381" i="73"/>
  <c r="L381" i="73"/>
  <c r="K382" i="73"/>
  <c r="L382" i="73"/>
  <c r="K383" i="73"/>
  <c r="L383" i="73"/>
  <c r="K384" i="73"/>
  <c r="L384" i="73"/>
  <c r="K385" i="73"/>
  <c r="L385" i="73"/>
  <c r="K386" i="73"/>
  <c r="L386" i="73"/>
  <c r="K387" i="73"/>
  <c r="L387" i="73"/>
  <c r="K388" i="73"/>
  <c r="L388" i="73"/>
  <c r="K389" i="73"/>
  <c r="L389" i="73"/>
  <c r="K390" i="73"/>
  <c r="L390" i="73"/>
  <c r="K391" i="73"/>
  <c r="L391" i="73"/>
  <c r="K392" i="73"/>
  <c r="L392" i="73"/>
  <c r="K393" i="73"/>
  <c r="L393" i="73"/>
  <c r="K394" i="73"/>
  <c r="L394" i="73"/>
  <c r="K395" i="73"/>
  <c r="L395" i="73"/>
  <c r="K396" i="73"/>
  <c r="L396" i="73"/>
  <c r="K397" i="73"/>
  <c r="L397" i="73"/>
  <c r="K398" i="73"/>
  <c r="L398" i="73"/>
  <c r="K399" i="73"/>
  <c r="L399" i="73"/>
  <c r="K400" i="73"/>
  <c r="L400" i="73"/>
  <c r="K401" i="73"/>
  <c r="L401" i="73"/>
  <c r="K402" i="73"/>
  <c r="L402" i="73"/>
  <c r="K403" i="73"/>
  <c r="L403" i="73"/>
  <c r="K404" i="73"/>
  <c r="L404" i="73"/>
  <c r="K405" i="73"/>
  <c r="L405" i="73"/>
  <c r="K406" i="73"/>
  <c r="L406" i="73"/>
  <c r="K407" i="73"/>
  <c r="L407" i="73"/>
  <c r="K408" i="73"/>
  <c r="L408" i="73"/>
  <c r="K409" i="73"/>
  <c r="L409" i="73"/>
  <c r="K410" i="73"/>
  <c r="L410" i="73"/>
  <c r="K411" i="73"/>
  <c r="L411" i="73"/>
  <c r="K412" i="73"/>
  <c r="L412" i="73"/>
  <c r="K413" i="73"/>
  <c r="L413" i="73"/>
  <c r="K414" i="73"/>
  <c r="L414" i="73"/>
  <c r="K415" i="73"/>
  <c r="L415" i="73"/>
  <c r="K416" i="73"/>
  <c r="L416" i="73"/>
  <c r="K417" i="73"/>
  <c r="L417" i="73"/>
  <c r="K418" i="73"/>
  <c r="L418" i="73"/>
  <c r="K419" i="73"/>
  <c r="L419" i="73"/>
  <c r="K420" i="73"/>
  <c r="L420" i="73"/>
  <c r="K421" i="73"/>
  <c r="L421" i="73"/>
  <c r="K422" i="73"/>
  <c r="L422" i="73"/>
  <c r="K423" i="73"/>
  <c r="L423" i="73"/>
  <c r="K424" i="73"/>
  <c r="L424" i="73"/>
  <c r="K425" i="73"/>
  <c r="L425" i="73"/>
  <c r="K426" i="73"/>
  <c r="L426" i="73"/>
  <c r="K427" i="73"/>
  <c r="L427" i="73"/>
  <c r="K428" i="73"/>
  <c r="L428" i="73"/>
  <c r="K429" i="73"/>
  <c r="L429" i="73"/>
  <c r="K430" i="73"/>
  <c r="L430" i="73"/>
  <c r="K431" i="73"/>
  <c r="L431" i="73"/>
  <c r="K432" i="73"/>
  <c r="L432" i="73"/>
  <c r="K433" i="73"/>
  <c r="L433" i="73"/>
  <c r="K434" i="73"/>
  <c r="L434" i="73"/>
  <c r="K435" i="73"/>
  <c r="L435" i="73"/>
  <c r="K436" i="73"/>
  <c r="L436" i="73"/>
  <c r="K437" i="73"/>
  <c r="L437" i="73"/>
  <c r="K438" i="73"/>
  <c r="L438" i="73"/>
  <c r="K439" i="73"/>
  <c r="L439" i="73"/>
  <c r="K440" i="73"/>
  <c r="L440" i="73"/>
  <c r="K441" i="73"/>
  <c r="L441" i="73"/>
  <c r="K442" i="73"/>
  <c r="L442" i="73"/>
  <c r="K443" i="73"/>
  <c r="L443" i="73"/>
  <c r="K444" i="73"/>
  <c r="L444" i="73"/>
  <c r="K445" i="73"/>
  <c r="L445" i="73"/>
  <c r="K446" i="73"/>
  <c r="L446" i="73"/>
  <c r="K447" i="73"/>
  <c r="L447" i="73"/>
  <c r="K448" i="73"/>
  <c r="L448" i="73"/>
  <c r="K449" i="73"/>
  <c r="L449" i="73"/>
  <c r="K450" i="73"/>
  <c r="L450" i="73"/>
  <c r="K451" i="73"/>
  <c r="L451" i="73"/>
  <c r="K452" i="73"/>
  <c r="L452" i="73"/>
  <c r="K453" i="73"/>
  <c r="L453" i="73"/>
  <c r="K454" i="73"/>
  <c r="L454" i="73"/>
  <c r="K455" i="73"/>
  <c r="L455" i="73"/>
  <c r="K456" i="73"/>
  <c r="L456" i="73"/>
  <c r="K457" i="73"/>
  <c r="L457" i="73"/>
  <c r="K458" i="73"/>
  <c r="L458" i="73"/>
  <c r="K459" i="73"/>
  <c r="L459" i="73"/>
  <c r="K460" i="73"/>
  <c r="L460" i="73"/>
  <c r="K461" i="73"/>
  <c r="L461" i="73"/>
  <c r="K462" i="73"/>
  <c r="L462" i="73"/>
  <c r="K463" i="73"/>
  <c r="L463" i="73"/>
  <c r="K464" i="73"/>
  <c r="L464" i="73"/>
  <c r="K465" i="73"/>
  <c r="L465" i="73"/>
  <c r="K466" i="73"/>
  <c r="L466" i="73"/>
  <c r="K467" i="73"/>
  <c r="L467" i="73"/>
  <c r="K468" i="73"/>
  <c r="L468" i="73"/>
  <c r="K469" i="73"/>
  <c r="L469" i="73"/>
  <c r="K470" i="73"/>
  <c r="L470" i="73"/>
  <c r="K471" i="73"/>
  <c r="L471" i="73"/>
  <c r="K472" i="73"/>
  <c r="L472" i="73"/>
  <c r="K473" i="73"/>
  <c r="L473" i="73"/>
  <c r="K474" i="73"/>
  <c r="L474" i="73"/>
  <c r="K475" i="73"/>
  <c r="L475" i="73"/>
  <c r="K476" i="73"/>
  <c r="L476" i="73"/>
  <c r="K477" i="73"/>
  <c r="L477" i="73"/>
  <c r="K478" i="73"/>
  <c r="L478" i="73"/>
  <c r="K479" i="73"/>
  <c r="L479" i="73"/>
  <c r="K480" i="73"/>
  <c r="L480" i="73"/>
  <c r="K481" i="73"/>
  <c r="L481" i="73"/>
  <c r="K482" i="73"/>
  <c r="L482" i="73"/>
  <c r="K483" i="73"/>
  <c r="L483" i="73"/>
  <c r="K484" i="73"/>
  <c r="L484" i="73"/>
  <c r="K485" i="73"/>
  <c r="L485" i="73"/>
  <c r="K486" i="73"/>
  <c r="L486" i="73"/>
  <c r="K487" i="73"/>
  <c r="L487" i="73"/>
  <c r="K488" i="73"/>
  <c r="L488" i="73"/>
  <c r="K489" i="73"/>
  <c r="L489" i="73"/>
  <c r="K490" i="73"/>
  <c r="L490" i="73"/>
  <c r="K491" i="73"/>
  <c r="L491" i="73"/>
  <c r="K492" i="73"/>
  <c r="L492" i="73"/>
  <c r="K493" i="73"/>
  <c r="L493" i="73"/>
  <c r="K494" i="73"/>
  <c r="L494" i="73"/>
  <c r="K495" i="73"/>
  <c r="L495" i="73"/>
  <c r="K496" i="73"/>
  <c r="L496" i="73"/>
  <c r="K497" i="73"/>
  <c r="L497" i="73"/>
  <c r="K498" i="73"/>
  <c r="L498" i="73"/>
  <c r="K499" i="73"/>
  <c r="L499" i="73"/>
  <c r="K500" i="73"/>
  <c r="L500" i="73"/>
  <c r="K501" i="73"/>
  <c r="L501" i="73"/>
  <c r="K502" i="73"/>
  <c r="L502" i="73"/>
  <c r="K503" i="73"/>
  <c r="L503" i="73"/>
  <c r="K504" i="73"/>
  <c r="L504" i="73"/>
  <c r="K505" i="73"/>
  <c r="L505" i="73"/>
  <c r="K506" i="73"/>
  <c r="L506" i="73"/>
  <c r="K507" i="73"/>
  <c r="L507" i="73"/>
  <c r="K508" i="73"/>
  <c r="L508" i="73"/>
  <c r="K509" i="73"/>
  <c r="L509" i="73"/>
  <c r="K510" i="73"/>
  <c r="L510" i="73"/>
  <c r="K511" i="73"/>
  <c r="L511" i="73"/>
  <c r="K512" i="73"/>
  <c r="L512" i="73"/>
  <c r="K513" i="73"/>
  <c r="L513" i="73"/>
  <c r="K514" i="73"/>
  <c r="L514" i="73"/>
  <c r="K515" i="73"/>
  <c r="L515" i="73"/>
  <c r="K516" i="73"/>
  <c r="L516" i="73"/>
  <c r="K517" i="73"/>
  <c r="L517" i="73"/>
  <c r="K518" i="73"/>
  <c r="L518" i="73"/>
  <c r="K519" i="73"/>
  <c r="L519" i="73"/>
  <c r="K520" i="73"/>
  <c r="L520" i="73"/>
  <c r="K521" i="73"/>
  <c r="L521" i="73"/>
  <c r="K522" i="73"/>
  <c r="L522" i="73"/>
  <c r="K523" i="73"/>
  <c r="L523" i="73"/>
  <c r="K524" i="73"/>
  <c r="L524" i="73"/>
  <c r="K525" i="73"/>
  <c r="L525" i="73"/>
  <c r="K526" i="73"/>
  <c r="L526" i="73"/>
  <c r="K527" i="73"/>
  <c r="L527" i="73"/>
  <c r="K528" i="73"/>
  <c r="L528" i="73"/>
  <c r="K529" i="73"/>
  <c r="L529" i="73"/>
  <c r="K530" i="73"/>
  <c r="L530" i="73"/>
  <c r="K531" i="73"/>
  <c r="L531" i="73"/>
  <c r="K532" i="73"/>
  <c r="L532" i="73"/>
  <c r="K533" i="73"/>
  <c r="L533" i="73"/>
  <c r="K534" i="73"/>
  <c r="L534" i="73"/>
  <c r="K535" i="73"/>
  <c r="L535" i="73"/>
  <c r="K536" i="73"/>
  <c r="L536" i="73"/>
  <c r="K537" i="73"/>
  <c r="L537" i="73"/>
  <c r="K538" i="73"/>
  <c r="L538" i="73"/>
  <c r="K539" i="73"/>
  <c r="L539" i="73"/>
  <c r="K540" i="73"/>
  <c r="L540" i="73"/>
  <c r="K541" i="73"/>
  <c r="L541" i="73"/>
  <c r="K542" i="73"/>
  <c r="L542" i="73"/>
  <c r="K543" i="73"/>
  <c r="L543" i="73"/>
  <c r="K544" i="73"/>
  <c r="L544" i="73"/>
  <c r="K545" i="73"/>
  <c r="L545" i="73"/>
  <c r="K546" i="73"/>
  <c r="L546" i="73"/>
  <c r="K547" i="73"/>
  <c r="L547" i="73"/>
  <c r="K548" i="73"/>
  <c r="L548" i="73"/>
  <c r="K549" i="73"/>
  <c r="L549" i="73"/>
  <c r="K550" i="73"/>
  <c r="L550" i="73"/>
  <c r="K551" i="73"/>
  <c r="L551" i="73"/>
  <c r="K552" i="73"/>
  <c r="L552" i="73"/>
  <c r="K553" i="73"/>
  <c r="L553" i="73"/>
  <c r="K554" i="73"/>
  <c r="L554" i="73"/>
  <c r="K555" i="73"/>
  <c r="L555" i="73"/>
  <c r="K556" i="73"/>
  <c r="L556" i="73"/>
  <c r="K557" i="73"/>
  <c r="L557" i="73"/>
  <c r="K558" i="73"/>
  <c r="L558" i="73"/>
  <c r="K559" i="73"/>
  <c r="L559" i="73"/>
  <c r="K560" i="73"/>
  <c r="L560" i="73"/>
  <c r="K561" i="73"/>
  <c r="L561" i="73"/>
  <c r="K562" i="73"/>
  <c r="L562" i="73"/>
  <c r="K563" i="73"/>
  <c r="L563" i="73"/>
  <c r="K564" i="73"/>
  <c r="L564" i="73"/>
  <c r="K565" i="73"/>
  <c r="L565" i="73"/>
  <c r="K566" i="73"/>
  <c r="L566" i="73"/>
  <c r="K567" i="73"/>
  <c r="L567" i="73"/>
  <c r="K568" i="73"/>
  <c r="L568" i="73"/>
  <c r="K569" i="73"/>
  <c r="L569" i="73"/>
  <c r="K570" i="73"/>
  <c r="L570" i="73"/>
  <c r="K571" i="73"/>
  <c r="L571" i="73"/>
  <c r="K572" i="73"/>
  <c r="L572" i="73"/>
  <c r="K573" i="73"/>
  <c r="L573" i="73"/>
  <c r="K574" i="73"/>
  <c r="L574" i="73"/>
  <c r="K575" i="73"/>
  <c r="L575" i="73"/>
  <c r="K576" i="73"/>
  <c r="L576" i="73"/>
  <c r="K577" i="73"/>
  <c r="L577" i="73"/>
  <c r="K578" i="73"/>
  <c r="L578" i="73"/>
  <c r="K579" i="73"/>
  <c r="L579" i="73"/>
  <c r="K580" i="73"/>
  <c r="L580" i="73"/>
  <c r="K581" i="73"/>
  <c r="L581" i="73"/>
  <c r="K582" i="73"/>
  <c r="L582" i="73"/>
  <c r="K583" i="73"/>
  <c r="L583" i="73"/>
  <c r="K584" i="73"/>
  <c r="L584" i="73"/>
  <c r="K585" i="73"/>
  <c r="L585" i="73"/>
  <c r="K586" i="73"/>
  <c r="L586" i="73"/>
  <c r="K587" i="73"/>
  <c r="L587" i="73"/>
  <c r="K588" i="73"/>
  <c r="L588" i="73"/>
  <c r="K589" i="73"/>
  <c r="L589" i="73"/>
  <c r="K590" i="73"/>
  <c r="L590" i="73"/>
  <c r="K591" i="73"/>
  <c r="L591" i="73"/>
  <c r="K592" i="73"/>
  <c r="L592" i="73"/>
  <c r="K593" i="73"/>
  <c r="L593" i="73"/>
  <c r="K594" i="73"/>
  <c r="L594" i="73"/>
  <c r="K595" i="73"/>
  <c r="L595" i="73"/>
  <c r="K596" i="73"/>
  <c r="L596" i="73"/>
  <c r="K597" i="73"/>
  <c r="L597" i="73"/>
  <c r="K598" i="73"/>
  <c r="L598" i="73"/>
  <c r="K599" i="73"/>
  <c r="L599" i="73"/>
  <c r="K600" i="73"/>
  <c r="L600" i="73"/>
  <c r="K601" i="73"/>
  <c r="L601" i="73"/>
  <c r="K602" i="73"/>
  <c r="L602" i="73"/>
  <c r="K603" i="73"/>
  <c r="L603" i="73"/>
  <c r="K604" i="73"/>
  <c r="L604" i="73"/>
  <c r="K605" i="73"/>
  <c r="L605" i="73"/>
  <c r="K606" i="73"/>
  <c r="L606" i="73"/>
  <c r="K607" i="73"/>
  <c r="L607" i="73"/>
  <c r="K608" i="73"/>
  <c r="L608" i="73"/>
  <c r="K609" i="73"/>
  <c r="L609" i="73"/>
  <c r="K610" i="73"/>
  <c r="L610" i="73"/>
  <c r="K611" i="73"/>
  <c r="L611" i="73"/>
  <c r="K612" i="73"/>
  <c r="L612" i="73"/>
  <c r="K613" i="73"/>
  <c r="L613" i="73"/>
  <c r="K614" i="73"/>
  <c r="L614" i="73"/>
  <c r="K615" i="73"/>
  <c r="L615" i="73"/>
  <c r="K616" i="73"/>
  <c r="L616" i="73"/>
  <c r="K617" i="73"/>
  <c r="L617" i="73"/>
  <c r="K618" i="73"/>
  <c r="L618" i="73"/>
  <c r="K619" i="73"/>
  <c r="L619" i="73"/>
  <c r="K620" i="73"/>
  <c r="L620" i="73"/>
  <c r="K621" i="73"/>
  <c r="L621" i="73"/>
  <c r="K622" i="73"/>
  <c r="L622" i="73"/>
  <c r="K623" i="73"/>
  <c r="L623" i="73"/>
  <c r="K624" i="73"/>
  <c r="L624" i="73"/>
  <c r="K625" i="73"/>
  <c r="L625" i="73"/>
  <c r="K626" i="73"/>
  <c r="L626" i="73"/>
  <c r="K627" i="73"/>
  <c r="L627" i="73"/>
  <c r="K628" i="73"/>
  <c r="L628" i="73"/>
  <c r="K629" i="73"/>
  <c r="L629" i="73"/>
  <c r="K630" i="73"/>
  <c r="L630" i="73"/>
  <c r="K631" i="73"/>
  <c r="L631" i="73"/>
  <c r="K632" i="73"/>
  <c r="L632" i="73"/>
  <c r="K633" i="73"/>
  <c r="L633" i="73"/>
  <c r="K634" i="73"/>
  <c r="L634" i="73"/>
  <c r="K635" i="73"/>
  <c r="L635" i="73"/>
  <c r="K636" i="73"/>
  <c r="L636" i="73"/>
  <c r="K637" i="73"/>
  <c r="L637" i="73"/>
  <c r="K638" i="73"/>
  <c r="L638" i="73"/>
  <c r="K639" i="73"/>
  <c r="L639" i="73"/>
  <c r="K640" i="73"/>
  <c r="L640" i="73"/>
  <c r="K641" i="73"/>
  <c r="L641" i="73"/>
  <c r="K642" i="73"/>
  <c r="L642" i="73"/>
  <c r="K643" i="73"/>
  <c r="L643" i="73"/>
  <c r="K644" i="73"/>
  <c r="L644" i="73"/>
  <c r="K645" i="73"/>
  <c r="L645" i="73"/>
  <c r="K646" i="73"/>
  <c r="L646" i="73"/>
  <c r="K647" i="73"/>
  <c r="L647" i="73"/>
  <c r="K648" i="73"/>
  <c r="L648" i="73"/>
  <c r="K649" i="73"/>
  <c r="L649" i="73"/>
  <c r="K650" i="73"/>
  <c r="L650" i="73"/>
  <c r="K651" i="73"/>
  <c r="L651" i="73"/>
  <c r="K652" i="73"/>
  <c r="L652" i="73"/>
  <c r="K653" i="73"/>
  <c r="L653" i="73"/>
  <c r="K654" i="73"/>
  <c r="L654" i="73"/>
  <c r="K655" i="73"/>
  <c r="L655" i="73"/>
  <c r="K656" i="73"/>
  <c r="L656" i="73"/>
  <c r="K657" i="73"/>
  <c r="L657" i="73"/>
  <c r="K658" i="73"/>
  <c r="L658" i="73"/>
  <c r="K659" i="73"/>
  <c r="L659" i="73"/>
  <c r="K660" i="73"/>
  <c r="L660" i="73"/>
  <c r="K661" i="73"/>
  <c r="L661" i="73"/>
  <c r="K662" i="73"/>
  <c r="L662" i="73"/>
  <c r="K663" i="73"/>
  <c r="L663" i="73"/>
  <c r="K664" i="73"/>
  <c r="L664" i="73"/>
  <c r="K665" i="73"/>
  <c r="L665" i="73"/>
  <c r="K666" i="73"/>
  <c r="L666" i="73"/>
  <c r="K667" i="73"/>
  <c r="L667" i="73"/>
  <c r="K668" i="73"/>
  <c r="L668" i="73"/>
  <c r="K669" i="73"/>
  <c r="L669" i="73"/>
  <c r="K670" i="73"/>
  <c r="L670" i="73"/>
  <c r="K671" i="73"/>
  <c r="L671" i="73"/>
  <c r="K672" i="73"/>
  <c r="L672" i="73"/>
  <c r="K673" i="73"/>
  <c r="L673" i="73"/>
  <c r="K674" i="73"/>
  <c r="L674" i="73"/>
  <c r="K675" i="73"/>
  <c r="L675" i="73"/>
  <c r="K676" i="73"/>
  <c r="L676" i="73"/>
  <c r="K677" i="73"/>
  <c r="L677" i="73"/>
  <c r="K678" i="73"/>
  <c r="L678" i="73"/>
  <c r="K679" i="73"/>
  <c r="L679" i="73"/>
  <c r="K680" i="73"/>
  <c r="L680" i="73"/>
  <c r="K681" i="73"/>
  <c r="L681" i="73"/>
  <c r="K682" i="73"/>
  <c r="L682" i="73"/>
  <c r="K683" i="73"/>
  <c r="L683" i="73"/>
  <c r="K684" i="73"/>
  <c r="L684" i="73"/>
  <c r="K685" i="73"/>
  <c r="L685" i="73"/>
  <c r="K686" i="73"/>
  <c r="L686" i="73"/>
  <c r="K687" i="73"/>
  <c r="L687" i="73"/>
  <c r="K688" i="73"/>
  <c r="L688" i="73"/>
  <c r="K689" i="73"/>
  <c r="L689" i="73"/>
  <c r="K690" i="73"/>
  <c r="L690" i="73"/>
  <c r="K691" i="73"/>
  <c r="L691" i="73"/>
  <c r="K692" i="73"/>
  <c r="L692" i="73"/>
  <c r="K693" i="73"/>
  <c r="L693" i="73"/>
  <c r="K694" i="73"/>
  <c r="L694" i="73"/>
  <c r="K695" i="73"/>
  <c r="L695" i="73"/>
  <c r="K696" i="73"/>
  <c r="L696" i="73"/>
  <c r="K697" i="73"/>
  <c r="L697" i="73"/>
  <c r="K698" i="73"/>
  <c r="L698" i="73"/>
  <c r="K699" i="73"/>
  <c r="L699" i="73"/>
  <c r="K700" i="73"/>
  <c r="L700" i="73"/>
  <c r="K701" i="73"/>
  <c r="L701" i="73"/>
  <c r="K702" i="73"/>
  <c r="L702" i="73"/>
  <c r="K703" i="73"/>
  <c r="L703" i="73"/>
  <c r="K704" i="73"/>
  <c r="L704" i="73"/>
  <c r="K705" i="73"/>
  <c r="L705" i="73"/>
  <c r="K706" i="73"/>
  <c r="L706" i="73"/>
  <c r="K707" i="73"/>
  <c r="L707" i="73"/>
  <c r="K708" i="73"/>
  <c r="L708" i="73"/>
  <c r="K709" i="73"/>
  <c r="L709" i="73"/>
  <c r="K710" i="73"/>
  <c r="L710" i="73"/>
  <c r="K711" i="73"/>
  <c r="L711" i="73"/>
  <c r="K712" i="73"/>
  <c r="L712" i="73"/>
  <c r="K713" i="73"/>
  <c r="L713" i="73"/>
  <c r="K714" i="73"/>
  <c r="L714" i="73"/>
  <c r="K715" i="73"/>
  <c r="L715" i="73"/>
  <c r="K716" i="73"/>
  <c r="L716" i="73"/>
  <c r="K717" i="73"/>
  <c r="L717" i="73"/>
  <c r="K718" i="73"/>
  <c r="L718" i="73"/>
  <c r="K719" i="73"/>
  <c r="L719" i="73"/>
  <c r="K720" i="73"/>
  <c r="L720" i="73"/>
  <c r="K721" i="73"/>
  <c r="L721" i="73"/>
  <c r="K722" i="73"/>
  <c r="L722" i="73"/>
  <c r="K723" i="73"/>
  <c r="L723" i="73"/>
  <c r="K724" i="73"/>
  <c r="L724" i="73"/>
  <c r="K725" i="73"/>
  <c r="L725" i="73"/>
  <c r="K726" i="73"/>
  <c r="L726" i="73"/>
  <c r="K727" i="73"/>
  <c r="L727" i="73"/>
  <c r="K728" i="73"/>
  <c r="L728" i="73"/>
  <c r="K729" i="73"/>
  <c r="L729" i="73"/>
  <c r="K730" i="73"/>
  <c r="L730" i="73"/>
  <c r="K731" i="73"/>
  <c r="L731" i="73"/>
  <c r="K732" i="73"/>
  <c r="L732" i="73"/>
  <c r="K733" i="73"/>
  <c r="L733" i="73"/>
  <c r="K734" i="73"/>
  <c r="L734" i="73"/>
  <c r="K735" i="73"/>
  <c r="L735" i="73"/>
  <c r="K736" i="73"/>
  <c r="L736" i="73"/>
  <c r="K737" i="73"/>
  <c r="L737" i="73"/>
  <c r="K738" i="73"/>
  <c r="L738" i="73"/>
  <c r="K739" i="73"/>
  <c r="L739" i="73"/>
  <c r="K740" i="73"/>
  <c r="L740" i="73"/>
  <c r="K741" i="73"/>
  <c r="L741" i="73"/>
  <c r="K742" i="73"/>
  <c r="L742" i="73"/>
  <c r="K743" i="73"/>
  <c r="L743" i="73"/>
  <c r="K744" i="73"/>
  <c r="L744" i="73"/>
  <c r="K745" i="73"/>
  <c r="L745" i="73"/>
  <c r="K746" i="73"/>
  <c r="L746" i="73"/>
  <c r="K747" i="73"/>
  <c r="L747" i="73"/>
  <c r="K748" i="73"/>
  <c r="L748" i="73"/>
  <c r="K749" i="73"/>
  <c r="L749" i="73"/>
  <c r="K750" i="73"/>
  <c r="L750" i="73"/>
  <c r="K751" i="73"/>
  <c r="L751" i="73"/>
  <c r="K752" i="73"/>
  <c r="L752" i="73"/>
  <c r="K753" i="73"/>
  <c r="L753" i="73"/>
  <c r="K754" i="73"/>
  <c r="L754" i="73"/>
  <c r="K755" i="73"/>
  <c r="L755" i="73"/>
  <c r="K756" i="73"/>
  <c r="L756" i="73"/>
  <c r="K757" i="73"/>
  <c r="L757" i="73"/>
  <c r="K758" i="73"/>
  <c r="L758" i="73"/>
  <c r="K759" i="73"/>
  <c r="L759" i="73"/>
  <c r="K760" i="73"/>
  <c r="L760" i="73"/>
  <c r="K761" i="73"/>
  <c r="L761" i="73"/>
  <c r="K762" i="73"/>
  <c r="L762" i="73"/>
  <c r="K763" i="73"/>
  <c r="L763" i="73"/>
  <c r="K764" i="73"/>
  <c r="L764" i="73"/>
  <c r="K765" i="73"/>
  <c r="L765" i="73"/>
  <c r="K766" i="73"/>
  <c r="L766" i="73"/>
  <c r="K767" i="73"/>
  <c r="L767" i="73"/>
  <c r="K768" i="73"/>
  <c r="L768" i="73"/>
  <c r="K769" i="73"/>
  <c r="L769" i="73"/>
  <c r="K770" i="73"/>
  <c r="L770" i="73"/>
  <c r="K771" i="73"/>
  <c r="L771" i="73"/>
  <c r="K772" i="73"/>
  <c r="L772" i="73"/>
  <c r="K773" i="73"/>
  <c r="L773" i="73"/>
  <c r="K774" i="73"/>
  <c r="L774" i="73"/>
  <c r="K775" i="73"/>
  <c r="L775" i="73"/>
  <c r="K776" i="73"/>
  <c r="L776" i="73"/>
  <c r="K777" i="73"/>
  <c r="L777" i="73"/>
  <c r="K778" i="73"/>
  <c r="L778" i="73"/>
  <c r="K779" i="73"/>
  <c r="L779" i="73"/>
  <c r="K780" i="73"/>
  <c r="L780" i="73"/>
  <c r="K781" i="73"/>
  <c r="L781" i="73"/>
  <c r="K782" i="73"/>
  <c r="L782" i="73"/>
  <c r="K783" i="73"/>
  <c r="L783" i="73"/>
  <c r="K784" i="73"/>
  <c r="L784" i="73"/>
  <c r="K785" i="73"/>
  <c r="L785" i="73"/>
  <c r="K786" i="73"/>
  <c r="L786" i="73"/>
  <c r="K787" i="73"/>
  <c r="L787" i="73"/>
  <c r="K788" i="73"/>
  <c r="L788" i="73"/>
  <c r="K789" i="73"/>
  <c r="L789" i="73"/>
  <c r="K790" i="73"/>
  <c r="L790" i="73"/>
  <c r="K791" i="73"/>
  <c r="L791" i="73"/>
  <c r="K792" i="73"/>
  <c r="L792" i="73"/>
  <c r="K793" i="73"/>
  <c r="L793" i="73"/>
  <c r="K794" i="73"/>
  <c r="L794" i="73"/>
  <c r="K795" i="73"/>
  <c r="L795" i="73"/>
  <c r="K796" i="73"/>
  <c r="L796" i="73"/>
  <c r="K797" i="73"/>
  <c r="L797" i="73"/>
  <c r="K798" i="73"/>
  <c r="L798" i="73"/>
  <c r="K799" i="73"/>
  <c r="L799" i="73"/>
  <c r="K800" i="73"/>
  <c r="L800" i="73"/>
  <c r="K801" i="73"/>
  <c r="L801" i="73"/>
  <c r="K802" i="73"/>
  <c r="L802" i="73"/>
  <c r="K803" i="73"/>
  <c r="L803" i="73"/>
  <c r="K804" i="73"/>
  <c r="L804" i="73"/>
  <c r="K805" i="73"/>
  <c r="L805" i="73"/>
  <c r="K806" i="73"/>
  <c r="L806" i="73"/>
  <c r="K807" i="73"/>
  <c r="L807" i="73"/>
  <c r="K808" i="73"/>
  <c r="L808" i="73"/>
  <c r="K809" i="73"/>
  <c r="L809" i="73"/>
  <c r="K810" i="73"/>
  <c r="L810" i="73"/>
  <c r="K811" i="73"/>
  <c r="L811" i="73"/>
  <c r="K812" i="73"/>
  <c r="L812" i="73"/>
  <c r="K813" i="73"/>
  <c r="L813" i="73"/>
  <c r="K814" i="73"/>
  <c r="L814" i="73"/>
  <c r="K815" i="73"/>
  <c r="L815" i="73"/>
  <c r="K816" i="73"/>
  <c r="L816" i="73"/>
  <c r="K817" i="73"/>
  <c r="L817" i="73"/>
  <c r="K818" i="73"/>
  <c r="L818" i="73"/>
  <c r="K819" i="73"/>
  <c r="L819" i="73"/>
  <c r="K820" i="73"/>
  <c r="L820" i="73"/>
  <c r="K821" i="73"/>
  <c r="L821" i="73"/>
  <c r="K822" i="73"/>
  <c r="L822" i="73"/>
  <c r="K823" i="73"/>
  <c r="L823" i="73"/>
  <c r="K824" i="73"/>
  <c r="L824" i="73"/>
  <c r="K825" i="73"/>
  <c r="L825" i="73"/>
  <c r="K826" i="73"/>
  <c r="L826" i="73"/>
  <c r="K827" i="73"/>
  <c r="L827" i="73"/>
  <c r="K828" i="73"/>
  <c r="L828" i="73"/>
  <c r="K829" i="73"/>
  <c r="L829" i="73"/>
  <c r="K830" i="73"/>
  <c r="L830" i="73"/>
  <c r="K831" i="73"/>
  <c r="L831" i="73"/>
  <c r="K832" i="73"/>
  <c r="L832" i="73"/>
  <c r="K833" i="73"/>
  <c r="L833" i="73"/>
  <c r="K834" i="73"/>
  <c r="L834" i="73"/>
  <c r="K835" i="73"/>
  <c r="L835" i="73"/>
  <c r="K836" i="73"/>
  <c r="L836" i="73"/>
  <c r="K837" i="73"/>
  <c r="L837" i="73"/>
  <c r="K838" i="73"/>
  <c r="L838" i="73"/>
  <c r="K839" i="73"/>
  <c r="L839" i="73"/>
  <c r="K840" i="73"/>
  <c r="L840" i="73"/>
  <c r="K841" i="73"/>
  <c r="L841" i="73"/>
  <c r="K842" i="73"/>
  <c r="L842" i="73"/>
  <c r="K843" i="73"/>
  <c r="L843" i="73"/>
  <c r="K844" i="73"/>
  <c r="L844" i="73"/>
  <c r="K845" i="73"/>
  <c r="L845" i="73"/>
  <c r="K846" i="73"/>
  <c r="L846" i="73"/>
  <c r="K847" i="73"/>
  <c r="L847" i="73"/>
  <c r="K848" i="73"/>
  <c r="L848" i="73"/>
  <c r="K849" i="73"/>
  <c r="L849" i="73"/>
  <c r="K850" i="73"/>
  <c r="L850" i="73"/>
  <c r="K851" i="73"/>
  <c r="L851" i="73"/>
  <c r="K852" i="73"/>
  <c r="L852" i="73"/>
  <c r="K853" i="73"/>
  <c r="L853" i="73"/>
  <c r="K854" i="73"/>
  <c r="L854" i="73"/>
  <c r="K855" i="73"/>
  <c r="L855" i="73"/>
  <c r="K856" i="73"/>
  <c r="L856" i="73"/>
  <c r="K857" i="73"/>
  <c r="L857" i="73"/>
  <c r="K858" i="73"/>
  <c r="L858" i="73"/>
  <c r="K859" i="73"/>
  <c r="L859" i="73"/>
  <c r="K860" i="73"/>
  <c r="L860" i="73"/>
  <c r="K861" i="73"/>
  <c r="L861" i="73"/>
  <c r="K862" i="73"/>
  <c r="L862" i="73"/>
  <c r="K863" i="73"/>
  <c r="L863" i="73"/>
  <c r="K864" i="73"/>
  <c r="L864" i="73"/>
  <c r="K865" i="73"/>
  <c r="L865" i="73"/>
  <c r="K866" i="73"/>
  <c r="L866" i="73"/>
  <c r="K867" i="73"/>
  <c r="L867" i="73"/>
  <c r="K868" i="73"/>
  <c r="L868" i="73"/>
  <c r="K869" i="73"/>
  <c r="L869" i="73"/>
  <c r="K870" i="73"/>
  <c r="L870" i="73"/>
  <c r="K871" i="73"/>
  <c r="L871" i="73"/>
  <c r="K872" i="73"/>
  <c r="L872" i="73"/>
  <c r="K873" i="73"/>
  <c r="L873" i="73"/>
  <c r="K874" i="73"/>
  <c r="L874" i="73"/>
  <c r="K875" i="73"/>
  <c r="L875" i="73"/>
  <c r="K876" i="73"/>
  <c r="L876" i="73"/>
  <c r="K877" i="73"/>
  <c r="L877" i="73"/>
  <c r="K878" i="73"/>
  <c r="L878" i="73"/>
  <c r="K879" i="73"/>
  <c r="L879" i="73"/>
  <c r="K880" i="73"/>
  <c r="L880" i="73"/>
  <c r="K881" i="73"/>
  <c r="L881" i="73"/>
  <c r="K882" i="73"/>
  <c r="L882" i="73"/>
  <c r="K883" i="73"/>
  <c r="L883" i="73"/>
  <c r="K884" i="73"/>
  <c r="L884" i="73"/>
  <c r="K885" i="73"/>
  <c r="L885" i="73"/>
  <c r="K886" i="73"/>
  <c r="L886" i="73"/>
  <c r="K887" i="73"/>
  <c r="L887" i="73"/>
  <c r="K888" i="73"/>
  <c r="L888" i="73"/>
  <c r="K889" i="73"/>
  <c r="L889" i="73"/>
  <c r="K890" i="73"/>
  <c r="L890" i="73"/>
  <c r="K891" i="73"/>
  <c r="L891" i="73"/>
  <c r="K892" i="73"/>
  <c r="L892" i="73"/>
  <c r="K893" i="73"/>
  <c r="L893" i="73"/>
  <c r="K894" i="73"/>
  <c r="L894" i="73"/>
  <c r="K895" i="73"/>
  <c r="L895" i="73"/>
  <c r="K896" i="73"/>
  <c r="L896" i="73"/>
  <c r="K897" i="73"/>
  <c r="L897" i="73"/>
  <c r="K898" i="73"/>
  <c r="L898" i="73"/>
  <c r="K899" i="73"/>
  <c r="L899" i="73"/>
  <c r="K900" i="73"/>
  <c r="L900" i="73"/>
  <c r="K901" i="73"/>
  <c r="L901" i="73"/>
  <c r="K902" i="73"/>
  <c r="L902" i="73"/>
  <c r="K903" i="73"/>
  <c r="L903" i="73"/>
  <c r="K904" i="73"/>
  <c r="L904" i="73"/>
  <c r="K905" i="73"/>
  <c r="L905" i="73"/>
  <c r="K906" i="73"/>
  <c r="L906" i="73"/>
  <c r="K907" i="73"/>
  <c r="L907" i="73"/>
  <c r="K908" i="73"/>
  <c r="L908" i="73"/>
  <c r="K909" i="73"/>
  <c r="L909" i="73"/>
  <c r="K910" i="73"/>
  <c r="L910" i="73"/>
  <c r="K911" i="73"/>
  <c r="L911" i="73"/>
  <c r="K912" i="73"/>
  <c r="L912" i="73"/>
  <c r="K913" i="73"/>
  <c r="L913" i="73"/>
  <c r="K914" i="73"/>
  <c r="L914" i="73"/>
  <c r="K915" i="73"/>
  <c r="L915" i="73"/>
  <c r="K916" i="73"/>
  <c r="L916" i="73"/>
  <c r="K917" i="73"/>
  <c r="L917" i="73"/>
  <c r="K918" i="73"/>
  <c r="L918" i="73"/>
  <c r="K919" i="73"/>
  <c r="L919" i="73"/>
  <c r="K920" i="73"/>
  <c r="L920" i="73"/>
  <c r="K921" i="73"/>
  <c r="L921" i="73"/>
  <c r="K922" i="73"/>
  <c r="L922" i="73"/>
  <c r="K923" i="73"/>
  <c r="L923" i="73"/>
  <c r="K924" i="73"/>
  <c r="L924" i="73"/>
  <c r="K925" i="73"/>
  <c r="L925" i="73"/>
  <c r="K926" i="73"/>
  <c r="L926" i="73"/>
  <c r="K927" i="73"/>
  <c r="L927" i="73"/>
  <c r="K928" i="73"/>
  <c r="L928" i="73"/>
  <c r="K929" i="73"/>
  <c r="L929" i="73"/>
  <c r="K930" i="73"/>
  <c r="L930" i="73"/>
  <c r="K931" i="73"/>
  <c r="L931" i="73"/>
  <c r="K932" i="73"/>
  <c r="L932" i="73"/>
  <c r="K933" i="73"/>
  <c r="L933" i="73"/>
  <c r="K934" i="73"/>
  <c r="L934" i="73"/>
  <c r="K935" i="73"/>
  <c r="L935" i="73"/>
  <c r="K936" i="73"/>
  <c r="L936" i="73"/>
  <c r="K937" i="73"/>
  <c r="L937" i="73"/>
  <c r="K938" i="73"/>
  <c r="L938" i="73"/>
  <c r="K939" i="73"/>
  <c r="L939" i="73"/>
  <c r="K940" i="73"/>
  <c r="L940" i="73"/>
  <c r="K941" i="73"/>
  <c r="L941" i="73"/>
  <c r="K942" i="73"/>
  <c r="L942" i="73"/>
  <c r="K943" i="73"/>
  <c r="L943" i="73"/>
  <c r="K944" i="73"/>
  <c r="L944" i="73"/>
  <c r="K945" i="73"/>
  <c r="L945" i="73"/>
  <c r="K946" i="73"/>
  <c r="L946" i="73"/>
  <c r="K947" i="73"/>
  <c r="L947" i="73"/>
  <c r="K948" i="73"/>
  <c r="L948" i="73"/>
  <c r="K949" i="73"/>
  <c r="L949" i="73"/>
  <c r="K950" i="73"/>
  <c r="L950" i="73"/>
  <c r="K951" i="73"/>
  <c r="L951" i="73"/>
  <c r="K952" i="73"/>
  <c r="L952" i="73"/>
  <c r="K953" i="73"/>
  <c r="L953" i="73"/>
  <c r="K954" i="73"/>
  <c r="L954" i="73"/>
  <c r="K955" i="73"/>
  <c r="L955" i="73"/>
  <c r="K956" i="73"/>
  <c r="L956" i="73"/>
  <c r="K957" i="73"/>
  <c r="L957" i="73"/>
  <c r="K958" i="73"/>
  <c r="L958" i="73"/>
  <c r="K959" i="73"/>
  <c r="L959" i="73"/>
  <c r="K960" i="73"/>
  <c r="L960" i="73"/>
  <c r="K961" i="73"/>
  <c r="L961" i="73"/>
  <c r="K962" i="73"/>
  <c r="L962" i="73"/>
  <c r="K963" i="73"/>
  <c r="L963" i="73"/>
  <c r="K964" i="73"/>
  <c r="L964" i="73"/>
  <c r="K965" i="73"/>
  <c r="L965" i="73"/>
  <c r="K966" i="73"/>
  <c r="L966" i="73"/>
  <c r="K967" i="73"/>
  <c r="L967" i="73"/>
  <c r="K968" i="73"/>
  <c r="L968" i="73"/>
  <c r="K969" i="73"/>
  <c r="L969" i="73"/>
  <c r="K970" i="73"/>
  <c r="L970" i="73"/>
  <c r="K971" i="73"/>
  <c r="L971" i="73"/>
  <c r="K972" i="73"/>
  <c r="L972" i="73"/>
  <c r="K973" i="73"/>
  <c r="L973" i="73"/>
  <c r="K974" i="73"/>
  <c r="L974" i="73"/>
  <c r="K975" i="73"/>
  <c r="L975" i="73"/>
  <c r="K976" i="73"/>
  <c r="L976" i="73"/>
  <c r="K977" i="73"/>
  <c r="L977" i="73"/>
  <c r="K978" i="73"/>
  <c r="L978" i="73"/>
  <c r="K979" i="73"/>
  <c r="L979" i="73"/>
  <c r="K980" i="73"/>
  <c r="L980" i="73"/>
  <c r="K981" i="73"/>
  <c r="L981" i="73"/>
  <c r="K982" i="73"/>
  <c r="L982" i="73"/>
  <c r="K983" i="73"/>
  <c r="L983" i="73"/>
  <c r="K984" i="73"/>
  <c r="L984" i="73"/>
  <c r="K985" i="73"/>
  <c r="L985" i="73"/>
  <c r="K986" i="73"/>
  <c r="L986" i="73"/>
  <c r="K987" i="73"/>
  <c r="L987" i="73"/>
  <c r="K988" i="73"/>
  <c r="L988" i="73"/>
  <c r="K989" i="73"/>
  <c r="L989" i="73"/>
  <c r="K990" i="73"/>
  <c r="L990" i="73"/>
  <c r="K991" i="73"/>
  <c r="L991" i="73"/>
  <c r="K992" i="73"/>
  <c r="L992" i="73"/>
  <c r="K993" i="73"/>
  <c r="L993" i="73"/>
  <c r="K994" i="73"/>
  <c r="L994" i="73"/>
  <c r="K995" i="73"/>
  <c r="L995" i="73"/>
  <c r="K996" i="73"/>
  <c r="L996" i="73"/>
  <c r="K997" i="73"/>
  <c r="L997" i="73"/>
  <c r="K998" i="73"/>
  <c r="L998" i="73"/>
  <c r="K999" i="73"/>
  <c r="L999" i="73"/>
  <c r="K1000" i="73"/>
  <c r="L1000" i="73"/>
  <c r="K1001" i="73"/>
  <c r="L1001" i="73"/>
  <c r="K1002" i="73"/>
  <c r="L1002" i="73"/>
  <c r="K1003" i="73"/>
  <c r="L1003" i="73"/>
  <c r="K1004" i="73"/>
  <c r="L1004" i="73"/>
  <c r="K1005" i="73"/>
  <c r="L1005" i="73"/>
  <c r="K1006" i="73"/>
  <c r="L1006" i="73"/>
  <c r="K1007" i="73"/>
  <c r="L1007" i="73"/>
  <c r="K1008" i="73"/>
  <c r="L1008" i="73"/>
  <c r="K1009" i="73"/>
  <c r="L1009" i="73"/>
  <c r="K1010" i="73"/>
  <c r="L1010" i="73"/>
  <c r="K1011" i="73"/>
  <c r="L1011" i="73"/>
  <c r="K1012" i="73"/>
  <c r="L1012" i="73"/>
  <c r="K1013" i="73"/>
  <c r="L1013" i="73"/>
  <c r="K1014" i="73"/>
  <c r="L1014" i="73"/>
  <c r="K1015" i="73"/>
  <c r="L1015" i="73"/>
  <c r="K1016" i="73"/>
  <c r="L1016" i="73"/>
  <c r="K1017" i="73"/>
  <c r="L1017" i="73"/>
  <c r="K1018" i="73"/>
  <c r="L1018" i="73"/>
  <c r="K1019" i="73"/>
  <c r="L1019" i="73"/>
  <c r="K1020" i="73"/>
  <c r="L1020" i="73"/>
  <c r="K1021" i="73"/>
  <c r="L1021" i="73"/>
  <c r="K1022" i="73"/>
  <c r="L1022" i="73"/>
  <c r="K1023" i="73"/>
  <c r="L1023" i="73"/>
  <c r="K1024" i="73"/>
  <c r="L1024" i="73"/>
  <c r="K1025" i="73"/>
  <c r="L1025" i="73"/>
  <c r="K1026" i="73"/>
  <c r="L1026" i="73"/>
  <c r="K1027" i="73"/>
  <c r="L1027" i="73"/>
  <c r="K1028" i="73"/>
  <c r="L1028" i="73"/>
  <c r="K1029" i="73"/>
  <c r="L1029" i="73"/>
  <c r="K1030" i="73"/>
  <c r="L1030" i="73"/>
  <c r="K1031" i="73"/>
  <c r="L1031" i="73"/>
  <c r="K1032" i="73"/>
  <c r="L1032" i="73"/>
  <c r="K1033" i="73"/>
  <c r="L1033" i="73"/>
  <c r="K1034" i="73"/>
  <c r="L1034" i="73"/>
  <c r="K1035" i="73"/>
  <c r="L1035" i="73"/>
  <c r="K1036" i="73"/>
  <c r="L1036" i="73"/>
  <c r="K1037" i="73"/>
  <c r="L1037" i="73"/>
  <c r="K1038" i="73"/>
  <c r="L1038" i="73"/>
  <c r="K1039" i="73"/>
  <c r="L1039" i="73"/>
  <c r="K1040" i="73"/>
  <c r="L1040" i="73"/>
  <c r="K1041" i="73"/>
  <c r="L1041" i="73"/>
  <c r="K1042" i="73"/>
  <c r="L1042" i="73"/>
  <c r="K1043" i="73"/>
  <c r="L1043" i="73"/>
  <c r="K1044" i="73"/>
  <c r="L1044" i="73"/>
  <c r="K1045" i="73"/>
  <c r="L1045" i="73"/>
  <c r="K1046" i="73"/>
  <c r="L1046" i="73"/>
  <c r="K1047" i="73"/>
  <c r="L1047" i="73"/>
  <c r="K1048" i="73"/>
  <c r="L1048" i="73"/>
  <c r="K1049" i="73"/>
  <c r="L1049" i="73"/>
  <c r="K1050" i="73"/>
  <c r="L1050" i="73"/>
  <c r="K1051" i="73"/>
  <c r="L1051" i="73"/>
  <c r="K1052" i="73"/>
  <c r="L1052" i="73"/>
  <c r="K1053" i="73"/>
  <c r="L1053" i="73"/>
  <c r="K1054" i="73"/>
  <c r="L1054" i="73"/>
  <c r="K1055" i="73"/>
  <c r="L1055" i="73"/>
  <c r="K1056" i="73"/>
  <c r="L1056" i="73"/>
  <c r="K1057" i="73"/>
  <c r="L1057" i="73"/>
  <c r="K1058" i="73"/>
  <c r="L1058" i="73"/>
  <c r="K1059" i="73"/>
  <c r="L1059" i="73"/>
  <c r="K1060" i="73"/>
  <c r="L1060" i="73"/>
  <c r="K1061" i="73"/>
  <c r="L1061" i="73"/>
  <c r="K1062" i="73"/>
  <c r="L1062" i="73"/>
  <c r="K1063" i="73"/>
  <c r="L1063" i="73"/>
  <c r="K1064" i="73"/>
  <c r="L1064" i="73"/>
  <c r="K1065" i="73"/>
  <c r="L1065" i="73"/>
  <c r="K1066" i="73"/>
  <c r="L1066" i="73"/>
  <c r="K1067" i="73"/>
  <c r="L1067" i="73"/>
  <c r="K1068" i="73"/>
  <c r="L1068" i="73"/>
  <c r="K1069" i="73"/>
  <c r="L1069" i="73"/>
  <c r="K1070" i="73"/>
  <c r="L1070" i="73"/>
  <c r="K1071" i="73"/>
  <c r="L1071" i="73"/>
  <c r="K1072" i="73"/>
  <c r="L1072" i="73"/>
  <c r="K1073" i="73"/>
  <c r="L1073" i="73"/>
  <c r="K1074" i="73"/>
  <c r="L1074" i="73"/>
  <c r="K1075" i="73"/>
  <c r="L1075" i="73"/>
  <c r="K1076" i="73"/>
  <c r="L1076" i="73"/>
  <c r="K1077" i="73"/>
  <c r="L1077" i="73"/>
  <c r="K1078" i="73"/>
  <c r="L1078" i="73"/>
  <c r="K1079" i="73"/>
  <c r="L1079" i="73"/>
  <c r="K1080" i="73"/>
  <c r="L1080" i="73"/>
  <c r="K1081" i="73"/>
  <c r="L1081" i="73"/>
  <c r="K1082" i="73"/>
  <c r="L1082" i="73"/>
  <c r="K1083" i="73"/>
  <c r="L1083" i="73"/>
  <c r="K1084" i="73"/>
  <c r="L1084" i="73"/>
  <c r="K1085" i="73"/>
  <c r="L1085" i="73"/>
  <c r="K1086" i="73"/>
  <c r="L1086" i="73"/>
  <c r="K1087" i="73"/>
  <c r="L1087" i="73"/>
  <c r="K1088" i="73"/>
  <c r="L1088" i="73"/>
  <c r="K1089" i="73"/>
  <c r="L1089" i="73"/>
  <c r="K1090" i="73"/>
  <c r="L1090" i="73"/>
  <c r="K1091" i="73"/>
  <c r="L1091" i="73"/>
  <c r="K1092" i="73"/>
  <c r="L1092" i="73"/>
  <c r="K1093" i="73"/>
  <c r="L1093" i="73"/>
  <c r="K1094" i="73"/>
  <c r="L1094" i="73"/>
  <c r="K1095" i="73"/>
  <c r="L1095" i="73"/>
  <c r="K1096" i="73"/>
  <c r="L1096" i="73"/>
  <c r="K1097" i="73"/>
  <c r="L1097" i="73"/>
  <c r="K1098" i="73"/>
  <c r="L1098" i="73"/>
  <c r="K1099" i="73"/>
  <c r="L1099" i="73"/>
  <c r="K1100" i="73"/>
  <c r="L1100" i="73"/>
  <c r="K1101" i="73"/>
  <c r="L1101" i="73"/>
  <c r="K1102" i="73"/>
  <c r="L1102" i="73"/>
  <c r="K1103" i="73"/>
  <c r="L1103" i="73"/>
  <c r="K1104" i="73"/>
  <c r="L1104" i="73"/>
  <c r="K1105" i="73"/>
  <c r="L1105" i="73"/>
  <c r="K1106" i="73"/>
  <c r="L1106" i="73"/>
  <c r="K1107" i="73"/>
  <c r="L1107" i="73"/>
  <c r="K1108" i="73"/>
  <c r="L1108" i="73"/>
  <c r="K1109" i="73"/>
  <c r="L1109" i="73"/>
  <c r="K1110" i="73"/>
  <c r="L1110" i="73"/>
  <c r="K1111" i="73"/>
  <c r="L1111" i="73"/>
  <c r="K1112" i="73"/>
  <c r="L1112" i="73"/>
  <c r="K1113" i="73"/>
  <c r="L1113" i="73"/>
  <c r="K1114" i="73"/>
  <c r="L1114" i="73"/>
  <c r="K1115" i="73"/>
  <c r="L1115" i="73"/>
  <c r="K1116" i="73"/>
  <c r="L1116" i="73"/>
  <c r="K1117" i="73"/>
  <c r="L1117" i="73"/>
  <c r="K1118" i="73"/>
  <c r="L1118" i="73"/>
  <c r="K1119" i="73"/>
  <c r="L1119" i="73"/>
  <c r="K1120" i="73"/>
  <c r="L1120" i="73"/>
  <c r="K1121" i="73"/>
  <c r="L1121" i="73"/>
  <c r="K1122" i="73"/>
  <c r="L1122" i="73"/>
  <c r="K1123" i="73"/>
  <c r="L1123" i="73"/>
  <c r="K1124" i="73"/>
  <c r="L1124" i="73"/>
  <c r="K1125" i="73"/>
  <c r="L1125" i="73"/>
  <c r="K1126" i="73"/>
  <c r="L1126" i="73"/>
  <c r="K1127" i="73"/>
  <c r="L1127" i="73"/>
  <c r="K1128" i="73"/>
  <c r="L1128" i="73"/>
  <c r="K1129" i="73"/>
  <c r="L1129" i="73"/>
  <c r="K1130" i="73"/>
  <c r="L1130" i="73"/>
  <c r="K1131" i="73"/>
  <c r="L1131" i="73"/>
  <c r="K1132" i="73"/>
  <c r="L1132" i="73"/>
  <c r="K1133" i="73"/>
  <c r="L1133" i="73"/>
  <c r="K1134" i="73"/>
  <c r="L1134" i="73"/>
  <c r="K1135" i="73"/>
  <c r="L1135" i="73"/>
  <c r="K1136" i="73"/>
  <c r="L1136" i="73"/>
  <c r="K1137" i="73"/>
  <c r="L1137" i="73"/>
  <c r="K1138" i="73"/>
  <c r="L1138" i="73"/>
  <c r="K1139" i="73"/>
  <c r="L1139" i="73"/>
  <c r="K1140" i="73"/>
  <c r="L1140" i="73"/>
  <c r="K1141" i="73"/>
  <c r="L1141" i="73"/>
  <c r="K1142" i="73"/>
  <c r="L1142" i="73"/>
  <c r="K1143" i="73"/>
  <c r="L1143" i="73"/>
  <c r="K1144" i="73"/>
  <c r="L1144" i="73"/>
  <c r="K1145" i="73"/>
  <c r="L1145" i="73"/>
  <c r="K1146" i="73"/>
  <c r="L1146" i="73"/>
  <c r="K1147" i="73"/>
  <c r="L1147" i="73"/>
  <c r="K1148" i="73"/>
  <c r="L1148" i="73"/>
  <c r="K1149" i="73"/>
  <c r="L1149" i="73"/>
  <c r="K1150" i="73"/>
  <c r="L1150" i="73"/>
  <c r="K1151" i="73"/>
  <c r="L1151" i="73"/>
  <c r="K1152" i="73"/>
  <c r="L1152" i="73"/>
  <c r="K1153" i="73"/>
  <c r="L1153" i="73"/>
  <c r="K1154" i="73"/>
  <c r="L1154" i="73"/>
  <c r="K1155" i="73"/>
  <c r="L1155" i="73"/>
  <c r="K1156" i="73"/>
  <c r="L1156" i="73"/>
  <c r="K1157" i="73"/>
  <c r="L1157" i="73"/>
  <c r="K1158" i="73"/>
  <c r="L1158" i="73"/>
  <c r="K1159" i="73"/>
  <c r="L1159" i="73"/>
  <c r="K1160" i="73"/>
  <c r="L1160" i="73"/>
  <c r="K1161" i="73"/>
  <c r="L1161" i="73"/>
  <c r="K1162" i="73"/>
  <c r="L1162" i="73"/>
  <c r="K1163" i="73"/>
  <c r="L1163" i="73"/>
  <c r="K1164" i="73"/>
  <c r="L1164" i="73"/>
  <c r="K1165" i="73"/>
  <c r="L1165" i="73"/>
  <c r="K1166" i="73"/>
  <c r="L1166" i="73"/>
  <c r="K1167" i="73"/>
  <c r="L1167" i="73"/>
  <c r="K1168" i="73"/>
  <c r="L1168" i="73"/>
  <c r="K1169" i="73"/>
  <c r="L1169" i="73"/>
  <c r="K1170" i="73"/>
  <c r="L1170" i="73"/>
  <c r="K1171" i="73"/>
  <c r="L1171" i="73"/>
  <c r="K1172" i="73"/>
  <c r="L1172" i="73"/>
  <c r="K1173" i="73"/>
  <c r="L1173" i="73"/>
  <c r="K1174" i="73"/>
  <c r="L1174" i="73"/>
  <c r="K1175" i="73"/>
  <c r="L1175" i="73"/>
  <c r="K1176" i="73"/>
  <c r="L1176" i="73"/>
  <c r="K1177" i="73"/>
  <c r="L1177" i="73"/>
  <c r="K1178" i="73"/>
  <c r="L1178" i="73"/>
  <c r="K1179" i="73"/>
  <c r="L1179" i="73"/>
  <c r="K1180" i="73"/>
  <c r="L1180" i="73"/>
  <c r="K1181" i="73"/>
  <c r="L1181" i="73"/>
  <c r="K1182" i="73"/>
  <c r="L1182" i="73"/>
  <c r="K1183" i="73"/>
  <c r="L1183" i="73"/>
  <c r="K1184" i="73"/>
  <c r="L1184" i="73"/>
  <c r="K1185" i="73"/>
  <c r="L1185" i="73"/>
  <c r="K1186" i="73"/>
  <c r="L1186" i="73"/>
  <c r="K1187" i="73"/>
  <c r="L1187" i="73"/>
  <c r="K1188" i="73"/>
  <c r="L1188" i="73"/>
  <c r="K1189" i="73"/>
  <c r="L1189" i="73"/>
  <c r="K1190" i="73"/>
  <c r="L1190" i="73"/>
  <c r="K1191" i="73"/>
  <c r="L1191" i="73"/>
  <c r="K1192" i="73"/>
  <c r="L1192" i="73"/>
  <c r="K1193" i="73"/>
  <c r="L1193" i="73"/>
  <c r="K1194" i="73"/>
  <c r="L1194" i="73"/>
  <c r="K1195" i="73"/>
  <c r="L1195" i="73"/>
  <c r="K1196" i="73"/>
  <c r="L1196" i="73"/>
  <c r="K1197" i="73"/>
  <c r="L1197" i="73"/>
  <c r="K1198" i="73"/>
  <c r="L1198" i="73"/>
  <c r="K1199" i="73"/>
  <c r="L1199" i="73"/>
  <c r="K1200" i="73"/>
  <c r="L1200" i="73"/>
  <c r="K1201" i="73"/>
  <c r="L1201" i="73"/>
  <c r="K1202" i="73"/>
  <c r="L1202" i="73"/>
  <c r="K1203" i="73"/>
  <c r="L1203" i="73"/>
  <c r="K1204" i="73"/>
  <c r="L1204" i="73"/>
  <c r="K1205" i="73"/>
  <c r="L1205" i="73"/>
  <c r="K1206" i="73"/>
  <c r="L1206" i="73"/>
  <c r="K1207" i="73"/>
  <c r="L1207" i="73"/>
  <c r="K1208" i="73"/>
  <c r="L1208" i="73"/>
  <c r="K1209" i="73"/>
  <c r="L1209" i="73"/>
  <c r="K1210" i="73"/>
  <c r="L1210" i="73"/>
  <c r="K1211" i="73"/>
  <c r="L1211" i="73"/>
  <c r="K1212" i="73"/>
  <c r="L1212" i="73"/>
  <c r="K1213" i="73"/>
  <c r="L1213" i="73"/>
  <c r="K1214" i="73"/>
  <c r="L1214" i="73"/>
  <c r="K1215" i="73"/>
  <c r="L1215" i="73"/>
  <c r="K1216" i="73"/>
  <c r="L1216" i="73"/>
  <c r="K1217" i="73"/>
  <c r="L1217" i="73"/>
  <c r="K1218" i="73"/>
  <c r="L1218" i="73"/>
  <c r="K1219" i="73"/>
  <c r="L1219" i="73"/>
  <c r="K1220" i="73"/>
  <c r="L1220" i="73"/>
  <c r="K1221" i="73"/>
  <c r="L1221" i="73"/>
  <c r="K1222" i="73"/>
  <c r="L1222" i="73"/>
  <c r="K1223" i="73"/>
  <c r="L1223" i="73"/>
  <c r="K1224" i="73"/>
  <c r="L1224" i="73"/>
  <c r="K1225" i="73"/>
  <c r="L1225" i="73"/>
  <c r="K1226" i="73"/>
  <c r="L1226" i="73"/>
  <c r="K1227" i="73"/>
  <c r="L1227" i="73"/>
  <c r="K1228" i="73"/>
  <c r="L1228" i="73"/>
  <c r="K1229" i="73"/>
  <c r="L1229" i="73"/>
  <c r="K1230" i="73"/>
  <c r="L1230" i="73"/>
  <c r="K1231" i="73"/>
  <c r="L1231" i="73"/>
  <c r="K1232" i="73"/>
  <c r="L1232" i="73"/>
  <c r="K1233" i="73"/>
  <c r="L1233" i="73"/>
  <c r="K1234" i="73"/>
  <c r="L1234" i="73"/>
  <c r="K1235" i="73"/>
  <c r="L1235" i="73"/>
  <c r="K1236" i="73"/>
  <c r="L1236" i="73"/>
  <c r="K1237" i="73"/>
  <c r="L1237" i="73"/>
  <c r="K1238" i="73"/>
  <c r="L1238" i="73"/>
  <c r="K1239" i="73"/>
  <c r="L1239" i="73"/>
  <c r="K1240" i="73"/>
  <c r="L1240" i="73"/>
  <c r="K1241" i="73"/>
  <c r="L1241" i="73"/>
  <c r="K1242" i="73"/>
  <c r="L1242" i="73"/>
  <c r="K1243" i="73"/>
  <c r="L1243" i="73"/>
  <c r="K1244" i="73"/>
  <c r="L1244" i="73"/>
  <c r="K1245" i="73"/>
  <c r="L1245" i="73"/>
  <c r="K1246" i="73"/>
  <c r="L1246" i="73"/>
  <c r="K1247" i="73"/>
  <c r="L1247" i="73"/>
  <c r="K1248" i="73"/>
  <c r="L1248" i="73"/>
  <c r="K1249" i="73"/>
  <c r="L1249" i="73"/>
  <c r="K1250" i="73"/>
  <c r="L1250" i="73"/>
  <c r="K1251" i="73"/>
  <c r="L1251" i="73"/>
  <c r="K1252" i="73"/>
  <c r="L1252" i="73"/>
  <c r="K1253" i="73"/>
  <c r="L1253" i="73"/>
  <c r="K1254" i="73"/>
  <c r="L1254" i="73"/>
  <c r="K1255" i="73"/>
  <c r="L1255" i="73"/>
  <c r="K1256" i="73"/>
  <c r="L1256" i="73"/>
  <c r="K1257" i="73"/>
  <c r="L1257" i="73"/>
  <c r="K1258" i="73"/>
  <c r="L1258" i="73"/>
  <c r="K1259" i="73"/>
  <c r="L1259" i="73"/>
  <c r="K1260" i="73"/>
  <c r="L1260" i="73"/>
  <c r="K1261" i="73"/>
  <c r="L1261" i="73"/>
  <c r="K1262" i="73"/>
  <c r="L1262" i="73"/>
  <c r="K1263" i="73"/>
  <c r="L1263" i="73"/>
  <c r="K1264" i="73"/>
  <c r="L1264" i="73"/>
  <c r="K1265" i="73"/>
  <c r="L1265" i="73"/>
  <c r="K1266" i="73"/>
  <c r="L1266" i="73"/>
  <c r="K1267" i="73"/>
  <c r="L1267" i="73"/>
  <c r="K1268" i="73"/>
  <c r="L1268" i="73"/>
  <c r="K1269" i="73"/>
  <c r="L1269" i="73"/>
  <c r="K1270" i="73"/>
  <c r="L1270" i="73"/>
  <c r="K1271" i="73"/>
  <c r="L1271" i="73"/>
  <c r="K1272" i="73"/>
  <c r="L1272" i="73"/>
  <c r="K1273" i="73"/>
  <c r="L1273" i="73"/>
  <c r="K1274" i="73"/>
  <c r="L1274" i="73"/>
  <c r="K1275" i="73"/>
  <c r="L1275" i="73"/>
  <c r="K1276" i="73"/>
  <c r="L1276" i="73"/>
  <c r="K1277" i="73"/>
  <c r="L1277" i="73"/>
  <c r="K1278" i="73"/>
  <c r="L1278" i="73"/>
  <c r="K1279" i="73"/>
  <c r="L1279" i="73"/>
  <c r="K1280" i="73"/>
  <c r="L1280" i="73"/>
  <c r="K1281" i="73"/>
  <c r="L1281" i="73"/>
  <c r="K1282" i="73"/>
  <c r="L1282" i="73"/>
  <c r="K1283" i="73"/>
  <c r="L1283" i="73"/>
  <c r="K1284" i="73"/>
  <c r="L1284" i="73"/>
  <c r="K1285" i="73"/>
  <c r="L1285" i="73"/>
  <c r="K1286" i="73"/>
  <c r="L1286" i="73"/>
  <c r="K1287" i="73"/>
  <c r="L1287" i="73"/>
  <c r="K1288" i="73"/>
  <c r="L1288" i="73"/>
  <c r="K1289" i="73"/>
  <c r="L1289" i="73"/>
  <c r="K1290" i="73"/>
  <c r="L1290" i="73"/>
  <c r="K1291" i="73"/>
  <c r="L1291" i="73"/>
  <c r="K1292" i="73"/>
  <c r="L1292" i="73"/>
  <c r="K1293" i="73"/>
  <c r="L1293" i="73"/>
  <c r="K1294" i="73"/>
  <c r="L1294" i="73"/>
  <c r="K1295" i="73"/>
  <c r="L1295" i="73"/>
  <c r="K1296" i="73"/>
  <c r="L1296" i="73"/>
  <c r="K1297" i="73"/>
  <c r="L1297" i="73"/>
  <c r="K1298" i="73"/>
  <c r="L1298" i="73"/>
  <c r="K1299" i="73"/>
  <c r="L1299" i="73"/>
  <c r="K1300" i="73"/>
  <c r="L1300" i="73"/>
  <c r="K1301" i="73"/>
  <c r="L1301" i="73"/>
  <c r="K1302" i="73"/>
  <c r="L1302" i="73"/>
  <c r="K1303" i="73"/>
  <c r="L1303" i="73"/>
  <c r="K1304" i="73"/>
  <c r="L1304" i="73"/>
  <c r="K1305" i="73"/>
  <c r="L1305" i="73"/>
  <c r="K1306" i="73"/>
  <c r="L1306" i="73"/>
  <c r="K1307" i="73"/>
  <c r="L1307" i="73"/>
  <c r="K1308" i="73"/>
  <c r="L1308" i="73"/>
  <c r="K1309" i="73"/>
  <c r="L1309" i="73"/>
  <c r="K1310" i="73"/>
  <c r="L1310" i="73"/>
  <c r="K1311" i="73"/>
  <c r="L1311" i="73"/>
  <c r="K1312" i="73"/>
  <c r="L1312" i="73"/>
  <c r="K1313" i="73"/>
  <c r="L1313" i="73"/>
  <c r="K1314" i="73"/>
  <c r="L1314" i="73"/>
  <c r="K1315" i="73"/>
  <c r="L1315" i="73"/>
  <c r="K1316" i="73"/>
  <c r="L1316" i="73"/>
  <c r="K1317" i="73"/>
  <c r="L1317" i="73"/>
  <c r="K1318" i="73"/>
  <c r="L1318" i="73"/>
  <c r="K1319" i="73"/>
  <c r="L1319" i="73"/>
  <c r="K1320" i="73"/>
  <c r="L1320" i="73"/>
  <c r="K1321" i="73"/>
  <c r="L1321" i="73"/>
  <c r="K1322" i="73"/>
  <c r="L1322" i="73"/>
  <c r="K1323" i="73"/>
  <c r="L1323" i="73"/>
  <c r="K1324" i="73"/>
  <c r="L1324" i="73"/>
  <c r="K1325" i="73"/>
  <c r="L1325" i="73"/>
  <c r="K1326" i="73"/>
  <c r="L1326" i="73"/>
  <c r="K1327" i="73"/>
  <c r="L1327" i="73"/>
  <c r="K1328" i="73"/>
  <c r="L1328" i="73"/>
  <c r="K1329" i="73"/>
  <c r="L1329" i="73"/>
  <c r="K1330" i="73"/>
  <c r="L1330" i="73"/>
  <c r="K1331" i="73"/>
  <c r="L1331" i="73"/>
  <c r="K1332" i="73"/>
  <c r="L1332" i="73"/>
  <c r="K1333" i="73"/>
  <c r="L1333" i="73"/>
  <c r="K1334" i="73"/>
  <c r="L1334" i="73"/>
  <c r="K1335" i="73"/>
  <c r="L1335" i="73"/>
  <c r="K1336" i="73"/>
  <c r="L1336" i="73"/>
  <c r="K1337" i="73"/>
  <c r="L1337" i="73"/>
  <c r="K1338" i="73"/>
  <c r="L1338" i="73"/>
  <c r="K1339" i="73"/>
  <c r="L1339" i="73"/>
  <c r="K1340" i="73"/>
  <c r="L1340" i="73"/>
  <c r="K1341" i="73"/>
  <c r="L1341" i="73"/>
  <c r="K1342" i="73"/>
  <c r="L1342" i="73"/>
  <c r="K1343" i="73"/>
  <c r="L1343" i="73"/>
  <c r="K1344" i="73"/>
  <c r="L1344" i="73"/>
  <c r="K1345" i="73"/>
  <c r="L1345" i="73"/>
  <c r="K1346" i="73"/>
  <c r="L1346" i="73"/>
  <c r="K1347" i="73"/>
  <c r="L1347" i="73"/>
  <c r="K1348" i="73"/>
  <c r="L1348" i="73"/>
  <c r="K1349" i="73"/>
  <c r="L1349" i="73"/>
  <c r="K1350" i="73"/>
  <c r="L1350" i="73"/>
  <c r="K1351" i="73"/>
  <c r="L1351" i="73"/>
  <c r="K1352" i="73"/>
  <c r="L1352" i="73"/>
  <c r="K1353" i="73"/>
  <c r="L1353" i="73"/>
  <c r="K1354" i="73"/>
  <c r="L1354" i="73"/>
  <c r="K1355" i="73"/>
  <c r="L1355" i="73"/>
  <c r="K1356" i="73"/>
  <c r="L1356" i="73"/>
  <c r="K1357" i="73"/>
  <c r="L1357" i="73"/>
  <c r="K1358" i="73"/>
  <c r="L1358" i="73"/>
  <c r="K1359" i="73"/>
  <c r="L1359" i="73"/>
  <c r="K1360" i="73"/>
  <c r="L1360" i="73"/>
  <c r="K1361" i="73"/>
  <c r="L1361" i="73"/>
  <c r="K1362" i="73"/>
  <c r="L1362" i="73"/>
  <c r="K1363" i="73"/>
  <c r="L1363" i="73"/>
  <c r="K1364" i="73"/>
  <c r="L1364" i="73"/>
  <c r="K1365" i="73"/>
  <c r="L1365" i="73"/>
  <c r="K1366" i="73"/>
  <c r="L1366" i="73"/>
  <c r="K1367" i="73"/>
  <c r="L1367" i="73"/>
  <c r="K1368" i="73"/>
  <c r="L1368" i="73"/>
  <c r="K1369" i="73"/>
  <c r="L1369" i="73"/>
  <c r="K1370" i="73"/>
  <c r="L1370" i="73"/>
  <c r="K1371" i="73"/>
  <c r="L1371" i="73"/>
  <c r="K1372" i="73"/>
  <c r="L1372" i="73"/>
  <c r="K1373" i="73"/>
  <c r="L1373" i="73"/>
  <c r="K1374" i="73"/>
  <c r="L1374" i="73"/>
  <c r="K1375" i="73"/>
  <c r="L1375" i="73"/>
  <c r="K1376" i="73"/>
  <c r="L1376" i="73"/>
  <c r="K1377" i="73"/>
  <c r="L1377" i="73"/>
  <c r="K1378" i="73"/>
  <c r="L1378" i="73"/>
  <c r="K1379" i="73"/>
  <c r="L1379" i="73"/>
  <c r="K1380" i="73"/>
  <c r="L1380" i="73"/>
  <c r="K1381" i="73"/>
  <c r="L1381" i="73"/>
  <c r="K1382" i="73"/>
  <c r="L1382" i="73"/>
  <c r="K1383" i="73"/>
  <c r="L1383" i="73"/>
  <c r="K1384" i="73"/>
  <c r="L1384" i="73"/>
  <c r="K1385" i="73"/>
  <c r="L1385" i="73"/>
  <c r="K1386" i="73"/>
  <c r="L1386" i="73"/>
  <c r="K1387" i="73"/>
  <c r="L1387" i="73"/>
  <c r="K1388" i="73"/>
  <c r="L1388" i="73"/>
  <c r="K1389" i="73"/>
  <c r="L1389" i="73"/>
  <c r="K1390" i="73"/>
  <c r="L1390" i="73"/>
  <c r="K1391" i="73"/>
  <c r="L1391" i="73"/>
  <c r="K1392" i="73"/>
  <c r="L1392" i="73"/>
  <c r="K1393" i="73"/>
  <c r="L1393" i="73"/>
  <c r="K1394" i="73"/>
  <c r="L1394" i="73"/>
  <c r="K1395" i="73"/>
  <c r="L1395" i="73"/>
  <c r="K1396" i="73"/>
  <c r="L1396" i="73"/>
  <c r="K1397" i="73"/>
  <c r="L1397" i="73"/>
  <c r="K1398" i="73"/>
  <c r="L1398" i="73"/>
  <c r="K1399" i="73"/>
  <c r="L1399" i="73"/>
  <c r="K1400" i="73"/>
  <c r="L1400" i="73"/>
  <c r="K1401" i="73"/>
  <c r="L1401" i="73"/>
  <c r="K1402" i="73"/>
  <c r="L1402" i="73"/>
  <c r="K1403" i="73"/>
  <c r="L1403" i="73"/>
  <c r="K1404" i="73"/>
  <c r="L1404" i="73"/>
  <c r="K1405" i="73"/>
  <c r="L1405" i="73"/>
  <c r="K1406" i="73"/>
  <c r="L1406" i="73"/>
  <c r="K1407" i="73"/>
  <c r="L1407" i="73"/>
  <c r="K1408" i="73"/>
  <c r="L1408" i="73"/>
  <c r="K1409" i="73"/>
  <c r="L1409" i="73"/>
  <c r="K1410" i="73"/>
  <c r="L1410" i="73"/>
  <c r="K1411" i="73"/>
  <c r="L1411" i="73"/>
  <c r="K1412" i="73"/>
  <c r="L1412" i="73"/>
  <c r="K1413" i="73"/>
  <c r="L1413" i="73"/>
  <c r="K1414" i="73"/>
  <c r="L1414" i="73"/>
  <c r="K1415" i="73"/>
  <c r="L1415" i="73"/>
  <c r="K1416" i="73"/>
  <c r="L1416" i="73"/>
  <c r="K1417" i="73"/>
  <c r="L1417" i="73"/>
  <c r="K1418" i="73"/>
  <c r="L1418" i="73"/>
  <c r="K1419" i="73"/>
  <c r="L1419" i="73"/>
  <c r="K1420" i="73"/>
  <c r="L1420" i="73"/>
  <c r="K1421" i="73"/>
  <c r="L1421" i="73"/>
  <c r="K1422" i="73"/>
  <c r="L1422" i="73"/>
  <c r="K1423" i="73"/>
  <c r="L1423" i="73"/>
  <c r="K1424" i="73"/>
  <c r="L1424" i="73"/>
  <c r="K1425" i="73"/>
  <c r="L1425" i="73"/>
  <c r="K1426" i="73"/>
  <c r="L1426" i="73"/>
  <c r="K1427" i="73"/>
  <c r="L1427" i="73"/>
  <c r="K1428" i="73"/>
  <c r="L1428" i="73"/>
  <c r="K1429" i="73"/>
  <c r="L1429" i="73"/>
  <c r="K1430" i="73"/>
  <c r="L1430" i="73"/>
  <c r="K1431" i="73"/>
  <c r="L1431" i="73"/>
  <c r="K1432" i="73"/>
  <c r="L1432" i="73"/>
  <c r="K1433" i="73"/>
  <c r="L1433" i="73"/>
  <c r="K1434" i="73"/>
  <c r="L1434" i="73"/>
  <c r="K1435" i="73"/>
  <c r="L1435" i="73"/>
  <c r="K1436" i="73"/>
  <c r="L1436" i="73"/>
  <c r="K1437" i="73"/>
  <c r="L1437" i="73"/>
  <c r="K1438" i="73"/>
  <c r="L1438" i="73"/>
  <c r="K1439" i="73"/>
  <c r="L1439" i="73"/>
  <c r="K1440" i="73"/>
  <c r="L1440" i="73"/>
  <c r="K1441" i="73"/>
  <c r="L1441" i="73"/>
  <c r="K1442" i="73"/>
  <c r="L1442" i="73"/>
  <c r="K1443" i="73"/>
  <c r="L1443" i="73"/>
  <c r="K1444" i="73"/>
  <c r="L1444" i="73"/>
  <c r="K1445" i="73"/>
  <c r="L1445" i="73"/>
  <c r="K1446" i="73"/>
  <c r="L1446" i="73"/>
  <c r="K1447" i="73"/>
  <c r="L1447" i="73"/>
  <c r="K1448" i="73"/>
  <c r="L1448" i="73"/>
  <c r="K1449" i="73"/>
  <c r="L1449" i="73"/>
  <c r="K1450" i="73"/>
  <c r="L1450" i="73"/>
  <c r="K1451" i="73"/>
  <c r="L1451" i="73"/>
  <c r="K1452" i="73"/>
  <c r="L1452" i="73"/>
  <c r="K1453" i="73"/>
  <c r="L1453" i="73"/>
  <c r="K1454" i="73"/>
  <c r="L1454" i="73"/>
  <c r="K1455" i="73"/>
  <c r="L1455" i="73"/>
  <c r="K1456" i="73"/>
  <c r="L1456" i="73"/>
  <c r="K1457" i="73"/>
  <c r="L1457" i="73"/>
  <c r="K1458" i="73"/>
  <c r="L1458" i="73"/>
  <c r="K1459" i="73"/>
  <c r="L1459" i="73"/>
  <c r="K1460" i="73"/>
  <c r="L1460" i="73"/>
  <c r="K1461" i="73"/>
  <c r="L1461" i="73"/>
  <c r="K1462" i="73"/>
  <c r="L1462" i="73"/>
  <c r="K1463" i="73"/>
  <c r="L1463" i="73"/>
  <c r="K1464" i="73"/>
  <c r="L1464" i="73"/>
  <c r="K1465" i="73"/>
  <c r="L1465" i="73"/>
  <c r="K1466" i="73"/>
  <c r="L1466" i="73"/>
  <c r="K1467" i="73"/>
  <c r="L1467" i="73"/>
  <c r="K1468" i="73"/>
  <c r="L1468" i="73"/>
  <c r="K1469" i="73"/>
  <c r="L1469" i="73"/>
  <c r="K1470" i="73"/>
  <c r="L1470" i="73"/>
  <c r="K1471" i="73"/>
  <c r="L1471" i="73"/>
  <c r="K1472" i="73"/>
  <c r="L1472" i="73"/>
  <c r="K1473" i="73"/>
  <c r="L1473" i="73"/>
  <c r="K1474" i="73"/>
  <c r="L1474" i="73"/>
  <c r="K1475" i="73"/>
  <c r="L1475" i="73"/>
  <c r="K1476" i="73"/>
  <c r="L1476" i="73"/>
  <c r="K1477" i="73"/>
  <c r="L1477" i="73"/>
  <c r="K1478" i="73"/>
  <c r="L1478" i="73"/>
  <c r="K1479" i="73"/>
  <c r="L1479" i="73"/>
  <c r="K1480" i="73"/>
  <c r="L1480" i="73"/>
  <c r="K1481" i="73"/>
  <c r="L1481" i="73"/>
  <c r="K1482" i="73"/>
  <c r="L1482" i="73"/>
  <c r="K1483" i="73"/>
  <c r="L1483" i="73"/>
  <c r="K1484" i="73"/>
  <c r="L1484" i="73"/>
  <c r="K1485" i="73"/>
  <c r="L1485" i="73"/>
  <c r="K1486" i="73"/>
  <c r="L1486" i="73"/>
  <c r="K1487" i="73"/>
  <c r="L1487" i="73"/>
  <c r="K1488" i="73"/>
  <c r="L1488" i="73"/>
  <c r="K1489" i="73"/>
  <c r="L1489" i="73"/>
  <c r="K1490" i="73"/>
  <c r="L1490" i="73"/>
  <c r="K1491" i="73"/>
  <c r="L1491" i="73"/>
  <c r="K1492" i="73"/>
  <c r="L1492" i="73"/>
  <c r="K1493" i="73"/>
  <c r="L1493" i="73"/>
  <c r="K1494" i="73"/>
  <c r="L1494" i="73"/>
  <c r="K1495" i="73"/>
  <c r="L1495" i="73"/>
  <c r="K1496" i="73"/>
  <c r="L1496" i="73"/>
  <c r="K1497" i="73"/>
  <c r="L1497" i="73"/>
  <c r="K1498" i="73"/>
  <c r="L1498" i="73"/>
  <c r="K1499" i="73"/>
  <c r="L1499" i="73"/>
  <c r="K1500" i="73"/>
  <c r="L1500" i="73"/>
  <c r="K1501" i="73"/>
  <c r="L1501" i="73"/>
  <c r="K1502" i="73"/>
  <c r="L1502" i="73"/>
  <c r="K1503" i="73"/>
  <c r="L1503" i="73"/>
  <c r="K1504" i="73"/>
  <c r="L1504" i="73"/>
  <c r="K1505" i="73"/>
  <c r="L1505" i="73"/>
  <c r="K1506" i="73"/>
  <c r="L1506" i="73"/>
  <c r="K1507" i="73"/>
  <c r="L1507" i="73"/>
  <c r="K1508" i="73"/>
  <c r="L1508" i="73"/>
  <c r="K1509" i="73"/>
  <c r="L1509" i="73"/>
  <c r="K1510" i="73"/>
  <c r="L1510" i="73"/>
  <c r="K1511" i="73"/>
  <c r="L1511" i="73"/>
  <c r="K1512" i="73"/>
  <c r="L1512" i="73"/>
  <c r="K1513" i="73"/>
  <c r="L1513" i="73"/>
  <c r="K1514" i="73"/>
  <c r="L1514" i="73"/>
  <c r="K1515" i="73"/>
  <c r="L1515" i="73"/>
  <c r="K1516" i="73"/>
  <c r="L1516" i="73"/>
  <c r="K1517" i="73"/>
  <c r="L1517" i="73"/>
  <c r="K1518" i="73"/>
  <c r="L1518" i="73"/>
  <c r="K1519" i="73"/>
  <c r="L1519" i="73"/>
  <c r="K1520" i="73"/>
  <c r="L1520" i="73"/>
  <c r="K1521" i="73"/>
  <c r="L1521" i="73"/>
  <c r="K1522" i="73"/>
  <c r="L1522" i="73"/>
  <c r="K1523" i="73"/>
  <c r="L1523" i="73"/>
  <c r="K1524" i="73"/>
  <c r="L1524" i="73"/>
  <c r="K1525" i="73"/>
  <c r="L1525" i="73"/>
  <c r="K1526" i="73"/>
  <c r="L1526" i="73"/>
  <c r="K1527" i="73"/>
  <c r="L1527" i="73"/>
  <c r="K1528" i="73"/>
  <c r="L1528" i="73"/>
  <c r="K1529" i="73"/>
  <c r="L1529" i="73"/>
  <c r="K1530" i="73"/>
  <c r="L1530" i="73"/>
  <c r="K1531" i="73"/>
  <c r="L1531" i="73"/>
  <c r="K1532" i="73"/>
  <c r="L1532" i="73"/>
  <c r="K1533" i="73"/>
  <c r="L1533" i="73"/>
  <c r="K1534" i="73"/>
  <c r="L1534" i="73"/>
  <c r="K1535" i="73"/>
  <c r="L1535" i="73"/>
  <c r="K1536" i="73"/>
  <c r="L1536" i="73"/>
  <c r="K1537" i="73"/>
  <c r="L1537" i="73"/>
  <c r="K1538" i="73"/>
  <c r="L1538" i="73"/>
  <c r="K1539" i="73"/>
  <c r="L1539" i="73"/>
  <c r="K1540" i="73"/>
  <c r="L1540" i="73"/>
  <c r="K1541" i="73"/>
  <c r="L1541" i="73"/>
  <c r="K1542" i="73"/>
  <c r="L1542" i="73"/>
  <c r="K1543" i="73"/>
  <c r="L1543" i="73"/>
  <c r="K1544" i="73"/>
  <c r="L1544" i="73"/>
  <c r="K1545" i="73"/>
  <c r="L1545" i="73"/>
  <c r="K1546" i="73"/>
  <c r="L1546" i="73"/>
  <c r="K1547" i="73"/>
  <c r="L1547" i="73"/>
  <c r="K1548" i="73"/>
  <c r="L1548" i="73"/>
  <c r="K1549" i="73"/>
  <c r="L1549" i="73"/>
  <c r="K1550" i="73"/>
  <c r="L1550" i="73"/>
  <c r="K1551" i="73"/>
  <c r="L1551" i="73"/>
  <c r="K1552" i="73"/>
  <c r="L1552" i="73"/>
  <c r="K1553" i="73"/>
  <c r="L1553" i="73"/>
  <c r="K1554" i="73"/>
  <c r="L1554" i="73"/>
  <c r="K1555" i="73"/>
  <c r="L1555" i="73"/>
  <c r="K1556" i="73"/>
  <c r="L1556" i="73"/>
  <c r="K1557" i="73"/>
  <c r="L1557" i="73"/>
  <c r="K1558" i="73"/>
  <c r="L1558" i="73"/>
  <c r="K1559" i="73"/>
  <c r="L1559" i="73"/>
  <c r="K1560" i="73"/>
  <c r="L1560" i="73"/>
  <c r="K1561" i="73"/>
  <c r="L1561" i="73"/>
  <c r="K1562" i="73"/>
  <c r="L1562" i="73"/>
  <c r="K1563" i="73"/>
  <c r="L1563" i="73"/>
  <c r="K1564" i="73"/>
  <c r="L1564" i="73"/>
  <c r="K1565" i="73"/>
  <c r="L1565" i="73"/>
  <c r="K1566" i="73"/>
  <c r="L1566" i="73"/>
  <c r="K1567" i="73"/>
  <c r="L1567" i="73"/>
  <c r="K1568" i="73"/>
  <c r="L1568" i="73"/>
  <c r="K1569" i="73"/>
  <c r="L1569" i="73"/>
  <c r="K1570" i="73"/>
  <c r="L1570" i="73"/>
  <c r="K1571" i="73"/>
  <c r="L1571" i="73"/>
  <c r="K1572" i="73"/>
  <c r="L1572" i="73"/>
  <c r="K1573" i="73"/>
  <c r="L1573" i="73"/>
  <c r="K1574" i="73"/>
  <c r="L1574" i="73"/>
  <c r="K1575" i="73"/>
  <c r="L1575" i="73"/>
  <c r="K1576" i="73"/>
  <c r="L1576" i="73"/>
  <c r="K1577" i="73"/>
  <c r="L1577" i="73"/>
  <c r="K1578" i="73"/>
  <c r="L1578" i="73"/>
  <c r="K1579" i="73"/>
  <c r="L1579" i="73"/>
  <c r="K1580" i="73"/>
  <c r="L1580" i="73"/>
  <c r="K1581" i="73"/>
  <c r="L1581" i="73"/>
  <c r="K1582" i="73"/>
  <c r="L1582" i="73"/>
  <c r="K1583" i="73"/>
  <c r="L1583" i="73"/>
  <c r="K1584" i="73"/>
  <c r="L1584" i="73"/>
  <c r="K1585" i="73"/>
  <c r="L1585" i="73"/>
  <c r="K1586" i="73"/>
  <c r="L1586" i="73"/>
  <c r="K1587" i="73"/>
  <c r="L1587" i="73"/>
  <c r="K1588" i="73"/>
  <c r="L1588" i="73"/>
  <c r="K1589" i="73"/>
  <c r="L1589" i="73"/>
  <c r="K1590" i="73"/>
  <c r="L1590" i="73"/>
  <c r="K1591" i="73"/>
  <c r="L1591" i="73"/>
  <c r="K1592" i="73"/>
  <c r="L1592" i="73"/>
  <c r="K1593" i="73"/>
  <c r="L1593" i="73"/>
  <c r="K1594" i="73"/>
  <c r="L1594" i="73"/>
  <c r="K1595" i="73"/>
  <c r="L1595" i="73"/>
  <c r="K1596" i="73"/>
  <c r="L1596" i="73"/>
  <c r="K1597" i="73"/>
  <c r="L1597" i="73"/>
  <c r="K1598" i="73"/>
  <c r="L1598" i="73"/>
  <c r="K1599" i="73"/>
  <c r="L1599" i="73"/>
  <c r="K1600" i="73"/>
  <c r="L1600" i="73"/>
  <c r="K1601" i="73"/>
  <c r="L1601" i="73"/>
  <c r="K1602" i="73"/>
  <c r="L1602" i="73"/>
  <c r="K1603" i="73"/>
  <c r="L1603" i="73"/>
  <c r="K1604" i="73"/>
  <c r="L1604" i="73"/>
  <c r="K1605" i="73"/>
  <c r="L1605" i="73"/>
  <c r="K1606" i="73"/>
  <c r="L1606" i="73"/>
  <c r="K1607" i="73"/>
  <c r="L1607" i="73"/>
  <c r="K1608" i="73"/>
  <c r="L1608" i="73"/>
  <c r="K1609" i="73"/>
  <c r="L1609" i="73"/>
  <c r="K1610" i="73"/>
  <c r="L1610" i="73"/>
  <c r="K1611" i="73"/>
  <c r="L1611" i="73"/>
  <c r="K1612" i="73"/>
  <c r="L1612" i="73"/>
  <c r="K1613" i="73"/>
  <c r="L1613" i="73"/>
  <c r="K1614" i="73"/>
  <c r="L1614" i="73"/>
  <c r="K1615" i="73"/>
  <c r="L1615" i="73"/>
  <c r="K1616" i="73"/>
  <c r="L1616" i="73"/>
  <c r="K1617" i="73"/>
  <c r="L1617" i="73"/>
  <c r="K1618" i="73"/>
  <c r="L1618" i="73"/>
  <c r="K1619" i="73"/>
  <c r="L1619" i="73"/>
  <c r="K1620" i="73"/>
  <c r="L1620" i="73"/>
  <c r="K1621" i="73"/>
  <c r="L1621" i="73"/>
  <c r="K1622" i="73"/>
  <c r="L1622" i="73"/>
  <c r="K1623" i="73"/>
  <c r="L1623" i="73"/>
  <c r="K1624" i="73"/>
  <c r="L1624" i="73"/>
  <c r="K1625" i="73"/>
  <c r="L1625" i="73"/>
  <c r="K1626" i="73"/>
  <c r="L1626" i="73"/>
  <c r="K1627" i="73"/>
  <c r="L1627" i="73"/>
  <c r="K1628" i="73"/>
  <c r="L1628" i="73"/>
  <c r="K1629" i="73"/>
  <c r="L1629" i="73"/>
  <c r="K1630" i="73"/>
  <c r="L1630" i="73"/>
  <c r="K1631" i="73"/>
  <c r="L1631" i="73"/>
  <c r="K1632" i="73"/>
  <c r="L1632" i="73"/>
  <c r="K1633" i="73"/>
  <c r="L1633" i="73"/>
  <c r="K1634" i="73"/>
  <c r="L1634" i="73"/>
  <c r="K1635" i="73"/>
  <c r="L1635" i="73"/>
  <c r="K1636" i="73"/>
  <c r="L1636" i="73"/>
  <c r="K1637" i="73"/>
  <c r="L1637" i="73"/>
  <c r="K1638" i="73"/>
  <c r="L1638" i="73"/>
  <c r="K1639" i="73"/>
  <c r="L1639" i="73"/>
  <c r="K1640" i="73"/>
  <c r="L1640" i="73"/>
  <c r="K1641" i="73"/>
  <c r="L1641" i="73"/>
  <c r="K1642" i="73"/>
  <c r="L1642" i="73"/>
  <c r="K1643" i="73"/>
  <c r="L1643" i="73"/>
  <c r="K1644" i="73"/>
  <c r="L1644" i="73"/>
  <c r="K1645" i="73"/>
  <c r="L1645" i="73"/>
  <c r="K1646" i="73"/>
  <c r="L1646" i="73"/>
  <c r="K1647" i="73"/>
  <c r="L1647" i="73"/>
  <c r="K1648" i="73"/>
  <c r="L1648" i="73"/>
  <c r="K1649" i="73"/>
  <c r="L1649" i="73"/>
  <c r="K1650" i="73"/>
  <c r="L1650" i="73"/>
  <c r="K1651" i="73"/>
  <c r="L1651" i="73"/>
  <c r="K1652" i="73"/>
  <c r="L1652" i="73"/>
  <c r="K1653" i="73"/>
  <c r="L1653" i="73"/>
  <c r="K1654" i="73"/>
  <c r="L1654" i="73"/>
  <c r="K1655" i="73"/>
  <c r="L1655" i="73"/>
  <c r="K1656" i="73"/>
  <c r="L1656" i="73"/>
  <c r="K1657" i="73"/>
  <c r="L1657" i="73"/>
  <c r="K1658" i="73"/>
  <c r="L1658" i="73"/>
  <c r="K1659" i="73"/>
  <c r="L1659" i="73"/>
  <c r="K1660" i="73"/>
  <c r="L1660" i="73"/>
  <c r="K1661" i="73"/>
  <c r="L1661" i="73"/>
  <c r="K1662" i="73"/>
  <c r="L1662" i="73"/>
  <c r="K1663" i="73"/>
  <c r="L1663" i="73"/>
  <c r="K1664" i="73"/>
  <c r="L1664" i="73"/>
  <c r="K1665" i="73"/>
  <c r="L1665" i="73"/>
  <c r="K1666" i="73"/>
  <c r="L1666" i="73"/>
  <c r="K1667" i="73"/>
  <c r="L1667" i="73"/>
  <c r="K1668" i="73"/>
  <c r="L1668" i="73"/>
  <c r="K1669" i="73"/>
  <c r="L1669" i="73"/>
  <c r="K1670" i="73"/>
  <c r="L1670" i="73"/>
  <c r="K1671" i="73"/>
  <c r="L1671" i="73"/>
  <c r="K1672" i="73"/>
  <c r="L1672" i="73"/>
  <c r="K1673" i="73"/>
  <c r="L1673" i="73"/>
  <c r="K1674" i="73"/>
  <c r="L1674" i="73"/>
  <c r="K1675" i="73"/>
  <c r="L1675" i="73"/>
  <c r="K1676" i="73"/>
  <c r="L1676" i="73"/>
  <c r="K1677" i="73"/>
  <c r="L1677" i="73"/>
  <c r="K1678" i="73"/>
  <c r="L1678" i="73"/>
  <c r="K1679" i="73"/>
  <c r="L1679" i="73"/>
  <c r="K1680" i="73"/>
  <c r="L1680" i="73"/>
  <c r="K1681" i="73"/>
  <c r="L1681" i="73"/>
  <c r="K1682" i="73"/>
  <c r="L1682" i="73"/>
  <c r="K1683" i="73"/>
  <c r="L1683" i="73"/>
  <c r="K1684" i="73"/>
  <c r="L1684" i="73"/>
  <c r="K1685" i="73"/>
  <c r="L1685" i="73"/>
  <c r="K1686" i="73"/>
  <c r="L1686" i="73"/>
  <c r="K1687" i="73"/>
  <c r="L1687" i="73"/>
  <c r="K1688" i="73"/>
  <c r="L1688" i="73"/>
  <c r="K1689" i="73"/>
  <c r="L1689" i="73"/>
  <c r="K1690" i="73"/>
  <c r="L1690" i="73"/>
  <c r="K1691" i="73"/>
  <c r="L1691" i="73"/>
  <c r="K1692" i="73"/>
  <c r="L1692" i="73"/>
  <c r="K1693" i="73"/>
  <c r="L1693" i="73"/>
  <c r="K1694" i="73"/>
  <c r="L1694" i="73"/>
  <c r="K1695" i="73"/>
  <c r="L1695" i="73"/>
  <c r="K1696" i="73"/>
  <c r="L1696" i="73"/>
  <c r="K1697" i="73"/>
  <c r="L1697" i="73"/>
  <c r="K1698" i="73"/>
  <c r="L1698" i="73"/>
  <c r="K318" i="73"/>
  <c r="L318" i="73"/>
  <c r="K319" i="73"/>
  <c r="L319" i="73"/>
  <c r="K320" i="73"/>
  <c r="L320" i="73"/>
  <c r="K321" i="73"/>
  <c r="L321" i="73"/>
  <c r="K322" i="73"/>
  <c r="L322" i="73"/>
  <c r="K323" i="73"/>
  <c r="L323" i="73"/>
  <c r="K324" i="73"/>
  <c r="L324" i="73"/>
  <c r="K325" i="73"/>
  <c r="L325" i="73"/>
  <c r="K326" i="73"/>
  <c r="L326" i="73"/>
  <c r="K327" i="73"/>
  <c r="L327" i="73"/>
  <c r="K328" i="73"/>
  <c r="L328" i="73"/>
  <c r="K329" i="73"/>
  <c r="L329" i="73"/>
  <c r="K216" i="73"/>
  <c r="L216" i="73"/>
  <c r="K217" i="73"/>
  <c r="L217" i="73"/>
  <c r="K218" i="73"/>
  <c r="L218" i="73"/>
  <c r="K219" i="73"/>
  <c r="L219" i="73"/>
  <c r="K220" i="73"/>
  <c r="L220" i="73"/>
  <c r="K221" i="73"/>
  <c r="L221" i="73"/>
  <c r="K222" i="73"/>
  <c r="L222" i="73"/>
  <c r="K223" i="73"/>
  <c r="L223" i="73"/>
  <c r="K224" i="73"/>
  <c r="L224" i="73"/>
  <c r="K225" i="73"/>
  <c r="L225" i="73"/>
  <c r="K226" i="73"/>
  <c r="L226" i="73"/>
  <c r="K227" i="73"/>
  <c r="L227" i="73"/>
  <c r="K228" i="73"/>
  <c r="L228" i="73"/>
  <c r="K229" i="73"/>
  <c r="L229" i="73"/>
  <c r="K230" i="73"/>
  <c r="L230" i="73"/>
  <c r="K231" i="73"/>
  <c r="L231" i="73"/>
  <c r="K232" i="73"/>
  <c r="L232" i="73"/>
  <c r="K233" i="73"/>
  <c r="L233" i="73"/>
  <c r="K234" i="73"/>
  <c r="L234" i="73"/>
  <c r="K235" i="73"/>
  <c r="L235" i="73"/>
  <c r="K236" i="73"/>
  <c r="L236" i="73"/>
  <c r="K237" i="73"/>
  <c r="L237" i="73"/>
  <c r="K238" i="73"/>
  <c r="L238" i="73"/>
  <c r="K239" i="73"/>
  <c r="L239" i="73"/>
  <c r="K240" i="73"/>
  <c r="L240" i="73"/>
  <c r="K241" i="73"/>
  <c r="L241" i="73"/>
  <c r="K242" i="73"/>
  <c r="L242" i="73"/>
  <c r="K243" i="73"/>
  <c r="L243" i="73"/>
  <c r="K244" i="73"/>
  <c r="L244" i="73"/>
  <c r="K245" i="73"/>
  <c r="L245" i="73"/>
  <c r="K246" i="73"/>
  <c r="L246" i="73"/>
  <c r="K247" i="73"/>
  <c r="L247" i="73"/>
  <c r="K248" i="73"/>
  <c r="L248" i="73"/>
  <c r="K249" i="73"/>
  <c r="L249" i="73"/>
  <c r="K250" i="73"/>
  <c r="L250" i="73"/>
  <c r="K251" i="73"/>
  <c r="L251" i="73"/>
  <c r="K252" i="73"/>
  <c r="L252" i="73"/>
  <c r="K253" i="73"/>
  <c r="L253" i="73"/>
  <c r="K254" i="73"/>
  <c r="L254" i="73"/>
  <c r="K255" i="73"/>
  <c r="L255" i="73"/>
  <c r="K256" i="73"/>
  <c r="L256" i="73"/>
  <c r="K257" i="73"/>
  <c r="L257" i="73"/>
  <c r="K258" i="73"/>
  <c r="L258" i="73"/>
  <c r="K259" i="73"/>
  <c r="L259" i="73"/>
  <c r="K260" i="73"/>
  <c r="L260" i="73"/>
  <c r="K261" i="73"/>
  <c r="L261" i="73"/>
  <c r="K262" i="73"/>
  <c r="L262" i="73"/>
  <c r="K263" i="73"/>
  <c r="L263" i="73"/>
  <c r="K264" i="73"/>
  <c r="L264" i="73"/>
  <c r="K265" i="73"/>
  <c r="L265" i="73"/>
  <c r="K266" i="73"/>
  <c r="L266" i="73"/>
  <c r="K267" i="73"/>
  <c r="L267" i="73"/>
  <c r="K268" i="73"/>
  <c r="L268" i="73"/>
  <c r="K269" i="73"/>
  <c r="L269" i="73"/>
  <c r="K270" i="73"/>
  <c r="L270" i="73"/>
  <c r="K271" i="73"/>
  <c r="L271" i="73"/>
  <c r="K272" i="73"/>
  <c r="L272" i="73"/>
  <c r="K273" i="73"/>
  <c r="L273" i="73"/>
  <c r="K274" i="73"/>
  <c r="L274" i="73"/>
  <c r="K275" i="73"/>
  <c r="L275" i="73"/>
  <c r="K276" i="73"/>
  <c r="L276" i="73"/>
  <c r="K277" i="73"/>
  <c r="L277" i="73"/>
  <c r="K278" i="73"/>
  <c r="L278" i="73"/>
  <c r="K279" i="73"/>
  <c r="L279" i="73"/>
  <c r="K280" i="73"/>
  <c r="L280" i="73"/>
  <c r="K281" i="73"/>
  <c r="L281" i="73"/>
  <c r="K282" i="73"/>
  <c r="L282" i="73"/>
  <c r="K283" i="73"/>
  <c r="L283" i="73"/>
  <c r="K284" i="73"/>
  <c r="L284" i="73"/>
  <c r="K285" i="73"/>
  <c r="L285" i="73"/>
  <c r="K286" i="73"/>
  <c r="L286" i="73"/>
  <c r="K287" i="73"/>
  <c r="L287" i="73"/>
  <c r="K288" i="73"/>
  <c r="L288" i="73"/>
  <c r="K289" i="73"/>
  <c r="L289" i="73"/>
  <c r="K290" i="73"/>
  <c r="L290" i="73"/>
  <c r="K291" i="73"/>
  <c r="L291" i="73"/>
  <c r="K292" i="73"/>
  <c r="L292" i="73"/>
  <c r="K293" i="73"/>
  <c r="L293" i="73"/>
  <c r="K294" i="73"/>
  <c r="L294" i="73"/>
  <c r="K295" i="73"/>
  <c r="L295" i="73"/>
  <c r="K296" i="73"/>
  <c r="L296" i="73"/>
  <c r="K297" i="73"/>
  <c r="L297" i="73"/>
  <c r="K298" i="73"/>
  <c r="L298" i="73"/>
  <c r="K299" i="73"/>
  <c r="L299" i="73"/>
  <c r="K300" i="73"/>
  <c r="L300" i="73"/>
  <c r="K301" i="73"/>
  <c r="L301" i="73"/>
  <c r="K302" i="73"/>
  <c r="L302" i="73"/>
  <c r="K303" i="73"/>
  <c r="L303" i="73"/>
  <c r="K304" i="73"/>
  <c r="L304" i="73"/>
  <c r="K305" i="73"/>
  <c r="L305" i="73"/>
  <c r="K306" i="73"/>
  <c r="L306" i="73"/>
  <c r="K307" i="73"/>
  <c r="L307" i="73"/>
  <c r="K308" i="73"/>
  <c r="L308" i="73"/>
  <c r="K309" i="73"/>
  <c r="L309" i="73"/>
  <c r="K310" i="73"/>
  <c r="L310" i="73"/>
  <c r="K311" i="73"/>
  <c r="L311" i="73"/>
  <c r="K312" i="73"/>
  <c r="L312" i="73"/>
  <c r="K313" i="73"/>
  <c r="L313" i="73"/>
  <c r="K314" i="73"/>
  <c r="L314" i="73"/>
  <c r="K315" i="73"/>
  <c r="L315" i="73"/>
  <c r="K316" i="73"/>
  <c r="L316" i="73"/>
  <c r="K317" i="73"/>
  <c r="L317" i="73"/>
  <c r="K147" i="73"/>
  <c r="L147" i="73"/>
  <c r="K148" i="73"/>
  <c r="L148" i="73"/>
  <c r="K149" i="73"/>
  <c r="L149" i="73"/>
  <c r="K150" i="73"/>
  <c r="L150" i="73"/>
  <c r="K151" i="73"/>
  <c r="L151" i="73"/>
  <c r="K152" i="73"/>
  <c r="L152" i="73"/>
  <c r="K153" i="73"/>
  <c r="L153" i="73"/>
  <c r="K154" i="73"/>
  <c r="L154" i="73"/>
  <c r="K155" i="73"/>
  <c r="L155" i="73"/>
  <c r="K156" i="73"/>
  <c r="L156" i="73"/>
  <c r="K157" i="73"/>
  <c r="L157" i="73"/>
  <c r="K158" i="73"/>
  <c r="L158" i="73"/>
  <c r="K159" i="73"/>
  <c r="L159" i="73"/>
  <c r="K160" i="73"/>
  <c r="L160" i="73"/>
  <c r="K161" i="73"/>
  <c r="L161" i="73"/>
  <c r="K162" i="73"/>
  <c r="L162" i="73"/>
  <c r="K163" i="73"/>
  <c r="L163" i="73"/>
  <c r="K164" i="73"/>
  <c r="L164" i="73"/>
  <c r="K165" i="73"/>
  <c r="L165" i="73"/>
  <c r="K166" i="73"/>
  <c r="L166" i="73"/>
  <c r="K167" i="73"/>
  <c r="L167" i="73"/>
  <c r="K168" i="73"/>
  <c r="L168" i="73"/>
  <c r="K169" i="73"/>
  <c r="L169" i="73"/>
  <c r="K170" i="73"/>
  <c r="L170" i="73"/>
  <c r="K171" i="73"/>
  <c r="L171" i="73"/>
  <c r="K172" i="73"/>
  <c r="L172" i="73"/>
  <c r="K173" i="73"/>
  <c r="L173" i="73"/>
  <c r="K174" i="73"/>
  <c r="L174" i="73"/>
  <c r="K175" i="73"/>
  <c r="L175" i="73"/>
  <c r="K176" i="73"/>
  <c r="L176" i="73"/>
  <c r="K177" i="73"/>
  <c r="L177" i="73"/>
  <c r="K178" i="73"/>
  <c r="L178" i="73"/>
  <c r="K179" i="73"/>
  <c r="L179" i="73"/>
  <c r="K180" i="73"/>
  <c r="L180" i="73"/>
  <c r="K181" i="73"/>
  <c r="L181" i="73"/>
  <c r="K182" i="73"/>
  <c r="L182" i="73"/>
  <c r="K183" i="73"/>
  <c r="L183" i="73"/>
  <c r="K184" i="73"/>
  <c r="L184" i="73"/>
  <c r="K185" i="73"/>
  <c r="L185" i="73"/>
  <c r="K186" i="73"/>
  <c r="L186" i="73"/>
  <c r="K187" i="73"/>
  <c r="L187" i="73"/>
  <c r="K188" i="73"/>
  <c r="L188" i="73"/>
  <c r="K189" i="73"/>
  <c r="L189" i="73"/>
  <c r="K190" i="73"/>
  <c r="L190" i="73"/>
  <c r="K191" i="73"/>
  <c r="L191" i="73"/>
  <c r="K192" i="73"/>
  <c r="L192" i="73"/>
  <c r="K193" i="73"/>
  <c r="L193" i="73"/>
  <c r="K194" i="73"/>
  <c r="L194" i="73"/>
  <c r="K195" i="73"/>
  <c r="L195" i="73"/>
  <c r="K196" i="73"/>
  <c r="L196" i="73"/>
  <c r="K197" i="73"/>
  <c r="L197" i="73"/>
  <c r="K198" i="73"/>
  <c r="L198" i="73"/>
  <c r="K199" i="73"/>
  <c r="L199" i="73"/>
  <c r="K200" i="73"/>
  <c r="L200" i="73"/>
  <c r="K201" i="73"/>
  <c r="L201" i="73"/>
  <c r="K202" i="73"/>
  <c r="L202" i="73"/>
  <c r="K203" i="73"/>
  <c r="L203" i="73"/>
  <c r="K204" i="73"/>
  <c r="L204" i="73"/>
  <c r="K205" i="73"/>
  <c r="L205" i="73"/>
  <c r="K206" i="73"/>
  <c r="L206" i="73"/>
  <c r="K207" i="73"/>
  <c r="L207" i="73"/>
  <c r="K208" i="73"/>
  <c r="L208" i="73"/>
  <c r="K209" i="73"/>
  <c r="L209" i="73"/>
  <c r="K210" i="73"/>
  <c r="L210" i="73"/>
  <c r="K211" i="73"/>
  <c r="L211" i="73"/>
  <c r="K212" i="73"/>
  <c r="L212" i="73"/>
  <c r="K213" i="73"/>
  <c r="L213" i="73"/>
  <c r="K214" i="73"/>
  <c r="L214" i="73"/>
  <c r="K215" i="73"/>
  <c r="L215" i="73"/>
  <c r="K86" i="73"/>
  <c r="L86" i="73"/>
  <c r="K87" i="73"/>
  <c r="L87" i="73"/>
  <c r="K88" i="73"/>
  <c r="L88" i="73"/>
  <c r="K89" i="73"/>
  <c r="L89" i="73"/>
  <c r="K90" i="73"/>
  <c r="L90" i="73"/>
  <c r="K91" i="73"/>
  <c r="L91" i="73"/>
  <c r="K92" i="73"/>
  <c r="L92" i="73"/>
  <c r="K93" i="73"/>
  <c r="L93" i="73"/>
  <c r="K94" i="73"/>
  <c r="L94" i="73"/>
  <c r="K95" i="73"/>
  <c r="L95" i="73"/>
  <c r="K96" i="73"/>
  <c r="L96" i="73"/>
  <c r="K97" i="73"/>
  <c r="L97" i="73"/>
  <c r="K98" i="73"/>
  <c r="L98" i="73"/>
  <c r="K99" i="73"/>
  <c r="L99" i="73"/>
  <c r="K100" i="73"/>
  <c r="L100" i="73"/>
  <c r="K101" i="73"/>
  <c r="L101" i="73"/>
  <c r="K102" i="73"/>
  <c r="L102" i="73"/>
  <c r="K103" i="73"/>
  <c r="L103" i="73"/>
  <c r="K104" i="73"/>
  <c r="L104" i="73"/>
  <c r="K105" i="73"/>
  <c r="L105" i="73"/>
  <c r="K106" i="73"/>
  <c r="L106" i="73"/>
  <c r="K107" i="73"/>
  <c r="L107" i="73"/>
  <c r="K108" i="73"/>
  <c r="L108" i="73"/>
  <c r="K109" i="73"/>
  <c r="L109" i="73"/>
  <c r="K110" i="73"/>
  <c r="L110" i="73"/>
  <c r="K111" i="73"/>
  <c r="L111" i="73"/>
  <c r="K112" i="73"/>
  <c r="L112" i="73"/>
  <c r="K113" i="73"/>
  <c r="L113" i="73"/>
  <c r="K114" i="73"/>
  <c r="L114" i="73"/>
  <c r="K115" i="73"/>
  <c r="L115" i="73"/>
  <c r="K116" i="73"/>
  <c r="L116" i="73"/>
  <c r="K117" i="73"/>
  <c r="L117" i="73"/>
  <c r="K118" i="73"/>
  <c r="L118" i="73"/>
  <c r="K119" i="73"/>
  <c r="L119" i="73"/>
  <c r="K120" i="73"/>
  <c r="L120" i="73"/>
  <c r="K121" i="73"/>
  <c r="L121" i="73"/>
  <c r="K122" i="73"/>
  <c r="L122" i="73"/>
  <c r="K123" i="73"/>
  <c r="L123" i="73"/>
  <c r="K124" i="73"/>
  <c r="L124" i="73"/>
  <c r="K125" i="73"/>
  <c r="L125" i="73"/>
  <c r="K126" i="73"/>
  <c r="L126" i="73"/>
  <c r="K127" i="73"/>
  <c r="L127" i="73"/>
  <c r="K128" i="73"/>
  <c r="L128" i="73"/>
  <c r="K129" i="73"/>
  <c r="L129" i="73"/>
  <c r="K130" i="73"/>
  <c r="L130" i="73"/>
  <c r="K131" i="73"/>
  <c r="L131" i="73"/>
  <c r="K132" i="73"/>
  <c r="L132" i="73"/>
  <c r="K133" i="73"/>
  <c r="L133" i="73"/>
  <c r="K134" i="73"/>
  <c r="L134" i="73"/>
  <c r="K135" i="73"/>
  <c r="L135" i="73"/>
  <c r="K136" i="73"/>
  <c r="L136" i="73"/>
  <c r="K137" i="73"/>
  <c r="L137" i="73"/>
  <c r="K138" i="73"/>
  <c r="L138" i="73"/>
  <c r="K139" i="73"/>
  <c r="L139" i="73"/>
  <c r="K140" i="73"/>
  <c r="L140" i="73"/>
  <c r="K141" i="73"/>
  <c r="L141" i="73"/>
  <c r="K142" i="73"/>
  <c r="L142" i="73"/>
  <c r="K143" i="73"/>
  <c r="L143" i="73"/>
  <c r="K144" i="73"/>
  <c r="L144" i="73"/>
  <c r="K145" i="73"/>
  <c r="L145" i="73"/>
  <c r="K146" i="73"/>
  <c r="L146" i="73"/>
  <c r="K77" i="73"/>
  <c r="L77" i="73"/>
  <c r="K78" i="73"/>
  <c r="L78" i="73"/>
  <c r="K79" i="73"/>
  <c r="L79" i="73"/>
  <c r="K80" i="73"/>
  <c r="L80" i="73"/>
  <c r="K81" i="73"/>
  <c r="L81" i="73"/>
  <c r="K82" i="73"/>
  <c r="L82" i="73"/>
  <c r="K83" i="73"/>
  <c r="L83" i="73"/>
  <c r="K84" i="73"/>
  <c r="L84" i="73"/>
  <c r="K85" i="73"/>
  <c r="L85" i="73"/>
  <c r="K3" i="73"/>
  <c r="L3" i="73"/>
  <c r="K4" i="73"/>
  <c r="L4" i="73"/>
  <c r="K5" i="73"/>
  <c r="L5" i="73"/>
  <c r="K6" i="73"/>
  <c r="L6" i="73"/>
  <c r="K7" i="73"/>
  <c r="L7" i="73"/>
  <c r="K8" i="73"/>
  <c r="L8" i="73"/>
  <c r="K9" i="73"/>
  <c r="L9" i="73"/>
  <c r="K10" i="73"/>
  <c r="L10" i="73"/>
  <c r="K11" i="73"/>
  <c r="L11" i="73"/>
  <c r="K12" i="73"/>
  <c r="L12" i="73"/>
  <c r="K13" i="73"/>
  <c r="L13" i="73"/>
  <c r="K14" i="73"/>
  <c r="L14" i="73"/>
  <c r="K15" i="73"/>
  <c r="L15" i="73"/>
  <c r="K16" i="73"/>
  <c r="L16" i="73"/>
  <c r="K17" i="73"/>
  <c r="L17" i="73"/>
  <c r="K18" i="73"/>
  <c r="L18" i="73"/>
  <c r="K19" i="73"/>
  <c r="L19" i="73"/>
  <c r="K20" i="73"/>
  <c r="L20" i="73"/>
  <c r="K21" i="73"/>
  <c r="L21" i="73"/>
  <c r="K22" i="73"/>
  <c r="L22" i="73"/>
  <c r="K23" i="73"/>
  <c r="L23" i="73"/>
  <c r="K24" i="73"/>
  <c r="L24" i="73"/>
  <c r="K25" i="73"/>
  <c r="L25" i="73"/>
  <c r="K26" i="73"/>
  <c r="L26" i="73"/>
  <c r="K27" i="73"/>
  <c r="L27" i="73"/>
  <c r="K28" i="73"/>
  <c r="L28" i="73"/>
  <c r="K30" i="73"/>
  <c r="L30" i="73"/>
  <c r="K31" i="73"/>
  <c r="L31" i="73"/>
  <c r="K32" i="73"/>
  <c r="L32" i="73"/>
  <c r="K33" i="73"/>
  <c r="L33" i="73"/>
  <c r="K34" i="73"/>
  <c r="L34" i="73"/>
  <c r="K35" i="73"/>
  <c r="L35" i="73"/>
  <c r="K36" i="73"/>
  <c r="L36" i="73"/>
  <c r="K37" i="73"/>
  <c r="L37" i="73"/>
  <c r="K38" i="73"/>
  <c r="L38" i="73"/>
  <c r="K39" i="73"/>
  <c r="L39" i="73"/>
  <c r="K40" i="73"/>
  <c r="L40" i="73"/>
  <c r="K41" i="73"/>
  <c r="L41" i="73"/>
  <c r="K42" i="73"/>
  <c r="L42" i="73"/>
  <c r="K43" i="73"/>
  <c r="L43" i="73"/>
  <c r="K44" i="73"/>
  <c r="L44" i="73"/>
  <c r="K45" i="73"/>
  <c r="L45" i="73"/>
  <c r="K46" i="73"/>
  <c r="L46" i="73"/>
  <c r="K47" i="73"/>
  <c r="L47" i="73"/>
  <c r="K48" i="73"/>
  <c r="L48" i="73"/>
  <c r="K49" i="73"/>
  <c r="L49" i="73"/>
  <c r="K50" i="73"/>
  <c r="L50" i="73"/>
  <c r="K51" i="73"/>
  <c r="L51" i="73"/>
  <c r="K52" i="73"/>
  <c r="L52" i="73"/>
  <c r="K53" i="73"/>
  <c r="L53" i="73"/>
  <c r="K54" i="73"/>
  <c r="L54" i="73"/>
  <c r="K55" i="73"/>
  <c r="L55" i="73"/>
  <c r="K56" i="73"/>
  <c r="L56" i="73"/>
  <c r="K57" i="73"/>
  <c r="L57" i="73"/>
  <c r="K58" i="73"/>
  <c r="L58" i="73"/>
  <c r="K59" i="73"/>
  <c r="L59" i="73"/>
  <c r="K60" i="73"/>
  <c r="L60" i="73"/>
  <c r="K61" i="73"/>
  <c r="L61" i="73"/>
  <c r="K62" i="73"/>
  <c r="L62" i="73"/>
  <c r="K63" i="73"/>
  <c r="L63" i="73"/>
  <c r="K64" i="73"/>
  <c r="L64" i="73"/>
  <c r="K65" i="73"/>
  <c r="L65" i="73"/>
  <c r="K66" i="73"/>
  <c r="L66" i="73"/>
  <c r="K67" i="73"/>
  <c r="L67" i="73"/>
  <c r="K68" i="73"/>
  <c r="L68" i="73"/>
  <c r="K69" i="73"/>
  <c r="L69" i="73"/>
  <c r="K70" i="73"/>
  <c r="L70" i="73"/>
  <c r="K71" i="73"/>
  <c r="L71" i="73"/>
  <c r="K72" i="73"/>
  <c r="L72" i="73"/>
  <c r="K73" i="73"/>
  <c r="L73" i="73"/>
  <c r="K74" i="73"/>
  <c r="L74" i="73"/>
  <c r="K75" i="73"/>
  <c r="L75" i="73"/>
  <c r="K76" i="73"/>
  <c r="L76" i="73"/>
  <c r="J318" i="73"/>
  <c r="J319" i="73"/>
  <c r="J320" i="73"/>
  <c r="J321" i="73"/>
  <c r="J322" i="73"/>
  <c r="J323" i="73"/>
  <c r="J324" i="73"/>
  <c r="J325" i="73"/>
  <c r="J326" i="73"/>
  <c r="J327" i="73"/>
  <c r="J328" i="73"/>
  <c r="J329" i="73"/>
  <c r="J330" i="73"/>
  <c r="J331" i="73"/>
  <c r="J332" i="73"/>
  <c r="J333" i="73"/>
  <c r="J334" i="73"/>
  <c r="J335" i="73"/>
  <c r="J336" i="73"/>
  <c r="J337" i="73"/>
  <c r="J338" i="73"/>
  <c r="J339" i="73"/>
  <c r="J340" i="73"/>
  <c r="J341" i="73"/>
  <c r="J342" i="73"/>
  <c r="J343" i="73"/>
  <c r="J344" i="73"/>
  <c r="J345" i="73"/>
  <c r="J346" i="73"/>
  <c r="J347" i="73"/>
  <c r="J348" i="73"/>
  <c r="J349" i="73"/>
  <c r="J350" i="73"/>
  <c r="J351" i="73"/>
  <c r="J352" i="73"/>
  <c r="J353" i="73"/>
  <c r="J354" i="73"/>
  <c r="J355" i="73"/>
  <c r="J356" i="73"/>
  <c r="J357" i="73"/>
  <c r="J358" i="73"/>
  <c r="J359" i="73"/>
  <c r="J360" i="73"/>
  <c r="J361" i="73"/>
  <c r="J362" i="73"/>
  <c r="J363" i="73"/>
  <c r="J364" i="73"/>
  <c r="J365" i="73"/>
  <c r="J366" i="73"/>
  <c r="J367" i="73"/>
  <c r="J368" i="73"/>
  <c r="J369" i="73"/>
  <c r="J370" i="73"/>
  <c r="J371" i="73"/>
  <c r="J372" i="73"/>
  <c r="J373" i="73"/>
  <c r="J374" i="73"/>
  <c r="J375" i="73"/>
  <c r="J376" i="73"/>
  <c r="J377" i="73"/>
  <c r="J378" i="73"/>
  <c r="J379" i="73"/>
  <c r="J380" i="73"/>
  <c r="J381" i="73"/>
  <c r="J382" i="73"/>
  <c r="J383" i="73"/>
  <c r="J384" i="73"/>
  <c r="J385" i="73"/>
  <c r="J386" i="73"/>
  <c r="J387" i="73"/>
  <c r="J388" i="73"/>
  <c r="J389" i="73"/>
  <c r="J390" i="73"/>
  <c r="J391" i="73"/>
  <c r="J392" i="73"/>
  <c r="J393" i="73"/>
  <c r="J394" i="73"/>
  <c r="J395" i="73"/>
  <c r="J396" i="73"/>
  <c r="J397" i="73"/>
  <c r="J398" i="73"/>
  <c r="J399" i="73"/>
  <c r="J400" i="73"/>
  <c r="J401" i="73"/>
  <c r="J402" i="73"/>
  <c r="J403" i="73"/>
  <c r="J404" i="73"/>
  <c r="J405" i="73"/>
  <c r="J406" i="73"/>
  <c r="J407" i="73"/>
  <c r="J408" i="73"/>
  <c r="J409" i="73"/>
  <c r="J410" i="73"/>
  <c r="J411" i="73"/>
  <c r="J412" i="73"/>
  <c r="J413" i="73"/>
  <c r="J414" i="73"/>
  <c r="J415" i="73"/>
  <c r="J416" i="73"/>
  <c r="J417" i="73"/>
  <c r="J418" i="73"/>
  <c r="J419" i="73"/>
  <c r="J420" i="73"/>
  <c r="J421" i="73"/>
  <c r="J422" i="73"/>
  <c r="J423" i="73"/>
  <c r="J424" i="73"/>
  <c r="J425" i="73"/>
  <c r="J426" i="73"/>
  <c r="J427" i="73"/>
  <c r="J428" i="73"/>
  <c r="J429" i="73"/>
  <c r="J430" i="73"/>
  <c r="J431" i="73"/>
  <c r="J432" i="73"/>
  <c r="J433" i="73"/>
  <c r="J434" i="73"/>
  <c r="J435" i="73"/>
  <c r="J436" i="73"/>
  <c r="J437" i="73"/>
  <c r="J438" i="73"/>
  <c r="J439" i="73"/>
  <c r="J440" i="73"/>
  <c r="J441" i="73"/>
  <c r="J442" i="73"/>
  <c r="J443" i="73"/>
  <c r="J444" i="73"/>
  <c r="J445" i="73"/>
  <c r="J446" i="73"/>
  <c r="J447" i="73"/>
  <c r="J448" i="73"/>
  <c r="J449" i="73"/>
  <c r="J450" i="73"/>
  <c r="J451" i="73"/>
  <c r="J452" i="73"/>
  <c r="J453" i="73"/>
  <c r="J454" i="73"/>
  <c r="J455" i="73"/>
  <c r="J456" i="73"/>
  <c r="J457" i="73"/>
  <c r="J458" i="73"/>
  <c r="J459" i="73"/>
  <c r="J460" i="73"/>
  <c r="J461" i="73"/>
  <c r="J462" i="73"/>
  <c r="J463" i="73"/>
  <c r="J464" i="73"/>
  <c r="J465" i="73"/>
  <c r="J466" i="73"/>
  <c r="J467" i="73"/>
  <c r="J468" i="73"/>
  <c r="J469" i="73"/>
  <c r="J470" i="73"/>
  <c r="J471" i="73"/>
  <c r="J472" i="73"/>
  <c r="J473" i="73"/>
  <c r="J474" i="73"/>
  <c r="J475" i="73"/>
  <c r="J476" i="73"/>
  <c r="J477" i="73"/>
  <c r="J478" i="73"/>
  <c r="J479" i="73"/>
  <c r="J480" i="73"/>
  <c r="J481" i="73"/>
  <c r="J482" i="73"/>
  <c r="J483" i="73"/>
  <c r="J484" i="73"/>
  <c r="J485" i="73"/>
  <c r="J486" i="73"/>
  <c r="J487" i="73"/>
  <c r="J488" i="73"/>
  <c r="J489" i="73"/>
  <c r="J490" i="73"/>
  <c r="J491" i="73"/>
  <c r="J492" i="73"/>
  <c r="J493" i="73"/>
  <c r="J494" i="73"/>
  <c r="J495" i="73"/>
  <c r="J496" i="73"/>
  <c r="J497" i="73"/>
  <c r="J498" i="73"/>
  <c r="J499" i="73"/>
  <c r="J500" i="73"/>
  <c r="J501" i="73"/>
  <c r="J502" i="73"/>
  <c r="J503" i="73"/>
  <c r="J504" i="73"/>
  <c r="J505" i="73"/>
  <c r="J506" i="73"/>
  <c r="J507" i="73"/>
  <c r="J508" i="73"/>
  <c r="J509" i="73"/>
  <c r="J510" i="73"/>
  <c r="J511" i="73"/>
  <c r="J512" i="73"/>
  <c r="J513" i="73"/>
  <c r="J514" i="73"/>
  <c r="J515" i="73"/>
  <c r="J516" i="73"/>
  <c r="J517" i="73"/>
  <c r="J518" i="73"/>
  <c r="J519" i="73"/>
  <c r="J520" i="73"/>
  <c r="J521" i="73"/>
  <c r="J522" i="73"/>
  <c r="J523" i="73"/>
  <c r="J524" i="73"/>
  <c r="J525" i="73"/>
  <c r="J526" i="73"/>
  <c r="J527" i="73"/>
  <c r="J528" i="73"/>
  <c r="J529" i="73"/>
  <c r="J530" i="73"/>
  <c r="J531" i="73"/>
  <c r="J532" i="73"/>
  <c r="J533" i="73"/>
  <c r="J534" i="73"/>
  <c r="J535" i="73"/>
  <c r="J536" i="73"/>
  <c r="J537" i="73"/>
  <c r="J538" i="73"/>
  <c r="J539" i="73"/>
  <c r="J540" i="73"/>
  <c r="J541" i="73"/>
  <c r="J542" i="73"/>
  <c r="J543" i="73"/>
  <c r="J544" i="73"/>
  <c r="J545" i="73"/>
  <c r="J546" i="73"/>
  <c r="J547" i="73"/>
  <c r="J548" i="73"/>
  <c r="J549" i="73"/>
  <c r="J550" i="73"/>
  <c r="J551" i="73"/>
  <c r="J552" i="73"/>
  <c r="J553" i="73"/>
  <c r="J554" i="73"/>
  <c r="J555" i="73"/>
  <c r="J556" i="73"/>
  <c r="J557" i="73"/>
  <c r="J558" i="73"/>
  <c r="J559" i="73"/>
  <c r="J560" i="73"/>
  <c r="J561" i="73"/>
  <c r="J562" i="73"/>
  <c r="J563" i="73"/>
  <c r="J564" i="73"/>
  <c r="J565" i="73"/>
  <c r="J566" i="73"/>
  <c r="J567" i="73"/>
  <c r="J568" i="73"/>
  <c r="J569" i="73"/>
  <c r="J570" i="73"/>
  <c r="J571" i="73"/>
  <c r="J572" i="73"/>
  <c r="J573" i="73"/>
  <c r="J574" i="73"/>
  <c r="J575" i="73"/>
  <c r="J576" i="73"/>
  <c r="J577" i="73"/>
  <c r="J578" i="73"/>
  <c r="J579" i="73"/>
  <c r="J580" i="73"/>
  <c r="J581" i="73"/>
  <c r="J582" i="73"/>
  <c r="J583" i="73"/>
  <c r="J584" i="73"/>
  <c r="J585" i="73"/>
  <c r="J586" i="73"/>
  <c r="J587" i="73"/>
  <c r="J588" i="73"/>
  <c r="J589" i="73"/>
  <c r="J590" i="73"/>
  <c r="J591" i="73"/>
  <c r="J592" i="73"/>
  <c r="J593" i="73"/>
  <c r="J594" i="73"/>
  <c r="J595" i="73"/>
  <c r="J596" i="73"/>
  <c r="J597" i="73"/>
  <c r="J598" i="73"/>
  <c r="J599" i="73"/>
  <c r="J600" i="73"/>
  <c r="J601" i="73"/>
  <c r="J602" i="73"/>
  <c r="J603" i="73"/>
  <c r="J604" i="73"/>
  <c r="J605" i="73"/>
  <c r="J606" i="73"/>
  <c r="J607" i="73"/>
  <c r="J608" i="73"/>
  <c r="J609" i="73"/>
  <c r="J610" i="73"/>
  <c r="J611" i="73"/>
  <c r="J612" i="73"/>
  <c r="J613" i="73"/>
  <c r="J614" i="73"/>
  <c r="J615" i="73"/>
  <c r="J616" i="73"/>
  <c r="J617" i="73"/>
  <c r="J618" i="73"/>
  <c r="J619" i="73"/>
  <c r="J620" i="73"/>
  <c r="J621" i="73"/>
  <c r="J622" i="73"/>
  <c r="J623" i="73"/>
  <c r="J624" i="73"/>
  <c r="J625" i="73"/>
  <c r="J626" i="73"/>
  <c r="J627" i="73"/>
  <c r="J628" i="73"/>
  <c r="J629" i="73"/>
  <c r="J630" i="73"/>
  <c r="J631" i="73"/>
  <c r="J632" i="73"/>
  <c r="J633" i="73"/>
  <c r="J634" i="73"/>
  <c r="J635" i="73"/>
  <c r="J636" i="73"/>
  <c r="J637" i="73"/>
  <c r="J638" i="73"/>
  <c r="J639" i="73"/>
  <c r="J640" i="73"/>
  <c r="J641" i="73"/>
  <c r="J642" i="73"/>
  <c r="J643" i="73"/>
  <c r="J644" i="73"/>
  <c r="J645" i="73"/>
  <c r="J646" i="73"/>
  <c r="J647" i="73"/>
  <c r="J648" i="73"/>
  <c r="J649" i="73"/>
  <c r="J650" i="73"/>
  <c r="J651" i="73"/>
  <c r="J652" i="73"/>
  <c r="J653" i="73"/>
  <c r="J654" i="73"/>
  <c r="J655" i="73"/>
  <c r="J656" i="73"/>
  <c r="J657" i="73"/>
  <c r="J658" i="73"/>
  <c r="J659" i="73"/>
  <c r="J660" i="73"/>
  <c r="J661" i="73"/>
  <c r="J662" i="73"/>
  <c r="J663" i="73"/>
  <c r="J664" i="73"/>
  <c r="J665" i="73"/>
  <c r="J666" i="73"/>
  <c r="J667" i="73"/>
  <c r="J668" i="73"/>
  <c r="J669" i="73"/>
  <c r="J670" i="73"/>
  <c r="J671" i="73"/>
  <c r="J672" i="73"/>
  <c r="J673" i="73"/>
  <c r="J674" i="73"/>
  <c r="J675" i="73"/>
  <c r="J676" i="73"/>
  <c r="J677" i="73"/>
  <c r="J678" i="73"/>
  <c r="J679" i="73"/>
  <c r="J680" i="73"/>
  <c r="J681" i="73"/>
  <c r="J682" i="73"/>
  <c r="J683" i="73"/>
  <c r="J684" i="73"/>
  <c r="J685" i="73"/>
  <c r="J686" i="73"/>
  <c r="J687" i="73"/>
  <c r="J688" i="73"/>
  <c r="J689" i="73"/>
  <c r="J690" i="73"/>
  <c r="J691" i="73"/>
  <c r="J692" i="73"/>
  <c r="J693" i="73"/>
  <c r="J694" i="73"/>
  <c r="J695" i="73"/>
  <c r="J696" i="73"/>
  <c r="J697" i="73"/>
  <c r="J698" i="73"/>
  <c r="J699" i="73"/>
  <c r="J700" i="73"/>
  <c r="J701" i="73"/>
  <c r="J702" i="73"/>
  <c r="J703" i="73"/>
  <c r="J704" i="73"/>
  <c r="J705" i="73"/>
  <c r="J706" i="73"/>
  <c r="J707" i="73"/>
  <c r="J708" i="73"/>
  <c r="J709" i="73"/>
  <c r="J710" i="73"/>
  <c r="J711" i="73"/>
  <c r="J712" i="73"/>
  <c r="J713" i="73"/>
  <c r="J714" i="73"/>
  <c r="J715" i="73"/>
  <c r="J716" i="73"/>
  <c r="J717" i="73"/>
  <c r="J718" i="73"/>
  <c r="J719" i="73"/>
  <c r="J720" i="73"/>
  <c r="J721" i="73"/>
  <c r="J722" i="73"/>
  <c r="J723" i="73"/>
  <c r="J724" i="73"/>
  <c r="J725" i="73"/>
  <c r="J726" i="73"/>
  <c r="J727" i="73"/>
  <c r="J728" i="73"/>
  <c r="J729" i="73"/>
  <c r="J730" i="73"/>
  <c r="J731" i="73"/>
  <c r="J732" i="73"/>
  <c r="J733" i="73"/>
  <c r="J734" i="73"/>
  <c r="J735" i="73"/>
  <c r="J736" i="73"/>
  <c r="J737" i="73"/>
  <c r="J738" i="73"/>
  <c r="J739" i="73"/>
  <c r="J740" i="73"/>
  <c r="J741" i="73"/>
  <c r="J742" i="73"/>
  <c r="J743" i="73"/>
  <c r="J744" i="73"/>
  <c r="J745" i="73"/>
  <c r="J746" i="73"/>
  <c r="J747" i="73"/>
  <c r="J748" i="73"/>
  <c r="J749" i="73"/>
  <c r="J750" i="73"/>
  <c r="J751" i="73"/>
  <c r="J752" i="73"/>
  <c r="J753" i="73"/>
  <c r="J754" i="73"/>
  <c r="J755" i="73"/>
  <c r="J756" i="73"/>
  <c r="J757" i="73"/>
  <c r="J758" i="73"/>
  <c r="J759" i="73"/>
  <c r="J760" i="73"/>
  <c r="J761" i="73"/>
  <c r="J762" i="73"/>
  <c r="J763" i="73"/>
  <c r="J764" i="73"/>
  <c r="J765" i="73"/>
  <c r="J766" i="73"/>
  <c r="J767" i="73"/>
  <c r="J768" i="73"/>
  <c r="J769" i="73"/>
  <c r="J770" i="73"/>
  <c r="J771" i="73"/>
  <c r="J772" i="73"/>
  <c r="J773" i="73"/>
  <c r="J774" i="73"/>
  <c r="J775" i="73"/>
  <c r="J776" i="73"/>
  <c r="J777" i="73"/>
  <c r="J778" i="73"/>
  <c r="J779" i="73"/>
  <c r="J780" i="73"/>
  <c r="J781" i="73"/>
  <c r="J782" i="73"/>
  <c r="J783" i="73"/>
  <c r="J784" i="73"/>
  <c r="J785" i="73"/>
  <c r="J786" i="73"/>
  <c r="J787" i="73"/>
  <c r="J788" i="73"/>
  <c r="J789" i="73"/>
  <c r="J790" i="73"/>
  <c r="J791" i="73"/>
  <c r="J792" i="73"/>
  <c r="J793" i="73"/>
  <c r="J794" i="73"/>
  <c r="J795" i="73"/>
  <c r="J796" i="73"/>
  <c r="J797" i="73"/>
  <c r="J798" i="73"/>
  <c r="J799" i="73"/>
  <c r="J800" i="73"/>
  <c r="J801" i="73"/>
  <c r="J802" i="73"/>
  <c r="J803" i="73"/>
  <c r="J804" i="73"/>
  <c r="J805" i="73"/>
  <c r="J806" i="73"/>
  <c r="J807" i="73"/>
  <c r="J808" i="73"/>
  <c r="J809" i="73"/>
  <c r="J810" i="73"/>
  <c r="J811" i="73"/>
  <c r="J812" i="73"/>
  <c r="J813" i="73"/>
  <c r="J814" i="73"/>
  <c r="J815" i="73"/>
  <c r="J816" i="73"/>
  <c r="J817" i="73"/>
  <c r="J818" i="73"/>
  <c r="J819" i="73"/>
  <c r="J820" i="73"/>
  <c r="J821" i="73"/>
  <c r="J822" i="73"/>
  <c r="J823" i="73"/>
  <c r="J824" i="73"/>
  <c r="J825" i="73"/>
  <c r="J826" i="73"/>
  <c r="J827" i="73"/>
  <c r="J828" i="73"/>
  <c r="J829" i="73"/>
  <c r="J830" i="73"/>
  <c r="J831" i="73"/>
  <c r="J832" i="73"/>
  <c r="J833" i="73"/>
  <c r="J834" i="73"/>
  <c r="J835" i="73"/>
  <c r="J836" i="73"/>
  <c r="J837" i="73"/>
  <c r="J838" i="73"/>
  <c r="J839" i="73"/>
  <c r="J840" i="73"/>
  <c r="J841" i="73"/>
  <c r="J842" i="73"/>
  <c r="J843" i="73"/>
  <c r="J844" i="73"/>
  <c r="J845" i="73"/>
  <c r="J846" i="73"/>
  <c r="J847" i="73"/>
  <c r="J848" i="73"/>
  <c r="J849" i="73"/>
  <c r="J850" i="73"/>
  <c r="J851" i="73"/>
  <c r="J852" i="73"/>
  <c r="J853" i="73"/>
  <c r="J854" i="73"/>
  <c r="J855" i="73"/>
  <c r="J856" i="73"/>
  <c r="J857" i="73"/>
  <c r="J858" i="73"/>
  <c r="J859" i="73"/>
  <c r="J860" i="73"/>
  <c r="J861" i="73"/>
  <c r="J862" i="73"/>
  <c r="J863" i="73"/>
  <c r="J864" i="73"/>
  <c r="J865" i="73"/>
  <c r="J866" i="73"/>
  <c r="J867" i="73"/>
  <c r="J868" i="73"/>
  <c r="J869" i="73"/>
  <c r="J870" i="73"/>
  <c r="J871" i="73"/>
  <c r="J872" i="73"/>
  <c r="J873" i="73"/>
  <c r="J874" i="73"/>
  <c r="J875" i="73"/>
  <c r="J876" i="73"/>
  <c r="J877" i="73"/>
  <c r="J878" i="73"/>
  <c r="J879" i="73"/>
  <c r="J880" i="73"/>
  <c r="J881" i="73"/>
  <c r="J882" i="73"/>
  <c r="J883" i="73"/>
  <c r="J884" i="73"/>
  <c r="J885" i="73"/>
  <c r="J886" i="73"/>
  <c r="J887" i="73"/>
  <c r="J888" i="73"/>
  <c r="J889" i="73"/>
  <c r="J890" i="73"/>
  <c r="J891" i="73"/>
  <c r="J892" i="73"/>
  <c r="J893" i="73"/>
  <c r="J894" i="73"/>
  <c r="J895" i="73"/>
  <c r="J896" i="73"/>
  <c r="J897" i="73"/>
  <c r="J898" i="73"/>
  <c r="J899" i="73"/>
  <c r="J900" i="73"/>
  <c r="J901" i="73"/>
  <c r="J902" i="73"/>
  <c r="J903" i="73"/>
  <c r="J904" i="73"/>
  <c r="J905" i="73"/>
  <c r="J906" i="73"/>
  <c r="J907" i="73"/>
  <c r="J908" i="73"/>
  <c r="J909" i="73"/>
  <c r="J910" i="73"/>
  <c r="J911" i="73"/>
  <c r="J912" i="73"/>
  <c r="J913" i="73"/>
  <c r="J914" i="73"/>
  <c r="J915" i="73"/>
  <c r="J916" i="73"/>
  <c r="J917" i="73"/>
  <c r="J918" i="73"/>
  <c r="J919" i="73"/>
  <c r="J920" i="73"/>
  <c r="J921" i="73"/>
  <c r="J922" i="73"/>
  <c r="J923" i="73"/>
  <c r="J924" i="73"/>
  <c r="J925" i="73"/>
  <c r="J926" i="73"/>
  <c r="J927" i="73"/>
  <c r="J928" i="73"/>
  <c r="J929" i="73"/>
  <c r="J930" i="73"/>
  <c r="J931" i="73"/>
  <c r="J932" i="73"/>
  <c r="J933" i="73"/>
  <c r="J934" i="73"/>
  <c r="J935" i="73"/>
  <c r="J936" i="73"/>
  <c r="J937" i="73"/>
  <c r="J938" i="73"/>
  <c r="J939" i="73"/>
  <c r="J940" i="73"/>
  <c r="J941" i="73"/>
  <c r="J942" i="73"/>
  <c r="J943" i="73"/>
  <c r="J944" i="73"/>
  <c r="J945" i="73"/>
  <c r="J946" i="73"/>
  <c r="J947" i="73"/>
  <c r="J948" i="73"/>
  <c r="J949" i="73"/>
  <c r="J950" i="73"/>
  <c r="J951" i="73"/>
  <c r="J952" i="73"/>
  <c r="J953" i="73"/>
  <c r="J954" i="73"/>
  <c r="J955" i="73"/>
  <c r="J956" i="73"/>
  <c r="J957" i="73"/>
  <c r="J958" i="73"/>
  <c r="J959" i="73"/>
  <c r="J960" i="73"/>
  <c r="J961" i="73"/>
  <c r="J962" i="73"/>
  <c r="J963" i="73"/>
  <c r="J964" i="73"/>
  <c r="J965" i="73"/>
  <c r="J966" i="73"/>
  <c r="J967" i="73"/>
  <c r="J968" i="73"/>
  <c r="J969" i="73"/>
  <c r="J970" i="73"/>
  <c r="J971" i="73"/>
  <c r="J972" i="73"/>
  <c r="J973" i="73"/>
  <c r="J974" i="73"/>
  <c r="J975" i="73"/>
  <c r="J976" i="73"/>
  <c r="J977" i="73"/>
  <c r="J978" i="73"/>
  <c r="J979" i="73"/>
  <c r="J980" i="73"/>
  <c r="J981" i="73"/>
  <c r="J982" i="73"/>
  <c r="J983" i="73"/>
  <c r="J984" i="73"/>
  <c r="J985" i="73"/>
  <c r="J986" i="73"/>
  <c r="J987" i="73"/>
  <c r="J988" i="73"/>
  <c r="J989" i="73"/>
  <c r="J990" i="73"/>
  <c r="J991" i="73"/>
  <c r="J992" i="73"/>
  <c r="J993" i="73"/>
  <c r="J994" i="73"/>
  <c r="J995" i="73"/>
  <c r="J996" i="73"/>
  <c r="J997" i="73"/>
  <c r="J998" i="73"/>
  <c r="J999" i="73"/>
  <c r="J1000" i="73"/>
  <c r="J1001" i="73"/>
  <c r="J1002" i="73"/>
  <c r="J1003" i="73"/>
  <c r="J1004" i="73"/>
  <c r="J1005" i="73"/>
  <c r="J1006" i="73"/>
  <c r="J1007" i="73"/>
  <c r="J1008" i="73"/>
  <c r="J1009" i="73"/>
  <c r="J1010" i="73"/>
  <c r="J1011" i="73"/>
  <c r="J1012" i="73"/>
  <c r="J1013" i="73"/>
  <c r="J1014" i="73"/>
  <c r="J1015" i="73"/>
  <c r="J1016" i="73"/>
  <c r="J1017" i="73"/>
  <c r="J1018" i="73"/>
  <c r="J1019" i="73"/>
  <c r="J1020" i="73"/>
  <c r="J1021" i="73"/>
  <c r="J1022" i="73"/>
  <c r="J1023" i="73"/>
  <c r="J1024" i="73"/>
  <c r="J1025" i="73"/>
  <c r="J1026" i="73"/>
  <c r="J1027" i="73"/>
  <c r="J1028" i="73"/>
  <c r="J1029" i="73"/>
  <c r="J1030" i="73"/>
  <c r="J1031" i="73"/>
  <c r="J1032" i="73"/>
  <c r="J1033" i="73"/>
  <c r="J1034" i="73"/>
  <c r="J1035" i="73"/>
  <c r="J1036" i="73"/>
  <c r="J1037" i="73"/>
  <c r="J1038" i="73"/>
  <c r="J1039" i="73"/>
  <c r="J1040" i="73"/>
  <c r="J1041" i="73"/>
  <c r="J1042" i="73"/>
  <c r="J1043" i="73"/>
  <c r="J1044" i="73"/>
  <c r="J1045" i="73"/>
  <c r="J1046" i="73"/>
  <c r="J1047" i="73"/>
  <c r="J1048" i="73"/>
  <c r="J1049" i="73"/>
  <c r="J1050" i="73"/>
  <c r="J1051" i="73"/>
  <c r="J1052" i="73"/>
  <c r="J1053" i="73"/>
  <c r="J1054" i="73"/>
  <c r="J1055" i="73"/>
  <c r="J1056" i="73"/>
  <c r="J1057" i="73"/>
  <c r="J1058" i="73"/>
  <c r="J1059" i="73"/>
  <c r="J1060" i="73"/>
  <c r="J1061" i="73"/>
  <c r="J1062" i="73"/>
  <c r="J1063" i="73"/>
  <c r="J1064" i="73"/>
  <c r="J1065" i="73"/>
  <c r="J1066" i="73"/>
  <c r="J1067" i="73"/>
  <c r="J1068" i="73"/>
  <c r="J1069" i="73"/>
  <c r="J1070" i="73"/>
  <c r="J1071" i="73"/>
  <c r="J1072" i="73"/>
  <c r="J1073" i="73"/>
  <c r="J1074" i="73"/>
  <c r="J1075" i="73"/>
  <c r="J1076" i="73"/>
  <c r="J1077" i="73"/>
  <c r="J1078" i="73"/>
  <c r="J1079" i="73"/>
  <c r="J1080" i="73"/>
  <c r="J1081" i="73"/>
  <c r="J1082" i="73"/>
  <c r="J1083" i="73"/>
  <c r="J1084" i="73"/>
  <c r="J1085" i="73"/>
  <c r="J1086" i="73"/>
  <c r="J1087" i="73"/>
  <c r="J1088" i="73"/>
  <c r="J1089" i="73"/>
  <c r="J1090" i="73"/>
  <c r="J1091" i="73"/>
  <c r="J1092" i="73"/>
  <c r="J1093" i="73"/>
  <c r="J1094" i="73"/>
  <c r="J1095" i="73"/>
  <c r="J1096" i="73"/>
  <c r="J1097" i="73"/>
  <c r="J1098" i="73"/>
  <c r="J1099" i="73"/>
  <c r="J1100" i="73"/>
  <c r="J1101" i="73"/>
  <c r="J1102" i="73"/>
  <c r="J1103" i="73"/>
  <c r="J1104" i="73"/>
  <c r="J1105" i="73"/>
  <c r="J1106" i="73"/>
  <c r="J1107" i="73"/>
  <c r="J1108" i="73"/>
  <c r="J1109" i="73"/>
  <c r="J1110" i="73"/>
  <c r="J1111" i="73"/>
  <c r="J1112" i="73"/>
  <c r="J1113" i="73"/>
  <c r="J1114" i="73"/>
  <c r="J1115" i="73"/>
  <c r="J1116" i="73"/>
  <c r="J1117" i="73"/>
  <c r="J1118" i="73"/>
  <c r="J1119" i="73"/>
  <c r="J1120" i="73"/>
  <c r="J1121" i="73"/>
  <c r="J1122" i="73"/>
  <c r="J1123" i="73"/>
  <c r="J1124" i="73"/>
  <c r="J1125" i="73"/>
  <c r="J1126" i="73"/>
  <c r="J1127" i="73"/>
  <c r="J1128" i="73"/>
  <c r="J1129" i="73"/>
  <c r="J1130" i="73"/>
  <c r="J1131" i="73"/>
  <c r="J1132" i="73"/>
  <c r="J1133" i="73"/>
  <c r="J1134" i="73"/>
  <c r="J1135" i="73"/>
  <c r="J1136" i="73"/>
  <c r="J1137" i="73"/>
  <c r="J1138" i="73"/>
  <c r="J1139" i="73"/>
  <c r="J1140" i="73"/>
  <c r="J1141" i="73"/>
  <c r="J1142" i="73"/>
  <c r="J1143" i="73"/>
  <c r="J1144" i="73"/>
  <c r="J1145" i="73"/>
  <c r="J1146" i="73"/>
  <c r="J1147" i="73"/>
  <c r="J1148" i="73"/>
  <c r="J1149" i="73"/>
  <c r="J1150" i="73"/>
  <c r="J1151" i="73"/>
  <c r="J1152" i="73"/>
  <c r="J1153" i="73"/>
  <c r="J1154" i="73"/>
  <c r="J1155" i="73"/>
  <c r="J1156" i="73"/>
  <c r="J1157" i="73"/>
  <c r="J1158" i="73"/>
  <c r="J1159" i="73"/>
  <c r="J1160" i="73"/>
  <c r="J1161" i="73"/>
  <c r="J1162" i="73"/>
  <c r="J1163" i="73"/>
  <c r="J1164" i="73"/>
  <c r="J1165" i="73"/>
  <c r="J1166" i="73"/>
  <c r="J1167" i="73"/>
  <c r="J1168" i="73"/>
  <c r="J1169" i="73"/>
  <c r="J1170" i="73"/>
  <c r="J1171" i="73"/>
  <c r="J1172" i="73"/>
  <c r="J1173" i="73"/>
  <c r="J1174" i="73"/>
  <c r="J1175" i="73"/>
  <c r="J1176" i="73"/>
  <c r="J1177" i="73"/>
  <c r="J1178" i="73"/>
  <c r="J1179" i="73"/>
  <c r="J1180" i="73"/>
  <c r="J1181" i="73"/>
  <c r="J1182" i="73"/>
  <c r="J1183" i="73"/>
  <c r="J1184" i="73"/>
  <c r="J1185" i="73"/>
  <c r="J1186" i="73"/>
  <c r="J1187" i="73"/>
  <c r="J1188" i="73"/>
  <c r="J1189" i="73"/>
  <c r="J1190" i="73"/>
  <c r="J1191" i="73"/>
  <c r="J1192" i="73"/>
  <c r="J1193" i="73"/>
  <c r="J1194" i="73"/>
  <c r="J1195" i="73"/>
  <c r="J1196" i="73"/>
  <c r="J1197" i="73"/>
  <c r="J1198" i="73"/>
  <c r="J1199" i="73"/>
  <c r="J1200" i="73"/>
  <c r="J1201" i="73"/>
  <c r="J1202" i="73"/>
  <c r="J1203" i="73"/>
  <c r="J1204" i="73"/>
  <c r="J1205" i="73"/>
  <c r="J1206" i="73"/>
  <c r="J1207" i="73"/>
  <c r="J1208" i="73"/>
  <c r="J1209" i="73"/>
  <c r="J1210" i="73"/>
  <c r="J1211" i="73"/>
  <c r="J1212" i="73"/>
  <c r="J1213" i="73"/>
  <c r="J1214" i="73"/>
  <c r="J1215" i="73"/>
  <c r="J1216" i="73"/>
  <c r="J1217" i="73"/>
  <c r="J1218" i="73"/>
  <c r="J1219" i="73"/>
  <c r="J1220" i="73"/>
  <c r="J1221" i="73"/>
  <c r="J1222" i="73"/>
  <c r="J1223" i="73"/>
  <c r="J1224" i="73"/>
  <c r="J1225" i="73"/>
  <c r="J1226" i="73"/>
  <c r="J1227" i="73"/>
  <c r="J1228" i="73"/>
  <c r="J1229" i="73"/>
  <c r="J1230" i="73"/>
  <c r="J1231" i="73"/>
  <c r="J1232" i="73"/>
  <c r="J1233" i="73"/>
  <c r="J1234" i="73"/>
  <c r="J1235" i="73"/>
  <c r="J1236" i="73"/>
  <c r="J1237" i="73"/>
  <c r="J1238" i="73"/>
  <c r="J1239" i="73"/>
  <c r="J1240" i="73"/>
  <c r="J1241" i="73"/>
  <c r="J1242" i="73"/>
  <c r="J1243" i="73"/>
  <c r="J1244" i="73"/>
  <c r="J1245" i="73"/>
  <c r="J1246" i="73"/>
  <c r="J1247" i="73"/>
  <c r="J1248" i="73"/>
  <c r="J1249" i="73"/>
  <c r="J1250" i="73"/>
  <c r="J1251" i="73"/>
  <c r="J1252" i="73"/>
  <c r="J1253" i="73"/>
  <c r="J1254" i="73"/>
  <c r="J1255" i="73"/>
  <c r="J1256" i="73"/>
  <c r="J1257" i="73"/>
  <c r="J1258" i="73"/>
  <c r="J1259" i="73"/>
  <c r="J1260" i="73"/>
  <c r="J1261" i="73"/>
  <c r="J1262" i="73"/>
  <c r="J1263" i="73"/>
  <c r="J1264" i="73"/>
  <c r="J1265" i="73"/>
  <c r="J1266" i="73"/>
  <c r="J1267" i="73"/>
  <c r="J1268" i="73"/>
  <c r="J1269" i="73"/>
  <c r="J1270" i="73"/>
  <c r="J1271" i="73"/>
  <c r="J1272" i="73"/>
  <c r="J1273" i="73"/>
  <c r="J1274" i="73"/>
  <c r="J1275" i="73"/>
  <c r="J1276" i="73"/>
  <c r="J1277" i="73"/>
  <c r="J1278" i="73"/>
  <c r="J1279" i="73"/>
  <c r="J1280" i="73"/>
  <c r="J1281" i="73"/>
  <c r="J1282" i="73"/>
  <c r="J1283" i="73"/>
  <c r="J1284" i="73"/>
  <c r="J1285" i="73"/>
  <c r="J1286" i="73"/>
  <c r="J1287" i="73"/>
  <c r="J1288" i="73"/>
  <c r="J1289" i="73"/>
  <c r="J1290" i="73"/>
  <c r="J1291" i="73"/>
  <c r="J1292" i="73"/>
  <c r="J1293" i="73"/>
  <c r="J1294" i="73"/>
  <c r="J1295" i="73"/>
  <c r="J1296" i="73"/>
  <c r="J1297" i="73"/>
  <c r="J1298" i="73"/>
  <c r="J1299" i="73"/>
  <c r="J1300" i="73"/>
  <c r="J1301" i="73"/>
  <c r="J1302" i="73"/>
  <c r="J1303" i="73"/>
  <c r="J1304" i="73"/>
  <c r="J1305" i="73"/>
  <c r="J1306" i="73"/>
  <c r="J1307" i="73"/>
  <c r="J1308" i="73"/>
  <c r="J1309" i="73"/>
  <c r="J1310" i="73"/>
  <c r="J1311" i="73"/>
  <c r="J1312" i="73"/>
  <c r="J1313" i="73"/>
  <c r="J1314" i="73"/>
  <c r="J1315" i="73"/>
  <c r="J1316" i="73"/>
  <c r="J1317" i="73"/>
  <c r="J1318" i="73"/>
  <c r="J1319" i="73"/>
  <c r="J1320" i="73"/>
  <c r="J1321" i="73"/>
  <c r="J1322" i="73"/>
  <c r="J1323" i="73"/>
  <c r="J1324" i="73"/>
  <c r="J1325" i="73"/>
  <c r="J1326" i="73"/>
  <c r="J1327" i="73"/>
  <c r="J1328" i="73"/>
  <c r="J1329" i="73"/>
  <c r="J1330" i="73"/>
  <c r="J1331" i="73"/>
  <c r="J1332" i="73"/>
  <c r="J1333" i="73"/>
  <c r="J1334" i="73"/>
  <c r="J1335" i="73"/>
  <c r="J1336" i="73"/>
  <c r="J1337" i="73"/>
  <c r="J1338" i="73"/>
  <c r="J1339" i="73"/>
  <c r="J1340" i="73"/>
  <c r="J1341" i="73"/>
  <c r="J1342" i="73"/>
  <c r="J1343" i="73"/>
  <c r="J1344" i="73"/>
  <c r="J1345" i="73"/>
  <c r="J1346" i="73"/>
  <c r="J1347" i="73"/>
  <c r="J1348" i="73"/>
  <c r="J1349" i="73"/>
  <c r="J1350" i="73"/>
  <c r="J1351" i="73"/>
  <c r="J1352" i="73"/>
  <c r="J1353" i="73"/>
  <c r="J1354" i="73"/>
  <c r="J1355" i="73"/>
  <c r="J1356" i="73"/>
  <c r="J1357" i="73"/>
  <c r="J1358" i="73"/>
  <c r="J1359" i="73"/>
  <c r="J1360" i="73"/>
  <c r="J1361" i="73"/>
  <c r="J1362" i="73"/>
  <c r="J1363" i="73"/>
  <c r="J1364" i="73"/>
  <c r="J1365" i="73"/>
  <c r="J1366" i="73"/>
  <c r="J1367" i="73"/>
  <c r="J1368" i="73"/>
  <c r="J1369" i="73"/>
  <c r="J1370" i="73"/>
  <c r="J1371" i="73"/>
  <c r="J1372" i="73"/>
  <c r="J1373" i="73"/>
  <c r="J1374" i="73"/>
  <c r="J1375" i="73"/>
  <c r="J1376" i="73"/>
  <c r="J1377" i="73"/>
  <c r="J1378" i="73"/>
  <c r="J1379" i="73"/>
  <c r="J1380" i="73"/>
  <c r="J1381" i="73"/>
  <c r="J1382" i="73"/>
  <c r="J1383" i="73"/>
  <c r="J1384" i="73"/>
  <c r="J1385" i="73"/>
  <c r="J1386" i="73"/>
  <c r="J1387" i="73"/>
  <c r="J1388" i="73"/>
  <c r="J1389" i="73"/>
  <c r="J1390" i="73"/>
  <c r="J1391" i="73"/>
  <c r="J1392" i="73"/>
  <c r="J1393" i="73"/>
  <c r="J1394" i="73"/>
  <c r="J1395" i="73"/>
  <c r="J1396" i="73"/>
  <c r="J1397" i="73"/>
  <c r="J1398" i="73"/>
  <c r="J1399" i="73"/>
  <c r="J1400" i="73"/>
  <c r="J1401" i="73"/>
  <c r="J1402" i="73"/>
  <c r="J1403" i="73"/>
  <c r="J1404" i="73"/>
  <c r="J1405" i="73"/>
  <c r="J1406" i="73"/>
  <c r="J1407" i="73"/>
  <c r="J1408" i="73"/>
  <c r="J1409" i="73"/>
  <c r="J1410" i="73"/>
  <c r="J1411" i="73"/>
  <c r="J1412" i="73"/>
  <c r="J1413" i="73"/>
  <c r="J1414" i="73"/>
  <c r="J1415" i="73"/>
  <c r="J1416" i="73"/>
  <c r="J1417" i="73"/>
  <c r="J1418" i="73"/>
  <c r="J1419" i="73"/>
  <c r="J1420" i="73"/>
  <c r="J1421" i="73"/>
  <c r="J1422" i="73"/>
  <c r="J1423" i="73"/>
  <c r="J1424" i="73"/>
  <c r="J1425" i="73"/>
  <c r="J1426" i="73"/>
  <c r="J1427" i="73"/>
  <c r="J1428" i="73"/>
  <c r="J1429" i="73"/>
  <c r="J1430" i="73"/>
  <c r="J1431" i="73"/>
  <c r="J1432" i="73"/>
  <c r="J1433" i="73"/>
  <c r="J1434" i="73"/>
  <c r="J1435" i="73"/>
  <c r="J1436" i="73"/>
  <c r="J1437" i="73"/>
  <c r="J1438" i="73"/>
  <c r="J1439" i="73"/>
  <c r="J1440" i="73"/>
  <c r="J1441" i="73"/>
  <c r="J1442" i="73"/>
  <c r="J1443" i="73"/>
  <c r="J1444" i="73"/>
  <c r="J1445" i="73"/>
  <c r="J1446" i="73"/>
  <c r="J1447" i="73"/>
  <c r="J1448" i="73"/>
  <c r="J1449" i="73"/>
  <c r="J1450" i="73"/>
  <c r="J1451" i="73"/>
  <c r="J1452" i="73"/>
  <c r="J1453" i="73"/>
  <c r="J1454" i="73"/>
  <c r="J1455" i="73"/>
  <c r="J1456" i="73"/>
  <c r="J1457" i="73"/>
  <c r="J1458" i="73"/>
  <c r="J1459" i="73"/>
  <c r="J1460" i="73"/>
  <c r="J1461" i="73"/>
  <c r="J1462" i="73"/>
  <c r="J1463" i="73"/>
  <c r="J1464" i="73"/>
  <c r="J1465" i="73"/>
  <c r="J1466" i="73"/>
  <c r="J1467" i="73"/>
  <c r="J1468" i="73"/>
  <c r="J1469" i="73"/>
  <c r="J1470" i="73"/>
  <c r="J1471" i="73"/>
  <c r="J1472" i="73"/>
  <c r="J1473" i="73"/>
  <c r="J1474" i="73"/>
  <c r="J1475" i="73"/>
  <c r="J1476" i="73"/>
  <c r="J1477" i="73"/>
  <c r="J1478" i="73"/>
  <c r="J1479" i="73"/>
  <c r="J1480" i="73"/>
  <c r="J1481" i="73"/>
  <c r="J1482" i="73"/>
  <c r="J1483" i="73"/>
  <c r="J1484" i="73"/>
  <c r="J1485" i="73"/>
  <c r="J1486" i="73"/>
  <c r="J1487" i="73"/>
  <c r="J1488" i="73"/>
  <c r="J1489" i="73"/>
  <c r="J1490" i="73"/>
  <c r="J1491" i="73"/>
  <c r="J1492" i="73"/>
  <c r="J1493" i="73"/>
  <c r="J1494" i="73"/>
  <c r="J1495" i="73"/>
  <c r="J1496" i="73"/>
  <c r="J1497" i="73"/>
  <c r="J1498" i="73"/>
  <c r="J1499" i="73"/>
  <c r="J1500" i="73"/>
  <c r="J1501" i="73"/>
  <c r="J1502" i="73"/>
  <c r="J1503" i="73"/>
  <c r="J1504" i="73"/>
  <c r="J1505" i="73"/>
  <c r="J1506" i="73"/>
  <c r="J1507" i="73"/>
  <c r="J1508" i="73"/>
  <c r="J1509" i="73"/>
  <c r="J1510" i="73"/>
  <c r="J1511" i="73"/>
  <c r="J1512" i="73"/>
  <c r="J1513" i="73"/>
  <c r="J1514" i="73"/>
  <c r="J1515" i="73"/>
  <c r="J1516" i="73"/>
  <c r="J1517" i="73"/>
  <c r="J1518" i="73"/>
  <c r="J1519" i="73"/>
  <c r="J1520" i="73"/>
  <c r="J1521" i="73"/>
  <c r="J1522" i="73"/>
  <c r="J1523" i="73"/>
  <c r="J1524" i="73"/>
  <c r="J1525" i="73"/>
  <c r="J1526" i="73"/>
  <c r="J1527" i="73"/>
  <c r="J1528" i="73"/>
  <c r="J1529" i="73"/>
  <c r="J1530" i="73"/>
  <c r="J1531" i="73"/>
  <c r="J1532" i="73"/>
  <c r="J1533" i="73"/>
  <c r="J1534" i="73"/>
  <c r="J1535" i="73"/>
  <c r="J1536" i="73"/>
  <c r="J1537" i="73"/>
  <c r="J1538" i="73"/>
  <c r="J1539" i="73"/>
  <c r="J1540" i="73"/>
  <c r="J1541" i="73"/>
  <c r="J1542" i="73"/>
  <c r="J1543" i="73"/>
  <c r="J1544" i="73"/>
  <c r="J1545" i="73"/>
  <c r="J1546" i="73"/>
  <c r="J1547" i="73"/>
  <c r="J1548" i="73"/>
  <c r="J1549" i="73"/>
  <c r="J1550" i="73"/>
  <c r="J1551" i="73"/>
  <c r="J1552" i="73"/>
  <c r="J1553" i="73"/>
  <c r="J1554" i="73"/>
  <c r="J1555" i="73"/>
  <c r="J1556" i="73"/>
  <c r="J1557" i="73"/>
  <c r="J1558" i="73"/>
  <c r="J1559" i="73"/>
  <c r="J1560" i="73"/>
  <c r="J1561" i="73"/>
  <c r="J1562" i="73"/>
  <c r="J1563" i="73"/>
  <c r="J1564" i="73"/>
  <c r="J1565" i="73"/>
  <c r="J1566" i="73"/>
  <c r="J1567" i="73"/>
  <c r="J1568" i="73"/>
  <c r="J1569" i="73"/>
  <c r="J1570" i="73"/>
  <c r="J1571" i="73"/>
  <c r="J1572" i="73"/>
  <c r="J1573" i="73"/>
  <c r="J1574" i="73"/>
  <c r="J1575" i="73"/>
  <c r="J1576" i="73"/>
  <c r="J1577" i="73"/>
  <c r="J1578" i="73"/>
  <c r="J1579" i="73"/>
  <c r="J1580" i="73"/>
  <c r="J1581" i="73"/>
  <c r="J1582" i="73"/>
  <c r="J1583" i="73"/>
  <c r="J1584" i="73"/>
  <c r="J1585" i="73"/>
  <c r="J1586" i="73"/>
  <c r="J1587" i="73"/>
  <c r="J1588" i="73"/>
  <c r="J1589" i="73"/>
  <c r="J1590" i="73"/>
  <c r="J1591" i="73"/>
  <c r="J1592" i="73"/>
  <c r="J1593" i="73"/>
  <c r="J1594" i="73"/>
  <c r="J1595" i="73"/>
  <c r="J1596" i="73"/>
  <c r="J1597" i="73"/>
  <c r="J1598" i="73"/>
  <c r="J1599" i="73"/>
  <c r="J1600" i="73"/>
  <c r="J1601" i="73"/>
  <c r="J1602" i="73"/>
  <c r="J1603" i="73"/>
  <c r="J1604" i="73"/>
  <c r="J1605" i="73"/>
  <c r="J1606" i="73"/>
  <c r="J1607" i="73"/>
  <c r="J1608" i="73"/>
  <c r="J1609" i="73"/>
  <c r="J1610" i="73"/>
  <c r="J1611" i="73"/>
  <c r="J1612" i="73"/>
  <c r="J1613" i="73"/>
  <c r="J1614" i="73"/>
  <c r="J1615" i="73"/>
  <c r="J1616" i="73"/>
  <c r="J1617" i="73"/>
  <c r="J1618" i="73"/>
  <c r="J1619" i="73"/>
  <c r="J1620" i="73"/>
  <c r="J1621" i="73"/>
  <c r="J1622" i="73"/>
  <c r="J1623" i="73"/>
  <c r="J1624" i="73"/>
  <c r="J1625" i="73"/>
  <c r="J1626" i="73"/>
  <c r="J1627" i="73"/>
  <c r="J1628" i="73"/>
  <c r="J1629" i="73"/>
  <c r="J1630" i="73"/>
  <c r="J1631" i="73"/>
  <c r="J1632" i="73"/>
  <c r="J1633" i="73"/>
  <c r="J1634" i="73"/>
  <c r="J1635" i="73"/>
  <c r="J1636" i="73"/>
  <c r="J1637" i="73"/>
  <c r="J1638" i="73"/>
  <c r="J1639" i="73"/>
  <c r="J1640" i="73"/>
  <c r="J1641" i="73"/>
  <c r="J1642" i="73"/>
  <c r="J1643" i="73"/>
  <c r="J1644" i="73"/>
  <c r="J1645" i="73"/>
  <c r="J1646" i="73"/>
  <c r="J1647" i="73"/>
  <c r="J1648" i="73"/>
  <c r="J1649" i="73"/>
  <c r="J1650" i="73"/>
  <c r="J1651" i="73"/>
  <c r="J1652" i="73"/>
  <c r="J1653" i="73"/>
  <c r="J1654" i="73"/>
  <c r="J1655" i="73"/>
  <c r="J1656" i="73"/>
  <c r="J1657" i="73"/>
  <c r="J1658" i="73"/>
  <c r="J1659" i="73"/>
  <c r="J1660" i="73"/>
  <c r="J1661" i="73"/>
  <c r="J1662" i="73"/>
  <c r="J1663" i="73"/>
  <c r="J1664" i="73"/>
  <c r="J1665" i="73"/>
  <c r="J1666" i="73"/>
  <c r="J1667" i="73"/>
  <c r="J1668" i="73"/>
  <c r="J1669" i="73"/>
  <c r="J1670" i="73"/>
  <c r="J1671" i="73"/>
  <c r="J1672" i="73"/>
  <c r="J1673" i="73"/>
  <c r="J1674" i="73"/>
  <c r="J1675" i="73"/>
  <c r="J1676" i="73"/>
  <c r="J1677" i="73"/>
  <c r="J1678" i="73"/>
  <c r="J1679" i="73"/>
  <c r="J1680" i="73"/>
  <c r="J1681" i="73"/>
  <c r="J1682" i="73"/>
  <c r="J1683" i="73"/>
  <c r="J1684" i="73"/>
  <c r="J1685" i="73"/>
  <c r="J1686" i="73"/>
  <c r="J1687" i="73"/>
  <c r="J1688" i="73"/>
  <c r="J1689" i="73"/>
  <c r="J1690" i="73"/>
  <c r="J1691" i="73"/>
  <c r="J1692" i="73"/>
  <c r="J1693" i="73"/>
  <c r="J1694" i="73"/>
  <c r="J1695" i="73"/>
  <c r="J1696" i="73"/>
  <c r="J1697" i="73"/>
  <c r="J1698" i="73"/>
  <c r="J216" i="73"/>
  <c r="J217" i="73"/>
  <c r="J218" i="73"/>
  <c r="J219" i="73"/>
  <c r="J220" i="73"/>
  <c r="J221" i="73"/>
  <c r="J222" i="73"/>
  <c r="J223" i="73"/>
  <c r="J224" i="73"/>
  <c r="J225" i="73"/>
  <c r="J226" i="73"/>
  <c r="J227" i="73"/>
  <c r="J228" i="73"/>
  <c r="J229" i="73"/>
  <c r="J230" i="73"/>
  <c r="J231" i="73"/>
  <c r="J232" i="73"/>
  <c r="J233" i="73"/>
  <c r="J234" i="73"/>
  <c r="J235" i="73"/>
  <c r="J236" i="73"/>
  <c r="J237" i="73"/>
  <c r="J238" i="73"/>
  <c r="J239" i="73"/>
  <c r="J240" i="73"/>
  <c r="J241" i="73"/>
  <c r="J242" i="73"/>
  <c r="J243" i="73"/>
  <c r="J244" i="73"/>
  <c r="J245" i="73"/>
  <c r="J246" i="73"/>
  <c r="J247" i="73"/>
  <c r="J248" i="73"/>
  <c r="J249" i="73"/>
  <c r="J250" i="73"/>
  <c r="J251" i="73"/>
  <c r="J252" i="73"/>
  <c r="J253" i="73"/>
  <c r="J254" i="73"/>
  <c r="J255" i="73"/>
  <c r="J256" i="73"/>
  <c r="J257" i="73"/>
  <c r="J258" i="73"/>
  <c r="J259" i="73"/>
  <c r="J260" i="73"/>
  <c r="J261" i="73"/>
  <c r="J262" i="73"/>
  <c r="J263" i="73"/>
  <c r="J264" i="73"/>
  <c r="J265" i="73"/>
  <c r="J266" i="73"/>
  <c r="J267" i="73"/>
  <c r="J268" i="73"/>
  <c r="J269" i="73"/>
  <c r="J270" i="73"/>
  <c r="J271" i="73"/>
  <c r="J272" i="73"/>
  <c r="J273" i="73"/>
  <c r="J274" i="73"/>
  <c r="J275" i="73"/>
  <c r="J276" i="73"/>
  <c r="J277" i="73"/>
  <c r="J278" i="73"/>
  <c r="J279" i="73"/>
  <c r="J280" i="73"/>
  <c r="J281" i="73"/>
  <c r="J282" i="73"/>
  <c r="J283" i="73"/>
  <c r="J284" i="73"/>
  <c r="J285" i="73"/>
  <c r="J286" i="73"/>
  <c r="J287" i="73"/>
  <c r="J288" i="73"/>
  <c r="J289" i="73"/>
  <c r="J290" i="73"/>
  <c r="J291" i="73"/>
  <c r="J292" i="73"/>
  <c r="J293" i="73"/>
  <c r="J294" i="73"/>
  <c r="J295" i="73"/>
  <c r="J296" i="73"/>
  <c r="J297" i="73"/>
  <c r="J298" i="73"/>
  <c r="J299" i="73"/>
  <c r="J300" i="73"/>
  <c r="J301" i="73"/>
  <c r="J302" i="73"/>
  <c r="J303" i="73"/>
  <c r="J304" i="73"/>
  <c r="J305" i="73"/>
  <c r="J306" i="73"/>
  <c r="J307" i="73"/>
  <c r="J308" i="73"/>
  <c r="J309" i="73"/>
  <c r="J310" i="73"/>
  <c r="J311" i="73"/>
  <c r="J312" i="73"/>
  <c r="J313" i="73"/>
  <c r="J314" i="73"/>
  <c r="J315" i="73"/>
  <c r="J316" i="73"/>
  <c r="J317" i="73"/>
  <c r="J179" i="73"/>
  <c r="J180" i="73"/>
  <c r="J181" i="73"/>
  <c r="J182" i="73"/>
  <c r="J183" i="73"/>
  <c r="J184" i="73"/>
  <c r="J185" i="73"/>
  <c r="J186" i="73"/>
  <c r="J187" i="73"/>
  <c r="J188" i="73"/>
  <c r="J189" i="73"/>
  <c r="J190" i="73"/>
  <c r="J191" i="73"/>
  <c r="J192" i="73"/>
  <c r="J193" i="73"/>
  <c r="J194" i="73"/>
  <c r="J195" i="73"/>
  <c r="J196" i="73"/>
  <c r="J197" i="73"/>
  <c r="J198" i="73"/>
  <c r="J199" i="73"/>
  <c r="J200" i="73"/>
  <c r="J201" i="73"/>
  <c r="J202" i="73"/>
  <c r="J203" i="73"/>
  <c r="J204" i="73"/>
  <c r="J205" i="73"/>
  <c r="J206" i="73"/>
  <c r="J207" i="73"/>
  <c r="J208" i="73"/>
  <c r="J209" i="73"/>
  <c r="J210" i="73"/>
  <c r="J211" i="73"/>
  <c r="J212" i="73"/>
  <c r="J213" i="73"/>
  <c r="J214" i="73"/>
  <c r="J215" i="73"/>
  <c r="J86" i="73"/>
  <c r="J87" i="73"/>
  <c r="J88" i="73"/>
  <c r="J89" i="73"/>
  <c r="J90" i="73"/>
  <c r="J91" i="73"/>
  <c r="J92" i="73"/>
  <c r="J93" i="73"/>
  <c r="J94" i="73"/>
  <c r="J95" i="73"/>
  <c r="J96" i="73"/>
  <c r="J97" i="73"/>
  <c r="J98" i="73"/>
  <c r="J99" i="73"/>
  <c r="J100" i="73"/>
  <c r="J101" i="73"/>
  <c r="J102" i="73"/>
  <c r="J103" i="73"/>
  <c r="J104" i="73"/>
  <c r="J105" i="73"/>
  <c r="J106" i="73"/>
  <c r="J107" i="73"/>
  <c r="J108" i="73"/>
  <c r="J109" i="73"/>
  <c r="J110" i="73"/>
  <c r="J111" i="73"/>
  <c r="J112" i="73"/>
  <c r="J113" i="73"/>
  <c r="J114" i="73"/>
  <c r="J115" i="73"/>
  <c r="J116" i="73"/>
  <c r="J117" i="73"/>
  <c r="J118" i="73"/>
  <c r="J119" i="73"/>
  <c r="J120" i="73"/>
  <c r="J121" i="73"/>
  <c r="J122" i="73"/>
  <c r="J123" i="73"/>
  <c r="J124" i="73"/>
  <c r="J125" i="73"/>
  <c r="J126" i="73"/>
  <c r="J127" i="73"/>
  <c r="J128" i="73"/>
  <c r="J129" i="73"/>
  <c r="J130" i="73"/>
  <c r="J131" i="73"/>
  <c r="J132" i="73"/>
  <c r="J133" i="73"/>
  <c r="J134" i="73"/>
  <c r="J135" i="73"/>
  <c r="J136" i="73"/>
  <c r="J137" i="73"/>
  <c r="J138" i="73"/>
  <c r="J139" i="73"/>
  <c r="J140" i="73"/>
  <c r="J141" i="73"/>
  <c r="J142" i="73"/>
  <c r="J143" i="73"/>
  <c r="J144" i="73"/>
  <c r="J145" i="73"/>
  <c r="J146" i="73"/>
  <c r="J147" i="73"/>
  <c r="J148" i="73"/>
  <c r="J149" i="73"/>
  <c r="J150" i="73"/>
  <c r="J151" i="73"/>
  <c r="J152" i="73"/>
  <c r="J153" i="73"/>
  <c r="J154" i="73"/>
  <c r="J155" i="73"/>
  <c r="J156" i="73"/>
  <c r="J157" i="73"/>
  <c r="J158" i="73"/>
  <c r="J159" i="73"/>
  <c r="J160" i="73"/>
  <c r="J161" i="73"/>
  <c r="J162" i="73"/>
  <c r="J163" i="73"/>
  <c r="J164" i="73"/>
  <c r="J165" i="73"/>
  <c r="J166" i="73"/>
  <c r="J167" i="73"/>
  <c r="J168" i="73"/>
  <c r="J169" i="73"/>
  <c r="J170" i="73"/>
  <c r="J171" i="73"/>
  <c r="J172" i="73"/>
  <c r="J173" i="73"/>
  <c r="J174" i="73"/>
  <c r="J175" i="73"/>
  <c r="J176" i="73"/>
  <c r="J177" i="73"/>
  <c r="J178" i="73"/>
  <c r="J77" i="73"/>
  <c r="J78" i="73"/>
  <c r="J79" i="73"/>
  <c r="J80" i="73"/>
  <c r="J81" i="73"/>
  <c r="J82" i="73"/>
  <c r="J83" i="73"/>
  <c r="J84" i="73"/>
  <c r="J85" i="73"/>
  <c r="J3" i="73"/>
  <c r="J4" i="73"/>
  <c r="J5" i="73"/>
  <c r="J6" i="73"/>
  <c r="J7" i="73"/>
  <c r="J8" i="73"/>
  <c r="J9" i="73"/>
  <c r="J10" i="73"/>
  <c r="J11" i="73"/>
  <c r="J12" i="73"/>
  <c r="J13" i="73"/>
  <c r="J14" i="73"/>
  <c r="J15" i="73"/>
  <c r="J16" i="73"/>
  <c r="J17" i="73"/>
  <c r="J18" i="73"/>
  <c r="J19" i="73"/>
  <c r="J20" i="73"/>
  <c r="J21" i="73"/>
  <c r="J22" i="73"/>
  <c r="J23" i="73"/>
  <c r="J24" i="73"/>
  <c r="J25" i="73"/>
  <c r="J26" i="73"/>
  <c r="J27" i="73"/>
  <c r="J28" i="73"/>
  <c r="J30" i="73"/>
  <c r="J31" i="73"/>
  <c r="J32" i="73"/>
  <c r="J33" i="73"/>
  <c r="J34" i="73"/>
  <c r="J35" i="73"/>
  <c r="J36" i="73"/>
  <c r="J37" i="73"/>
  <c r="J38" i="73"/>
  <c r="J39" i="73"/>
  <c r="J40" i="73"/>
  <c r="J41" i="73"/>
  <c r="J42" i="73"/>
  <c r="J43" i="73"/>
  <c r="J44" i="73"/>
  <c r="J45" i="73"/>
  <c r="J46" i="73"/>
  <c r="J47" i="73"/>
  <c r="J48" i="73"/>
  <c r="J49" i="73"/>
  <c r="J50" i="73"/>
  <c r="J51" i="73"/>
  <c r="J52" i="73"/>
  <c r="J53" i="73"/>
  <c r="J54" i="73"/>
  <c r="J55" i="73"/>
  <c r="J56" i="73"/>
  <c r="J57" i="73"/>
  <c r="J58" i="73"/>
  <c r="J59" i="73"/>
  <c r="J60" i="73"/>
  <c r="J61" i="73"/>
  <c r="J62" i="73"/>
  <c r="J63" i="73"/>
  <c r="J64" i="73"/>
  <c r="J65" i="73"/>
  <c r="J66" i="73"/>
  <c r="J67" i="73"/>
  <c r="J68" i="73"/>
  <c r="J69" i="73"/>
  <c r="J70" i="73"/>
  <c r="J71" i="73"/>
  <c r="J72" i="73"/>
  <c r="J73" i="73"/>
  <c r="J74" i="73"/>
  <c r="J75" i="73"/>
  <c r="J76" i="73"/>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2" i="1"/>
  <c r="O44"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2" i="1"/>
  <c r="L2" i="73" l="1"/>
  <c r="K2" i="73"/>
  <c r="J2" i="73"/>
  <c r="H4" i="64" l="1"/>
  <c r="H5" i="64"/>
  <c r="H6" i="64"/>
  <c r="H7" i="64"/>
  <c r="H3" i="64"/>
  <c r="P9" i="64" l="1"/>
  <c r="P3" i="64"/>
  <c r="L31" i="64" l="1"/>
  <c r="F32" i="64"/>
  <c r="H20" i="64"/>
  <c r="M31" i="64" l="1"/>
  <c r="K31" i="64"/>
  <c r="L20" i="64" l="1"/>
  <c r="L25" i="64"/>
  <c r="L66" i="64"/>
  <c r="H31" i="64"/>
  <c r="O31" i="64" s="1"/>
  <c r="J67" i="64"/>
  <c r="L56" i="64"/>
  <c r="L57" i="64"/>
  <c r="L58" i="64"/>
  <c r="L59" i="64"/>
  <c r="L60" i="64"/>
  <c r="L61" i="64"/>
  <c r="L62" i="64"/>
  <c r="L63" i="64"/>
  <c r="L64" i="64"/>
  <c r="L65" i="64"/>
  <c r="K66" i="64"/>
  <c r="K56" i="64"/>
  <c r="K57" i="64"/>
  <c r="K58" i="64"/>
  <c r="K59" i="64"/>
  <c r="K60" i="64"/>
  <c r="K61" i="64"/>
  <c r="K62" i="64"/>
  <c r="K63" i="64"/>
  <c r="K64" i="64"/>
  <c r="K65" i="64"/>
  <c r="L55" i="64"/>
  <c r="K55" i="64"/>
  <c r="J50" i="64"/>
  <c r="I50" i="64"/>
  <c r="I67" i="64"/>
  <c r="I32" i="64"/>
  <c r="M39" i="64"/>
  <c r="M40" i="64"/>
  <c r="M41" i="64"/>
  <c r="M42" i="64"/>
  <c r="M43" i="64"/>
  <c r="M44" i="64"/>
  <c r="M45" i="64"/>
  <c r="M46" i="64"/>
  <c r="M47" i="64"/>
  <c r="M48" i="64"/>
  <c r="M49" i="64"/>
  <c r="M38" i="64"/>
  <c r="L39" i="64"/>
  <c r="L40" i="64"/>
  <c r="L41" i="64"/>
  <c r="L42" i="64"/>
  <c r="L43" i="64"/>
  <c r="L44" i="64"/>
  <c r="L45" i="64"/>
  <c r="L46" i="64"/>
  <c r="L47" i="64"/>
  <c r="L48" i="64"/>
  <c r="L49" i="64"/>
  <c r="L38" i="64"/>
  <c r="K49" i="64"/>
  <c r="K39" i="64"/>
  <c r="K40" i="64"/>
  <c r="K41" i="64"/>
  <c r="K42" i="64"/>
  <c r="K43" i="64"/>
  <c r="K44" i="64"/>
  <c r="K45" i="64"/>
  <c r="K46" i="64"/>
  <c r="K47" i="64"/>
  <c r="K48" i="64"/>
  <c r="K38" i="64"/>
  <c r="G50" i="64"/>
  <c r="F50" i="64"/>
  <c r="L50" i="64" s="1"/>
  <c r="H39" i="64"/>
  <c r="H40" i="64"/>
  <c r="H41" i="64"/>
  <c r="H42" i="64"/>
  <c r="H43" i="64"/>
  <c r="H44" i="64"/>
  <c r="H45" i="64"/>
  <c r="O45" i="64" s="1"/>
  <c r="H46" i="64"/>
  <c r="H47" i="64"/>
  <c r="H48" i="64"/>
  <c r="H49" i="64"/>
  <c r="O49" i="64" s="1"/>
  <c r="H38" i="64"/>
  <c r="H56" i="64"/>
  <c r="H57" i="64"/>
  <c r="O57" i="64" s="1"/>
  <c r="H58" i="64"/>
  <c r="H59" i="64"/>
  <c r="H60" i="64"/>
  <c r="H61" i="64"/>
  <c r="H62" i="64"/>
  <c r="H63" i="64"/>
  <c r="H64" i="64"/>
  <c r="H65" i="64"/>
  <c r="O65" i="64" s="1"/>
  <c r="H66" i="64"/>
  <c r="O66" i="64" s="1"/>
  <c r="H55" i="64"/>
  <c r="G67" i="64"/>
  <c r="F67" i="64"/>
  <c r="J32" i="64"/>
  <c r="G32" i="64"/>
  <c r="H21" i="64"/>
  <c r="H22" i="64"/>
  <c r="H23" i="64"/>
  <c r="H24" i="64"/>
  <c r="H25" i="64"/>
  <c r="H26" i="64"/>
  <c r="H27" i="64"/>
  <c r="H28" i="64"/>
  <c r="H29" i="64"/>
  <c r="H30" i="64"/>
  <c r="M21" i="64"/>
  <c r="M22" i="64"/>
  <c r="M23" i="64"/>
  <c r="M24" i="64"/>
  <c r="M25" i="64"/>
  <c r="M26" i="64"/>
  <c r="M27" i="64"/>
  <c r="M28" i="64"/>
  <c r="M29" i="64"/>
  <c r="M30" i="64"/>
  <c r="M20" i="64"/>
  <c r="L22" i="64"/>
  <c r="L23" i="64"/>
  <c r="L24" i="64"/>
  <c r="L26" i="64"/>
  <c r="L27" i="64"/>
  <c r="L28" i="64"/>
  <c r="L29" i="64"/>
  <c r="L30" i="64"/>
  <c r="L21" i="64"/>
  <c r="K21" i="64"/>
  <c r="K22" i="64"/>
  <c r="K23" i="64"/>
  <c r="K24" i="64"/>
  <c r="K25" i="64"/>
  <c r="K26" i="64"/>
  <c r="K27" i="64"/>
  <c r="K28" i="64"/>
  <c r="K29" i="64"/>
  <c r="K30" i="64"/>
  <c r="K20" i="64"/>
  <c r="O64" i="64" l="1"/>
  <c r="L67" i="64"/>
  <c r="O21" i="64"/>
  <c r="O56" i="64"/>
  <c r="O46" i="64"/>
  <c r="P26" i="64"/>
  <c r="O48" i="64"/>
  <c r="O40" i="64"/>
  <c r="O39" i="64"/>
  <c r="O43" i="64"/>
  <c r="O28" i="64"/>
  <c r="O63" i="64"/>
  <c r="O42" i="64"/>
  <c r="O47" i="64"/>
  <c r="P44" i="64"/>
  <c r="K50" i="64"/>
  <c r="O29" i="64"/>
  <c r="P55" i="64"/>
  <c r="O55" i="64"/>
  <c r="O59" i="64"/>
  <c r="M67" i="64"/>
  <c r="M50" i="64"/>
  <c r="O58" i="64"/>
  <c r="O27" i="64"/>
  <c r="O41" i="64"/>
  <c r="O62" i="64"/>
  <c r="O38" i="64"/>
  <c r="O61" i="64"/>
  <c r="O60" i="64"/>
  <c r="O24" i="64"/>
  <c r="O44" i="64"/>
  <c r="O30" i="64"/>
  <c r="P20" i="64"/>
  <c r="H50" i="64"/>
  <c r="K67" i="64"/>
  <c r="P61" i="64"/>
  <c r="P38" i="64"/>
  <c r="O26" i="64"/>
  <c r="O20" i="64"/>
  <c r="L32" i="64"/>
  <c r="O25" i="64"/>
  <c r="M32" i="64"/>
  <c r="O23" i="64"/>
  <c r="K32" i="64"/>
  <c r="O22" i="64"/>
  <c r="H32" i="64"/>
  <c r="H67" i="64"/>
  <c r="O50" i="64" l="1"/>
  <c r="O32" i="6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tc={E89445D9-53DD-4E13-9A79-B3C276A863C2}</author>
    <author>tc={806ADEE8-0D32-430A-87F7-35521BEB1867}</author>
  </authors>
  <commentList>
    <comment ref="E1713" authorId="0" shapeId="0" xr:uid="{E89445D9-53DD-4E13-9A79-B3C276A863C2}">
      <text>
        <t>[Yorum yazışması]
Excel sürümünüz bu yorum yazışmasını okumanıza izin veriyor, ancak dosya daha yeni bir Excel sürümünde açılırsa, yapılan düzenlemeler kaldırılır. Daha fazla bilgi: https://go.microsoft.com/fwlink/?linkid=870924.
Açıklama:
    ***6190 yanlış kayıt edilmiş, düzeltildi</t>
      </text>
    </comment>
    <comment ref="E1715" authorId="1" shapeId="0" xr:uid="{806ADEE8-0D32-430A-87F7-35521BEB1867}">
      <text>
        <t>[Yorum yazışması]
Excel sürümünüz bu yorum yazışmasını okumanıza izin veriyor, ancak dosya daha yeni bir Excel sürümünde açılırsa, yapılan düzenlemeler kaldırılır. Daha fazla bilgi: https://go.microsoft.com/fwlink/?linkid=870924.
Açıklama:
    JA 248*** olarak biliyor, ilk kayıt yanlış işlenmiş</t>
      </text>
    </comment>
  </commentList>
</comments>
</file>

<file path=xl/sharedStrings.xml><?xml version="1.0" encoding="utf-8"?>
<sst xmlns="http://schemas.openxmlformats.org/spreadsheetml/2006/main" count="21622" uniqueCount="1180">
  <si>
    <t>Çatıya Monte</t>
  </si>
  <si>
    <t>Yere Monte</t>
  </si>
  <si>
    <t>Diğer</t>
  </si>
  <si>
    <t>Güneş paneli</t>
  </si>
  <si>
    <t>Sistem Bileşenleri</t>
  </si>
  <si>
    <t>Malların Satın Alınması Sırasında</t>
  </si>
  <si>
    <t>Kurulum Sırasında</t>
  </si>
  <si>
    <t>Devreye Alma Sırasında</t>
  </si>
  <si>
    <t>Sonraki Tarih</t>
  </si>
  <si>
    <t>ENTEGRO</t>
  </si>
  <si>
    <t>KONTEK</t>
  </si>
  <si>
    <t>NO</t>
  </si>
  <si>
    <t>OZENERGY</t>
  </si>
  <si>
    <t>?</t>
  </si>
  <si>
    <t>HSA-1</t>
  </si>
  <si>
    <t>HSA-2</t>
  </si>
  <si>
    <t>MANİSA</t>
  </si>
  <si>
    <t>GAZİANTEP</t>
  </si>
  <si>
    <t>İZMİR</t>
  </si>
  <si>
    <t>2320108MC2020309</t>
  </si>
  <si>
    <t>2320108MC2020259</t>
  </si>
  <si>
    <t>DENİZLİ</t>
  </si>
  <si>
    <t>KAYSERİ</t>
  </si>
  <si>
    <t>AYDIN</t>
  </si>
  <si>
    <t>TOPLAM</t>
  </si>
  <si>
    <t>PROJE</t>
  </si>
  <si>
    <t>JANTSA</t>
  </si>
  <si>
    <t>PMI</t>
  </si>
  <si>
    <t>SOLARAPEX</t>
  </si>
  <si>
    <t>Toplam Üretim</t>
  </si>
  <si>
    <t>KÜTAHYA</t>
  </si>
  <si>
    <t>UŞAK</t>
  </si>
  <si>
    <t>BİM</t>
  </si>
  <si>
    <t>YEŞİLYURT</t>
  </si>
  <si>
    <t>ŞUBAT</t>
  </si>
  <si>
    <t>MAYIS</t>
  </si>
  <si>
    <t>MART</t>
  </si>
  <si>
    <t>NİSAN</t>
  </si>
  <si>
    <t>ARALIK</t>
  </si>
  <si>
    <t>EYLÜL</t>
  </si>
  <si>
    <t>EKİM</t>
  </si>
  <si>
    <t>AĞUSTOS</t>
  </si>
  <si>
    <t>KASIM</t>
  </si>
  <si>
    <t>TEMMUZ</t>
  </si>
  <si>
    <t>HAZİRAN</t>
  </si>
  <si>
    <t>ERZURUM</t>
  </si>
  <si>
    <t>YEO</t>
  </si>
  <si>
    <t>Şikayet Ayı</t>
  </si>
  <si>
    <t>OCAK</t>
  </si>
  <si>
    <t>HSA-1 Üretim Adedi</t>
  </si>
  <si>
    <t>HSA-2 Üretim Adedi</t>
  </si>
  <si>
    <t>OVERALL</t>
  </si>
  <si>
    <t>Toplam Şikayet</t>
  </si>
  <si>
    <t>HSA-1 Gerçekleşen(‱)</t>
  </si>
  <si>
    <t>HSA-2 Gerçekleşen (‱)</t>
  </si>
  <si>
    <t>2024 VERİLERİ</t>
  </si>
  <si>
    <t>2023 VERİLERİ</t>
  </si>
  <si>
    <t>2022 VERİLERİ</t>
  </si>
  <si>
    <t>YARIYIL (‱)</t>
  </si>
  <si>
    <t>N/A</t>
  </si>
  <si>
    <t>AAAA</t>
  </si>
  <si>
    <t>HEDEF</t>
  </si>
  <si>
    <t>ERTEKNİK</t>
  </si>
  <si>
    <t>2490108MC2016345</t>
  </si>
  <si>
    <t>2490108MC2021386</t>
  </si>
  <si>
    <t>2490108MC2005647</t>
  </si>
  <si>
    <t>2490108MC2004636</t>
  </si>
  <si>
    <t>2490108MC2004749</t>
  </si>
  <si>
    <t>2490108MC2003126</t>
  </si>
  <si>
    <t>2490108MC2019829</t>
  </si>
  <si>
    <t>2490108MC2019421</t>
  </si>
  <si>
    <t>2490108MC2019180</t>
  </si>
  <si>
    <t>HSA1122020400297</t>
  </si>
  <si>
    <t>HSA1122020100500</t>
  </si>
  <si>
    <t>HSA1122011900909</t>
  </si>
  <si>
    <t>HSA1122020200504</t>
  </si>
  <si>
    <t>HSA1122012700437</t>
  </si>
  <si>
    <t>HSA1122020200579</t>
  </si>
  <si>
    <t>HSA1122012900108</t>
  </si>
  <si>
    <t>HSA1121083100123</t>
  </si>
  <si>
    <t>HSA1122011900611</t>
  </si>
  <si>
    <t>HSA1122020400057</t>
  </si>
  <si>
    <t>HSA1122012700615</t>
  </si>
  <si>
    <t>HSA1122020400105</t>
  </si>
  <si>
    <t>HSA1122012800440</t>
  </si>
  <si>
    <t>HSA1122020300559</t>
  </si>
  <si>
    <t>HSA1122020400474</t>
  </si>
  <si>
    <t>HSA1122012900866</t>
  </si>
  <si>
    <t>HSA1122020400019</t>
  </si>
  <si>
    <t>HSA1122020200864</t>
  </si>
  <si>
    <t>2320108MC2010500</t>
  </si>
  <si>
    <t>2320108MC2012795</t>
  </si>
  <si>
    <t>2320108MC2012647</t>
  </si>
  <si>
    <t>2320108MC2012329</t>
  </si>
  <si>
    <t>2320108MC2011805</t>
  </si>
  <si>
    <t>2320108MC2012482</t>
  </si>
  <si>
    <t>2320108MC2012408</t>
  </si>
  <si>
    <t>2320108MC2012620</t>
  </si>
  <si>
    <t>2320108MC2012798</t>
  </si>
  <si>
    <t>2320108MC2012417</t>
  </si>
  <si>
    <t>2320108MC2013065</t>
  </si>
  <si>
    <t>2310108MC2016899</t>
  </si>
  <si>
    <t>2310108MC2009246</t>
  </si>
  <si>
    <t>2310108MC2010330</t>
  </si>
  <si>
    <t>2320108MC2012554</t>
  </si>
  <si>
    <t>2320108MC2011577</t>
  </si>
  <si>
    <t>2320108MC2012977</t>
  </si>
  <si>
    <t>2320108MC2012272</t>
  </si>
  <si>
    <t>JANTSA-ORTAKLAR</t>
  </si>
  <si>
    <t>2390108BX0025745</t>
  </si>
  <si>
    <t>2330108BW0021986</t>
  </si>
  <si>
    <t>2240108BW0019160</t>
  </si>
  <si>
    <t>ARNES</t>
  </si>
  <si>
    <t>2350108BXD009285</t>
  </si>
  <si>
    <t>2340108BXD030775</t>
  </si>
  <si>
    <t>MAYTEKS</t>
  </si>
  <si>
    <t>LİMAK</t>
  </si>
  <si>
    <t>KIRKLARELİ</t>
  </si>
  <si>
    <t>E3FXT425A219990037902616</t>
  </si>
  <si>
    <t>E3FXT425A22999</t>
  </si>
  <si>
    <t>2450308MC1023912</t>
  </si>
  <si>
    <t>2450308MC1020363</t>
  </si>
  <si>
    <t>2490108MC2022367</t>
  </si>
  <si>
    <t>2490108MC2017322</t>
  </si>
  <si>
    <t>2490108MC2022358</t>
  </si>
  <si>
    <t>2490108MC2012706</t>
  </si>
  <si>
    <t>2490108MC2020108</t>
  </si>
  <si>
    <t>2490108MC2002082</t>
  </si>
  <si>
    <t>2490108MC2010651</t>
  </si>
  <si>
    <t>2490108MC2007180</t>
  </si>
  <si>
    <t>2490108MC2017832</t>
  </si>
  <si>
    <t>2490108MC2006709</t>
  </si>
  <si>
    <t>2490108MC2006770</t>
  </si>
  <si>
    <t>2025 VERİLERİ</t>
  </si>
  <si>
    <t>2520107BW0036999</t>
  </si>
  <si>
    <t>2530108BW0003978</t>
  </si>
  <si>
    <t>2510307MC1000617</t>
  </si>
  <si>
    <t>2510307MC1005245</t>
  </si>
  <si>
    <t>2510307MC1003820</t>
  </si>
  <si>
    <t>2510307MC1003705</t>
  </si>
  <si>
    <t>2510107BW0031752</t>
  </si>
  <si>
    <t>2510107BW0031776</t>
  </si>
  <si>
    <t>2510307MC1000802</t>
  </si>
  <si>
    <t>2510107BW0031206</t>
  </si>
  <si>
    <t>2510307MC1000857</t>
  </si>
  <si>
    <t>2510307MC1001642</t>
  </si>
  <si>
    <t>2510307MC1000074</t>
  </si>
  <si>
    <t>2510307MC1004564</t>
  </si>
  <si>
    <t>2510307MC1004611</t>
  </si>
  <si>
    <t>2510307MC1002349</t>
  </si>
  <si>
    <t>2510107BW0031963</t>
  </si>
  <si>
    <t>2510107BW0031842</t>
  </si>
  <si>
    <t>Hot-spot</t>
  </si>
  <si>
    <t>E3FXT425A189990037405856</t>
  </si>
  <si>
    <t>E3FXT425A239990038103489</t>
  </si>
  <si>
    <t>E3FXT425A139990036204868</t>
  </si>
  <si>
    <t>E3FXT425A139990036204773</t>
  </si>
  <si>
    <t>E3FXT425A149990036206618</t>
  </si>
  <si>
    <t>E3FXT425A159990037400685</t>
  </si>
  <si>
    <t>E3FXT425A159990037400651</t>
  </si>
  <si>
    <t>E3FXT425A179990037403542</t>
  </si>
  <si>
    <t>E3FXT425A169990037403266</t>
  </si>
  <si>
    <t>E3FXT425A159990037400678</t>
  </si>
  <si>
    <t>E3FXT425A149990037400020</t>
  </si>
  <si>
    <t>E3FXT425A159990037400521</t>
  </si>
  <si>
    <t>E3FXT425A159990037400444</t>
  </si>
  <si>
    <t>E3FXT425A159990037400485</t>
  </si>
  <si>
    <t>E3FXT425A159990037400524</t>
  </si>
  <si>
    <t>E3FXT425A159990037400355</t>
  </si>
  <si>
    <t>E3FXT425A159990037400643</t>
  </si>
  <si>
    <t>E3FXT425A159990037400575</t>
  </si>
  <si>
    <t>E3FXT425A159990037400661</t>
  </si>
  <si>
    <t>E3FXT425A159990037400590</t>
  </si>
  <si>
    <t>E3FXT425A159990037400693</t>
  </si>
  <si>
    <t>E3FXT425A159990037400592</t>
  </si>
  <si>
    <t>E3FXT425A159990037400203</t>
  </si>
  <si>
    <t>E3FXT425A159990037400546</t>
  </si>
  <si>
    <t>E3FXT425A159990037400742</t>
  </si>
  <si>
    <t>E3FXT425A169990037402857</t>
  </si>
  <si>
    <t>E3FXT425A249990038104460</t>
  </si>
  <si>
    <t>E3FXT425A239990038103387</t>
  </si>
  <si>
    <t>E3FXT425A169990037401877</t>
  </si>
  <si>
    <t>E3FXT425A179990037404154</t>
  </si>
  <si>
    <t>E3FXT425A179990037403781</t>
  </si>
  <si>
    <t>E3FXT425A269990038106570</t>
  </si>
  <si>
    <t>2480108BX0047544</t>
  </si>
  <si>
    <t>2480108BX0047740</t>
  </si>
  <si>
    <t>2480108BX0027047</t>
  </si>
  <si>
    <t>2480108BX0031336</t>
  </si>
  <si>
    <t>2480108BX0030061</t>
  </si>
  <si>
    <t>2490108BX0016709</t>
  </si>
  <si>
    <t>2490108BX0011610</t>
  </si>
  <si>
    <t>2490108BX0020160</t>
  </si>
  <si>
    <t>2480108BX0034358</t>
  </si>
  <si>
    <t>2480108BX0046907</t>
  </si>
  <si>
    <t>2480108BX0044180</t>
  </si>
  <si>
    <t>2480108BX0043640</t>
  </si>
  <si>
    <t>2480108BX0042613</t>
  </si>
  <si>
    <t>2480108BX0049698</t>
  </si>
  <si>
    <t>2480108BX0050247</t>
  </si>
  <si>
    <t>2480108BX0056853</t>
  </si>
  <si>
    <t>2490108BX0024543</t>
  </si>
  <si>
    <t>2490108BX0001289</t>
  </si>
  <si>
    <t>2480108BX0045050</t>
  </si>
  <si>
    <t>24A0108BX0015971</t>
  </si>
  <si>
    <t>24A0108BX0015973</t>
  </si>
  <si>
    <t>24A0108BX0015142</t>
  </si>
  <si>
    <t>24A0108BX0009494</t>
  </si>
  <si>
    <t>24A0108BX0015247</t>
  </si>
  <si>
    <t>2490108BX0008657</t>
  </si>
  <si>
    <t>24A0108BX0014796</t>
  </si>
  <si>
    <t>24A0108BX0015930</t>
  </si>
  <si>
    <t>2490108BX0024843</t>
  </si>
  <si>
    <t>24A0108BX0012400</t>
  </si>
  <si>
    <t>24A0108BX0003749</t>
  </si>
  <si>
    <t>2480108BX0052979</t>
  </si>
  <si>
    <t>2480108BX0033080</t>
  </si>
  <si>
    <t>2480108BX0037692</t>
  </si>
  <si>
    <t>2480108BX0046979</t>
  </si>
  <si>
    <t>24A0108BX0006424</t>
  </si>
  <si>
    <t>2490108BX0000299</t>
  </si>
  <si>
    <t>2490108BX0004924</t>
  </si>
  <si>
    <t>24A0108BX0012928</t>
  </si>
  <si>
    <t>2490108BX0002991</t>
  </si>
  <si>
    <t>2490108BX0013950</t>
  </si>
  <si>
    <t>24A0108BX0013205</t>
  </si>
  <si>
    <t>2490108BX0019145</t>
  </si>
  <si>
    <t>2490108BX0019252</t>
  </si>
  <si>
    <t>2490108BX0026521</t>
  </si>
  <si>
    <t>24A0108BX0002261</t>
  </si>
  <si>
    <t>24A0108BX0000157</t>
  </si>
  <si>
    <t>2490108BX0021447</t>
  </si>
  <si>
    <t>MİGROS</t>
  </si>
  <si>
    <t>KIRŞEHİR</t>
  </si>
  <si>
    <t>2490108BX0018462</t>
  </si>
  <si>
    <t>2490108BX0026976</t>
  </si>
  <si>
    <t>2231611MC1000771</t>
  </si>
  <si>
    <t>2231711MC1000110</t>
  </si>
  <si>
    <t>2231611MC1000473</t>
  </si>
  <si>
    <t>2231111MC0000089</t>
  </si>
  <si>
    <t>2230108BW0003025</t>
  </si>
  <si>
    <t>2230108BW0002685</t>
  </si>
  <si>
    <t>2231211MC0000143</t>
  </si>
  <si>
    <t>2230108BW0002424</t>
  </si>
  <si>
    <t>2231511MC1000417</t>
  </si>
  <si>
    <t>2231611MC1000637</t>
  </si>
  <si>
    <t>2231611MC1000589</t>
  </si>
  <si>
    <t>2231611MC1000421</t>
  </si>
  <si>
    <t>2231611MC1000770</t>
  </si>
  <si>
    <t>2230811MC0000605</t>
  </si>
  <si>
    <t>2231611MC1000778</t>
  </si>
  <si>
    <t>2231511MC1000429</t>
  </si>
  <si>
    <t>2520107BW001889</t>
  </si>
  <si>
    <t>24B0108MC2003551</t>
  </si>
  <si>
    <t>24B0108MC2006053</t>
  </si>
  <si>
    <t>24B0108MC2010697</t>
  </si>
  <si>
    <t>24B0108MC2002559</t>
  </si>
  <si>
    <t>24B0108MC2001760</t>
  </si>
  <si>
    <t>24B0108MC2003365</t>
  </si>
  <si>
    <t>24B0108MC2002208</t>
  </si>
  <si>
    <t>24A0108MC2008619</t>
  </si>
  <si>
    <t>24A0108MC2004336</t>
  </si>
  <si>
    <t>24B0108MC2009202</t>
  </si>
  <si>
    <t>24B0108MC2012295</t>
  </si>
  <si>
    <t>24A0108MC2014957</t>
  </si>
  <si>
    <t>24A0108MC2011925</t>
  </si>
  <si>
    <t>24B0108MC2007757</t>
  </si>
  <si>
    <t>24B0108MC2017016</t>
  </si>
  <si>
    <t>2350108MC1013620</t>
  </si>
  <si>
    <t>ADALYA</t>
  </si>
  <si>
    <t>2320108MC2022139</t>
  </si>
  <si>
    <t>22C0108BW0054242</t>
  </si>
  <si>
    <t>2310108MC1000038</t>
  </si>
  <si>
    <t>2310108MC1000370</t>
  </si>
  <si>
    <t>DEMSAN</t>
  </si>
  <si>
    <t>2410108BX0011336</t>
  </si>
  <si>
    <t>2310108MC2019548</t>
  </si>
  <si>
    <t>2310108MC2019244</t>
  </si>
  <si>
    <t>2330108MC2001285</t>
  </si>
  <si>
    <t>2310108MC2019289</t>
  </si>
  <si>
    <t>2310108MC2019693</t>
  </si>
  <si>
    <t>2320108MC2037333</t>
  </si>
  <si>
    <t>2320108MC2035512</t>
  </si>
  <si>
    <t>2330108MC2010439</t>
  </si>
  <si>
    <t>2330108MC2010217</t>
  </si>
  <si>
    <t>2330108MC2010188</t>
  </si>
  <si>
    <t>2330108MC2010101</t>
  </si>
  <si>
    <t>2330108MC2010110</t>
  </si>
  <si>
    <t>E3FXT425A039990036200025</t>
  </si>
  <si>
    <t>VAGUS</t>
  </si>
  <si>
    <t>AKGÜÇ</t>
  </si>
  <si>
    <t>2490107BW0033719</t>
  </si>
  <si>
    <t>2490107BW0034104</t>
  </si>
  <si>
    <t>2490107BW0003597</t>
  </si>
  <si>
    <t>2490107BW0004102</t>
  </si>
  <si>
    <t>2490107BW0033727</t>
  </si>
  <si>
    <t>2490107BW0033928</t>
  </si>
  <si>
    <t>2490107BW0034082</t>
  </si>
  <si>
    <t>2490107BW0034003</t>
  </si>
  <si>
    <t>2490107BW0034024</t>
  </si>
  <si>
    <t>2490107BW0034124</t>
  </si>
  <si>
    <t>2490107BW0033972</t>
  </si>
  <si>
    <t>2490107BW0034088</t>
  </si>
  <si>
    <t>2490107BW0033944</t>
  </si>
  <si>
    <t>2490107BW0034081</t>
  </si>
  <si>
    <t>2490107BW0004059</t>
  </si>
  <si>
    <t>2490107BW0004233</t>
  </si>
  <si>
    <t>2490107BW0004217</t>
  </si>
  <si>
    <t>2490107BW0004038</t>
  </si>
  <si>
    <t>FARK(GÜN)</t>
  </si>
  <si>
    <t>HAKLI/HAKSIZŞİKAYET</t>
  </si>
  <si>
    <t>JASOLAR</t>
  </si>
  <si>
    <t>AYKAMÜHENDİSLİK</t>
  </si>
  <si>
    <t>TİRSANKARDAN</t>
  </si>
  <si>
    <t>MAVİÇAM</t>
  </si>
  <si>
    <t>MELİKETEKSTİL</t>
  </si>
  <si>
    <t>GÜRALSERAMİK</t>
  </si>
  <si>
    <t>SOLARTODAY</t>
  </si>
  <si>
    <t>JINKOSOLAR</t>
  </si>
  <si>
    <t>IDAMARMERMER</t>
  </si>
  <si>
    <t>ABCSOLAR</t>
  </si>
  <si>
    <t>CITUSENERJI</t>
  </si>
  <si>
    <t>CIZMELIGIDA</t>
  </si>
  <si>
    <t>ERTEKNİKSULAMA</t>
  </si>
  <si>
    <t>PENGUENGES</t>
  </si>
  <si>
    <t>2450108BX0038413</t>
  </si>
  <si>
    <t>2450108BX0038706</t>
  </si>
  <si>
    <t>2470108BX0004939</t>
  </si>
  <si>
    <t>2480108BX0017301</t>
  </si>
  <si>
    <t>2440108BX0019797</t>
  </si>
  <si>
    <t>2480108BX0017507</t>
  </si>
  <si>
    <t>2480108BX0017168</t>
  </si>
  <si>
    <t>2480108BX0018279</t>
  </si>
  <si>
    <t>2480108BX0016370</t>
  </si>
  <si>
    <t>İNCİGES</t>
  </si>
  <si>
    <t>ÖRGÜGES</t>
  </si>
  <si>
    <t>ELEKTAENERJİ</t>
  </si>
  <si>
    <t>ABMEVPROJESİ</t>
  </si>
  <si>
    <t>RAMADAARAZİGES</t>
  </si>
  <si>
    <t>2360108MC1000905</t>
  </si>
  <si>
    <t>PRONENENERJI</t>
  </si>
  <si>
    <t>ALKANMAKİNE</t>
  </si>
  <si>
    <t>PVLUXENERJI</t>
  </si>
  <si>
    <t>MANİSA/DEMİRCİ</t>
  </si>
  <si>
    <t>2490107BW0004128</t>
  </si>
  <si>
    <t>2490107BW0004166</t>
  </si>
  <si>
    <t>2490107BW0004055</t>
  </si>
  <si>
    <t>2490107BW0003666</t>
  </si>
  <si>
    <t>2490107BW0003572</t>
  </si>
  <si>
    <t>2490107BW0003376</t>
  </si>
  <si>
    <t>2490107BW0001956</t>
  </si>
  <si>
    <t>2490107BW0002441</t>
  </si>
  <si>
    <t>2490107BW0002242</t>
  </si>
  <si>
    <t>2490107BW0031573</t>
  </si>
  <si>
    <t>2490107BW0031657</t>
  </si>
  <si>
    <t>2490107BW0031629</t>
  </si>
  <si>
    <t>2490107BW0031656</t>
  </si>
  <si>
    <t>2490107BW0002460</t>
  </si>
  <si>
    <t>2490107BW0002448</t>
  </si>
  <si>
    <t>2490107BW0031511</t>
  </si>
  <si>
    <t>2490107BW0031659</t>
  </si>
  <si>
    <t>2490107BW0001957</t>
  </si>
  <si>
    <t>2490107BW0031362</t>
  </si>
  <si>
    <t>2480107BW0002426</t>
  </si>
  <si>
    <t>2480107BW0002438</t>
  </si>
  <si>
    <t>2490107BW0032204</t>
  </si>
  <si>
    <t>2490107BW0032299</t>
  </si>
  <si>
    <t>2490107BW0003076</t>
  </si>
  <si>
    <t>2480107BW0003139</t>
  </si>
  <si>
    <t>2490107BW0032128</t>
  </si>
  <si>
    <t>2490107BW0032350</t>
  </si>
  <si>
    <t>2480107BW0003118</t>
  </si>
  <si>
    <t>2480107BW0003123</t>
  </si>
  <si>
    <t>2480107BW0031934</t>
  </si>
  <si>
    <t>2480107BW0032406</t>
  </si>
  <si>
    <t>2490107BW003235</t>
  </si>
  <si>
    <t>2480107BW0032359</t>
  </si>
  <si>
    <t>2480107BW0032391</t>
  </si>
  <si>
    <t>2480107BW0033564</t>
  </si>
  <si>
    <t>2480107BW0033510</t>
  </si>
  <si>
    <t>2480107BW0033537</t>
  </si>
  <si>
    <t>2480107BW0032298</t>
  </si>
  <si>
    <t>2480107BW0032348</t>
  </si>
  <si>
    <t>2480107BW0033560</t>
  </si>
  <si>
    <t>2480107BW0031757</t>
  </si>
  <si>
    <t>2480107BW0033497</t>
  </si>
  <si>
    <t>2480107BW0032473</t>
  </si>
  <si>
    <t>2480107BW0033442</t>
  </si>
  <si>
    <t>2480107BW0032420</t>
  </si>
  <si>
    <t>2480107BW0033562</t>
  </si>
  <si>
    <t>2480107BW0032446</t>
  </si>
  <si>
    <t>2480107BW0032487</t>
  </si>
  <si>
    <t>2480107BW0033518</t>
  </si>
  <si>
    <t>2480107BW0033513</t>
  </si>
  <si>
    <t>2480107BW0032507</t>
  </si>
  <si>
    <t>2480107BW0032584</t>
  </si>
  <si>
    <t>2480107BW0033516</t>
  </si>
  <si>
    <t>2480107BW0033843</t>
  </si>
  <si>
    <t>2480107BW0032647</t>
  </si>
  <si>
    <t>2480107BW0032884</t>
  </si>
  <si>
    <t>2480107BW0032632</t>
  </si>
  <si>
    <t>2480107BW0033539</t>
  </si>
  <si>
    <t>2480107BW0033174</t>
  </si>
  <si>
    <t>2480107BW0032620</t>
  </si>
  <si>
    <t>2480107BW0032954</t>
  </si>
  <si>
    <t>2480107BW0032938</t>
  </si>
  <si>
    <t>2480107BW0032939</t>
  </si>
  <si>
    <t>2480107BW0032754</t>
  </si>
  <si>
    <t>2480107BW0032661</t>
  </si>
  <si>
    <t>2480107BW0032751</t>
  </si>
  <si>
    <t>2480107BW0033124</t>
  </si>
  <si>
    <t>2480107BW0033199</t>
  </si>
  <si>
    <t>2480107BW0033054</t>
  </si>
  <si>
    <t>2480107BW0032557</t>
  </si>
  <si>
    <t>2490107BW0008166</t>
  </si>
  <si>
    <t>2480107BW0033668</t>
  </si>
  <si>
    <t>2490107BW0008453</t>
  </si>
  <si>
    <t>2490107BW0013579</t>
  </si>
  <si>
    <t>2490107BW0008806</t>
  </si>
  <si>
    <t>2490107BW0008705</t>
  </si>
  <si>
    <t>2490107BW0008259</t>
  </si>
  <si>
    <t>2490107BW0008346</t>
  </si>
  <si>
    <t>2490107BW0008347</t>
  </si>
  <si>
    <t>2490107BW0008754</t>
  </si>
  <si>
    <t>2490107BW0008750</t>
  </si>
  <si>
    <t>2490107BW0008761</t>
  </si>
  <si>
    <t>2490107BW0008782</t>
  </si>
  <si>
    <t>2490107BW0008677</t>
  </si>
  <si>
    <t>2480107BW0032669</t>
  </si>
  <si>
    <t>2480107BW0033278</t>
  </si>
  <si>
    <t>2480107BW0032866</t>
  </si>
  <si>
    <t>2480107BW0032912</t>
  </si>
  <si>
    <t>2480107BW0032899</t>
  </si>
  <si>
    <t>2480107BW0032858</t>
  </si>
  <si>
    <t>2480107BW0032744</t>
  </si>
  <si>
    <t>2480107BW0032828</t>
  </si>
  <si>
    <t>2480107BW0032883</t>
  </si>
  <si>
    <t>2480107BW0032905</t>
  </si>
  <si>
    <t>2480107BW0032875</t>
  </si>
  <si>
    <t>2480107BW0031434</t>
  </si>
  <si>
    <t>2480107BW0033657</t>
  </si>
  <si>
    <t>2480107BW0031424</t>
  </si>
  <si>
    <t>2480107BW0033404</t>
  </si>
  <si>
    <t>2480107BW0031492</t>
  </si>
  <si>
    <t>2480107BW0033322</t>
  </si>
  <si>
    <t>2480107BW0031150</t>
  </si>
  <si>
    <t>2480107BW0033167</t>
  </si>
  <si>
    <t>2480107BW0031605</t>
  </si>
  <si>
    <t>2480107BW0033320</t>
  </si>
  <si>
    <t>2480107BW0031555</t>
  </si>
  <si>
    <t>2480107BW0033312</t>
  </si>
  <si>
    <t>2480107BW0031498</t>
  </si>
  <si>
    <t>2480107BW0033302</t>
  </si>
  <si>
    <t>2480107BW0031560</t>
  </si>
  <si>
    <t>2480107BW0031616</t>
  </si>
  <si>
    <t>2480107BW0032706</t>
  </si>
  <si>
    <t>2480107BW0031576</t>
  </si>
  <si>
    <t>2480107BW0033337</t>
  </si>
  <si>
    <t>2480107BW0031575</t>
  </si>
  <si>
    <t>2480107BW0033114</t>
  </si>
  <si>
    <t>2480107BW0032710</t>
  </si>
  <si>
    <t>2480107BW0031622</t>
  </si>
  <si>
    <t>2480107BW0031568</t>
  </si>
  <si>
    <t>2480107BW0033111</t>
  </si>
  <si>
    <t>2480107BW0033424</t>
  </si>
  <si>
    <t>2480107BW0033825</t>
  </si>
  <si>
    <t>2480107BW0033829</t>
  </si>
  <si>
    <t>2480107BW0033596</t>
  </si>
  <si>
    <t>2480107BW0035186</t>
  </si>
  <si>
    <t>2480107BW0033828</t>
  </si>
  <si>
    <t>2480107BW0033900</t>
  </si>
  <si>
    <t>2480107BW0035264</t>
  </si>
  <si>
    <t>2480107BW0035214</t>
  </si>
  <si>
    <t>2480107BW0032697</t>
  </si>
  <si>
    <t>2480107BW0032393</t>
  </si>
  <si>
    <t>2480107BW0032850</t>
  </si>
  <si>
    <t xml:space="preserve">İlgilipanellerinüzerindegerçekleştirilentermalkameraincelemesisonucunda,panelyüzeylerindebelirginsıcak-soğukfarklarıtespitedilmiştir.Termalgörüntüde,bazıhücrelerinsıcaklıkdeğerlerininpanelingenelsıcaklıkyapısınakıyaslaanormalderecededüşükolduğugözlemlenmiştir.
Budurum,sözkonusupanellerdebazıhücrelerinüretimyapmadığınıveyatamamendevredışıkaldığını(ölühücre-deadcell)göstermektedir.Hücreseldüzeydemeydanagelenbutürarızalar,panellerinperformansınıolumsuzetkilemekteolup,sistemingenelverimliliğindekayıplaranedenolmaktadır.
Bunedenle,arızalıolduğutespitedilenpanellerindetaylışekildekontroledilmesivegerekiyorsaonarılmasıyadadeğiştirilmesiiçingerekliişlemlerinivediliklebaşlatılmasınıarzederim.
14.08.25: EL incelemeleri sonucunda modüllerde bir hataya rastlanılmamıştır.
Hata fotoğrafları incelendiğinde modüller üzerindeki kirlilik nedeniyle hotspot yapıldığı tespit edilmiştir.
Fabrikasyon bir hata bulunmamaktadır. </t>
  </si>
  <si>
    <t>DEMİREZEN GIDA</t>
  </si>
  <si>
    <t>ŞİRKET</t>
  </si>
  <si>
    <t>PROJE LOKASYONU</t>
  </si>
  <si>
    <t>ŞİKAYET TARİHİ</t>
  </si>
  <si>
    <t>FABRİKA</t>
  </si>
  <si>
    <t>MARKA</t>
  </si>
  <si>
    <t>MODÜL GÜCÜ</t>
  </si>
  <si>
    <t>KUSURLU ÜRÜN MİKTARI</t>
  </si>
  <si>
    <t>ÜRETİM TARİHİ</t>
  </si>
  <si>
    <t>ÜRETİM YILI</t>
  </si>
  <si>
    <t>ÜRETİM AYI</t>
  </si>
  <si>
    <t>MODÜL SERİ NO</t>
  </si>
  <si>
    <t>ŞİKAYET NOTLARI</t>
  </si>
  <si>
    <t>HATA TANIMI</t>
  </si>
  <si>
    <t>SON CEVAP TARİHİ</t>
  </si>
  <si>
    <t>SUNPWT</t>
  </si>
  <si>
    <t>VOLKAN İTFAİYE</t>
  </si>
  <si>
    <t>Backsheet Hatası</t>
  </si>
  <si>
    <t>Cam Çiziği</t>
  </si>
  <si>
    <t>Cam çiziği
Paketten çizik çıkmıştır.
Hat üzerinden geçerken VI görüntüleri temiz. Çizikler paketlemede elleçlemede oluşmuş olabilir. C sınıfının birtanesi forklift bıçağı girmesi nedeniyle oluşmuş. Diğeri önyüzeyden darbe almış, son C sınıfı ise belli olmuyor videodan modülü incelemek gerek. Çiziklerin hepsi uzun ve çerçeve sürtmesi kaynaklı kalın. P sınıfı düzeyinde. Dolayısıyla geri dönüş olarak değiştirmek uygun olacaktır.</t>
  </si>
  <si>
    <t>Diyot Hatası</t>
  </si>
  <si>
    <t>Diyot hatası
Ürünün EL veVI ların abakılacak. Akabinde saha organizasyonu yapılacak.</t>
  </si>
  <si>
    <t>Diyot hatası
26.06.2025 tarihinde JB değişimi yapıldı.</t>
  </si>
  <si>
    <t>Düşük Voltaj</t>
  </si>
  <si>
    <t>4 batchten oluşan (1069+1295+1012+1132) HSA66M1AGGNS-575w kodlu 1 tırlık malzemeden müşteri şikayeti gelmiştir. Müşterinin şikayeti panellerin başka x markanın alt serisine göre düşük voltaj üretmesidir.
Görkem Bey merhaba; Mesut Bey ile gündüz telefonda görüştük, akşamda kendisini tekrararadım. Kendisinden telefonda da aynı talepte bulundum. Bir stringde kaç modül var? Problem yaşanılan stringdeki panellerin barkod bilgileri? Farklı 2 tip panel aynı stringe konulmuş olabilir mi? 66tip vs 72tip. Problem yaşanılan stringdeki panellerin aynı miktarda güneş aldığına emin olup, her bir panel j.box kablolarından ayrı ayrı açık devre voltajı ölçebilir mi?
Şu an için bilgileri anladığım bugün yarın temin edemeyecekler. Haftaya tekrar haberleşeceğiz gibi görünüyor.
Elekta şikayetini buyuk olcude çozduk, pompa sistemine az panel bagladiklari icin sistem calismayip tekesiyor. Simdilik aksiyonumuz yok.</t>
  </si>
  <si>
    <t>Etiket Hatası</t>
  </si>
  <si>
    <t>Sahaya giden modüllerin güç etiketlerindesözleşme dışında güc saptanmıştır. 545w-&gt;550w, 580w-&gt;585w olarak yazılmıştır, saha tam kaç adet olduğu konusunda emin değil ancak 10 adet modülün 2 adetinde buna denk geldiklerini söylediler.</t>
  </si>
  <si>
    <t>Satışı T-20 yapılmı şürünlerin paketinin içinden T-10 çıkması</t>
  </si>
  <si>
    <t>Yapılan termal drone kontrolünde 4 adet panelde arıza tespit edildi.
Modül değişimi yapıldı.</t>
  </si>
  <si>
    <t>JB Lehim Hatası</t>
  </si>
  <si>
    <t>Diyot hatası
Ürünün EL ve VI larına bakılacak. Akabinde saha organizasyonu yapılacak.</t>
  </si>
  <si>
    <t>Diyot hatası
J.B lehim yenilendi</t>
  </si>
  <si>
    <t>27.05.25: Raporda mevzu bahis olan 36 adet modül ziyaretimizöncesinde demonte edilebilir mi? 220V enerji temini, çalışılacak uygun bir alan ve modülleri koyabileceğimiz bir masa sağlanabilirse çok seviniriz. Bu modülleri yerinde inceleme ve müdahale gerçekleştirmek istiyoruz. Ayrıca diğer 13 modülü ise paraleldeçalışır iken incelemeyi isteriz. Öngörümüz burada 2 iş günü çalışma gerçekleştirmek. Uygun olursa bunu önümüzdeki hafta Ptesi, Salı günü gerçekleştirmeyi istiyoruz.
12.06.2025'te saha ziyareti yapılmıştır. 49 adet tamir edildi. Hepsi zayıf lehim.</t>
  </si>
  <si>
    <t>27.05.2025tarihinde saha ziyareti yapılacak.
Lehim tazelendi.</t>
  </si>
  <si>
    <t>2 adet panelde diyot arızası tespit edilmiştir. Süreci en geç Perşembe gününe kadar netleştirmemiz gerekiyor.
25.06.25 tarihinde sahada JB değişim ve lehim tazeleme yapıldı.</t>
  </si>
  <si>
    <t>Kırık Cam</t>
  </si>
  <si>
    <t>Kırık cam - panelin köşesinde kırık tespit edilmiştir.</t>
  </si>
  <si>
    <t>Panelleri sizlerden uzun zaman önce teslim almıştık fakat ilgili paneller yatırımcının abonelik işlemleri tamamlanmadığından ürünleri sahaya sevk etmemiş depomuzda bekletmiştik. Bu ay yatırımcının abonelik işlemleri tamamlandı ve ürünleri paletli şekilde yatırımcının evine gönderdik. Panel montajı sırasında 12.06.2025 tarihinde 1 adet panelin paletten kırık çıktığı görülmüş ve ilgili panelin fotoğrafı çekilmiştir.</t>
  </si>
  <si>
    <t>Palet açılışı sırasında orta sıralarda bulunan 1 adet panelin kırık olduğu tespit edilmiştir.</t>
  </si>
  <si>
    <t>Konnektör Hatası</t>
  </si>
  <si>
    <t>Konnektör hatası 
Kendilerine doğru çekip parçayı çıkarmaları talebinde bulunduk. Üretimde kullanılan aparatınparçası üzerinde kalmış.</t>
  </si>
  <si>
    <t>Ribon Kayması</t>
  </si>
  <si>
    <t>Ribbon kayması
Değişim yapılacak.
Projenin tamaminin serilmesini beklemekistiyorlar, baska bir talep de olursa tek seferde isleme baslayacagiz</t>
  </si>
  <si>
    <t>Ribbon sapması - 
13.05.2025: İletilmiş olan görsellerdeki hataların hangi modüle ait olduğu eşleştirilememiştir. Müşteri tarafından hücre çiziği olarak ifade edilen tanımın incelemelerimiz sonucunda cam çiziği olduğu tespit edilmiştir. Prosesimizde paketleme istasyonu öncesinde görsel kontrol uygulaması 100% yapılmakta olup, bu seri numaralarına ait herhangi bir gözlem olmamıştır. Ayrıca üretim içerisindeki görsel kontrol kamera kontrol kayıtlarında da hata görülmemiştir. Ribon uçlarında sapma kriteri 3.5mmdir. İletilen iki görseldeki modüllerin biri kriter içindeyken, diğeri kriter dışıdır ve bu hata tipinin modül performansı üzerinde etkisi bulunmamaktadır. Mesh hatası için görsel olmadığı için yorum yapılamamıştır.</t>
  </si>
  <si>
    <t>Toz Tutma</t>
  </si>
  <si>
    <t>Tirsan Kardan GES santralinde yapılan kontrollerde,HSA marka bir PV panelde sıcaklık anomalisine (hotspot)rastlanmıştır. Panelde gözle görülür şekilde hücre hasarı ve yerel ısınma tespit edilmiştir. Termal kamera görüntüsünde ilgili hücrelerde maksimum sıcaklık 89.7°C’ye kadar çıkmaktadır. Multimetre ile yapılan ölçümlerde panelin DC gerilimi 45.4V olarak ölçülmüştür. Pane lyüzeyinde gözle görülür şekilde lokal yanık izleri mevcuttur. Bu durum enerji üretiminde kayba yol açmaktave panel yangın riski taşımaktadır.
Fabrikayageriçağırıldı.
Çatıya modül takıldı. Temizlik sonrası bir problem görülmedi. Düzenli temizlik önerildi.</t>
  </si>
  <si>
    <t>Backsheet hatası
EL ve VI larında problemgörünmemektedir. Sahada şartlarından kaynaklı deformasyon.</t>
  </si>
  <si>
    <t>DKY ENERJİ</t>
  </si>
  <si>
    <t>Köşe Açıklığı</t>
  </si>
  <si>
    <t>21:08.25: Sahaya yakın bir noktada bulunan taş ocağı nedeniyle modüllerin yoğun toza maruz kaldığı,
Hücre bazlı tozlanmaların yoğun olduğu bölgede birçok gölge unsurunun olduğu (baca,paratoner vs.),
Tozlanan hücreler kısa sürede temizlenmediği için daha da ısınarak daha fazla toz topladığı,</t>
  </si>
  <si>
    <t>Tozlu Hücre</t>
  </si>
  <si>
    <t>19:08.25: Modül değişimi onaylandı</t>
  </si>
  <si>
    <t>CİTUS POWER</t>
  </si>
  <si>
    <t>ÇİZMECİ</t>
  </si>
  <si>
    <t>BALSU</t>
  </si>
  <si>
    <t>ACACIA</t>
  </si>
  <si>
    <t>PİRAMİT SENTETİK</t>
  </si>
  <si>
    <t>TEKİRDAĞ</t>
  </si>
  <si>
    <t>SAKARYA/HENDEK</t>
  </si>
  <si>
    <t>ANKARA/POLATLI</t>
  </si>
  <si>
    <t>Silikon Lekesi</t>
  </si>
  <si>
    <t>(Birden Çok Öğe)</t>
  </si>
  <si>
    <t>ESKİŞEHİR/BEYLİKOVA</t>
  </si>
  <si>
    <t>TEKSAN</t>
  </si>
  <si>
    <t>MANİSA/MURADİYE</t>
  </si>
  <si>
    <t>ARTAŞ</t>
  </si>
  <si>
    <t>ÜRGÜP</t>
  </si>
  <si>
    <t>Karışık</t>
  </si>
  <si>
    <t>Çerçeve Açıklığı</t>
  </si>
  <si>
    <t>28.08.25: 42 adet değişim için gönderildi, 42 adet iade alınacak (37 çerçeve açıklığı, 5 kırık hücre)</t>
  </si>
  <si>
    <t>MALATYA</t>
  </si>
  <si>
    <t>28:08.25: Ürünleri temizleyip garanti kapsamında kullanmaya devam edebilirler.</t>
  </si>
  <si>
    <t>ŞİKAYET AY</t>
  </si>
  <si>
    <t>YAPINET</t>
  </si>
  <si>
    <t>INVESTT İNŞAAT</t>
  </si>
  <si>
    <t>Satır Etiketleri</t>
  </si>
  <si>
    <t>Genel Toplam</t>
  </si>
  <si>
    <t>Lekeli Cam</t>
  </si>
  <si>
    <t>HAFTA</t>
  </si>
  <si>
    <t>Kırık Hücre</t>
  </si>
  <si>
    <t>28.08.25: Ürün güçleri doğrudur, bu şekilde kullanılabilir (Okan Aktaş)
03.09.25: Okan ve Serdar sahada paket etiketi değişimi yaptılar.</t>
  </si>
  <si>
    <t>Barkod ve şikayet formu bekleniyor
10.09.25: Saha ziyareti yapıldı. 18 modüle tamir yapıldı.</t>
  </si>
  <si>
    <t>2240108BW0008261</t>
  </si>
  <si>
    <t>2230108BW0011995</t>
  </si>
  <si>
    <t>2240108BW0008516</t>
  </si>
  <si>
    <t>2230108BW0011788</t>
  </si>
  <si>
    <t>2240108BW0007992</t>
  </si>
  <si>
    <t>22301088W0005329</t>
  </si>
  <si>
    <t>2230108BW0005331</t>
  </si>
  <si>
    <t>2230108BW0005360</t>
  </si>
  <si>
    <t>2240108BW0008531</t>
  </si>
  <si>
    <t>2240108BW0041021</t>
  </si>
  <si>
    <t>2240108BW0001812</t>
  </si>
  <si>
    <t>2250108BW0006130</t>
  </si>
  <si>
    <t>2240108BW0008263</t>
  </si>
  <si>
    <t>2230108BW0005224</t>
  </si>
  <si>
    <t>2250108BW0005562</t>
  </si>
  <si>
    <t>2501083BW0009762</t>
  </si>
  <si>
    <t>2230108BW0008773</t>
  </si>
  <si>
    <t>2250108BW0008493</t>
  </si>
  <si>
    <t>11.09.25: Saha ziyareti yapıldı.</t>
  </si>
  <si>
    <t>İŞLEM</t>
  </si>
  <si>
    <t>Tamir</t>
  </si>
  <si>
    <t>Değişim</t>
  </si>
  <si>
    <t>E4FXT425F119990045000497</t>
  </si>
  <si>
    <t>E4FXT425F129990045001907</t>
  </si>
  <si>
    <t>BORTAR YEMEK</t>
  </si>
  <si>
    <t>E4FXT425F119990045001346</t>
  </si>
  <si>
    <t>E4FXT425F119990045000189</t>
  </si>
  <si>
    <t>Çizik Hücre</t>
  </si>
  <si>
    <t>Lekeli Hücre</t>
  </si>
  <si>
    <t>E4FXT425F129990045001509</t>
  </si>
  <si>
    <t>E4FXT425F119990045000405</t>
  </si>
  <si>
    <t>Finger Kırığı</t>
  </si>
  <si>
    <t>20.08.25: Kağan Bey tarafından geribildirim formu paylaşıldı.</t>
  </si>
  <si>
    <t>Toplam KUSURLU ÜRÜN MİKTARI</t>
  </si>
  <si>
    <t>Sütun Etiketleri</t>
  </si>
  <si>
    <t>E3FXT425B249990039700107</t>
  </si>
  <si>
    <t>E3FXT425B249990039701508</t>
  </si>
  <si>
    <t>E3FXT425B249990039701727</t>
  </si>
  <si>
    <t>E3FXT425B249990039701162</t>
  </si>
  <si>
    <t>E3FXT425B249990039701715</t>
  </si>
  <si>
    <t>E3FXT425B249990039700944</t>
  </si>
  <si>
    <t>E3FXT425B249990039700333</t>
  </si>
  <si>
    <t>E3FXT425B249990039700484</t>
  </si>
  <si>
    <t>E3FXT425B249990039701671</t>
  </si>
  <si>
    <t>E3FXT425B249990039701647</t>
  </si>
  <si>
    <t>E3FXT425B279990039805023</t>
  </si>
  <si>
    <t>E3FXT425B279990039805798</t>
  </si>
  <si>
    <t>E3FXT425B279990039806630</t>
  </si>
  <si>
    <t>E3FXT425B259990039801167</t>
  </si>
  <si>
    <t>E3FXT425B259990039800541</t>
  </si>
  <si>
    <t>E3FXT425B259990039800949</t>
  </si>
  <si>
    <t>E3FXT425D299990042801193</t>
  </si>
  <si>
    <t>E3FXT425D299990042800950</t>
  </si>
  <si>
    <t>E3FXT425D299990042800277</t>
  </si>
  <si>
    <t>E3FXT425D299990042800939</t>
  </si>
  <si>
    <t>E3FXT425D299990042801162</t>
  </si>
  <si>
    <t>E3FXT425D299990042801160</t>
  </si>
  <si>
    <t>E3FXT425C219990041202309</t>
  </si>
  <si>
    <t>E3FXT425C209990041201317</t>
  </si>
  <si>
    <t>E3FXT425C119990040213957</t>
  </si>
  <si>
    <t>E3FXT425B269990039802869</t>
  </si>
  <si>
    <t>E3FXT425B269990039802799</t>
  </si>
  <si>
    <t>E3FXT425B289990039807475</t>
  </si>
  <si>
    <t>E3FXT425D299990042801129</t>
  </si>
  <si>
    <t>E3FXT425D299990042801013</t>
  </si>
  <si>
    <t>E3FXT425D299990042800979</t>
  </si>
  <si>
    <t>E3FXT425D299990042801045</t>
  </si>
  <si>
    <t>E3FXT425D299990042801204</t>
  </si>
  <si>
    <t>E3FXT425D299990042801241</t>
  </si>
  <si>
    <t>E3FXT425D309990042801554</t>
  </si>
  <si>
    <t>E3FXT425D309990042801485</t>
  </si>
  <si>
    <t>E3FXT425D309990042801619</t>
  </si>
  <si>
    <t>E3FXT425C229990041204337</t>
  </si>
  <si>
    <t>E3FXT425C229990041204156</t>
  </si>
  <si>
    <t>E3FXT425C249990041206593</t>
  </si>
  <si>
    <t>E3FXT425C049990040200076</t>
  </si>
  <si>
    <t>E3FXT425C079990040206925</t>
  </si>
  <si>
    <t>GENBA ENERJİ</t>
  </si>
  <si>
    <t>İZMİR / GAZİEMİR</t>
  </si>
  <si>
    <t>Ölçü Farklılığı</t>
  </si>
  <si>
    <t>12.09.25:  Sahaya sevk edilen 186 adet güneş panelinin çoğunda Panel çaplarında ve diyagonal ile ilgili ölçülerde eşitsizlik söz konusu. Montaj konusunda ilk panel ile son panel arasında ciddi farklılıklar oluşmaktadır. Diyagonal ölçümlerde 3-4 mm farklar söz konusu. Panelde 3 farklı noktadan dikey bir şekilde ölçümler yapıldığında ise ölçümlerde tolerans değerlerinden daha fazla farklıklar almaktayız.</t>
  </si>
  <si>
    <t>Say NO</t>
  </si>
  <si>
    <t xml:space="preserve"> ORIENT MÜHENDİSLİK</t>
  </si>
  <si>
    <t>2470108BX0034141</t>
  </si>
  <si>
    <t>2480108BX0000088</t>
  </si>
  <si>
    <t>2470108BX0033438</t>
  </si>
  <si>
    <t>2470108BX0034762</t>
  </si>
  <si>
    <t>2470108BX0032242</t>
  </si>
  <si>
    <t>2470108BX0030645</t>
  </si>
  <si>
    <t>2470108BX0036386</t>
  </si>
  <si>
    <t>2480108BX0002563</t>
  </si>
  <si>
    <t>2480108BX0002544</t>
  </si>
  <si>
    <t>2480108BX0002341</t>
  </si>
  <si>
    <t>2480108BX0002176</t>
  </si>
  <si>
    <t>2480108BX0015909</t>
  </si>
  <si>
    <t>2480108BX0012159</t>
  </si>
  <si>
    <t>2470108BX0020155</t>
  </si>
  <si>
    <t>2470108BX0019763</t>
  </si>
  <si>
    <t>2470108BX0019591</t>
  </si>
  <si>
    <t>2470108BX0018373</t>
  </si>
  <si>
    <t>2470108BX0030508</t>
  </si>
  <si>
    <t>2480108BX0006183</t>
  </si>
  <si>
    <t>2480108BX0008209</t>
  </si>
  <si>
    <t>2480108BX0008111</t>
  </si>
  <si>
    <t>2480108BX0014019</t>
  </si>
  <si>
    <t>2480108BX0015906</t>
  </si>
  <si>
    <t>2480108BX0006180</t>
  </si>
  <si>
    <t>2480108BX0014166</t>
  </si>
  <si>
    <t>2480108BX0015320</t>
  </si>
  <si>
    <t>2480108BX0011318</t>
  </si>
  <si>
    <t>2480108BX0011068</t>
  </si>
  <si>
    <t>2480108BX0011156</t>
  </si>
  <si>
    <t>2480108BX0011323</t>
  </si>
  <si>
    <t>2480108BX0002183</t>
  </si>
  <si>
    <t>2480108BX0002528</t>
  </si>
  <si>
    <t>2480108BX0009990</t>
  </si>
  <si>
    <t>2480108BX0009654</t>
  </si>
  <si>
    <t>2480108BX0009173</t>
  </si>
  <si>
    <t>2480108BX0010167</t>
  </si>
  <si>
    <t>FIBA</t>
  </si>
  <si>
    <t>BALIKESİR</t>
  </si>
  <si>
    <t>Haklı</t>
  </si>
  <si>
    <t>Devam ediyor</t>
  </si>
  <si>
    <t>Haksız</t>
  </si>
  <si>
    <t>HATA TANIMI (ÖZET)</t>
  </si>
  <si>
    <t>Görsel Kusur</t>
  </si>
  <si>
    <t>Darbeli kırık ve çizik çok fazla modül var.</t>
  </si>
  <si>
    <t>09.09.25: 3 adet panel garanti kapsaminda 3 adet panel de bedelsiz olarak musteriye kesilecektir ve teslim edilecektir (Mehmet Aybaş)
Müşteri ile geribildirim formu paylaşılmadı.
12.09.25 yeniler teslim edildi, eskiler alındı.</t>
  </si>
  <si>
    <t>2510107BW0013694</t>
  </si>
  <si>
    <t>2490107BW0015777</t>
  </si>
  <si>
    <t>2510107BW0016431</t>
  </si>
  <si>
    <t>2510107BW0016474</t>
  </si>
  <si>
    <t>2480107BW0016818</t>
  </si>
  <si>
    <t>2480107BW0033756</t>
  </si>
  <si>
    <t>2480107BW0016496</t>
  </si>
  <si>
    <t>2480107BW0016226</t>
  </si>
  <si>
    <t>2480107BW0017498</t>
  </si>
  <si>
    <t>2480107BW0015375</t>
  </si>
  <si>
    <t>2490107BW0009062</t>
  </si>
  <si>
    <t>2480107BW0016816</t>
  </si>
  <si>
    <t>2480107BW0016693</t>
  </si>
  <si>
    <t>24C0107BW0006497</t>
  </si>
  <si>
    <t>24B0107BW0053328</t>
  </si>
  <si>
    <t>2490107BW0009320</t>
  </si>
  <si>
    <t>2490107BW0009304</t>
  </si>
  <si>
    <t>2480107BW0015003</t>
  </si>
  <si>
    <t>24C0107BW0042486</t>
  </si>
  <si>
    <t>2510107BW0016212</t>
  </si>
  <si>
    <t>2510107BW0016232</t>
  </si>
  <si>
    <t>2480107BW0014187</t>
  </si>
  <si>
    <t>2480107BW0015034</t>
  </si>
  <si>
    <t>2480107BW0013837</t>
  </si>
  <si>
    <t>2480107BW0013820</t>
  </si>
  <si>
    <t>2480107BW0014171</t>
  </si>
  <si>
    <t>24A0107BW0008767</t>
  </si>
  <si>
    <t>2510107BW0017024</t>
  </si>
  <si>
    <t>24C0107BW0043764</t>
  </si>
  <si>
    <t>24C0107BW0043095</t>
  </si>
  <si>
    <t>2510107BW0016041</t>
  </si>
  <si>
    <t>2510107BW0016051</t>
  </si>
  <si>
    <t>2510107BW0013538</t>
  </si>
  <si>
    <t>24C0107BW0001178</t>
  </si>
  <si>
    <t>24C0107BW0043808</t>
  </si>
  <si>
    <t>2510107BW0013898</t>
  </si>
  <si>
    <t>2490107BW0039175</t>
  </si>
  <si>
    <t>24C0107BW0044145</t>
  </si>
  <si>
    <t>24C0107BW0043717</t>
  </si>
  <si>
    <t>24A0107BW0009259</t>
  </si>
  <si>
    <t>GENERAL SOLAR</t>
  </si>
  <si>
    <t>2370108BX0051878</t>
  </si>
  <si>
    <t>2350108BX0033781</t>
  </si>
  <si>
    <t>2380108BX0009223</t>
  </si>
  <si>
    <t>2350108BX0033887</t>
  </si>
  <si>
    <t>2340108BX0039910</t>
  </si>
  <si>
    <t>2350108BX0048157</t>
  </si>
  <si>
    <t>2350108BX0014563</t>
  </si>
  <si>
    <t>2340108BX0029973</t>
  </si>
  <si>
    <t>2350108BX0025807</t>
  </si>
  <si>
    <t>2350108BX0006120</t>
  </si>
  <si>
    <t>2360108BX0026138</t>
  </si>
  <si>
    <t>2360108BX0026225</t>
  </si>
  <si>
    <t>2350108BX0018515</t>
  </si>
  <si>
    <t>2350108BX0016807</t>
  </si>
  <si>
    <t>2340108BX0016210</t>
  </si>
  <si>
    <t>2340108BX0017282</t>
  </si>
  <si>
    <t>2360108BX0004275</t>
  </si>
  <si>
    <t>2360108BX0004241</t>
  </si>
  <si>
    <t>2360108BX0004236</t>
  </si>
  <si>
    <t>2350108BX0038400</t>
  </si>
  <si>
    <t>2340108BX0005442</t>
  </si>
  <si>
    <t>2340108BX0005580</t>
  </si>
  <si>
    <t>2340108BX0024660</t>
  </si>
  <si>
    <t>2340108BX0024613</t>
  </si>
  <si>
    <t>2340108BX0026855</t>
  </si>
  <si>
    <t>2340108BX0020165</t>
  </si>
  <si>
    <t>2340108BX0005811</t>
  </si>
  <si>
    <t>2340108BX0006013</t>
  </si>
  <si>
    <t>2340108BX0006160</t>
  </si>
  <si>
    <t>2380108BX0013890</t>
  </si>
  <si>
    <t>2380108BX0013902</t>
  </si>
  <si>
    <t>2370108BX0050857</t>
  </si>
  <si>
    <t>2370108BX0051880</t>
  </si>
  <si>
    <t>2380108BX0014259</t>
  </si>
  <si>
    <t>2370108BX0014269</t>
  </si>
  <si>
    <t>2380108BX0014257</t>
  </si>
  <si>
    <t>2360108DX0004064</t>
  </si>
  <si>
    <t>2360108BX0003871</t>
  </si>
  <si>
    <t>2360108BX0004185</t>
  </si>
  <si>
    <t>2340108BX0011875</t>
  </si>
  <si>
    <t>2340108BX0012378</t>
  </si>
  <si>
    <t>2340108BX0010807</t>
  </si>
  <si>
    <t>2340108BX0012389</t>
  </si>
  <si>
    <t>2360108BX0020529</t>
  </si>
  <si>
    <t>2360108BX0020444</t>
  </si>
  <si>
    <t>2360108BX0019330</t>
  </si>
  <si>
    <t>2360108BX0019852</t>
  </si>
  <si>
    <t>2360108BX0019657</t>
  </si>
  <si>
    <t>2340108BX0017040</t>
  </si>
  <si>
    <t>2340108BX0016989</t>
  </si>
  <si>
    <t>2360108BX0020450</t>
  </si>
  <si>
    <t>2340108BX0016298</t>
  </si>
  <si>
    <t>Hotspot</t>
  </si>
  <si>
    <t>24A0108BX0004556</t>
  </si>
  <si>
    <t>24A0108BX0004684</t>
  </si>
  <si>
    <t>24A0108BX0004729</t>
  </si>
  <si>
    <t>24A0108BX0004661</t>
  </si>
  <si>
    <t>KAHRAMANMARAŞ</t>
  </si>
  <si>
    <t>2470107BW0023117</t>
  </si>
  <si>
    <t>2470107BW0016453</t>
  </si>
  <si>
    <t>2470107BW0011932</t>
  </si>
  <si>
    <t>2470107BW0003136</t>
  </si>
  <si>
    <t>2470107BW0003090</t>
  </si>
  <si>
    <t>2470107BW0002392</t>
  </si>
  <si>
    <t>2470107BW0003194</t>
  </si>
  <si>
    <t>2470107BW0003361</t>
  </si>
  <si>
    <t>2470107BW0007639</t>
  </si>
  <si>
    <t>2470107BW0003513</t>
  </si>
  <si>
    <t>2470107BW0002380</t>
  </si>
  <si>
    <t>2470107BW0004897</t>
  </si>
  <si>
    <t>2480107BW0007056</t>
  </si>
  <si>
    <t>2480107BW0025975</t>
  </si>
  <si>
    <t>2470107BW0003349</t>
  </si>
  <si>
    <t>2470107BW0002917</t>
  </si>
  <si>
    <t>2470107BW0003578</t>
  </si>
  <si>
    <t>2470107BW0003573</t>
  </si>
  <si>
    <t>2470107BW0003576</t>
  </si>
  <si>
    <t>2470107BW0002780</t>
  </si>
  <si>
    <t>2470107BW0003120</t>
  </si>
  <si>
    <t>2470107BW0005144</t>
  </si>
  <si>
    <t>2460107BW0010271</t>
  </si>
  <si>
    <t>2470107BW0003150</t>
  </si>
  <si>
    <t>2470107BW0003315</t>
  </si>
  <si>
    <t>2470107BW0003299</t>
  </si>
  <si>
    <t>2470107BW0003309</t>
  </si>
  <si>
    <t>2470107BW0003260</t>
  </si>
  <si>
    <t>2470107BW0003249</t>
  </si>
  <si>
    <t>2470107BW0003320</t>
  </si>
  <si>
    <t>2470107BW0003172</t>
  </si>
  <si>
    <t>2470107BW0003333</t>
  </si>
  <si>
    <t>2470107BW0003395</t>
  </si>
  <si>
    <t>2470107BW0008720</t>
  </si>
  <si>
    <t>2470107BW0003276</t>
  </si>
  <si>
    <t>2470107BW0003295</t>
  </si>
  <si>
    <t>2470107BW0003693</t>
  </si>
  <si>
    <t>2470107BW0003400</t>
  </si>
  <si>
    <t>2470107BW0002538</t>
  </si>
  <si>
    <t>2470107BW0001994</t>
  </si>
  <si>
    <t>2460107BW0015356</t>
  </si>
  <si>
    <t>2480107BW0011066</t>
  </si>
  <si>
    <t>2470107BW0003033</t>
  </si>
  <si>
    <t>2470107BW0003494</t>
  </si>
  <si>
    <t>2470107BW0003406</t>
  </si>
  <si>
    <t>2470107BW0003318</t>
  </si>
  <si>
    <t>2470107BW0003248</t>
  </si>
  <si>
    <t>2470107BW0003348</t>
  </si>
  <si>
    <t>2470107BW0003297</t>
  </si>
  <si>
    <t>2470107BW0002599</t>
  </si>
  <si>
    <t>2470107BW0003269</t>
  </si>
  <si>
    <t>2470107BW0003359</t>
  </si>
  <si>
    <t>2470107BW0003387</t>
  </si>
  <si>
    <t>2470107BW0003334</t>
  </si>
  <si>
    <t>2470107BW0001996</t>
  </si>
  <si>
    <t>2470107BW0003365</t>
  </si>
  <si>
    <t>2470107BW0002564</t>
  </si>
  <si>
    <t>ARAL TEKSTİL</t>
  </si>
  <si>
    <t>29.09.25: Servis planlaması için 15 Ekim 2025 tarihi sonrası için sizlerden destek talep etmekteyiz. Arızalı tüm paneller şuanda demonte edildi ve idari bina yanına alınarak işlem yapılmak üzere besleme vs hazır halde bulunmaktadır. (Deniz Sir)</t>
  </si>
  <si>
    <t>2360108BX0009489</t>
  </si>
  <si>
    <t>2360108BX0017202</t>
  </si>
  <si>
    <t>2360108BX0007629</t>
  </si>
  <si>
    <t>2360108BX0006290</t>
  </si>
  <si>
    <t>2360108BX0004068</t>
  </si>
  <si>
    <t>2380108BX0032170</t>
  </si>
  <si>
    <t>2370108BX0026497</t>
  </si>
  <si>
    <t>2380108BX0048543</t>
  </si>
  <si>
    <t>2380108BX0042101</t>
  </si>
  <si>
    <t>2370108BX0025923</t>
  </si>
  <si>
    <t>2340108BX0005693</t>
  </si>
  <si>
    <t>2340108BX0030379</t>
  </si>
  <si>
    <t>2340108BX0007754</t>
  </si>
  <si>
    <t>2340108BX0016791</t>
  </si>
  <si>
    <t>2340108BW0008673</t>
  </si>
  <si>
    <t>2390108BX0034566</t>
  </si>
  <si>
    <t>23A0108BX0003281</t>
  </si>
  <si>
    <t>INSIGHT ENERJİ</t>
  </si>
  <si>
    <t>İkinci Sınıf Modül</t>
  </si>
  <si>
    <t>ABC solar firmasından Mart.25’de iade alınan paletler A kalite olarak paketlenip stoğa alınmıştı. İade geliyor.</t>
  </si>
  <si>
    <t>İkinci Sınıf Panel</t>
  </si>
  <si>
    <t>2470107BW0002787</t>
  </si>
  <si>
    <t>2470107BW0006532</t>
  </si>
  <si>
    <t>2470107BW0006567</t>
  </si>
  <si>
    <t xml:space="preserve">PREDO GES </t>
  </si>
  <si>
    <t>2340108BX0024728</t>
  </si>
  <si>
    <t>2340108BX0022491</t>
  </si>
  <si>
    <t>2340108BX0024541</t>
  </si>
  <si>
    <t>2340108BX0023094</t>
  </si>
  <si>
    <t>2330108BX0003186</t>
  </si>
  <si>
    <t>01.10.25'de sahada tamir yapıldı.</t>
  </si>
  <si>
    <t>2340108MC1025449</t>
  </si>
  <si>
    <t>ÇAĞATAY ELEKTRİK</t>
  </si>
  <si>
    <t>GERİLİM ENERJİ</t>
  </si>
  <si>
    <t>ÖZCIVATA GES</t>
  </si>
  <si>
    <t>İZMİR/KEMALPAŞA</t>
  </si>
  <si>
    <t>23.09.25: Alex'ten şikayet geldi
01.10.25 ve 02.10.25'de Serdar Bey tarafından tamir işlemi yapıldı. 81 adet olarak ilk bildirilen sayı 59'a düştü. 1 tane de modülde diyot hatası olmamasına rağmen lehim tazeleme yapıldı.</t>
  </si>
  <si>
    <t>02.10.25: Dears; Customer visited and all modules which were shown HSA team were fixed j.box issues.
Modules are good condition currently. Here I attached signed form about. In addition, observation notes on site;
*Deformed j.boxes were replaced with new ones. Please see attached pictures.
*Birddroppings must be cleaned, also weeding is needed.  Please see attached images. (Mustafa Kemal Varol)
7 tanesine de j box kablo'dan dolayı değişim yapıldı. Toplam 30 modül işlem gördü.</t>
  </si>
  <si>
    <t>JANTSA-HADDEHANE</t>
  </si>
  <si>
    <t>ŞANLIURFA</t>
  </si>
  <si>
    <t>POINT ENERJI</t>
  </si>
  <si>
    <t>AS OFİS</t>
  </si>
  <si>
    <t>KARABÜK</t>
  </si>
  <si>
    <t>2320108MC2000750</t>
  </si>
  <si>
    <t>18.09.25: Here are comments of HSA.
1. 39pcs of modules junction box may repair on site. But, if the customer not accept repair on sire, they may send us modules to HSA Factory, modules j.boxes can be repaired on HSA Factory.
2. HSA may make a favour to run EL test for 213pcs of modules free of charge. It may lasted around 3weeks cause of line and labour availability. 
But, we have to underline: Transportation process and modules failures (glass scracthes, frame scracthes, broken etc) will not under responsibility of HSA. Process must be run under JA representatives and customer responsibility. Warranty should be given by JA, not HSA. If customer provide proper packaging materials and tools, HSA teach them how to pack of modules online or on site. (M. Kemal Varol)
22.09.25: İlk gelen 52 adet idi hot spotlar listeden çıkarıldı. 39 j box + 220 yardım (M. Kemal Varol)
Paketleme öğretmek için gideceğiz, paneller buraya gelecek EL bakılıp bilgi verilecek.
02.10.25'de paneller 253 adet olarak HSA'ya indirildi.
Müşteri tarafından gelen dl: 04.11.25.</t>
  </si>
  <si>
    <t>ÖZKOYUNCU</t>
  </si>
  <si>
    <t>HERAN ENERJİ</t>
  </si>
  <si>
    <t>2370108MC1018922</t>
  </si>
  <si>
    <t>2370108MC1012533</t>
  </si>
  <si>
    <t>2370108MC1018436</t>
  </si>
  <si>
    <t>Şikayet formunda  16.09.2025 fakat satıştan bize 02.10.25'de geldi. 13.10.25'de saha ziyareti tamamlandı.</t>
  </si>
  <si>
    <t>MERSİN/MUT</t>
  </si>
  <si>
    <t>KARADAĞ MÜHENDİSLİK</t>
  </si>
  <si>
    <t>Kablo Boyu Kısa</t>
  </si>
  <si>
    <t>20.10.25: Müşteri: Bu konuda aksiyon almak için zamanımız kısıtlıdır. İade ve değişim talep etmiyoruz. Fakat sehpa başlarındaki paneller için mc4 konnektör talebimiz vardır. 600 addet sehpa başı panelleri için konnektör temini rica ederim.  Konnektörler takılı paneller için de garanti kapsamında herhangi bir değişiklilik olmamasını talep ediyoruz.  Bu konuda yardımlarınızı ve acilen teknik ekipten bu konuda yardımcı olmalarını talep etmekteyiz.
21.10.25: Mahmut Gül: Müşterimizin proje öncesinde bir özel talebi şartnamesi var mıydı ?  Bu özellikle belirtilmedi ise bir hata yok, BOM List’e göre üretim gerçekleştirilmiş. Bununla birlikte müşterimize gönderdiğimiz ürünler içerisinde 1,4m olan kablolar da olduğunu görüyorum.
Aşağıdaki barkod numarasında kırmızı ile işaretlediğim numaranın 454 ve üzeri olanları kullanılır ise problem yaşamayacaklardır. Bunun için FR raporu kullanılabilir. @Serdar Bey arkadaşım size iletecektir. Bu yapılabilir değil derse müşterimiz satış ekibinin konnektör temini değerlendirmesi uygun olacaktır. Ek konnektör yapılan yerde bir bağlantı problemi olur ise garanti kapsamına alamayız doğal olarak.</t>
  </si>
  <si>
    <t>String Ara Mesafe</t>
  </si>
  <si>
    <t>Çerçeve Deformasyonu</t>
  </si>
  <si>
    <t>2520107BW0011982</t>
  </si>
  <si>
    <t>2520107BW0009769</t>
  </si>
  <si>
    <t>2520107BW0010124</t>
  </si>
  <si>
    <t>22.10.25: Kağan Onar: VI fotoğrafına baktığımızda(*11982)  A12 de ara mesafe hatası mevcut. Fabrikasyon bir hata.  *9769 barkod nolu modülü incelediğimizde köşelerde herhangi bir deformasyon mevcut değildir. Fabrikasyon bir hata yoktur. Çerçevede kırık olan modülde ise (*10124) bu açıyı gören bir kamera yoktur fakat hata fotoğrafına göre değerlendirmek gerekir ise kurulum esnasında oluştuğu düşüncesindeyim. Bölge belirtilmemiş fakat klemp bölgesine benziyor. 
22.10.25: MKV: Dear Alex; As you defined 1pcs of module is out of JA criteria. Can be considerable replacement according to inventory status. But, deformed modules are not manufacturing faults. Here I attached pictures about.
23.10.25:Okan Aktaş: Dear JA Team, Update, Based on my conversation with the site, the shipment is currently not suitable due to the ongoing rainfall in the region. The organization will be arranged upon confirmation from the site.</t>
  </si>
  <si>
    <t>TİRSAN-KARDAN</t>
  </si>
  <si>
    <t>Belirsiz</t>
  </si>
  <si>
    <t>Devam Ediyor</t>
  </si>
  <si>
    <t>HSA1122012800828</t>
  </si>
  <si>
    <t>Diyot hatası
Ürünün EL ve VI larına bakılacak. Akabinde saha organizasyonu yapılacak.
30.10.25'de saha ziyareti yapıldı. 2 değişim, 17 modül tamir olarak sonuçlandı.</t>
  </si>
  <si>
    <t>Diyot hatası
Ürünün EL ve VI larına bakılacak. Akabinde saha organizasyonu yapılacak.
31.10.25'de saha ziyareti yapıldı. 1 değişim, 2 modül tamir olarak sonuçlandı.</t>
  </si>
  <si>
    <t>8D</t>
  </si>
  <si>
    <t>2470108BX0027900</t>
  </si>
  <si>
    <t>İZMİR/URLA</t>
  </si>
  <si>
    <t xml:space="preserve"> 2490108BX0013640</t>
  </si>
  <si>
    <t xml:space="preserve"> 2470108BX0012478</t>
  </si>
  <si>
    <t>Kırık</t>
  </si>
  <si>
    <t>ALUFEM</t>
  </si>
  <si>
    <t>22C0108BW0031649</t>
  </si>
  <si>
    <t>22C0108BW0031702</t>
  </si>
  <si>
    <t>Say MODÜL SERİ NO</t>
  </si>
  <si>
    <t>Garanti Taahhütü</t>
  </si>
  <si>
    <t>2310108MC1000459</t>
  </si>
  <si>
    <t>24A0107BW0037591</t>
  </si>
  <si>
    <t>24A0107BW0023879</t>
  </si>
  <si>
    <t>24A0107BW0036754</t>
  </si>
  <si>
    <t>24A0107BW0038553</t>
  </si>
  <si>
    <t>24A0107BW0038688</t>
  </si>
  <si>
    <t>24A0107BW0040704</t>
  </si>
  <si>
    <t>24A0107BW0044245</t>
  </si>
  <si>
    <t>24A0107BW0046355</t>
  </si>
  <si>
    <t>24A0107BW0044666</t>
  </si>
  <si>
    <t>24A0107BW0044698</t>
  </si>
  <si>
    <t>24A0107BW0046508</t>
  </si>
  <si>
    <t>24A0107BW0046588</t>
  </si>
  <si>
    <t>24A0107BW0046790</t>
  </si>
  <si>
    <t>24A0107BW0047635</t>
  </si>
  <si>
    <t>24A0107BW0047745</t>
  </si>
  <si>
    <t>24A0107BW0047827</t>
  </si>
  <si>
    <t>24A0107BW0047849</t>
  </si>
  <si>
    <t>24A0107BW0048141</t>
  </si>
  <si>
    <t>24A0107BW0048142</t>
  </si>
  <si>
    <t>24A0107BW0048167</t>
  </si>
  <si>
    <t>24A0107BW0048255</t>
  </si>
  <si>
    <t>24A0107BW0048372</t>
  </si>
  <si>
    <t>24A0107BW0048429</t>
  </si>
  <si>
    <t>24A0107BW0048632</t>
  </si>
  <si>
    <t>24A0107BW0049024</t>
  </si>
  <si>
    <t>24A0107BW0049058</t>
  </si>
  <si>
    <t>24A0107BW0049177</t>
  </si>
  <si>
    <t>24A0107BW0049355</t>
  </si>
  <si>
    <t>24A0107BW0049468</t>
  </si>
  <si>
    <t>24A0107BW0049625</t>
  </si>
  <si>
    <t>24A0107BW0049742</t>
  </si>
  <si>
    <t>24A0107BW0049800</t>
  </si>
  <si>
    <t>24A0107BW0049901</t>
  </si>
  <si>
    <t>24A0107BW0049904</t>
  </si>
  <si>
    <t>24A0107BW0049728</t>
  </si>
  <si>
    <t>24A0107BW0049793</t>
  </si>
  <si>
    <t>2510107BW0034660</t>
  </si>
  <si>
    <t>2510107BW0037356</t>
  </si>
  <si>
    <t>2510107BW0038320</t>
  </si>
  <si>
    <t>2510107BW0038404</t>
  </si>
  <si>
    <t>2510107BW0038097</t>
  </si>
  <si>
    <t>2510107BW0037184</t>
  </si>
  <si>
    <t>2510107BW0037220</t>
  </si>
  <si>
    <t>2510107BW0034800</t>
  </si>
  <si>
    <t>2510107BW0034672</t>
  </si>
  <si>
    <t>DAIKIN</t>
  </si>
  <si>
    <t>540/545/550</t>
  </si>
  <si>
    <t>04.11.25: Okan Aktaş: * İlgili Modüllerin Seri Numaralarının Karşısına Hata Modlarının yazılmasını rica ederim.* Substring arızası olan Modüller için yerinde inceleme yapılacaktır, İnceleme öncesinde panellerin sökülmesi halinde Modüller Sahada uygun duruma getirilebilecektir. * Akım yok hataları için bağlantı noktaları kontrol edilmiş midir ? Hata Modunun bu şekilde belirlenmesinin bulgusu nedir ?</t>
  </si>
  <si>
    <t>İZMİR/TORBALI</t>
  </si>
  <si>
    <t xml:space="preserve">08.12.25: OA: 6 Adet üründe kurulum aşaması sırasında hasarlar ile karşılaşılmıştır. Montajın tamamlanıp santralin
devreye alınabilmesi için gerekli süreçlerin ivedilikle yürütülmesini rica ederiz. </t>
  </si>
  <si>
    <t>2520107BW0001100</t>
  </si>
  <si>
    <t>2520107BW005987</t>
  </si>
  <si>
    <t>2520107BW0006137</t>
  </si>
  <si>
    <t>2520107BW0006224</t>
  </si>
  <si>
    <t>2520107BW0001793</t>
  </si>
  <si>
    <t>2520107BW0000889</t>
  </si>
  <si>
    <t>METİNAYAZ</t>
  </si>
  <si>
    <t>24C0107BW0027728</t>
  </si>
  <si>
    <t>24C0107BW0034300</t>
  </si>
  <si>
    <t>24A0107BW0043630</t>
  </si>
  <si>
    <t>24A0107BW0050063</t>
  </si>
  <si>
    <t>24B0107BW0004714</t>
  </si>
  <si>
    <t>24C0107BW0043841</t>
  </si>
  <si>
    <t>24C0107BW0027872</t>
  </si>
  <si>
    <t>24C0107BW0034613</t>
  </si>
  <si>
    <t>24C0107BW0037853</t>
  </si>
  <si>
    <t>2460307MC1002108</t>
  </si>
  <si>
    <t>24B0107BW0004716</t>
  </si>
  <si>
    <t>24B0107BW0000567</t>
  </si>
  <si>
    <t>24B0107BW0004719</t>
  </si>
  <si>
    <t>24A0107BW0022015</t>
  </si>
  <si>
    <t>24C0107BW0029465</t>
  </si>
  <si>
    <t>24C0107BW0032557</t>
  </si>
  <si>
    <t>24C0107BW0032329</t>
  </si>
  <si>
    <t>24C0107BW0031126</t>
  </si>
  <si>
    <t>24C0107BW0031193</t>
  </si>
  <si>
    <t>24C0107BW0029697</t>
  </si>
  <si>
    <t>24C0107BW0029688</t>
  </si>
  <si>
    <t>24C0107BW0041841</t>
  </si>
  <si>
    <t>24C0107BW0042050</t>
  </si>
  <si>
    <t>24C0107BW0041866</t>
  </si>
  <si>
    <t>24C0107BW0044461</t>
  </si>
  <si>
    <t>24C0107BW0044503</t>
  </si>
  <si>
    <t>24C0107BW0044521</t>
  </si>
  <si>
    <t>24C0107BW0044501</t>
  </si>
  <si>
    <t>24C0107BW0037782</t>
  </si>
  <si>
    <t>2460307MC1001661</t>
  </si>
  <si>
    <t>2460307MC1003139</t>
  </si>
  <si>
    <t>2460307MC1002101</t>
  </si>
  <si>
    <t>24C0107BW0026069</t>
  </si>
  <si>
    <t>24C0107BW0014022</t>
  </si>
  <si>
    <t>24C0107BW0015584</t>
  </si>
  <si>
    <t>24C0107BW0029875</t>
  </si>
  <si>
    <t>24C0107BW0029519</t>
  </si>
  <si>
    <t>24C0107BW0029535</t>
  </si>
  <si>
    <t>24C0107BW0011979</t>
  </si>
  <si>
    <t>24C0107BW0032240</t>
  </si>
  <si>
    <t>24C0107BW0031946</t>
  </si>
  <si>
    <t>24B0107BW0054082</t>
  </si>
  <si>
    <t>24B0107BW0054332</t>
  </si>
  <si>
    <t>24C0107BW0022519</t>
  </si>
  <si>
    <t>24C0107BW0033831</t>
  </si>
  <si>
    <t>24C0107BW0019377</t>
  </si>
  <si>
    <t>2450308MC1000039</t>
  </si>
  <si>
    <t>2450308MC1000359</t>
  </si>
  <si>
    <t>2450308MC1004874</t>
  </si>
  <si>
    <t>2450308MC1004897</t>
  </si>
  <si>
    <t>2450308MC1004675</t>
  </si>
  <si>
    <t>2450308MC1004640</t>
  </si>
  <si>
    <t>2450308MC1004795</t>
  </si>
  <si>
    <t>2450308MC1005038</t>
  </si>
  <si>
    <t>2450308MC1004711</t>
  </si>
  <si>
    <t>2450308MC1006868</t>
  </si>
  <si>
    <t>2450308MC1003927</t>
  </si>
  <si>
    <t>2450308MC1007642</t>
  </si>
  <si>
    <t>2450308MC1007514</t>
  </si>
  <si>
    <t>2450308MC1007661</t>
  </si>
  <si>
    <t>2450308MC1008985</t>
  </si>
  <si>
    <t>2440308MC1001417</t>
  </si>
  <si>
    <t>2450308MC1008787</t>
  </si>
  <si>
    <t>2450308MC1010322</t>
  </si>
  <si>
    <t>2450308MC1008823</t>
  </si>
  <si>
    <t>2450308MC1010493</t>
  </si>
  <si>
    <t>2450308MC1010456</t>
  </si>
  <si>
    <t>2450308MC1010159</t>
  </si>
  <si>
    <t>2450308MC1012379</t>
  </si>
  <si>
    <t>2450308MC1009639</t>
  </si>
  <si>
    <t>2450308MC1011964</t>
  </si>
  <si>
    <t>2450308MC1011561</t>
  </si>
  <si>
    <t>2450308MC1011633</t>
  </si>
  <si>
    <t>2450308MC1009897</t>
  </si>
  <si>
    <t>2450308MC1011339</t>
  </si>
  <si>
    <t>2450308MC1011298</t>
  </si>
  <si>
    <t>2450308MC1011236</t>
  </si>
  <si>
    <t>2450308MC1011919</t>
  </si>
  <si>
    <t>24A0107BW0010682</t>
  </si>
  <si>
    <t>24A0107BW0033256</t>
  </si>
  <si>
    <t>24A0107BW0050016</t>
  </si>
  <si>
    <t>24A0107BW0010319</t>
  </si>
  <si>
    <t>24A0107BW0053020</t>
  </si>
  <si>
    <t>24B0107BW0004529</t>
  </si>
  <si>
    <t>24A0107BW0019468</t>
  </si>
  <si>
    <t>2460307MC1004632</t>
  </si>
  <si>
    <t>2460307MC1000982</t>
  </si>
  <si>
    <t>24C0107BW0020568</t>
  </si>
  <si>
    <t>2450308MC1002671</t>
  </si>
  <si>
    <t>CANSUYUHAYVANCILIK</t>
  </si>
  <si>
    <t>Şikayet formunda 13.10.2025, bize gelişi 30.10.25
31.10.2025'de Mahmut Bey VI fotoğraflarını paylaştı.
10.12.25'de müşteri geribildirim formu paylaşıldı.</t>
  </si>
  <si>
    <t>TOBACCO</t>
  </si>
  <si>
    <t>2320108MC2011418</t>
  </si>
  <si>
    <t>2320108MC2019769</t>
  </si>
  <si>
    <t>12.12.25'de saha ziyareti yapıldı. Arızalı olduğu beyan edilen modüllerde yapılas ölçümlerde Volt degerleri 49,7'den düşük olduğu görslmöştür. Modaller tam kpasite Galışır doromdadır, Haksız şikayet olarak degerlendirilmiştir.</t>
  </si>
  <si>
    <t>12.12.2025'de saha ziyareti yapıldı, iki modül tamir edildi.</t>
  </si>
  <si>
    <t>HSA1122020500313</t>
  </si>
  <si>
    <t>HSA1122020500082</t>
  </si>
  <si>
    <t>Yabancı
 Madde</t>
  </si>
  <si>
    <t>2490108MC2023041</t>
  </si>
  <si>
    <t>2490108MC2004858</t>
  </si>
  <si>
    <t>2490108MC2008298</t>
  </si>
  <si>
    <t>2490108MC2015963</t>
  </si>
  <si>
    <t>2490108MC2003459</t>
  </si>
  <si>
    <t>LEOSOLAR</t>
  </si>
  <si>
    <t>AKAROĞLUENERJ</t>
  </si>
  <si>
    <t>ARITEKSTİL</t>
  </si>
  <si>
    <t>E4FXT425H199990048611714</t>
  </si>
  <si>
    <t>E4FXT325H129990048205538</t>
  </si>
  <si>
    <t>E4FXT425H169990048608721</t>
  </si>
  <si>
    <t>E4FXT425H159990048607296</t>
  </si>
  <si>
    <t>E4FXT325H129990048205207</t>
  </si>
  <si>
    <t>E4FXT325H099990048203055</t>
  </si>
  <si>
    <t>Şikayet formunda tarih 12.01.26. 3 adet HSA1, 3 adet HSA2.
21.01.26'da Kağan Onar geribldirim formunu paylaştı.</t>
  </si>
  <si>
    <t>1&amp;2</t>
  </si>
  <si>
    <t>ŞİKAYET YIL</t>
  </si>
  <si>
    <t>NOT</t>
  </si>
  <si>
    <t>Hata Tipi</t>
  </si>
  <si>
    <t>2025 Yılı Müşteri Şikayeti Nedenleri</t>
  </si>
  <si>
    <t>P Sınıfı Kartı ile Sevk</t>
  </si>
  <si>
    <t>24A0107BW0010271</t>
  </si>
  <si>
    <t>2510107BW0010603</t>
  </si>
  <si>
    <t>24B0107BW0045224</t>
  </si>
  <si>
    <t>24C0107BW0039119</t>
  </si>
  <si>
    <t>24C0107BW0024236</t>
  </si>
  <si>
    <t>24A0107BW0011440</t>
  </si>
  <si>
    <t>24A0107BW0013244</t>
  </si>
  <si>
    <t>24B0107BW0004558</t>
  </si>
  <si>
    <t>24B0107BW0003284</t>
  </si>
  <si>
    <t>24A0107BW0034432</t>
  </si>
  <si>
    <t>24A0107BW0022195</t>
  </si>
  <si>
    <t>24B0107BW0042822</t>
  </si>
  <si>
    <t>24C0107BW0000536</t>
  </si>
  <si>
    <t>24A0107BW0018488</t>
  </si>
  <si>
    <t>24C0107BW0004303</t>
  </si>
  <si>
    <t>KAYSERİ/MERKEZ</t>
  </si>
  <si>
    <t>KAYSERİ/YAHYALI</t>
  </si>
  <si>
    <t>18.02.26: EK: Müşteriye ürünlerin fabrikaya gönderilmesi konusunda bilgi verildi.
23.02.26: Müşteri ile tekrar görüşüldü, kendi müşterilerinden ürünleri bekliyorlar. Adet de düşecek.
02.03.26'da Emre Bey'den bilgi alınacak.</t>
  </si>
  <si>
    <t>22.08.25: Termal görüntüleri de talep edebilir misinzi ?
22.08.25: Acacia Projesi, Polatlı Ankara tarafında Eylül ayı sonunda bir planlı bakım daha gerçekleştirecekler imiş. Buradaki servis desteğinizi akabinde planlayabiliriz der.
12.01.26 için saha organizasyonu yapıldı. Saha organizasyonu hava şartlarından dolayı iptal edildi.
09.01.26: SBŞ: Ankara-Polatlı ve Karabük sahalarını tek seferde bitireceğiz. Önümüzdeki hafta için plan yapmıştık ancak Karabük’te iletişimde olduğumuz yetkili hava durumundan dolayı ertelememiz gerektiğini belirtti. Daha ileri bir tarihe planlayacağız.
27.01.26: MKV: 04.03.2026 Çarşamba günü sabah gidiş, 05.03.2026 Perşembe günü dönüş. Ziyaret kapsamında Ankara (Citus Power) ve Karabük (Point Enerji) firmaları ziyaret edilecek ve servis hizmeti verilecektir.
05.03.26'da saha ziyareti Serdar Burak Şanal tarafından tamamlanmıştır.</t>
  </si>
  <si>
    <t>Şikayet formunda  07.08.2025.
12.01.26 için saha organizasyonu yapıldı. Saha organizasyonu hava şartlarından dolayı iptal edildi.
09.01.26: SBŞ: Ankara-Polatlı ve Karabük sahalarını tek seferde bitireceğiz. Önümüzdeki hafta için plan yapmıştık ancak Karabük’te iletişimde olduğumuz yetkili hava durumundan dolayı ertelememiz gerektiğini belirtti. Daha ileri bir tarihe planlayacağız
27.01.26: MKV: 04.03.2026 Çarşamba günü sabah gidiş, 05.03.2026 Perşembe günü dönüş. Ziyaret kapsamında Ankara (Citus Power) ve Karabük (Point Enerji) firmaları ziyaret edilecek ve servis hizmeti verilecektir.
04.03.26'da saha ziyareti Serdar Burak Şanal tarafından tamamlanmıştır.</t>
  </si>
  <si>
    <t>24A0107BW0017630</t>
  </si>
  <si>
    <t>24C0107BW0006532</t>
  </si>
  <si>
    <t>24C0107BW0029422</t>
  </si>
  <si>
    <t>2510107BW0002346</t>
  </si>
  <si>
    <t>2420107BW0003183</t>
  </si>
  <si>
    <t xml:space="preserve">2480107BW0023523 </t>
  </si>
  <si>
    <t xml:space="preserve">24C0107BW0048348 </t>
  </si>
  <si>
    <t>2480107BW0018063</t>
  </si>
  <si>
    <t>2430107BW0018320</t>
  </si>
  <si>
    <t>2460107BW0058471</t>
  </si>
  <si>
    <t>2320108MC2028589</t>
  </si>
  <si>
    <t>2310108BW0030699</t>
  </si>
  <si>
    <t xml:space="preserve">2310908BW0031046 </t>
  </si>
  <si>
    <t>2310108BW0031161</t>
  </si>
  <si>
    <t>2310108BW0031341</t>
  </si>
  <si>
    <t xml:space="preserve">2510307MC1004972 </t>
  </si>
  <si>
    <t xml:space="preserve">2510307MC1000738 </t>
  </si>
  <si>
    <t>2320108MC2034600</t>
  </si>
  <si>
    <t>2320108MC2036603</t>
  </si>
  <si>
    <t>2320108MC2011324</t>
  </si>
  <si>
    <t>22.08.25: Termal görüntüleri de talep edebilir misinzi ?
22.08.25: Balsu Projesi, Hendek, Sakarya. Sadece 1 yedek panelleri kaldığı için acil olmamakla birlikte bir plan yapmalıyız derler.
02.03.26: W11 için tamamlanması hedeflenecek.
13.03.26: 3 det panel sahada tamir edildi.</t>
  </si>
  <si>
    <t>2490108MC2002992</t>
  </si>
  <si>
    <t>16.01.26: MKV: Hava koşulları nedeniyle saha ziyaretini Ocak ayı başlangıcında gerçekleştiremedik. Şubat ayı içerisinde program yapacağız. Hangi gün gerçekleştireceğimiz ile ilgili olarak ayrıca haberleşiyor oluruz.
27.02.26: MKV: 11.haftada tamamlanması hedefleniyor.
12.03.26: 6 det panel sahada tamir edildi.</t>
  </si>
  <si>
    <t>22.08.25: Termal görüntüleri de talep edebilir misinzi ?
22.08.25: Çizmeci Projesi, Beylikova, Eskişehir. Ellerinde 2 adet yedek var. İlerleyen zaman diliminde planlama yapmamız gerekecek.
27.02.26: MKV: 11.haftada tamamlanması hedefleniyor.
13.03.26: 2 det panel sahada tamir edildi. 2 adet de bildirilmemiş panel tamiri yapıldı. (2510307MC1000847, 2510107BW0029935)</t>
  </si>
  <si>
    <t xml:space="preserve">Şikayet Serdar Burak Şanal'a geldi. Ek bilgiler bekleniyor.
23.10.25'de izolasyon hatasını tanımlamak için paneller fabrikaya geri alındı. (2 adet) Geri kalan 8 adet bekleniyor.
Değişim için gönderilen 10'lu yanlış gönderilip geri çekildi. Yenisi gönderildi.
09.01.26: SBŞ: Hatalı modüllerin iadesi bekleniyor.
02.03.26: İade modüllerin bugün ulaşması bekleniyor. / İade modüller 6 adet ulaştı. </t>
  </si>
  <si>
    <t>19.01.26: GÇ: Geçen hafta Leo Solar firmasına gönderdiğimiz 575W T-20 ürünlerin palet içerisinden ürünlerin tamamı 545W çıkmıştır. Ayrıca gönderilen 615W T-10 ürünlerinden de içerisinden 610W T-20 çıkmıştır. Ödemeler Watt değerine göre yapıldığı için bu durum müşterilerle aramızda sıkıntı oluşturmaktadır.
02.03.26: İki hafta sonraki değerlendirme toplantısında Görkem Çam tarafından bilgi paylaşılacak.</t>
  </si>
  <si>
    <t>Termal görüntü iletildi sadece, yorum yok
23.09.25: Satışa araması için hatırlatma yapıldı.
22.10.25'de satış ekibine tekrar hatırlatma yapıldı.
02.03.25: Satış ekibi tarafından organizasyon bilgi gelecek. Kemal Bey, Mehmet Bey ile kontak kişi bilgilerini paylaşacak.
16.03.26: Mehmet Bey saha tarafındaki sorunmlu ile görüşmüş. Yeo'dan dönüş bekleniyor.</t>
  </si>
  <si>
    <t>Müşteri: Panellerin gerilim, güç ve akım etikette belirtilen değerlerin çok altında çalışması. 
21.01.26: Elekta Enerji için gerçekleşecek sevkiyat detayı aşağıdaki gibidir. (88 adet panel sevki). Akabinde şikayete konu olan modüller fabrikaya gelecek.
Modüllerin fabrikaya gelmesi bekleniyor.
02.03.26: İki hafta sonraki değerlendirme toplantısında Görkem Çam tarafından bilgi paylaşılacak.
16.03.26: Tekrar değerlendirilecek.</t>
  </si>
  <si>
    <t>Benzer şikayetin aynı müşteriden ikinci tekrarı
16.03.26: KI: JA konuya dahil edilsin. MKV: Bayramdan sonra saha ziyareti organize edilecek.</t>
  </si>
  <si>
    <t xml:space="preserve"> 30.07.25: TRHSA240326GCA_V26_R1 sipariş numaralı onaylı teklifte belirtilen 3484 adet 585Wp ve 5746 adet 580Wp panellerin içinde termal görüntüleme sonucunda toplam 156 adet panelde hücre hatası olduğu görülmüştür. 
12.08.25: 400 adedi bulmuş hatalı panel adedi.
12.08.25:
1.Termal kontrolde hücre arızası tespit edildiğini belirtmiş olduğunuz paneller hep aynı dizgilere denk gelmiş.. 
Üretim kaynaklı bir hata olması çok olası gelmiyor. Zira bu sayıda hatalı panelin sahada aynı dizgiye denk gelmesi pek mümkün değil gibi.
2.Bildiğiniz üzere EL fotoğrafları müşterilerimizden önce hem HSA teknisyen ve mühendisleri hem JA mühendisleri tarafından kontrolleri sağlanmakta.  Dolayısıyla pekçok kontrolden sonra bu sayıda bir hata olması çok olası değil.
Fakat, 156 adet EL fotoğrafını tekrar bir tur daha inceleyip sizlere geri dönüş en kısa sürede sağlayacağız.
3.Saha ziyareti gerçekleştirebiliriz. Bu hafta içerisinde ziyareti karşılıklı planlayacağız.
15.08.25: Müşteri saha ziyareti
HSA Enerjiye iletilen 156 barkodun haricinde hotspot olduğu beyan edilen modüller incelendi. Herhangi bir görsel kusur görülmedi. EL görontüleeri incelendi ve temiz çıkt. Panellerde herhangi bir kirlilik görülmedi. Aynı zamanda görülen hotspotların farklı saatlerde her zaman görülmediği beyan edildi. Ayrıca panellerde belirgin sıcaklık farkı gözlenmedi. String bağlantılarının ve alınan değerlerin de sorunsuz olduğu belirtildi. Invertörlerde herhangi bir güç düşüşü yok. Üretici kaynaklı kusur saptanmadı.
</t>
  </si>
  <si>
    <t>04.10.25: MKV: Hasan Bey ile görüştüm. 4 panel için plan yapmak makul olmayabilir diye izah ettim. 
Kendilerinde yedek panel mevcut olduğunu, değiştirildiğini ve acil olmadığını söyledi.
Kayseri tarafına plan yaptığımızda uğramak üzere iş listemizde olacağını belirttim.
02.03.26: W12 için organizasyon yapılacak. Bayram haftası olması nedeni ile W13'e de ertelenebilir.
16.03.26: 17.03.26'da Serdar Bey ziyaret için sahada olacak.
17.03.26'da Serdar Bey tarafından saha ziyareti gerçekleştirildi.</t>
  </si>
  <si>
    <t>30.10.25: MKV: Deniz Bey merhaba, İlerleyen zamanlarda bir Kayseri planı yaptığımız durumunda buradaki müşterimize de j.box değişimi için planımızı yapalım. Şu an müşteri geribildirimi olarak listemize ekleyelim. Mümkünse bu zaman diliminde yedek panel takarlar ise uygun olacaktır.
02.03.26: W12 için organizasyon yapılacak. Bayram haftası olması nedeni ile W13'e de ertelenebilir.
02.03.26: W12 için organizasyon yapılacak. Bayram haftası olması nedeni ile W13'e de ertelenebilir.
16.03.26: 17.03.26'da Serdar Bey ziyaret için sahada olacak.
17.03.26'da Serdar Bey tarafından saha ziyareti gerçekleştirildi.</t>
  </si>
  <si>
    <t>2370108MC1007654</t>
  </si>
  <si>
    <t>2370108MC1004663</t>
  </si>
  <si>
    <t>17.03.26'da Serdar Bey tarafından saha ziyareti sırasında görüldü. İlgili panel C class.</t>
  </si>
  <si>
    <t>2490107BW0003117</t>
  </si>
  <si>
    <t>2490107BW0009073</t>
  </si>
  <si>
    <t>24A0107BW0030689</t>
  </si>
  <si>
    <t>2480107BW0014665</t>
  </si>
  <si>
    <t>2480107BW0017369</t>
  </si>
  <si>
    <t>2510107BW0015199</t>
  </si>
  <si>
    <t>2480107BW0015081</t>
  </si>
  <si>
    <t>2510107BW0016582</t>
  </si>
  <si>
    <t>2480107BW0016190</t>
  </si>
  <si>
    <t>2510107BW0014595</t>
  </si>
  <si>
    <t>2480107BW0013824</t>
  </si>
  <si>
    <t>24C0107BW0001442</t>
  </si>
  <si>
    <t>2480107BW0017378</t>
  </si>
  <si>
    <t>2510107BW0017485</t>
  </si>
  <si>
    <t>2490107BW0004023</t>
  </si>
  <si>
    <t>2480107BW0035102</t>
  </si>
  <si>
    <t>2480107BW0016392</t>
  </si>
  <si>
    <t>24C0107BW0001453</t>
  </si>
  <si>
    <t>2490107BW0003734</t>
  </si>
  <si>
    <t>2480107BW0016388</t>
  </si>
  <si>
    <t>24A0107BW0017148</t>
  </si>
  <si>
    <t>24A0107BW0008541</t>
  </si>
  <si>
    <t>2480107BW0015373</t>
  </si>
  <si>
    <t>24B0107BW0032822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</si>
</sst>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F800]dddd\,\ mmmm\ dd\,\ yyyy"/>
  </numFmts>
  <fonts count="12" x14ac:knownFonts="1">
    <font>
      <sz val="11"/>
      <color theme="1"/>
      <name val="Calibri"/>
      <family val="2"/>
      <charset val="162"/>
      <scheme val="minor"/>
    </font>
    <font>
      <b/>
      <sz val="11"/>
      <color rgb="FF323E4F"/>
      <name val="Calibri"/>
      <family val="2"/>
      <charset val="162"/>
      <scheme val="minor"/>
    </font>
    <font>
      <sz val="9"/>
      <color rgb="FF323E4F"/>
      <name val="Calibri"/>
      <family val="2"/>
      <charset val="162"/>
      <scheme val="minor"/>
    </font>
    <font>
      <sz val="9"/>
      <color theme="0"/>
      <name val="Calibri"/>
      <family val="2"/>
      <charset val="162"/>
      <scheme val="minor"/>
    </font>
    <font>
      <sz val="8"/>
      <name val="Calibri"/>
      <family val="2"/>
      <charset val="162"/>
      <scheme val="minor"/>
    </font>
    <font>
      <sz val="11"/>
      <color rgb="FFFF0000"/>
      <name val="Calibri"/>
      <family val="2"/>
      <charset val="162"/>
      <scheme val="minor"/>
    </font>
    <font>
      <sz val="10"/>
      <name val="Arial"/>
      <family val="2"/>
    </font>
    <font>
      <sz val="11"/>
      <color rgb="FF000000"/>
      <name val="Calibri"/>
      <family val="2"/>
      <charset val="162"/>
    </font>
    <font>
      <b/>
      <sz val="11"/>
      <color theme="1"/>
      <name val="Calibri"/>
      <family val="2"/>
      <charset val="162"/>
      <scheme val="minor"/>
    </font>
    <font>
      <sz val="11"/>
      <color indexed="8"/>
      <name val="Calibri"/>
      <family val="2"/>
      <charset val="162"/>
      <scheme val="minor"/>
    </font>
    <font>
      <sz val="12"/>
      <color theme="0"/>
      <name val="Calibri"/>
      <family val="2"/>
      <charset val="162"/>
      <scheme val="minor"/>
    </font>
    <font>
      <b/>
      <sz val="12"/>
      <color theme="1"/>
      <name val="Calibri"/>
      <family val="2"/>
      <charset val="162"/>
      <scheme val="minor"/>
    </font>
  </fonts>
  <fills count="6">
    <fill>
      <patternFill patternType="none"/>
    </fill>
    <fill>
      <patternFill patternType="gray125"/>
    </fill>
    <fill>
      <patternFill patternType="solid">
        <fgColor rgb="FF383449"/>
        <bgColor indexed="64"/>
      </patternFill>
    </fill>
    <fill>
      <patternFill patternType="solid">
        <fgColor rgb="FFFF0000"/>
        <bgColor indexed="64"/>
      </patternFill>
    </fill>
    <fill>
      <patternFill patternType="solid">
        <fgColor rgb="FFFFFF00"/>
        <bgColor indexed="64"/>
      </patternFill>
    </fill>
    <fill>
      <patternFill patternType="solid">
        <fgColor theme="4" tint="0.79998168889431442"/>
        <bgColor theme="4" tint="0.79998168889431442"/>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style="thin">
        <color rgb="FF002060"/>
      </left>
      <right style="thin">
        <color rgb="FF002060"/>
      </right>
      <top style="thin">
        <color rgb="FF002060"/>
      </top>
      <bottom style="thin">
        <color rgb="FF002060"/>
      </bottom>
      <diagonal/>
    </border>
    <border>
      <left style="thin">
        <color rgb="FF002060"/>
      </left>
      <right style="thin">
        <color rgb="FF002060"/>
      </right>
      <top style="thin">
        <color rgb="FF002060"/>
      </top>
      <bottom/>
      <diagonal/>
    </border>
    <border>
      <left/>
      <right/>
      <top style="thin">
        <color indexed="64"/>
      </top>
      <bottom/>
      <diagonal/>
    </border>
    <border>
      <left/>
      <right style="thin">
        <color rgb="FF002060"/>
      </right>
      <top style="thin">
        <color rgb="FF002060"/>
      </top>
      <bottom style="thin">
        <color rgb="FF002060"/>
      </bottom>
      <diagonal/>
    </border>
    <border>
      <left/>
      <right style="thin">
        <color rgb="FF002060"/>
      </right>
      <top style="thin">
        <color rgb="FF002060"/>
      </top>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6" fillId="0" borderId="0"/>
  </cellStyleXfs>
  <cellXfs count="85">
    <xf numFmtId="0" fontId="0" fillId="0" borderId="0" xfId="0"/>
    <xf numFmtId="0" fontId="1" fillId="0" borderId="0" xfId="0" applyFont="1"/>
    <xf numFmtId="0" fontId="2" fillId="0" borderId="0" xfId="0" applyFont="1"/>
    <xf numFmtId="0" fontId="2" fillId="0" borderId="0" xfId="0" applyFont="1" applyAlignment="1">
      <alignment vertical="center" wrapText="1"/>
    </xf>
    <xf numFmtId="0" fontId="0" fillId="0" borderId="1" xfId="0" applyBorder="1"/>
    <xf numFmtId="0" fontId="3" fillId="2" borderId="2" xfId="0" applyFont="1" applyFill="1" applyBorder="1" applyAlignment="1">
      <alignment horizontal="center" vertical="center"/>
    </xf>
    <xf numFmtId="0" fontId="3" fillId="2" borderId="2" xfId="0" applyFont="1" applyFill="1" applyBorder="1" applyAlignment="1">
      <alignment horizontal="center" vertical="center" wrapText="1"/>
    </xf>
    <xf numFmtId="0" fontId="0" fillId="0" borderId="1" xfId="0" applyBorder="1" applyAlignment="1">
      <alignment horizontal="center" vertical="center"/>
    </xf>
    <xf numFmtId="14" fontId="0" fillId="0" borderId="1" xfId="0" applyNumberFormat="1" applyBorder="1" applyAlignment="1">
      <alignment horizontal="center" vertical="center"/>
    </xf>
    <xf numFmtId="164" fontId="0" fillId="0" borderId="1" xfId="0" applyNumberFormat="1" applyBorder="1" applyAlignment="1">
      <alignment horizontal="center" vertical="center"/>
    </xf>
    <xf numFmtId="0" fontId="0" fillId="0" borderId="1" xfId="0" applyBorder="1" applyAlignment="1">
      <alignment horizontal="left"/>
    </xf>
    <xf numFmtId="0" fontId="0" fillId="0" borderId="2" xfId="0" applyBorder="1" applyAlignment="1">
      <alignment horizontal="center" vertical="center"/>
    </xf>
    <xf numFmtId="164" fontId="0" fillId="0" borderId="2" xfId="0" applyNumberFormat="1" applyBorder="1" applyAlignment="1">
      <alignment horizontal="center" vertical="center"/>
    </xf>
    <xf numFmtId="14" fontId="0" fillId="0" borderId="2" xfId="0" applyNumberFormat="1" applyBorder="1" applyAlignment="1">
      <alignment horizontal="center" vertical="center"/>
    </xf>
    <xf numFmtId="0" fontId="0" fillId="4" borderId="1" xfId="0" applyFill="1" applyBorder="1"/>
    <xf numFmtId="0" fontId="0" fillId="0" borderId="0" xfId="0"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164" fontId="0" fillId="0" borderId="0" xfId="0" applyNumberFormat="1" applyAlignment="1">
      <alignment horizontal="center" vertical="center"/>
    </xf>
    <xf numFmtId="14" fontId="3" fillId="2" borderId="2" xfId="0" applyNumberFormat="1" applyFont="1" applyFill="1" applyBorder="1" applyAlignment="1">
      <alignment horizontal="center" vertical="center"/>
    </xf>
    <xf numFmtId="14" fontId="0" fillId="0" borderId="0" xfId="0" applyNumberFormat="1" applyAlignment="1">
      <alignment horizontal="center" vertical="center"/>
    </xf>
    <xf numFmtId="0" fontId="0" fillId="0" borderId="3" xfId="0" applyBorder="1" applyAlignment="1">
      <alignment horizontal="center" vertical="center"/>
    </xf>
    <xf numFmtId="0" fontId="8" fillId="0" borderId="1" xfId="0" applyFont="1" applyBorder="1"/>
    <xf numFmtId="0" fontId="8" fillId="0" borderId="1" xfId="0" applyFont="1" applyBorder="1" applyAlignment="1">
      <alignment horizontal="center" vertical="center"/>
    </xf>
    <xf numFmtId="0" fontId="7" fillId="0" borderId="1" xfId="0" applyFont="1" applyBorder="1" applyAlignment="1">
      <alignment horizontal="center" vertical="center"/>
    </xf>
    <xf numFmtId="3" fontId="0" fillId="0" borderId="1" xfId="0" applyNumberFormat="1" applyBorder="1"/>
    <xf numFmtId="2" fontId="0" fillId="0" borderId="1" xfId="0" applyNumberFormat="1" applyBorder="1"/>
    <xf numFmtId="0" fontId="7" fillId="4" borderId="1" xfId="0" applyFont="1" applyFill="1" applyBorder="1" applyAlignment="1">
      <alignment horizontal="center" vertical="center"/>
    </xf>
    <xf numFmtId="0" fontId="5" fillId="0" borderId="1" xfId="0" applyFont="1" applyBorder="1" applyAlignment="1">
      <alignment horizontal="center" vertical="center"/>
    </xf>
    <xf numFmtId="2" fontId="8" fillId="0" borderId="1" xfId="0" applyNumberFormat="1" applyFont="1" applyBorder="1" applyAlignment="1">
      <alignment horizontal="center" vertical="center"/>
    </xf>
    <xf numFmtId="3" fontId="8" fillId="0" borderId="1" xfId="0" applyNumberFormat="1" applyFont="1" applyBorder="1"/>
    <xf numFmtId="2" fontId="0" fillId="0" borderId="1" xfId="0" applyNumberFormat="1" applyBorder="1" applyAlignment="1">
      <alignment horizontal="center" vertical="center"/>
    </xf>
    <xf numFmtId="0" fontId="0" fillId="0" borderId="9" xfId="0" applyBorder="1" applyAlignment="1">
      <alignment horizontal="center" vertical="center"/>
    </xf>
    <xf numFmtId="164" fontId="0" fillId="0" borderId="9" xfId="0" applyNumberFormat="1" applyBorder="1" applyAlignment="1">
      <alignment horizontal="center" vertical="center"/>
    </xf>
    <xf numFmtId="14" fontId="0" fillId="0" borderId="9" xfId="0" applyNumberFormat="1" applyBorder="1" applyAlignment="1">
      <alignment horizontal="center" vertical="center"/>
    </xf>
    <xf numFmtId="0" fontId="0" fillId="0" borderId="10" xfId="0" applyBorder="1" applyAlignment="1">
      <alignment horizontal="center" vertical="center"/>
    </xf>
    <xf numFmtId="164" fontId="0" fillId="0" borderId="10" xfId="0" applyNumberFormat="1" applyBorder="1" applyAlignment="1">
      <alignment horizontal="center" vertical="center"/>
    </xf>
    <xf numFmtId="14" fontId="0" fillId="0" borderId="10" xfId="0" applyNumberFormat="1" applyBorder="1" applyAlignment="1">
      <alignment horizontal="center" vertical="center"/>
    </xf>
    <xf numFmtId="3" fontId="0" fillId="0" borderId="1" xfId="0" applyNumberFormat="1" applyBorder="1" applyAlignment="1">
      <alignment horizontal="center" vertical="center"/>
    </xf>
    <xf numFmtId="3" fontId="8" fillId="0" borderId="1" xfId="0" applyNumberFormat="1" applyFont="1" applyBorder="1" applyAlignment="1">
      <alignment horizontal="center" vertical="center"/>
    </xf>
    <xf numFmtId="3" fontId="0" fillId="4" borderId="1" xfId="0" applyNumberFormat="1" applyFill="1" applyBorder="1" applyAlignment="1">
      <alignment horizontal="center" vertical="center"/>
    </xf>
    <xf numFmtId="0" fontId="0" fillId="0" borderId="11" xfId="0" applyBorder="1" applyAlignment="1">
      <alignment horizontal="center" vertical="center"/>
    </xf>
    <xf numFmtId="0" fontId="3" fillId="2" borderId="8" xfId="0" applyFont="1" applyFill="1" applyBorder="1" applyAlignment="1">
      <alignment horizontal="center" vertical="center"/>
    </xf>
    <xf numFmtId="0" fontId="0" fillId="0" borderId="5" xfId="0" applyBorder="1" applyAlignment="1">
      <alignment horizontal="left" vertical="center" wrapText="1"/>
    </xf>
    <xf numFmtId="0" fontId="0" fillId="0" borderId="5" xfId="0" applyBorder="1" applyAlignment="1">
      <alignment horizontal="left" vertical="center"/>
    </xf>
    <xf numFmtId="0" fontId="0" fillId="0" borderId="8" xfId="0" applyBorder="1" applyAlignment="1">
      <alignment horizontal="left" vertical="center" wrapText="1"/>
    </xf>
    <xf numFmtId="0" fontId="0" fillId="0" borderId="0" xfId="0" applyAlignment="1">
      <alignment horizontal="left" vertical="center"/>
    </xf>
    <xf numFmtId="164" fontId="0" fillId="0" borderId="5" xfId="0" applyNumberFormat="1" applyBorder="1" applyAlignment="1">
      <alignment horizontal="center" vertical="center"/>
    </xf>
    <xf numFmtId="164" fontId="0" fillId="0" borderId="12" xfId="0" applyNumberFormat="1" applyBorder="1" applyAlignment="1">
      <alignment horizontal="center" vertical="center"/>
    </xf>
    <xf numFmtId="164" fontId="0" fillId="0" borderId="13" xfId="0" applyNumberFormat="1" applyBorder="1" applyAlignment="1">
      <alignment horizontal="center" vertical="center"/>
    </xf>
    <xf numFmtId="0" fontId="0" fillId="0" borderId="7" xfId="0" applyBorder="1" applyAlignment="1">
      <alignment horizontal="left" vertical="center" wrapText="1"/>
    </xf>
    <xf numFmtId="0" fontId="0" fillId="3" borderId="1" xfId="0" applyFill="1" applyBorder="1" applyAlignment="1">
      <alignment horizontal="center" vertical="center"/>
    </xf>
    <xf numFmtId="0" fontId="9" fillId="0" borderId="1" xfId="0" applyFont="1" applyBorder="1" applyAlignment="1">
      <alignment horizontal="center" vertical="center"/>
    </xf>
    <xf numFmtId="0" fontId="10" fillId="2" borderId="2" xfId="0" applyFont="1" applyFill="1" applyBorder="1" applyAlignment="1">
      <alignment horizontal="center" vertical="center"/>
    </xf>
    <xf numFmtId="14" fontId="10" fillId="2" borderId="2" xfId="0" applyNumberFormat="1" applyFont="1" applyFill="1" applyBorder="1" applyAlignment="1">
      <alignment horizontal="center" vertical="center"/>
    </xf>
    <xf numFmtId="0" fontId="10" fillId="2" borderId="2" xfId="0" applyFont="1" applyFill="1" applyBorder="1" applyAlignment="1">
      <alignment horizontal="center" vertical="center" wrapText="1"/>
    </xf>
    <xf numFmtId="0" fontId="0" fillId="0" borderId="0" xfId="0" pivotButton="1"/>
    <xf numFmtId="0" fontId="0" fillId="0" borderId="0" xfId="0" applyAlignment="1">
      <alignment horizontal="left"/>
    </xf>
    <xf numFmtId="14" fontId="0" fillId="0" borderId="5" xfId="0" applyNumberFormat="1" applyBorder="1" applyAlignment="1">
      <alignment horizontal="center" vertical="center"/>
    </xf>
    <xf numFmtId="0" fontId="10" fillId="2" borderId="14" xfId="0" applyFont="1" applyFill="1" applyBorder="1" applyAlignment="1">
      <alignment horizontal="center" vertical="center"/>
    </xf>
    <xf numFmtId="0" fontId="10" fillId="2" borderId="1" xfId="0" applyFont="1" applyFill="1" applyBorder="1" applyAlignment="1">
      <alignment horizontal="center" vertical="center" wrapText="1"/>
    </xf>
    <xf numFmtId="0" fontId="0" fillId="0" borderId="0" xfId="0" applyAlignment="1">
      <alignment horizontal="left" indent="1"/>
    </xf>
    <xf numFmtId="0" fontId="0" fillId="0" borderId="1" xfId="0" applyBorder="1" applyAlignment="1">
      <alignment vertical="center"/>
    </xf>
    <xf numFmtId="14" fontId="0" fillId="0" borderId="5" xfId="0" applyNumberFormat="1" applyBorder="1" applyAlignment="1">
      <alignment horizontal="left" vertical="center"/>
    </xf>
    <xf numFmtId="0" fontId="8" fillId="5" borderId="3" xfId="0" applyFont="1" applyFill="1" applyBorder="1" applyAlignment="1">
      <alignment horizontal="left"/>
    </xf>
    <xf numFmtId="0" fontId="8" fillId="5" borderId="3" xfId="0" applyFont="1" applyFill="1" applyBorder="1"/>
    <xf numFmtId="0" fontId="0" fillId="0" borderId="15" xfId="0" applyBorder="1" applyAlignment="1">
      <alignment horizontal="left"/>
    </xf>
    <xf numFmtId="0" fontId="0" fillId="0" borderId="16" xfId="0" applyBorder="1"/>
    <xf numFmtId="0" fontId="0" fillId="0" borderId="17" xfId="0" applyBorder="1" applyAlignment="1">
      <alignment horizontal="left"/>
    </xf>
    <xf numFmtId="0" fontId="0" fillId="0" borderId="18" xfId="0" applyBorder="1"/>
    <xf numFmtId="0" fontId="0" fillId="0" borderId="19" xfId="0" applyBorder="1"/>
    <xf numFmtId="0" fontId="8" fillId="5" borderId="14" xfId="0" applyFont="1" applyFill="1" applyBorder="1"/>
    <xf numFmtId="0" fontId="8" fillId="5" borderId="11" xfId="0" applyFont="1" applyFill="1" applyBorder="1" applyAlignment="1">
      <alignment vertical="center"/>
    </xf>
    <xf numFmtId="0" fontId="8" fillId="5" borderId="8" xfId="0" applyFont="1" applyFill="1" applyBorder="1" applyAlignment="1">
      <alignment vertical="center"/>
    </xf>
    <xf numFmtId="164" fontId="0" fillId="4" borderId="1" xfId="0" applyNumberFormat="1" applyFill="1" applyBorder="1" applyAlignment="1">
      <alignment horizontal="center" vertical="center"/>
    </xf>
    <xf numFmtId="0" fontId="0" fillId="4" borderId="1" xfId="0" applyFill="1" applyBorder="1" applyAlignment="1">
      <alignment horizontal="center" vertical="center"/>
    </xf>
    <xf numFmtId="14" fontId="0" fillId="4" borderId="1" xfId="0" applyNumberFormat="1" applyFill="1" applyBorder="1" applyAlignment="1">
      <alignment horizontal="center" vertical="center"/>
    </xf>
    <xf numFmtId="0" fontId="0" fillId="4" borderId="5" xfId="0" applyFill="1" applyBorder="1" applyAlignment="1">
      <alignment horizontal="left" vertical="center" wrapText="1"/>
    </xf>
    <xf numFmtId="0" fontId="0" fillId="0" borderId="1" xfId="0" applyBorder="1" applyAlignment="1">
      <alignment horizontal="center"/>
    </xf>
    <xf numFmtId="4" fontId="0" fillId="0" borderId="1" xfId="0" applyNumberFormat="1" applyBorder="1" applyAlignment="1">
      <alignment horizontal="center" vertical="center"/>
    </xf>
    <xf numFmtId="4" fontId="0" fillId="0" borderId="2" xfId="0" applyNumberFormat="1" applyBorder="1" applyAlignment="1">
      <alignment horizontal="center" vertical="center"/>
    </xf>
    <xf numFmtId="4" fontId="0" fillId="0" borderId="4" xfId="0" applyNumberFormat="1" applyBorder="1" applyAlignment="1">
      <alignment horizontal="center" vertical="center"/>
    </xf>
    <xf numFmtId="4" fontId="0" fillId="0" borderId="3" xfId="0" applyNumberFormat="1" applyBorder="1" applyAlignment="1">
      <alignment horizontal="center" vertical="center"/>
    </xf>
    <xf numFmtId="0" fontId="11" fillId="0" borderId="2" xfId="0" applyFont="1" applyBorder="1" applyAlignment="1">
      <alignment horizontal="center"/>
    </xf>
    <xf numFmtId="0" fontId="0" fillId="0" borderId="0" xfId="0" applyNumberFormat="1"/>
  </cellXfs>
  <cellStyles count="2">
    <cellStyle name="Normal" xfId="0" builtinId="0"/>
    <cellStyle name="Normal 2 2 2 2 2 2 2 2 2 3" xfId="1" xr:uid="{06635C56-1290-4923-A355-9C56881E4063}"/>
  </cellStyles>
  <dxfs count="3">
    <dxf>
      <fill>
        <patternFill>
          <bgColor rgb="FFFF0000"/>
        </patternFill>
      </fill>
    </dxf>
    <dxf>
      <fill>
        <patternFill>
          <bgColor rgb="FFFF0000"/>
        </patternFill>
      </fill>
    </dxf>
    <dxf>
      <fill>
        <patternFill>
          <bgColor rgb="FFFF0000"/>
        </patternFill>
      </fill>
    </dxf>
  </dxfs>
  <tableStyles count="1" defaultTableStyle="TableStyleMedium2" defaultPivotStyle="PivotStyleLight16">
    <tableStyle name="Invisible" pivot="0" table="0" count="0" xr9:uid="{D2DF6107-886E-4DD4-83BC-266196683033}"/>
  </tableStyles>
  <colors>
    <mruColors>
      <color rgb="FF38344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720" b="0" i="0" u="none" strike="noStrike" kern="1200" spc="0" baseline="0">
                <a:solidFill>
                  <a:schemeClr val="tx1">
                    <a:lumMod val="65000"/>
                    <a:lumOff val="35000"/>
                  </a:schemeClr>
                </a:solidFill>
                <a:latin typeface="+mn-lt"/>
                <a:ea typeface="+mn-ea"/>
                <a:cs typeface="+mn-cs"/>
              </a:defRPr>
            </a:pPr>
            <a:r>
              <a:rPr lang="tr-TR"/>
              <a:t>Aralık Haksız Şikayetler</a:t>
            </a:r>
          </a:p>
        </c:rich>
      </c:tx>
      <c:layout>
        <c:manualLayout>
          <c:xMode val="edge"/>
          <c:yMode val="edge"/>
          <c:x val="0.3299226385956594"/>
          <c:y val="0.17470012487400691"/>
        </c:manualLayout>
      </c:layout>
      <c:overlay val="0"/>
      <c:spPr>
        <a:noFill/>
        <a:ln>
          <a:noFill/>
        </a:ln>
        <a:effectLst/>
      </c:spPr>
      <c:txPr>
        <a:bodyPr rot="0" spcFirstLastPara="1" vertOverflow="ellipsis" vert="horz" wrap="square" anchor="ctr" anchorCtr="1"/>
        <a:lstStyle/>
        <a:p>
          <a:pPr>
            <a:defRPr sz="720" b="0" i="0" u="none" strike="noStrike" kern="1200" spc="0" baseline="0">
              <a:solidFill>
                <a:schemeClr val="tx1">
                  <a:lumMod val="65000"/>
                  <a:lumOff val="35000"/>
                </a:schemeClr>
              </a:solidFill>
              <a:latin typeface="+mn-lt"/>
              <a:ea typeface="+mn-ea"/>
              <a:cs typeface="+mn-cs"/>
            </a:defRPr>
          </a:pPr>
          <a:endParaRPr lang="tr-T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2"/>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rgbClr val="C00000"/>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extLst>
        </c:dLbl>
      </c:pivotFmt>
      <c:pivotFmt>
        <c:idx val="1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extLst>
        </c:dLbl>
      </c:pivotFmt>
      <c:pivotFmt>
        <c:idx val="1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extLst>
        </c:dLbl>
      </c:pivotFmt>
      <c:pivotFmt>
        <c:idx val="1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extLst>
        </c:dLbl>
      </c:pivotFmt>
      <c:pivotFmt>
        <c:idx val="1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extLst>
        </c:dLbl>
      </c:pivotFmt>
      <c:pivotFmt>
        <c:idx val="1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9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9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9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9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9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9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9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9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9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9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0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0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0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0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0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0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0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0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0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0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1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1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1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1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1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1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1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6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extLst>
        </c:dLbl>
      </c:pivotFmt>
      <c:pivotFmt>
        <c:idx val="217"/>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6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extLst>
        </c:dLbl>
      </c:pivotFmt>
      <c:pivotFmt>
        <c:idx val="21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6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extLst>
        </c:dLbl>
      </c:pivotFmt>
      <c:pivotFmt>
        <c:idx val="219"/>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6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extLst>
        </c:dLbl>
      </c:pivotFmt>
      <c:pivotFmt>
        <c:idx val="22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6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extLst>
        </c:dLbl>
      </c:pivotFmt>
      <c:pivotFmt>
        <c:idx val="2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extLst>
        </c:dLbl>
      </c:pivotFmt>
      <c:pivotFmt>
        <c:idx val="2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8501604076240797E-2"/>
          <c:y val="0.24523618783890785"/>
          <c:w val="0.77760762362524183"/>
          <c:h val="0.57924346262272774"/>
        </c:manualLayout>
      </c:layout>
      <c:barChart>
        <c:barDir val="col"/>
        <c:grouping val="clustered"/>
        <c:varyColors val="0"/>
        <c:ser>
          <c:idx val="0"/>
          <c:order val="0"/>
          <c:tx>
            <c:v>Kırık Cam</c:v>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6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HSA-1</c:v>
              </c:pt>
            </c:strLit>
          </c:cat>
          <c:val>
            <c:numLit>
              <c:formatCode>General</c:formatCode>
              <c:ptCount val="1"/>
              <c:pt idx="0">
                <c:v>1</c:v>
              </c:pt>
            </c:numLit>
          </c:val>
          <c:extLst>
            <c:ext xmlns:c16="http://schemas.microsoft.com/office/drawing/2014/chart" uri="{C3380CC4-5D6E-409C-BE32-E72D297353CC}">
              <c16:uniqueId val="{00000008-44B6-47E1-874C-F61DA63EA1A6}"/>
            </c:ext>
          </c:extLst>
        </c:ser>
        <c:dLbls>
          <c:showLegendKey val="0"/>
          <c:showVal val="0"/>
          <c:showCatName val="0"/>
          <c:showSerName val="0"/>
          <c:showPercent val="0"/>
          <c:showBubbleSize val="0"/>
        </c:dLbls>
        <c:gapWidth val="219"/>
        <c:overlap val="-27"/>
        <c:axId val="1644975199"/>
        <c:axId val="1644979519"/>
      </c:barChart>
      <c:catAx>
        <c:axId val="1644975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tr-TR"/>
          </a:p>
        </c:txPr>
        <c:crossAx val="1644979519"/>
        <c:crosses val="autoZero"/>
        <c:auto val="1"/>
        <c:lblAlgn val="ctr"/>
        <c:lblOffset val="100"/>
        <c:noMultiLvlLbl val="0"/>
      </c:catAx>
      <c:valAx>
        <c:axId val="16449795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tr-TR"/>
          </a:p>
        </c:txPr>
        <c:crossAx val="1644975199"/>
        <c:crosses val="autoZero"/>
        <c:crossBetween val="between"/>
      </c:valAx>
      <c:spPr>
        <a:noFill/>
        <a:ln>
          <a:noFill/>
        </a:ln>
        <a:effectLst/>
      </c:spPr>
    </c:plotArea>
    <c:legend>
      <c:legendPos val="r"/>
      <c:layout>
        <c:manualLayout>
          <c:xMode val="edge"/>
          <c:yMode val="edge"/>
          <c:x val="0.87372852829486547"/>
          <c:y val="0.25864049251908022"/>
          <c:w val="0.12214763379342475"/>
          <c:h val="0.46427802355660591"/>
        </c:manualLayout>
      </c:layout>
      <c:overlay val="0"/>
      <c:spPr>
        <a:noFill/>
        <a:ln>
          <a:noFill/>
        </a:ln>
        <a:effectLst/>
      </c:spPr>
      <c:txPr>
        <a:bodyPr rot="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tr-T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600"/>
      </a:pPr>
      <a:endParaRPr lang="tr-TR"/>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a:t>Son 5 Aylık</a:t>
            </a:r>
            <a:r>
              <a:rPr lang="tr-TR" baseline="0"/>
              <a:t> Müşterinin Haklı Olduğu Şikayetler</a:t>
            </a:r>
            <a:endParaRPr lang="tr-T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lotArea>
      <c:layout>
        <c:manualLayout>
          <c:layoutTarget val="inner"/>
          <c:xMode val="edge"/>
          <c:yMode val="edge"/>
          <c:x val="0.1131595912181793"/>
          <c:y val="0.22726848970963698"/>
          <c:w val="0.87129396325459318"/>
          <c:h val="0.61498432487605714"/>
        </c:manualLayout>
      </c:layout>
      <c:barChart>
        <c:barDir val="col"/>
        <c:grouping val="clustered"/>
        <c:varyColors val="0"/>
        <c:ser>
          <c:idx val="0"/>
          <c:order val="0"/>
          <c:tx>
            <c:strRef>
              <c:f>'ÜRETİM ADETLERİ'!$F$19</c:f>
              <c:strCache>
                <c:ptCount val="1"/>
                <c:pt idx="0">
                  <c:v>HSA-1</c:v>
                </c:pt>
              </c:strCache>
            </c:strRef>
          </c:tx>
          <c:spPr>
            <a:solidFill>
              <a:schemeClr val="accent1"/>
            </a:solidFill>
            <a:ln>
              <a:noFill/>
            </a:ln>
            <a:effectLst/>
          </c:spPr>
          <c:invertIfNegative val="0"/>
          <c:cat>
            <c:strRef>
              <c:f>'ÜRETİM ADETLERİ'!$E$20:$E$30</c:f>
              <c:strCache>
                <c:ptCount val="11"/>
                <c:pt idx="0">
                  <c:v>OCAK</c:v>
                </c:pt>
                <c:pt idx="1">
                  <c:v>ŞUBAT</c:v>
                </c:pt>
                <c:pt idx="2">
                  <c:v>MART</c:v>
                </c:pt>
                <c:pt idx="3">
                  <c:v>NİSAN</c:v>
                </c:pt>
                <c:pt idx="4">
                  <c:v>MAYIS</c:v>
                </c:pt>
                <c:pt idx="5">
                  <c:v>HAZİRAN</c:v>
                </c:pt>
                <c:pt idx="6">
                  <c:v>TEMMUZ</c:v>
                </c:pt>
                <c:pt idx="7">
                  <c:v>AĞUSTOS</c:v>
                </c:pt>
                <c:pt idx="8">
                  <c:v>EYLÜL</c:v>
                </c:pt>
                <c:pt idx="9">
                  <c:v>EKİM</c:v>
                </c:pt>
                <c:pt idx="10">
                  <c:v>KASIM</c:v>
                </c:pt>
              </c:strCache>
            </c:strRef>
          </c:cat>
          <c:val>
            <c:numRef>
              <c:f>'ÜRETİM ADETLERİ'!$F$20:$F$30</c:f>
              <c:numCache>
                <c:formatCode>General</c:formatCode>
                <c:ptCount val="11"/>
                <c:pt idx="0">
                  <c:v>14</c:v>
                </c:pt>
                <c:pt idx="1">
                  <c:v>2</c:v>
                </c:pt>
                <c:pt idx="2">
                  <c:v>9</c:v>
                </c:pt>
                <c:pt idx="3">
                  <c:v>4</c:v>
                </c:pt>
                <c:pt idx="4">
                  <c:v>18</c:v>
                </c:pt>
                <c:pt idx="5">
                  <c:v>0</c:v>
                </c:pt>
                <c:pt idx="6">
                  <c:v>0</c:v>
                </c:pt>
                <c:pt idx="7">
                  <c:v>0</c:v>
                </c:pt>
                <c:pt idx="8">
                  <c:v>17</c:v>
                </c:pt>
                <c:pt idx="9">
                  <c:v>54</c:v>
                </c:pt>
                <c:pt idx="10">
                  <c:v>0</c:v>
                </c:pt>
              </c:numCache>
            </c:numRef>
          </c:val>
          <c:extLst>
            <c:ext xmlns:c16="http://schemas.microsoft.com/office/drawing/2014/chart" uri="{C3380CC4-5D6E-409C-BE32-E72D297353CC}">
              <c16:uniqueId val="{00000000-AFB0-4E8E-A795-27B6D6B06621}"/>
            </c:ext>
          </c:extLst>
        </c:ser>
        <c:ser>
          <c:idx val="1"/>
          <c:order val="1"/>
          <c:tx>
            <c:strRef>
              <c:f>'ÜRETİM ADETLERİ'!$G$19</c:f>
              <c:strCache>
                <c:ptCount val="1"/>
                <c:pt idx="0">
                  <c:v>HSA-2</c:v>
                </c:pt>
              </c:strCache>
            </c:strRef>
          </c:tx>
          <c:spPr>
            <a:solidFill>
              <a:schemeClr val="accent2"/>
            </a:solidFill>
            <a:ln>
              <a:noFill/>
            </a:ln>
            <a:effectLst/>
          </c:spPr>
          <c:invertIfNegative val="0"/>
          <c:cat>
            <c:strRef>
              <c:f>'ÜRETİM ADETLERİ'!$E$20:$E$30</c:f>
              <c:strCache>
                <c:ptCount val="11"/>
                <c:pt idx="0">
                  <c:v>OCAK</c:v>
                </c:pt>
                <c:pt idx="1">
                  <c:v>ŞUBAT</c:v>
                </c:pt>
                <c:pt idx="2">
                  <c:v>MART</c:v>
                </c:pt>
                <c:pt idx="3">
                  <c:v>NİSAN</c:v>
                </c:pt>
                <c:pt idx="4">
                  <c:v>MAYIS</c:v>
                </c:pt>
                <c:pt idx="5">
                  <c:v>HAZİRAN</c:v>
                </c:pt>
                <c:pt idx="6">
                  <c:v>TEMMUZ</c:v>
                </c:pt>
                <c:pt idx="7">
                  <c:v>AĞUSTOS</c:v>
                </c:pt>
                <c:pt idx="8">
                  <c:v>EYLÜL</c:v>
                </c:pt>
                <c:pt idx="9">
                  <c:v>EKİM</c:v>
                </c:pt>
                <c:pt idx="10">
                  <c:v>KASIM</c:v>
                </c:pt>
              </c:strCache>
            </c:strRef>
          </c:cat>
          <c:val>
            <c:numRef>
              <c:f>'ÜRETİM ADETLERİ'!$G$20:$G$30</c:f>
              <c:numCache>
                <c:formatCode>General</c:formatCode>
                <c:ptCount val="11"/>
                <c:pt idx="0">
                  <c:v>0</c:v>
                </c:pt>
                <c:pt idx="1">
                  <c:v>1</c:v>
                </c:pt>
                <c:pt idx="2">
                  <c:v>3</c:v>
                </c:pt>
                <c:pt idx="3">
                  <c:v>11</c:v>
                </c:pt>
                <c:pt idx="4">
                  <c:v>17</c:v>
                </c:pt>
                <c:pt idx="5">
                  <c:v>13</c:v>
                </c:pt>
                <c:pt idx="6">
                  <c:v>34</c:v>
                </c:pt>
                <c:pt idx="7">
                  <c:v>4</c:v>
                </c:pt>
                <c:pt idx="8">
                  <c:v>0</c:v>
                </c:pt>
                <c:pt idx="9">
                  <c:v>1</c:v>
                </c:pt>
                <c:pt idx="10">
                  <c:v>3</c:v>
                </c:pt>
              </c:numCache>
            </c:numRef>
          </c:val>
          <c:extLst>
            <c:ext xmlns:c16="http://schemas.microsoft.com/office/drawing/2014/chart" uri="{C3380CC4-5D6E-409C-BE32-E72D297353CC}">
              <c16:uniqueId val="{00000001-AFB0-4E8E-A795-27B6D6B06621}"/>
            </c:ext>
          </c:extLst>
        </c:ser>
        <c:ser>
          <c:idx val="2"/>
          <c:order val="2"/>
          <c:tx>
            <c:strRef>
              <c:f>'ÜRETİM ADETLERİ'!$H$19</c:f>
              <c:strCache>
                <c:ptCount val="1"/>
                <c:pt idx="0">
                  <c:v>Toplam Şikayet</c:v>
                </c:pt>
              </c:strCache>
            </c:strRef>
          </c:tx>
          <c:spPr>
            <a:solidFill>
              <a:schemeClr val="accent3"/>
            </a:solidFill>
            <a:ln>
              <a:noFill/>
            </a:ln>
            <a:effectLst/>
          </c:spPr>
          <c:invertIfNegative val="0"/>
          <c:cat>
            <c:strRef>
              <c:f>'ÜRETİM ADETLERİ'!$E$20:$E$30</c:f>
              <c:strCache>
                <c:ptCount val="11"/>
                <c:pt idx="0">
                  <c:v>OCAK</c:v>
                </c:pt>
                <c:pt idx="1">
                  <c:v>ŞUBAT</c:v>
                </c:pt>
                <c:pt idx="2">
                  <c:v>MART</c:v>
                </c:pt>
                <c:pt idx="3">
                  <c:v>NİSAN</c:v>
                </c:pt>
                <c:pt idx="4">
                  <c:v>MAYIS</c:v>
                </c:pt>
                <c:pt idx="5">
                  <c:v>HAZİRAN</c:v>
                </c:pt>
                <c:pt idx="6">
                  <c:v>TEMMUZ</c:v>
                </c:pt>
                <c:pt idx="7">
                  <c:v>AĞUSTOS</c:v>
                </c:pt>
                <c:pt idx="8">
                  <c:v>EYLÜL</c:v>
                </c:pt>
                <c:pt idx="9">
                  <c:v>EKİM</c:v>
                </c:pt>
                <c:pt idx="10">
                  <c:v>KASIM</c:v>
                </c:pt>
              </c:strCache>
            </c:strRef>
          </c:cat>
          <c:val>
            <c:numRef>
              <c:f>'ÜRETİM ADETLERİ'!$H$20:$H$30</c:f>
              <c:numCache>
                <c:formatCode>#,##0</c:formatCode>
                <c:ptCount val="11"/>
                <c:pt idx="0">
                  <c:v>14</c:v>
                </c:pt>
                <c:pt idx="1">
                  <c:v>3</c:v>
                </c:pt>
                <c:pt idx="2">
                  <c:v>12</c:v>
                </c:pt>
                <c:pt idx="3">
                  <c:v>15</c:v>
                </c:pt>
                <c:pt idx="4">
                  <c:v>35</c:v>
                </c:pt>
                <c:pt idx="5">
                  <c:v>13</c:v>
                </c:pt>
                <c:pt idx="6">
                  <c:v>34</c:v>
                </c:pt>
                <c:pt idx="7">
                  <c:v>4</c:v>
                </c:pt>
                <c:pt idx="8">
                  <c:v>17</c:v>
                </c:pt>
                <c:pt idx="9">
                  <c:v>55</c:v>
                </c:pt>
                <c:pt idx="10">
                  <c:v>3</c:v>
                </c:pt>
              </c:numCache>
            </c:numRef>
          </c:val>
          <c:extLst>
            <c:ext xmlns:c16="http://schemas.microsoft.com/office/drawing/2014/chart" uri="{C3380CC4-5D6E-409C-BE32-E72D297353CC}">
              <c16:uniqueId val="{00000002-AFB0-4E8E-A795-27B6D6B06621}"/>
            </c:ext>
          </c:extLst>
        </c:ser>
        <c:ser>
          <c:idx val="3"/>
          <c:order val="3"/>
          <c:tx>
            <c:strRef>
              <c:f>'ÜRETİM ADETLERİ'!$I$19</c:f>
              <c:strCache>
                <c:ptCount val="1"/>
                <c:pt idx="0">
                  <c:v>HSA-1 Üretim Adedi</c:v>
                </c:pt>
              </c:strCache>
            </c:strRef>
          </c:tx>
          <c:spPr>
            <a:solidFill>
              <a:schemeClr val="accent4"/>
            </a:solidFill>
            <a:ln>
              <a:noFill/>
            </a:ln>
            <a:effectLst/>
          </c:spPr>
          <c:invertIfNegative val="0"/>
          <c:cat>
            <c:strRef>
              <c:f>'ÜRETİM ADETLERİ'!$E$20:$E$30</c:f>
              <c:strCache>
                <c:ptCount val="11"/>
                <c:pt idx="0">
                  <c:v>OCAK</c:v>
                </c:pt>
                <c:pt idx="1">
                  <c:v>ŞUBAT</c:v>
                </c:pt>
                <c:pt idx="2">
                  <c:v>MART</c:v>
                </c:pt>
                <c:pt idx="3">
                  <c:v>NİSAN</c:v>
                </c:pt>
                <c:pt idx="4">
                  <c:v>MAYIS</c:v>
                </c:pt>
                <c:pt idx="5">
                  <c:v>HAZİRAN</c:v>
                </c:pt>
                <c:pt idx="6">
                  <c:v>TEMMUZ</c:v>
                </c:pt>
                <c:pt idx="7">
                  <c:v>AĞUSTOS</c:v>
                </c:pt>
                <c:pt idx="8">
                  <c:v>EYLÜL</c:v>
                </c:pt>
                <c:pt idx="9">
                  <c:v>EKİM</c:v>
                </c:pt>
                <c:pt idx="10">
                  <c:v>KASIM</c:v>
                </c:pt>
              </c:strCache>
            </c:strRef>
          </c:cat>
          <c:val>
            <c:numRef>
              <c:f>'ÜRETİM ADETLERİ'!$I$20:$I$30</c:f>
              <c:numCache>
                <c:formatCode>#,##0</c:formatCode>
                <c:ptCount val="11"/>
                <c:pt idx="0">
                  <c:v>11129</c:v>
                </c:pt>
                <c:pt idx="1">
                  <c:v>12380</c:v>
                </c:pt>
                <c:pt idx="2">
                  <c:v>302</c:v>
                </c:pt>
                <c:pt idx="3">
                  <c:v>1859</c:v>
                </c:pt>
                <c:pt idx="4">
                  <c:v>27217</c:v>
                </c:pt>
                <c:pt idx="5">
                  <c:v>22029</c:v>
                </c:pt>
                <c:pt idx="6">
                  <c:v>25423</c:v>
                </c:pt>
                <c:pt idx="7">
                  <c:v>32820</c:v>
                </c:pt>
                <c:pt idx="8">
                  <c:v>37796</c:v>
                </c:pt>
                <c:pt idx="9">
                  <c:v>45390</c:v>
                </c:pt>
                <c:pt idx="10">
                  <c:v>51622</c:v>
                </c:pt>
              </c:numCache>
            </c:numRef>
          </c:val>
          <c:extLst>
            <c:ext xmlns:c16="http://schemas.microsoft.com/office/drawing/2014/chart" uri="{C3380CC4-5D6E-409C-BE32-E72D297353CC}">
              <c16:uniqueId val="{00000003-AFB0-4E8E-A795-27B6D6B06621}"/>
            </c:ext>
          </c:extLst>
        </c:ser>
        <c:ser>
          <c:idx val="4"/>
          <c:order val="4"/>
          <c:tx>
            <c:strRef>
              <c:f>'ÜRETİM ADETLERİ'!$J$19</c:f>
              <c:strCache>
                <c:ptCount val="1"/>
                <c:pt idx="0">
                  <c:v>HSA-2 Üretim Adedi</c:v>
                </c:pt>
              </c:strCache>
            </c:strRef>
          </c:tx>
          <c:spPr>
            <a:solidFill>
              <a:schemeClr val="accent5"/>
            </a:solidFill>
            <a:ln>
              <a:noFill/>
            </a:ln>
            <a:effectLst/>
          </c:spPr>
          <c:invertIfNegative val="0"/>
          <c:cat>
            <c:strRef>
              <c:f>'ÜRETİM ADETLERİ'!$E$20:$E$30</c:f>
              <c:strCache>
                <c:ptCount val="11"/>
                <c:pt idx="0">
                  <c:v>OCAK</c:v>
                </c:pt>
                <c:pt idx="1">
                  <c:v>ŞUBAT</c:v>
                </c:pt>
                <c:pt idx="2">
                  <c:v>MART</c:v>
                </c:pt>
                <c:pt idx="3">
                  <c:v>NİSAN</c:v>
                </c:pt>
                <c:pt idx="4">
                  <c:v>MAYIS</c:v>
                </c:pt>
                <c:pt idx="5">
                  <c:v>HAZİRAN</c:v>
                </c:pt>
                <c:pt idx="6">
                  <c:v>TEMMUZ</c:v>
                </c:pt>
                <c:pt idx="7">
                  <c:v>AĞUSTOS</c:v>
                </c:pt>
                <c:pt idx="8">
                  <c:v>EYLÜL</c:v>
                </c:pt>
                <c:pt idx="9">
                  <c:v>EKİM</c:v>
                </c:pt>
                <c:pt idx="10">
                  <c:v>KASIM</c:v>
                </c:pt>
              </c:strCache>
            </c:strRef>
          </c:cat>
          <c:val>
            <c:numRef>
              <c:f>'ÜRETİM ADETLERİ'!$J$20:$J$30</c:f>
              <c:numCache>
                <c:formatCode>#,##0</c:formatCode>
                <c:ptCount val="11"/>
                <c:pt idx="0">
                  <c:v>29235</c:v>
                </c:pt>
                <c:pt idx="1">
                  <c:v>28771</c:v>
                </c:pt>
                <c:pt idx="2">
                  <c:v>10947</c:v>
                </c:pt>
                <c:pt idx="3">
                  <c:v>30912</c:v>
                </c:pt>
                <c:pt idx="4">
                  <c:v>41798</c:v>
                </c:pt>
                <c:pt idx="5">
                  <c:v>32499</c:v>
                </c:pt>
                <c:pt idx="6">
                  <c:v>39840</c:v>
                </c:pt>
                <c:pt idx="7">
                  <c:v>54045</c:v>
                </c:pt>
                <c:pt idx="8">
                  <c:v>49843</c:v>
                </c:pt>
                <c:pt idx="9">
                  <c:v>27833</c:v>
                </c:pt>
                <c:pt idx="10">
                  <c:v>18816</c:v>
                </c:pt>
              </c:numCache>
            </c:numRef>
          </c:val>
          <c:extLst>
            <c:ext xmlns:c16="http://schemas.microsoft.com/office/drawing/2014/chart" uri="{C3380CC4-5D6E-409C-BE32-E72D297353CC}">
              <c16:uniqueId val="{00000004-AFB0-4E8E-A795-27B6D6B06621}"/>
            </c:ext>
          </c:extLst>
        </c:ser>
        <c:ser>
          <c:idx val="5"/>
          <c:order val="5"/>
          <c:tx>
            <c:strRef>
              <c:f>'ÜRETİM ADETLERİ'!$K$19</c:f>
              <c:strCache>
                <c:ptCount val="1"/>
                <c:pt idx="0">
                  <c:v>Toplam Üretim</c:v>
                </c:pt>
              </c:strCache>
            </c:strRef>
          </c:tx>
          <c:spPr>
            <a:solidFill>
              <a:schemeClr val="accent6"/>
            </a:solidFill>
            <a:ln>
              <a:noFill/>
            </a:ln>
            <a:effectLst/>
          </c:spPr>
          <c:invertIfNegative val="0"/>
          <c:cat>
            <c:strRef>
              <c:f>'ÜRETİM ADETLERİ'!$E$20:$E$30</c:f>
              <c:strCache>
                <c:ptCount val="11"/>
                <c:pt idx="0">
                  <c:v>OCAK</c:v>
                </c:pt>
                <c:pt idx="1">
                  <c:v>ŞUBAT</c:v>
                </c:pt>
                <c:pt idx="2">
                  <c:v>MART</c:v>
                </c:pt>
                <c:pt idx="3">
                  <c:v>NİSAN</c:v>
                </c:pt>
                <c:pt idx="4">
                  <c:v>MAYIS</c:v>
                </c:pt>
                <c:pt idx="5">
                  <c:v>HAZİRAN</c:v>
                </c:pt>
                <c:pt idx="6">
                  <c:v>TEMMUZ</c:v>
                </c:pt>
                <c:pt idx="7">
                  <c:v>AĞUSTOS</c:v>
                </c:pt>
                <c:pt idx="8">
                  <c:v>EYLÜL</c:v>
                </c:pt>
                <c:pt idx="9">
                  <c:v>EKİM</c:v>
                </c:pt>
                <c:pt idx="10">
                  <c:v>KASIM</c:v>
                </c:pt>
              </c:strCache>
            </c:strRef>
          </c:cat>
          <c:val>
            <c:numRef>
              <c:f>'ÜRETİM ADETLERİ'!$K$20:$K$30</c:f>
              <c:numCache>
                <c:formatCode>#,##0</c:formatCode>
                <c:ptCount val="11"/>
                <c:pt idx="0">
                  <c:v>40364</c:v>
                </c:pt>
                <c:pt idx="1">
                  <c:v>41151</c:v>
                </c:pt>
                <c:pt idx="2">
                  <c:v>11249</c:v>
                </c:pt>
                <c:pt idx="3">
                  <c:v>32771</c:v>
                </c:pt>
                <c:pt idx="4">
                  <c:v>69015</c:v>
                </c:pt>
                <c:pt idx="5">
                  <c:v>54528</c:v>
                </c:pt>
                <c:pt idx="6">
                  <c:v>65263</c:v>
                </c:pt>
                <c:pt idx="7">
                  <c:v>86865</c:v>
                </c:pt>
                <c:pt idx="8">
                  <c:v>87639</c:v>
                </c:pt>
                <c:pt idx="9">
                  <c:v>73223</c:v>
                </c:pt>
                <c:pt idx="10">
                  <c:v>70438</c:v>
                </c:pt>
              </c:numCache>
            </c:numRef>
          </c:val>
          <c:extLst>
            <c:ext xmlns:c16="http://schemas.microsoft.com/office/drawing/2014/chart" uri="{C3380CC4-5D6E-409C-BE32-E72D297353CC}">
              <c16:uniqueId val="{00000005-AFB0-4E8E-A795-27B6D6B06621}"/>
            </c:ext>
          </c:extLst>
        </c:ser>
        <c:ser>
          <c:idx val="6"/>
          <c:order val="6"/>
          <c:tx>
            <c:strRef>
              <c:f>'ÜRETİM ADETLERİ'!$L$19</c:f>
              <c:strCache>
                <c:ptCount val="1"/>
                <c:pt idx="0">
                  <c:v>HSA-1 Gerçekleşen(‱)</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'ÜRETİM ADETLERİ'!$E$20:$E$30</c:f>
              <c:strCache>
                <c:ptCount val="11"/>
                <c:pt idx="0">
                  <c:v>OCAK</c:v>
                </c:pt>
                <c:pt idx="1">
                  <c:v>ŞUBAT</c:v>
                </c:pt>
                <c:pt idx="2">
                  <c:v>MART</c:v>
                </c:pt>
                <c:pt idx="3">
                  <c:v>NİSAN</c:v>
                </c:pt>
                <c:pt idx="4">
                  <c:v>MAYIS</c:v>
                </c:pt>
                <c:pt idx="5">
                  <c:v>HAZİRAN</c:v>
                </c:pt>
                <c:pt idx="6">
                  <c:v>TEMMUZ</c:v>
                </c:pt>
                <c:pt idx="7">
                  <c:v>AĞUSTOS</c:v>
                </c:pt>
                <c:pt idx="8">
                  <c:v>EYLÜL</c:v>
                </c:pt>
                <c:pt idx="9">
                  <c:v>EKİM</c:v>
                </c:pt>
                <c:pt idx="10">
                  <c:v>KASIM</c:v>
                </c:pt>
              </c:strCache>
            </c:strRef>
          </c:cat>
          <c:val>
            <c:numRef>
              <c:f>'ÜRETİM ADETLERİ'!$L$20:$L$30</c:f>
              <c:numCache>
                <c:formatCode>0.00</c:formatCode>
                <c:ptCount val="11"/>
                <c:pt idx="0">
                  <c:v>12.579746607961182</c:v>
                </c:pt>
                <c:pt idx="1">
                  <c:v>1.615508885298869</c:v>
                </c:pt>
                <c:pt idx="2">
                  <c:v>298.01324503311258</c:v>
                </c:pt>
                <c:pt idx="3">
                  <c:v>21.51694459386767</c:v>
                </c:pt>
                <c:pt idx="4">
                  <c:v>6.6135136128155194</c:v>
                </c:pt>
                <c:pt idx="5">
                  <c:v>0</c:v>
                </c:pt>
                <c:pt idx="6">
                  <c:v>0</c:v>
                </c:pt>
                <c:pt idx="7">
                  <c:v>0</c:v>
                </c:pt>
                <c:pt idx="8">
                  <c:v>4.4978304582495499</c:v>
                </c:pt>
                <c:pt idx="9">
                  <c:v>11.896893588896233</c:v>
                </c:pt>
                <c:pt idx="10">
                  <c:v>0</c:v>
                </c:pt>
              </c:numCache>
            </c:numRef>
          </c:val>
          <c:extLst>
            <c:ext xmlns:c16="http://schemas.microsoft.com/office/drawing/2014/chart" uri="{C3380CC4-5D6E-409C-BE32-E72D297353CC}">
              <c16:uniqueId val="{00000006-AFB0-4E8E-A795-27B6D6B06621}"/>
            </c:ext>
          </c:extLst>
        </c:ser>
        <c:ser>
          <c:idx val="7"/>
          <c:order val="7"/>
          <c:tx>
            <c:strRef>
              <c:f>'ÜRETİM ADETLERİ'!$M$19</c:f>
              <c:strCache>
                <c:ptCount val="1"/>
                <c:pt idx="0">
                  <c:v>HSA-2 Gerçekleşen (‱)</c:v>
                </c:pt>
              </c:strCache>
            </c:strRef>
          </c:tx>
          <c:spPr>
            <a:solidFill>
              <a:schemeClr val="accent2">
                <a:lumMod val="60000"/>
              </a:schemeClr>
            </a:solidFill>
            <a:ln>
              <a:noFill/>
            </a:ln>
            <a:effectLst/>
          </c:spPr>
          <c:invertIfNegative val="0"/>
          <c:dLbls>
            <c:dLbl>
              <c:idx val="7"/>
              <c:layout>
                <c:manualLayout>
                  <c:x val="2.7777777777777779E-3"/>
                  <c:y val="1.388888888888897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61A-4126-A201-375C54E377F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'ÜRETİM ADETLERİ'!$E$20:$E$30</c:f>
              <c:strCache>
                <c:ptCount val="11"/>
                <c:pt idx="0">
                  <c:v>OCAK</c:v>
                </c:pt>
                <c:pt idx="1">
                  <c:v>ŞUBAT</c:v>
                </c:pt>
                <c:pt idx="2">
                  <c:v>MART</c:v>
                </c:pt>
                <c:pt idx="3">
                  <c:v>NİSAN</c:v>
                </c:pt>
                <c:pt idx="4">
                  <c:v>MAYIS</c:v>
                </c:pt>
                <c:pt idx="5">
                  <c:v>HAZİRAN</c:v>
                </c:pt>
                <c:pt idx="6">
                  <c:v>TEMMUZ</c:v>
                </c:pt>
                <c:pt idx="7">
                  <c:v>AĞUSTOS</c:v>
                </c:pt>
                <c:pt idx="8">
                  <c:v>EYLÜL</c:v>
                </c:pt>
                <c:pt idx="9">
                  <c:v>EKİM</c:v>
                </c:pt>
                <c:pt idx="10">
                  <c:v>KASIM</c:v>
                </c:pt>
              </c:strCache>
            </c:strRef>
          </c:cat>
          <c:val>
            <c:numRef>
              <c:f>'ÜRETİM ADETLERİ'!$M$20:$M$30</c:f>
              <c:numCache>
                <c:formatCode>0.00</c:formatCode>
                <c:ptCount val="11"/>
                <c:pt idx="0">
                  <c:v>0</c:v>
                </c:pt>
                <c:pt idx="1">
                  <c:v>0.34757220812623824</c:v>
                </c:pt>
                <c:pt idx="2">
                  <c:v>2.740476842970677</c:v>
                </c:pt>
                <c:pt idx="3">
                  <c:v>3.558488612836439</c:v>
                </c:pt>
                <c:pt idx="4">
                  <c:v>4.0671802478587491</c:v>
                </c:pt>
                <c:pt idx="5">
                  <c:v>4.0001230807101757</c:v>
                </c:pt>
                <c:pt idx="6">
                  <c:v>8.5341365461847385</c:v>
                </c:pt>
                <c:pt idx="7">
                  <c:v>0.74012397076510317</c:v>
                </c:pt>
                <c:pt idx="8">
                  <c:v>0</c:v>
                </c:pt>
                <c:pt idx="9">
                  <c:v>0.35928573994898144</c:v>
                </c:pt>
                <c:pt idx="10">
                  <c:v>1.5943877551020409</c:v>
                </c:pt>
              </c:numCache>
            </c:numRef>
          </c:val>
          <c:extLst>
            <c:ext xmlns:c16="http://schemas.microsoft.com/office/drawing/2014/chart" uri="{C3380CC4-5D6E-409C-BE32-E72D297353CC}">
              <c16:uniqueId val="{00000007-AFB0-4E8E-A795-27B6D6B06621}"/>
            </c:ext>
          </c:extLst>
        </c:ser>
        <c:dLbls>
          <c:showLegendKey val="0"/>
          <c:showVal val="0"/>
          <c:showCatName val="0"/>
          <c:showSerName val="0"/>
          <c:showPercent val="0"/>
          <c:showBubbleSize val="0"/>
        </c:dLbls>
        <c:gapWidth val="219"/>
        <c:overlap val="-27"/>
        <c:axId val="449841279"/>
        <c:axId val="449834559"/>
      </c:barChart>
      <c:lineChart>
        <c:grouping val="standard"/>
        <c:varyColors val="0"/>
        <c:ser>
          <c:idx val="8"/>
          <c:order val="8"/>
          <c:tx>
            <c:strRef>
              <c:f>'ÜRETİM ADETLERİ'!$N$19</c:f>
              <c:strCache>
                <c:ptCount val="1"/>
                <c:pt idx="0">
                  <c:v>HEDEF</c:v>
                </c:pt>
              </c:strCache>
            </c:strRef>
          </c:tx>
          <c:spPr>
            <a:ln w="28575" cap="rnd">
              <a:solidFill>
                <a:schemeClr val="accent3">
                  <a:lumMod val="60000"/>
                </a:schemeClr>
              </a:solidFill>
              <a:round/>
            </a:ln>
            <a:effectLst/>
          </c:spPr>
          <c:marker>
            <c:symbol val="none"/>
          </c:marker>
          <c:cat>
            <c:strRef>
              <c:f>'ÜRETİM ADETLERİ'!$E$20:$E$30</c:f>
              <c:strCache>
                <c:ptCount val="11"/>
                <c:pt idx="0">
                  <c:v>OCAK</c:v>
                </c:pt>
                <c:pt idx="1">
                  <c:v>ŞUBAT</c:v>
                </c:pt>
                <c:pt idx="2">
                  <c:v>MART</c:v>
                </c:pt>
                <c:pt idx="3">
                  <c:v>NİSAN</c:v>
                </c:pt>
                <c:pt idx="4">
                  <c:v>MAYIS</c:v>
                </c:pt>
                <c:pt idx="5">
                  <c:v>HAZİRAN</c:v>
                </c:pt>
                <c:pt idx="6">
                  <c:v>TEMMUZ</c:v>
                </c:pt>
                <c:pt idx="7">
                  <c:v>AĞUSTOS</c:v>
                </c:pt>
                <c:pt idx="8">
                  <c:v>EYLÜL</c:v>
                </c:pt>
                <c:pt idx="9">
                  <c:v>EKİM</c:v>
                </c:pt>
                <c:pt idx="10">
                  <c:v>KASIM</c:v>
                </c:pt>
              </c:strCache>
            </c:strRef>
          </c:cat>
          <c:val>
            <c:numRef>
              <c:f>'ÜRETİM ADETLERİ'!$N$20:$N$30</c:f>
              <c:numCache>
                <c:formatCode>0.00</c:formatCode>
                <c:ptCount val="11"/>
                <c:pt idx="0">
                  <c:v>2</c:v>
                </c:pt>
                <c:pt idx="1">
                  <c:v>2</c:v>
                </c:pt>
                <c:pt idx="2">
                  <c:v>2</c:v>
                </c:pt>
                <c:pt idx="3">
                  <c:v>2</c:v>
                </c:pt>
                <c:pt idx="4">
                  <c:v>2</c:v>
                </c:pt>
                <c:pt idx="5">
                  <c:v>2</c:v>
                </c:pt>
                <c:pt idx="6">
                  <c:v>2</c:v>
                </c:pt>
                <c:pt idx="7">
                  <c:v>2</c:v>
                </c:pt>
                <c:pt idx="8">
                  <c:v>2</c:v>
                </c:pt>
                <c:pt idx="9">
                  <c:v>2</c:v>
                </c:pt>
                <c:pt idx="10">
                  <c:v>2</c:v>
                </c:pt>
              </c:numCache>
            </c:numRef>
          </c:val>
          <c:smooth val="0"/>
          <c:extLst>
            <c:ext xmlns:c16="http://schemas.microsoft.com/office/drawing/2014/chart" uri="{C3380CC4-5D6E-409C-BE32-E72D297353CC}">
              <c16:uniqueId val="{00000008-AFB0-4E8E-A795-27B6D6B06621}"/>
            </c:ext>
          </c:extLst>
        </c:ser>
        <c:dLbls>
          <c:showLegendKey val="0"/>
          <c:showVal val="0"/>
          <c:showCatName val="0"/>
          <c:showSerName val="0"/>
          <c:showPercent val="0"/>
          <c:showBubbleSize val="0"/>
        </c:dLbls>
        <c:marker val="1"/>
        <c:smooth val="0"/>
        <c:axId val="449841279"/>
        <c:axId val="449834559"/>
      </c:lineChart>
      <c:catAx>
        <c:axId val="449841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449834559"/>
        <c:crosses val="autoZero"/>
        <c:auto val="1"/>
        <c:lblAlgn val="ctr"/>
        <c:lblOffset val="100"/>
        <c:noMultiLvlLbl val="0"/>
      </c:catAx>
      <c:valAx>
        <c:axId val="4498345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4498412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pivotSource>
    <c:name>[KG-LST-002 MUSTERI SIKAYETLERI TAKIP.xlsx]AYLIK ŞİKAYET DAĞILIMI!PivotTable1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a:t>2026 Yılı Müşteri Şikayetleri</a:t>
            </a:r>
          </a:p>
        </c:rich>
      </c:tx>
      <c:layout>
        <c:manualLayout>
          <c:xMode val="edge"/>
          <c:yMode val="edge"/>
          <c:x val="0.27474999999999999"/>
          <c:y val="3.036599591717701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81714785651793"/>
          <c:y val="0.16967155147273261"/>
          <c:w val="0.87746062992125995"/>
          <c:h val="0.53318569553805772"/>
        </c:manualLayout>
      </c:layout>
      <c:barChart>
        <c:barDir val="col"/>
        <c:grouping val="clustered"/>
        <c:varyColors val="0"/>
        <c:ser>
          <c:idx val="0"/>
          <c:order val="0"/>
          <c:tx>
            <c:strRef>
              <c:f>'AYLIK ŞİKAYET DAĞILIMI'!$B$4:$B$5</c:f>
              <c:strCache>
                <c:ptCount val="1"/>
                <c:pt idx="0">
                  <c:v>Devam ediyor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'AYLIK ŞİKAYET DAĞILIMI'!$A$6:$A$9</c:f>
              <c:strCache>
                <c:ptCount val="3"/>
                <c:pt idx="0">
                  <c:v>1</c:v>
                </c:pt>
                <c:pt idx="1">
                  <c:v>2</c:v>
                </c:pt>
                <c:pt idx="2">
                  <c:v>3</c:v>
                </c:pt>
              </c:strCache>
            </c:strRef>
          </c:cat>
          <c:val>
            <c:numRef>
              <c:f>'AYLIK ŞİKAYET DAĞILIMI'!$B$6:$B$9</c:f>
              <c:numCache>
                <c:formatCode>General</c:formatCode>
                <c:ptCount val="3"/>
                <c:pt idx="2">
                  <c:v>1</c:v>
                </c:pt>
              </c:numCache>
            </c:numRef>
          </c:val>
          <c:extLst>
            <c:ext xmlns:c16="http://schemas.microsoft.com/office/drawing/2014/chart" uri="{C3380CC4-5D6E-409C-BE32-E72D297353CC}">
              <c16:uniqueId val="{00000000-C315-422E-B439-0DE43D94216D}"/>
            </c:ext>
          </c:extLst>
        </c:ser>
        <c:ser>
          <c:idx val="1"/>
          <c:order val="1"/>
          <c:tx>
            <c:strRef>
              <c:f>'AYLIK ŞİKAYET DAĞILIMI'!$C$4:$C$5</c:f>
              <c:strCache>
                <c:ptCount val="1"/>
                <c:pt idx="0">
                  <c:v>Haklı</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'AYLIK ŞİKAYET DAĞILIMI'!$A$6:$A$9</c:f>
              <c:strCache>
                <c:ptCount val="3"/>
                <c:pt idx="0">
                  <c:v>1</c:v>
                </c:pt>
                <c:pt idx="1">
                  <c:v>2</c:v>
                </c:pt>
                <c:pt idx="2">
                  <c:v>3</c:v>
                </c:pt>
              </c:strCache>
            </c:strRef>
          </c:cat>
          <c:val>
            <c:numRef>
              <c:f>'AYLIK ŞİKAYET DAĞILIMI'!$C$6:$C$9</c:f>
              <c:numCache>
                <c:formatCode>General</c:formatCode>
                <c:ptCount val="3"/>
                <c:pt idx="0">
                  <c:v>1</c:v>
                </c:pt>
                <c:pt idx="1">
                  <c:v>1</c:v>
                </c:pt>
                <c:pt idx="2">
                  <c:v>1</c:v>
                </c:pt>
              </c:numCache>
            </c:numRef>
          </c:val>
          <c:extLst>
            <c:ext xmlns:c16="http://schemas.microsoft.com/office/drawing/2014/chart" uri="{C3380CC4-5D6E-409C-BE32-E72D297353CC}">
              <c16:uniqueId val="{00000000-4549-477D-B777-D13E674BB0DB}"/>
            </c:ext>
          </c:extLst>
        </c:ser>
        <c:ser>
          <c:idx val="2"/>
          <c:order val="2"/>
          <c:tx>
            <c:strRef>
              <c:f>'AYLIK ŞİKAYET DAĞILIMI'!$D$4:$D$5</c:f>
              <c:strCache>
                <c:ptCount val="1"/>
                <c:pt idx="0">
                  <c:v>Haksız</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'AYLIK ŞİKAYET DAĞILIMI'!$A$6:$A$9</c:f>
              <c:strCache>
                <c:ptCount val="3"/>
                <c:pt idx="0">
                  <c:v>1</c:v>
                </c:pt>
                <c:pt idx="1">
                  <c:v>2</c:v>
                </c:pt>
                <c:pt idx="2">
                  <c:v>3</c:v>
                </c:pt>
              </c:strCache>
            </c:strRef>
          </c:cat>
          <c:val>
            <c:numRef>
              <c:f>'AYLIK ŞİKAYET DAĞILIMI'!$D$6:$D$9</c:f>
              <c:numCache>
                <c:formatCode>General</c:formatCode>
                <c:ptCount val="3"/>
                <c:pt idx="0">
                  <c:v>1</c:v>
                </c:pt>
              </c:numCache>
            </c:numRef>
          </c:val>
          <c:extLst>
            <c:ext xmlns:c16="http://schemas.microsoft.com/office/drawing/2014/chart" uri="{C3380CC4-5D6E-409C-BE32-E72D297353CC}">
              <c16:uniqueId val="{00000001-4549-477D-B777-D13E674BB0DB}"/>
            </c:ext>
          </c:extLst>
        </c:ser>
        <c:dLbls>
          <c:showLegendKey val="0"/>
          <c:showVal val="0"/>
          <c:showCatName val="0"/>
          <c:showSerName val="0"/>
          <c:showPercent val="0"/>
          <c:showBubbleSize val="0"/>
        </c:dLbls>
        <c:gapWidth val="219"/>
        <c:overlap val="-27"/>
        <c:axId val="812629375"/>
        <c:axId val="812627935"/>
      </c:barChart>
      <c:catAx>
        <c:axId val="8126293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tr-TR"/>
                  <a:t>Ay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tr-T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812627935"/>
        <c:crosses val="autoZero"/>
        <c:auto val="1"/>
        <c:lblAlgn val="ctr"/>
        <c:lblOffset val="100"/>
        <c:noMultiLvlLbl val="0"/>
      </c:catAx>
      <c:valAx>
        <c:axId val="812627935"/>
        <c:scaling>
          <c:orientation val="minMax"/>
          <c:max val="5"/>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tr-TR"/>
                  <a:t>Şikayet Sayısı</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tr-T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812629375"/>
        <c:crosses val="autoZero"/>
        <c:crossBetween val="between"/>
        <c:majorUnit val="1"/>
      </c:valAx>
      <c:spPr>
        <a:noFill/>
        <a:ln>
          <a:noFill/>
        </a:ln>
        <a:effectLst/>
      </c:spPr>
    </c:plotArea>
    <c:legend>
      <c:legendPos val="r"/>
      <c:layout>
        <c:manualLayout>
          <c:xMode val="edge"/>
          <c:yMode val="edge"/>
          <c:x val="0.71527777777777779"/>
          <c:y val="0.77219852726742488"/>
          <c:w val="0.20364738392051251"/>
          <c:h val="0.209585493015395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pivotSource>
    <c:name>[KG-LST-002 MUSTERI SIKAYETLERI TAKIP.xlsx]ŞİKAYET MARKA DAĞILIMI!PivotTable2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a:t>2026 YILI MART AYI ŞİKAYET MARKA DAĞILIMI</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'ŞİKAYET MARKA DAĞILIMI'!$B$4</c:f>
              <c:strCache>
                <c:ptCount val="1"/>
                <c:pt idx="0">
                  <c:v>Toplam</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'ŞİKAYET MARKA DAĞILIMI'!$A$5:$A$7</c:f>
              <c:strCache>
                <c:ptCount val="2"/>
                <c:pt idx="0">
                  <c:v>JASOLAR</c:v>
                </c:pt>
                <c:pt idx="1">
                  <c:v>MAVİÇAM</c:v>
                </c:pt>
              </c:strCache>
            </c:strRef>
          </c:cat>
          <c:val>
            <c:numRef>
              <c:f>'ŞİKAYET MARKA DAĞILIMI'!$B$5:$B$7</c:f>
              <c:numCache>
                <c:formatCode>General</c:formatCode>
                <c:ptCount val="2"/>
                <c:pt idx="0">
                  <c:v>22</c:v>
                </c:pt>
                <c:pt idx="1">
                  <c:v>1</c:v>
                </c:pt>
              </c:numCache>
            </c:numRef>
          </c:val>
          <c:extLst>
            <c:ext xmlns:c16="http://schemas.microsoft.com/office/drawing/2014/chart" uri="{C3380CC4-5D6E-409C-BE32-E72D297353CC}">
              <c16:uniqueId val="{00000000-DEAC-406E-B868-604D47B63CC4}"/>
            </c:ext>
          </c:extLst>
        </c:ser>
        <c:dLbls>
          <c:showLegendKey val="0"/>
          <c:showVal val="0"/>
          <c:showCatName val="0"/>
          <c:showSerName val="0"/>
          <c:showPercent val="0"/>
          <c:showBubbleSize val="0"/>
        </c:dLbls>
        <c:gapWidth val="219"/>
        <c:overlap val="-27"/>
        <c:axId val="812624575"/>
        <c:axId val="812633215"/>
      </c:barChart>
      <c:catAx>
        <c:axId val="8126245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tr-TR"/>
                  <a:t>Marka</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tr-T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812633215"/>
        <c:crosses val="autoZero"/>
        <c:auto val="1"/>
        <c:lblAlgn val="ctr"/>
        <c:lblOffset val="100"/>
        <c:noMultiLvlLbl val="0"/>
      </c:catAx>
      <c:valAx>
        <c:axId val="8126332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tr-TR"/>
                  <a:t>Modül</a:t>
                </a:r>
                <a:r>
                  <a:rPr lang="tr-TR" baseline="0"/>
                  <a:t> Sayısı</a:t>
                </a:r>
                <a:endParaRPr lang="tr-T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tr-T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812624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pivotSource>
    <c:name>[KG-LST-002 MUSTERI SIKAYETLERI TAKIP.xlsx]HATA TİPİ ANALİZİ - MODÜL!PivotTable4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a:t>HATA TÜRLERİ VE FABRİKA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'HATA TİPİ ANALİZİ - MODÜL'!$B$3:$B$4</c:f>
              <c:strCache>
                <c:ptCount val="1"/>
                <c:pt idx="0">
                  <c:v>HSA-1</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'HATA TİPİ ANALİZİ - MODÜL'!$A$5:$A$14</c:f>
              <c:multiLvlStrCache>
                <c:ptCount val="6"/>
                <c:lvl>
                  <c:pt idx="0">
                    <c:v>Diyot Hatası</c:v>
                  </c:pt>
                  <c:pt idx="1">
                    <c:v>Diyot Hatası</c:v>
                  </c:pt>
                  <c:pt idx="2">
                    <c:v>İkinci Sınıf Panel</c:v>
                  </c:pt>
                  <c:pt idx="3">
                    <c:v>Kırık Cam</c:v>
                  </c:pt>
                  <c:pt idx="4">
                    <c:v>Ölçü Farklılığı</c:v>
                  </c:pt>
                  <c:pt idx="5">
                    <c:v>Hotspot</c:v>
                  </c:pt>
                </c:lvl>
                <c:lvl>
                  <c:pt idx="0">
                    <c:v>Devam ediyor</c:v>
                  </c:pt>
                  <c:pt idx="1">
                    <c:v>Haklı</c:v>
                  </c:pt>
                  <c:pt idx="3">
                    <c:v>Haksız</c:v>
                  </c:pt>
                </c:lvl>
              </c:multiLvlStrCache>
            </c:multiLvlStrRef>
          </c:cat>
          <c:val>
            <c:numRef>
              <c:f>'HATA TİPİ ANALİZİ - MODÜL'!$B$5:$B$14</c:f>
              <c:numCache>
                <c:formatCode>General</c:formatCode>
                <c:ptCount val="6"/>
                <c:pt idx="1">
                  <c:v>61</c:v>
                </c:pt>
                <c:pt idx="2">
                  <c:v>108</c:v>
                </c:pt>
              </c:numCache>
            </c:numRef>
          </c:val>
          <c:extLst>
            <c:ext xmlns:c16="http://schemas.microsoft.com/office/drawing/2014/chart" uri="{C3380CC4-5D6E-409C-BE32-E72D297353CC}">
              <c16:uniqueId val="{00000000-77FD-4040-9A03-8CEF052B438A}"/>
            </c:ext>
          </c:extLst>
        </c:ser>
        <c:ser>
          <c:idx val="1"/>
          <c:order val="1"/>
          <c:tx>
            <c:strRef>
              <c:f>'HATA TİPİ ANALİZİ - MODÜL'!$C$3:$C$4</c:f>
              <c:strCache>
                <c:ptCount val="1"/>
                <c:pt idx="0">
                  <c:v>HSA-2</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'HATA TİPİ ANALİZİ - MODÜL'!$A$5:$A$14</c:f>
              <c:multiLvlStrCache>
                <c:ptCount val="6"/>
                <c:lvl>
                  <c:pt idx="0">
                    <c:v>Diyot Hatası</c:v>
                  </c:pt>
                  <c:pt idx="1">
                    <c:v>Diyot Hatası</c:v>
                  </c:pt>
                  <c:pt idx="2">
                    <c:v>İkinci Sınıf Panel</c:v>
                  </c:pt>
                  <c:pt idx="3">
                    <c:v>Kırık Cam</c:v>
                  </c:pt>
                  <c:pt idx="4">
                    <c:v>Ölçü Farklılığı</c:v>
                  </c:pt>
                  <c:pt idx="5">
                    <c:v>Hotspot</c:v>
                  </c:pt>
                </c:lvl>
                <c:lvl>
                  <c:pt idx="0">
                    <c:v>Devam ediyor</c:v>
                  </c:pt>
                  <c:pt idx="1">
                    <c:v>Haklı</c:v>
                  </c:pt>
                  <c:pt idx="3">
                    <c:v>Haksız</c:v>
                  </c:pt>
                </c:lvl>
              </c:multiLvlStrCache>
            </c:multiLvlStrRef>
          </c:cat>
          <c:val>
            <c:numRef>
              <c:f>'HATA TİPİ ANALİZİ - MODÜL'!$C$5:$C$14</c:f>
              <c:numCache>
                <c:formatCode>General</c:formatCode>
                <c:ptCount val="6"/>
                <c:pt idx="0">
                  <c:v>57</c:v>
                </c:pt>
                <c:pt idx="1">
                  <c:v>48</c:v>
                </c:pt>
                <c:pt idx="3">
                  <c:v>48</c:v>
                </c:pt>
                <c:pt idx="4">
                  <c:v>186</c:v>
                </c:pt>
                <c:pt idx="5">
                  <c:v>8</c:v>
                </c:pt>
              </c:numCache>
            </c:numRef>
          </c:val>
          <c:extLst>
            <c:ext xmlns:c16="http://schemas.microsoft.com/office/drawing/2014/chart" uri="{C3380CC4-5D6E-409C-BE32-E72D297353CC}">
              <c16:uniqueId val="{00000001-0FF9-4B28-9D58-FA0F00F8562E}"/>
            </c:ext>
          </c:extLst>
        </c:ser>
        <c:dLbls>
          <c:showLegendKey val="0"/>
          <c:showVal val="0"/>
          <c:showCatName val="0"/>
          <c:showSerName val="0"/>
          <c:showPercent val="0"/>
          <c:showBubbleSize val="0"/>
        </c:dLbls>
        <c:gapWidth val="219"/>
        <c:overlap val="-27"/>
        <c:axId val="1263136224"/>
        <c:axId val="1263150624"/>
      </c:barChart>
      <c:catAx>
        <c:axId val="12631362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tr-TR"/>
                  <a:t>Hata Tipi</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tr-T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263150624"/>
        <c:crosses val="autoZero"/>
        <c:auto val="1"/>
        <c:lblAlgn val="ctr"/>
        <c:lblOffset val="100"/>
        <c:noMultiLvlLbl val="0"/>
      </c:catAx>
      <c:valAx>
        <c:axId val="12631506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tr-TR"/>
              </a:p>
              <a:p>
                <a:pPr>
                  <a:defRPr/>
                </a:pPr>
                <a:r>
                  <a:rPr lang="tr-TR"/>
                  <a:t>Modül Sayısı</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tr-T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263136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a:t>2025 Yılı Müşteri Şikayetleri</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lotArea>
      <c:layout/>
      <c:barChart>
        <c:barDir val="col"/>
        <c:grouping val="stacked"/>
        <c:varyColors val="0"/>
        <c:ser>
          <c:idx val="0"/>
          <c:order val="0"/>
          <c:tx>
            <c:strRef>
              <c:f>'HATA TÜRLERİ VE FABRİKA'!$L$4</c:f>
              <c:strCache>
                <c:ptCount val="1"/>
                <c:pt idx="0">
                  <c:v>Belirsiz</c:v>
                </c:pt>
              </c:strCache>
            </c:strRef>
          </c:tx>
          <c:spPr>
            <a:solidFill>
              <a:schemeClr val="accent4">
                <a:lumMod val="60000"/>
                <a:lumOff val="40000"/>
              </a:schemeClr>
            </a:solidFill>
            <a:ln>
              <a:solidFill>
                <a:schemeClr val="accent4">
                  <a:lumMod val="60000"/>
                  <a:lumOff val="4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'HATA TÜRLERİ VE FABRİKA'!$K$5:$K$26</c:f>
              <c:strCache>
                <c:ptCount val="22"/>
                <c:pt idx="0">
                  <c:v>Silikon Lekesi</c:v>
                </c:pt>
                <c:pt idx="1">
                  <c:v>Diyot Hatası</c:v>
                </c:pt>
                <c:pt idx="2">
                  <c:v>Etiket Hatası</c:v>
                </c:pt>
                <c:pt idx="3">
                  <c:v>Kablo Boyu Kısa</c:v>
                </c:pt>
                <c:pt idx="4">
                  <c:v>Hot-spot</c:v>
                </c:pt>
                <c:pt idx="5">
                  <c:v>Ölçü Farklılığı</c:v>
                </c:pt>
                <c:pt idx="6">
                  <c:v>İkinci Sınıf Modül</c:v>
                </c:pt>
                <c:pt idx="7">
                  <c:v>Görsel Kusur</c:v>
                </c:pt>
                <c:pt idx="8">
                  <c:v>JB Lehim Hatası</c:v>
                </c:pt>
                <c:pt idx="9">
                  <c:v>Düşük Voltaj</c:v>
                </c:pt>
                <c:pt idx="10">
                  <c:v>Tozlu Hücre</c:v>
                </c:pt>
                <c:pt idx="11">
                  <c:v>Kırık</c:v>
                </c:pt>
                <c:pt idx="12">
                  <c:v>Çerçeve Açıklığı</c:v>
                </c:pt>
                <c:pt idx="13">
                  <c:v>Ribon Kayması</c:v>
                </c:pt>
                <c:pt idx="14">
                  <c:v>Backsheet Hatası</c:v>
                </c:pt>
                <c:pt idx="15">
                  <c:v>Cam Çiziği</c:v>
                </c:pt>
                <c:pt idx="16">
                  <c:v>Lekeli Cam</c:v>
                </c:pt>
                <c:pt idx="17">
                  <c:v>Konnektör Hatası</c:v>
                </c:pt>
                <c:pt idx="18">
                  <c:v>Çerçeve Deformasyonu</c:v>
                </c:pt>
                <c:pt idx="19">
                  <c:v>Toz Tutma</c:v>
                </c:pt>
                <c:pt idx="20">
                  <c:v>Köşe Açıklığı</c:v>
                </c:pt>
                <c:pt idx="21">
                  <c:v>String Ara Mesafe</c:v>
                </c:pt>
              </c:strCache>
            </c:strRef>
          </c:cat>
          <c:val>
            <c:numRef>
              <c:f>'HATA TÜRLERİ VE FABRİKA'!$L$5:$L$26</c:f>
              <c:numCache>
                <c:formatCode>General</c:formatCode>
                <c:ptCount val="22"/>
                <c:pt idx="1">
                  <c:v>2</c:v>
                </c:pt>
                <c:pt idx="16">
                  <c:v>6</c:v>
                </c:pt>
              </c:numCache>
            </c:numRef>
          </c:val>
          <c:extLst>
            <c:ext xmlns:c16="http://schemas.microsoft.com/office/drawing/2014/chart" uri="{C3380CC4-5D6E-409C-BE32-E72D297353CC}">
              <c16:uniqueId val="{00000000-9761-4123-99A7-27F427231A3C}"/>
            </c:ext>
          </c:extLst>
        </c:ser>
        <c:ser>
          <c:idx val="1"/>
          <c:order val="1"/>
          <c:tx>
            <c:strRef>
              <c:f>'HATA TÜRLERİ VE FABRİKA'!$M$4</c:f>
              <c:strCache>
                <c:ptCount val="1"/>
                <c:pt idx="0">
                  <c:v>JASOLAR</c:v>
                </c:pt>
              </c:strCache>
            </c:strRef>
          </c:tx>
          <c:spPr>
            <a:solidFill>
              <a:srgbClr val="002060"/>
            </a:solidFill>
            <a:ln>
              <a:solidFill>
                <a:srgbClr val="00206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'HATA TÜRLERİ VE FABRİKA'!$K$5:$K$26</c:f>
              <c:strCache>
                <c:ptCount val="22"/>
                <c:pt idx="0">
                  <c:v>Silikon Lekesi</c:v>
                </c:pt>
                <c:pt idx="1">
                  <c:v>Diyot Hatası</c:v>
                </c:pt>
                <c:pt idx="2">
                  <c:v>Etiket Hatası</c:v>
                </c:pt>
                <c:pt idx="3">
                  <c:v>Kablo Boyu Kısa</c:v>
                </c:pt>
                <c:pt idx="4">
                  <c:v>Hot-spot</c:v>
                </c:pt>
                <c:pt idx="5">
                  <c:v>Ölçü Farklılığı</c:v>
                </c:pt>
                <c:pt idx="6">
                  <c:v>İkinci Sınıf Modül</c:v>
                </c:pt>
                <c:pt idx="7">
                  <c:v>Görsel Kusur</c:v>
                </c:pt>
                <c:pt idx="8">
                  <c:v>JB Lehim Hatası</c:v>
                </c:pt>
                <c:pt idx="9">
                  <c:v>Düşük Voltaj</c:v>
                </c:pt>
                <c:pt idx="10">
                  <c:v>Tozlu Hücre</c:v>
                </c:pt>
                <c:pt idx="11">
                  <c:v>Kırık</c:v>
                </c:pt>
                <c:pt idx="12">
                  <c:v>Çerçeve Açıklığı</c:v>
                </c:pt>
                <c:pt idx="13">
                  <c:v>Ribon Kayması</c:v>
                </c:pt>
                <c:pt idx="14">
                  <c:v>Backsheet Hatası</c:v>
                </c:pt>
                <c:pt idx="15">
                  <c:v>Cam Çiziği</c:v>
                </c:pt>
                <c:pt idx="16">
                  <c:v>Lekeli Cam</c:v>
                </c:pt>
                <c:pt idx="17">
                  <c:v>Konnektör Hatası</c:v>
                </c:pt>
                <c:pt idx="18">
                  <c:v>Çerçeve Deformasyonu</c:v>
                </c:pt>
                <c:pt idx="19">
                  <c:v>Toz Tutma</c:v>
                </c:pt>
                <c:pt idx="20">
                  <c:v>Köşe Açıklığı</c:v>
                </c:pt>
                <c:pt idx="21">
                  <c:v>String Ara Mesafe</c:v>
                </c:pt>
              </c:strCache>
            </c:strRef>
          </c:cat>
          <c:val>
            <c:numRef>
              <c:f>'HATA TÜRLERİ VE FABRİKA'!$M$5:$M$26</c:f>
              <c:numCache>
                <c:formatCode>General</c:formatCode>
                <c:ptCount val="22"/>
                <c:pt idx="1">
                  <c:v>171</c:v>
                </c:pt>
                <c:pt idx="2">
                  <c:v>2</c:v>
                </c:pt>
                <c:pt idx="4">
                  <c:v>160</c:v>
                </c:pt>
                <c:pt idx="8">
                  <c:v>49</c:v>
                </c:pt>
                <c:pt idx="11">
                  <c:v>43</c:v>
                </c:pt>
                <c:pt idx="14">
                  <c:v>1</c:v>
                </c:pt>
                <c:pt idx="18">
                  <c:v>2</c:v>
                </c:pt>
                <c:pt idx="21">
                  <c:v>1</c:v>
                </c:pt>
              </c:numCache>
            </c:numRef>
          </c:val>
          <c:extLst>
            <c:ext xmlns:c16="http://schemas.microsoft.com/office/drawing/2014/chart" uri="{C3380CC4-5D6E-409C-BE32-E72D297353CC}">
              <c16:uniqueId val="{00000001-9761-4123-99A7-27F427231A3C}"/>
            </c:ext>
          </c:extLst>
        </c:ser>
        <c:ser>
          <c:idx val="2"/>
          <c:order val="2"/>
          <c:tx>
            <c:strRef>
              <c:f>'HATA TÜRLERİ VE FABRİKA'!$N$4</c:f>
              <c:strCache>
                <c:ptCount val="1"/>
                <c:pt idx="0">
                  <c:v>JINKOSOLAR</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'HATA TÜRLERİ VE FABRİKA'!$K$5:$K$26</c:f>
              <c:strCache>
                <c:ptCount val="22"/>
                <c:pt idx="0">
                  <c:v>Silikon Lekesi</c:v>
                </c:pt>
                <c:pt idx="1">
                  <c:v>Diyot Hatası</c:v>
                </c:pt>
                <c:pt idx="2">
                  <c:v>Etiket Hatası</c:v>
                </c:pt>
                <c:pt idx="3">
                  <c:v>Kablo Boyu Kısa</c:v>
                </c:pt>
                <c:pt idx="4">
                  <c:v>Hot-spot</c:v>
                </c:pt>
                <c:pt idx="5">
                  <c:v>Ölçü Farklılığı</c:v>
                </c:pt>
                <c:pt idx="6">
                  <c:v>İkinci Sınıf Modül</c:v>
                </c:pt>
                <c:pt idx="7">
                  <c:v>Görsel Kusur</c:v>
                </c:pt>
                <c:pt idx="8">
                  <c:v>JB Lehim Hatası</c:v>
                </c:pt>
                <c:pt idx="9">
                  <c:v>Düşük Voltaj</c:v>
                </c:pt>
                <c:pt idx="10">
                  <c:v>Tozlu Hücre</c:v>
                </c:pt>
                <c:pt idx="11">
                  <c:v>Kırık</c:v>
                </c:pt>
                <c:pt idx="12">
                  <c:v>Çerçeve Açıklığı</c:v>
                </c:pt>
                <c:pt idx="13">
                  <c:v>Ribon Kayması</c:v>
                </c:pt>
                <c:pt idx="14">
                  <c:v>Backsheet Hatası</c:v>
                </c:pt>
                <c:pt idx="15">
                  <c:v>Cam Çiziği</c:v>
                </c:pt>
                <c:pt idx="16">
                  <c:v>Lekeli Cam</c:v>
                </c:pt>
                <c:pt idx="17">
                  <c:v>Konnektör Hatası</c:v>
                </c:pt>
                <c:pt idx="18">
                  <c:v>Çerçeve Deformasyonu</c:v>
                </c:pt>
                <c:pt idx="19">
                  <c:v>Toz Tutma</c:v>
                </c:pt>
                <c:pt idx="20">
                  <c:v>Köşe Açıklığı</c:v>
                </c:pt>
                <c:pt idx="21">
                  <c:v>String Ara Mesafe</c:v>
                </c:pt>
              </c:strCache>
            </c:strRef>
          </c:cat>
          <c:val>
            <c:numRef>
              <c:f>'HATA TÜRLERİ VE FABRİKA'!$N$5:$N$26</c:f>
              <c:numCache>
                <c:formatCode>General</c:formatCode>
                <c:ptCount val="22"/>
                <c:pt idx="3">
                  <c:v>300</c:v>
                </c:pt>
                <c:pt idx="7">
                  <c:v>96</c:v>
                </c:pt>
                <c:pt idx="12">
                  <c:v>42</c:v>
                </c:pt>
                <c:pt idx="13">
                  <c:v>34</c:v>
                </c:pt>
                <c:pt idx="17">
                  <c:v>4</c:v>
                </c:pt>
              </c:numCache>
            </c:numRef>
          </c:val>
          <c:extLst>
            <c:ext xmlns:c16="http://schemas.microsoft.com/office/drawing/2014/chart" uri="{C3380CC4-5D6E-409C-BE32-E72D297353CC}">
              <c16:uniqueId val="{00000002-9761-4123-99A7-27F427231A3C}"/>
            </c:ext>
          </c:extLst>
        </c:ser>
        <c:ser>
          <c:idx val="3"/>
          <c:order val="3"/>
          <c:tx>
            <c:strRef>
              <c:f>'HATA TÜRLERİ VE FABRİKA'!$O$4</c:f>
              <c:strCache>
                <c:ptCount val="1"/>
                <c:pt idx="0">
                  <c:v>MAVİÇAM</c:v>
                </c:pt>
              </c:strCache>
            </c:strRef>
          </c:tx>
          <c:spPr>
            <a:solidFill>
              <a:schemeClr val="accent1">
                <a:lumMod val="60000"/>
                <a:lumOff val="40000"/>
              </a:schemeClr>
            </a:solidFill>
            <a:ln>
              <a:solidFill>
                <a:schemeClr val="accent1">
                  <a:lumMod val="60000"/>
                  <a:lumOff val="4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'HATA TÜRLERİ VE FABRİKA'!$K$5:$K$26</c:f>
              <c:strCache>
                <c:ptCount val="22"/>
                <c:pt idx="0">
                  <c:v>Silikon Lekesi</c:v>
                </c:pt>
                <c:pt idx="1">
                  <c:v>Diyot Hatası</c:v>
                </c:pt>
                <c:pt idx="2">
                  <c:v>Etiket Hatası</c:v>
                </c:pt>
                <c:pt idx="3">
                  <c:v>Kablo Boyu Kısa</c:v>
                </c:pt>
                <c:pt idx="4">
                  <c:v>Hot-spot</c:v>
                </c:pt>
                <c:pt idx="5">
                  <c:v>Ölçü Farklılığı</c:v>
                </c:pt>
                <c:pt idx="6">
                  <c:v>İkinci Sınıf Modül</c:v>
                </c:pt>
                <c:pt idx="7">
                  <c:v>Görsel Kusur</c:v>
                </c:pt>
                <c:pt idx="8">
                  <c:v>JB Lehim Hatası</c:v>
                </c:pt>
                <c:pt idx="9">
                  <c:v>Düşük Voltaj</c:v>
                </c:pt>
                <c:pt idx="10">
                  <c:v>Tozlu Hücre</c:v>
                </c:pt>
                <c:pt idx="11">
                  <c:v>Kırık</c:v>
                </c:pt>
                <c:pt idx="12">
                  <c:v>Çerçeve Açıklığı</c:v>
                </c:pt>
                <c:pt idx="13">
                  <c:v>Ribon Kayması</c:v>
                </c:pt>
                <c:pt idx="14">
                  <c:v>Backsheet Hatası</c:v>
                </c:pt>
                <c:pt idx="15">
                  <c:v>Cam Çiziği</c:v>
                </c:pt>
                <c:pt idx="16">
                  <c:v>Lekeli Cam</c:v>
                </c:pt>
                <c:pt idx="17">
                  <c:v>Konnektör Hatası</c:v>
                </c:pt>
                <c:pt idx="18">
                  <c:v>Çerçeve Deformasyonu</c:v>
                </c:pt>
                <c:pt idx="19">
                  <c:v>Toz Tutma</c:v>
                </c:pt>
                <c:pt idx="20">
                  <c:v>Köşe Açıklığı</c:v>
                </c:pt>
                <c:pt idx="21">
                  <c:v>String Ara Mesafe</c:v>
                </c:pt>
              </c:strCache>
            </c:strRef>
          </c:cat>
          <c:val>
            <c:numRef>
              <c:f>'HATA TÜRLERİ VE FABRİKA'!$O$5:$O$26</c:f>
              <c:numCache>
                <c:formatCode>General</c:formatCode>
                <c:ptCount val="22"/>
                <c:pt idx="0">
                  <c:v>740</c:v>
                </c:pt>
                <c:pt idx="1">
                  <c:v>206</c:v>
                </c:pt>
                <c:pt idx="2">
                  <c:v>9</c:v>
                </c:pt>
                <c:pt idx="4">
                  <c:v>34</c:v>
                </c:pt>
                <c:pt idx="5">
                  <c:v>186</c:v>
                </c:pt>
                <c:pt idx="6">
                  <c:v>108</c:v>
                </c:pt>
                <c:pt idx="8">
                  <c:v>45</c:v>
                </c:pt>
                <c:pt idx="9">
                  <c:v>90</c:v>
                </c:pt>
                <c:pt idx="10">
                  <c:v>60</c:v>
                </c:pt>
                <c:pt idx="11">
                  <c:v>12</c:v>
                </c:pt>
                <c:pt idx="14">
                  <c:v>10</c:v>
                </c:pt>
                <c:pt idx="15">
                  <c:v>9</c:v>
                </c:pt>
                <c:pt idx="19">
                  <c:v>1</c:v>
                </c:pt>
                <c:pt idx="20">
                  <c:v>1</c:v>
                </c:pt>
              </c:numCache>
            </c:numRef>
          </c:val>
          <c:extLst>
            <c:ext xmlns:c16="http://schemas.microsoft.com/office/drawing/2014/chart" uri="{C3380CC4-5D6E-409C-BE32-E72D297353CC}">
              <c16:uniqueId val="{00000003-9761-4123-99A7-27F427231A3C}"/>
            </c:ext>
          </c:extLst>
        </c:ser>
        <c:ser>
          <c:idx val="4"/>
          <c:order val="4"/>
          <c:tx>
            <c:strRef>
              <c:f>'HATA TÜRLERİ VE FABRİKA'!$P$4</c:f>
              <c:strCache>
                <c:ptCount val="1"/>
                <c:pt idx="0">
                  <c:v>SUNPWT</c:v>
                </c:pt>
              </c:strCache>
            </c:strRef>
          </c:tx>
          <c:spPr>
            <a:solidFill>
              <a:schemeClr val="accent2"/>
            </a:solidFill>
            <a:ln>
              <a:solidFill>
                <a:schemeClr val="accent2"/>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'HATA TÜRLERİ VE FABRİKA'!$K$5:$K$26</c:f>
              <c:strCache>
                <c:ptCount val="22"/>
                <c:pt idx="0">
                  <c:v>Silikon Lekesi</c:v>
                </c:pt>
                <c:pt idx="1">
                  <c:v>Diyot Hatası</c:v>
                </c:pt>
                <c:pt idx="2">
                  <c:v>Etiket Hatası</c:v>
                </c:pt>
                <c:pt idx="3">
                  <c:v>Kablo Boyu Kısa</c:v>
                </c:pt>
                <c:pt idx="4">
                  <c:v>Hot-spot</c:v>
                </c:pt>
                <c:pt idx="5">
                  <c:v>Ölçü Farklılığı</c:v>
                </c:pt>
                <c:pt idx="6">
                  <c:v>İkinci Sınıf Modül</c:v>
                </c:pt>
                <c:pt idx="7">
                  <c:v>Görsel Kusur</c:v>
                </c:pt>
                <c:pt idx="8">
                  <c:v>JB Lehim Hatası</c:v>
                </c:pt>
                <c:pt idx="9">
                  <c:v>Düşük Voltaj</c:v>
                </c:pt>
                <c:pt idx="10">
                  <c:v>Tozlu Hücre</c:v>
                </c:pt>
                <c:pt idx="11">
                  <c:v>Kırık</c:v>
                </c:pt>
                <c:pt idx="12">
                  <c:v>Çerçeve Açıklığı</c:v>
                </c:pt>
                <c:pt idx="13">
                  <c:v>Ribon Kayması</c:v>
                </c:pt>
                <c:pt idx="14">
                  <c:v>Backsheet Hatası</c:v>
                </c:pt>
                <c:pt idx="15">
                  <c:v>Cam Çiziği</c:v>
                </c:pt>
                <c:pt idx="16">
                  <c:v>Lekeli Cam</c:v>
                </c:pt>
                <c:pt idx="17">
                  <c:v>Konnektör Hatası</c:v>
                </c:pt>
                <c:pt idx="18">
                  <c:v>Çerçeve Deformasyonu</c:v>
                </c:pt>
                <c:pt idx="19">
                  <c:v>Toz Tutma</c:v>
                </c:pt>
                <c:pt idx="20">
                  <c:v>Köşe Açıklığı</c:v>
                </c:pt>
                <c:pt idx="21">
                  <c:v>String Ara Mesafe</c:v>
                </c:pt>
              </c:strCache>
            </c:strRef>
          </c:cat>
          <c:val>
            <c:numRef>
              <c:f>'HATA TÜRLERİ VE FABRİKA'!$P$5:$P$26</c:f>
              <c:numCache>
                <c:formatCode>General</c:formatCode>
                <c:ptCount val="22"/>
                <c:pt idx="2">
                  <c:v>314</c:v>
                </c:pt>
              </c:numCache>
            </c:numRef>
          </c:val>
          <c:extLst>
            <c:ext xmlns:c16="http://schemas.microsoft.com/office/drawing/2014/chart" uri="{C3380CC4-5D6E-409C-BE32-E72D297353CC}">
              <c16:uniqueId val="{00000004-9761-4123-99A7-27F427231A3C}"/>
            </c:ext>
          </c:extLst>
        </c:ser>
        <c:dLbls>
          <c:showLegendKey val="0"/>
          <c:showVal val="0"/>
          <c:showCatName val="0"/>
          <c:showSerName val="0"/>
          <c:showPercent val="0"/>
          <c:showBubbleSize val="0"/>
        </c:dLbls>
        <c:gapWidth val="150"/>
        <c:overlap val="100"/>
        <c:axId val="895964768"/>
        <c:axId val="895965248"/>
      </c:barChart>
      <c:catAx>
        <c:axId val="895964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895965248"/>
        <c:crosses val="autoZero"/>
        <c:auto val="1"/>
        <c:lblAlgn val="ctr"/>
        <c:lblOffset val="100"/>
        <c:noMultiLvlLbl val="0"/>
      </c:catAx>
      <c:valAx>
        <c:axId val="895965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8959647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pivotSource>
    <c:name>[KG-LST-002 MUSTERI SIKAYETLERI TAKIP.xlsx]HATA TÜRLERİ VE FABRİKA!PivotTable3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a:t>Şubat Şikayet-Marka</a:t>
            </a:r>
            <a:r>
              <a:rPr lang="tr-TR" baseline="0"/>
              <a:t> Dağılımları (Modül)</a:t>
            </a:r>
            <a:r>
              <a:rPr lang="tr-TR"/>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'HATA TÜRLERİ VE FABRİKA'!$B$4:$B$5</c:f>
              <c:strCache>
                <c:ptCount val="1"/>
                <c:pt idx="0">
                  <c:v>JASOLAR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'HATA TÜRLERİ VE FABRİKA'!$A$6:$A$8</c:f>
              <c:strCache>
                <c:ptCount val="2"/>
                <c:pt idx="0">
                  <c:v>Kırık Cam</c:v>
                </c:pt>
                <c:pt idx="1">
                  <c:v>Diyot Hatası</c:v>
                </c:pt>
              </c:strCache>
            </c:strRef>
          </c:cat>
          <c:val>
            <c:numRef>
              <c:f>'HATA TÜRLERİ VE FABRİKA'!$B$6:$B$8</c:f>
              <c:numCache>
                <c:formatCode>General</c:formatCode>
                <c:ptCount val="2"/>
                <c:pt idx="0">
                  <c:v>22</c:v>
                </c:pt>
              </c:numCache>
            </c:numRef>
          </c:val>
          <c:extLst>
            <c:ext xmlns:c16="http://schemas.microsoft.com/office/drawing/2014/chart" uri="{C3380CC4-5D6E-409C-BE32-E72D297353CC}">
              <c16:uniqueId val="{00000000-874C-4B58-B86E-7FD95353148E}"/>
            </c:ext>
          </c:extLst>
        </c:ser>
        <c:ser>
          <c:idx val="1"/>
          <c:order val="1"/>
          <c:tx>
            <c:strRef>
              <c:f>'HATA TÜRLERİ VE FABRİKA'!$C$4:$C$5</c:f>
              <c:strCache>
                <c:ptCount val="1"/>
                <c:pt idx="0">
                  <c:v>MAVİÇAM</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'HATA TÜRLERİ VE FABRİKA'!$A$6:$A$8</c:f>
              <c:strCache>
                <c:ptCount val="2"/>
                <c:pt idx="0">
                  <c:v>Kırık Cam</c:v>
                </c:pt>
                <c:pt idx="1">
                  <c:v>Diyot Hatası</c:v>
                </c:pt>
              </c:strCache>
            </c:strRef>
          </c:cat>
          <c:val>
            <c:numRef>
              <c:f>'HATA TÜRLERİ VE FABRİKA'!$C$6:$C$8</c:f>
              <c:numCache>
                <c:formatCode>General</c:formatCode>
                <c:ptCount val="2"/>
                <c:pt idx="1">
                  <c:v>1</c:v>
                </c:pt>
              </c:numCache>
            </c:numRef>
          </c:val>
          <c:extLst>
            <c:ext xmlns:c16="http://schemas.microsoft.com/office/drawing/2014/chart" uri="{C3380CC4-5D6E-409C-BE32-E72D297353CC}">
              <c16:uniqueId val="{00000000-3D8D-4437-80F1-B2006475AE1B}"/>
            </c:ext>
          </c:extLst>
        </c:ser>
        <c:dLbls>
          <c:showLegendKey val="0"/>
          <c:showVal val="0"/>
          <c:showCatName val="0"/>
          <c:showSerName val="0"/>
          <c:showPercent val="0"/>
          <c:showBubbleSize val="0"/>
        </c:dLbls>
        <c:gapWidth val="219"/>
        <c:overlap val="-27"/>
        <c:axId val="1354037583"/>
        <c:axId val="1354038063"/>
      </c:barChart>
      <c:catAx>
        <c:axId val="1354037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354038063"/>
        <c:crosses val="autoZero"/>
        <c:auto val="1"/>
        <c:lblAlgn val="ctr"/>
        <c:lblOffset val="100"/>
        <c:noMultiLvlLbl val="0"/>
      </c:catAx>
      <c:valAx>
        <c:axId val="1354038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354037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pivotSource>
    <c:name>[KG-LST-002 MUSTERI SIKAYETLERI TAKIP.xlsx]MÜŞTERİ- ŞİKAYET BİLGİSİ!PivotTable1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a:t>MART AYI HATA</a:t>
            </a:r>
            <a:r>
              <a:rPr lang="tr-TR" baseline="0"/>
              <a:t> - MÜŞTERİ BİLGİSİ</a:t>
            </a:r>
            <a:endParaRPr lang="tr-T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'MÜŞTERİ- ŞİKAYET BİLGİSİ'!$B$4</c:f>
              <c:strCache>
                <c:ptCount val="1"/>
                <c:pt idx="0">
                  <c:v>Toplam</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'MÜŞTERİ- ŞİKAYET BİLGİSİ'!$A$5:$A$9</c:f>
              <c:multiLvlStrCache>
                <c:ptCount val="2"/>
                <c:lvl>
                  <c:pt idx="0">
                    <c:v>Kırık</c:v>
                  </c:pt>
                  <c:pt idx="1">
                    <c:v>Diyot Hatası</c:v>
                  </c:pt>
                </c:lvl>
                <c:lvl>
                  <c:pt idx="0">
                    <c:v>ENTEGRO</c:v>
                  </c:pt>
                  <c:pt idx="1">
                    <c:v>HERAN ENERJİ</c:v>
                  </c:pt>
                </c:lvl>
              </c:multiLvlStrCache>
            </c:multiLvlStrRef>
          </c:cat>
          <c:val>
            <c:numRef>
              <c:f>'MÜŞTERİ- ŞİKAYET BİLGİSİ'!$B$5:$B$9</c:f>
              <c:numCache>
                <c:formatCode>General</c:formatCode>
                <c:ptCount val="2"/>
                <c:pt idx="0">
                  <c:v>22</c:v>
                </c:pt>
                <c:pt idx="1">
                  <c:v>1</c:v>
                </c:pt>
              </c:numCache>
            </c:numRef>
          </c:val>
          <c:extLst>
            <c:ext xmlns:c16="http://schemas.microsoft.com/office/drawing/2014/chart" uri="{C3380CC4-5D6E-409C-BE32-E72D297353CC}">
              <c16:uniqueId val="{00000000-CC45-4AFE-AD73-4C86C693C330}"/>
            </c:ext>
          </c:extLst>
        </c:ser>
        <c:dLbls>
          <c:showLegendKey val="0"/>
          <c:showVal val="0"/>
          <c:showCatName val="0"/>
          <c:showSerName val="0"/>
          <c:showPercent val="0"/>
          <c:showBubbleSize val="0"/>
        </c:dLbls>
        <c:gapWidth val="219"/>
        <c:overlap val="-27"/>
        <c:axId val="1352308303"/>
        <c:axId val="1384082319"/>
      </c:barChart>
      <c:catAx>
        <c:axId val="1352308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384082319"/>
        <c:crosses val="autoZero"/>
        <c:auto val="1"/>
        <c:lblAlgn val="ctr"/>
        <c:lblOffset val="100"/>
        <c:noMultiLvlLbl val="0"/>
      </c:catAx>
      <c:valAx>
        <c:axId val="13840823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352308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pivotSource>
    <c:name>[KG-LST-002 MUSTERI SIKAYETLERI TAKIP.xlsx]KPI - MODÜL SAYISI FABRİKA!PivotTable1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a:t>ŞİKAYET - ÜRETİM TESİSİ DAĞILIMI</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 - MODÜL SAYISI FABRİKA'!$B$5:$B$6</c:f>
              <c:strCache>
                <c:ptCount val="1"/>
                <c:pt idx="0">
                  <c:v>Devam ediyor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 MODÜL SAYISI FABRİKA'!$A$7:$A$10</c:f>
              <c:strCache>
                <c:ptCount val="3"/>
                <c:pt idx="0">
                  <c:v>1&amp;2</c:v>
                </c:pt>
                <c:pt idx="1">
                  <c:v>HSA-1</c:v>
                </c:pt>
                <c:pt idx="2">
                  <c:v>HSA-2</c:v>
                </c:pt>
              </c:strCache>
            </c:strRef>
          </c:cat>
          <c:val>
            <c:numRef>
              <c:f>'KPI - MODÜL SAYISI FABRİKA'!$B$7:$B$10</c:f>
              <c:numCache>
                <c:formatCode>General</c:formatCode>
                <c:ptCount val="3"/>
                <c:pt idx="2">
                  <c:v>22</c:v>
                </c:pt>
              </c:numCache>
            </c:numRef>
          </c:val>
          <c:extLst>
            <c:ext xmlns:c16="http://schemas.microsoft.com/office/drawing/2014/chart" uri="{C3380CC4-5D6E-409C-BE32-E72D297353CC}">
              <c16:uniqueId val="{00000000-45AA-4D18-92E0-82CE5088272C}"/>
            </c:ext>
          </c:extLst>
        </c:ser>
        <c:ser>
          <c:idx val="1"/>
          <c:order val="1"/>
          <c:tx>
            <c:strRef>
              <c:f>'KPI - MODÜL SAYISI FABRİKA'!$C$5:$C$6</c:f>
              <c:strCache>
                <c:ptCount val="1"/>
                <c:pt idx="0">
                  <c:v>Haklı</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 MODÜL SAYISI FABRİKA'!$A$7:$A$10</c:f>
              <c:strCache>
                <c:ptCount val="3"/>
                <c:pt idx="0">
                  <c:v>1&amp;2</c:v>
                </c:pt>
                <c:pt idx="1">
                  <c:v>HSA-1</c:v>
                </c:pt>
                <c:pt idx="2">
                  <c:v>HSA-2</c:v>
                </c:pt>
              </c:strCache>
            </c:strRef>
          </c:cat>
          <c:val>
            <c:numRef>
              <c:f>'KPI - MODÜL SAYISI FABRİKA'!$C$7:$C$10</c:f>
              <c:numCache>
                <c:formatCode>General</c:formatCode>
                <c:ptCount val="3"/>
                <c:pt idx="0">
                  <c:v>112</c:v>
                </c:pt>
                <c:pt idx="1">
                  <c:v>1</c:v>
                </c:pt>
              </c:numCache>
            </c:numRef>
          </c:val>
          <c:extLst>
            <c:ext xmlns:c16="http://schemas.microsoft.com/office/drawing/2014/chart" uri="{C3380CC4-5D6E-409C-BE32-E72D297353CC}">
              <c16:uniqueId val="{00000002-45AA-4D18-92E0-82CE5088272C}"/>
            </c:ext>
          </c:extLst>
        </c:ser>
        <c:ser>
          <c:idx val="2"/>
          <c:order val="2"/>
          <c:tx>
            <c:strRef>
              <c:f>'KPI - MODÜL SAYISI FABRİKA'!$D$5:$D$6</c:f>
              <c:strCache>
                <c:ptCount val="1"/>
                <c:pt idx="0">
                  <c:v>Haksız</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 MODÜL SAYISI FABRİKA'!$A$7:$A$10</c:f>
              <c:strCache>
                <c:ptCount val="3"/>
                <c:pt idx="0">
                  <c:v>1&amp;2</c:v>
                </c:pt>
                <c:pt idx="1">
                  <c:v>HSA-1</c:v>
                </c:pt>
                <c:pt idx="2">
                  <c:v>HSA-2</c:v>
                </c:pt>
              </c:strCache>
            </c:strRef>
          </c:cat>
          <c:val>
            <c:numRef>
              <c:f>'KPI - MODÜL SAYISI FABRİKA'!$D$7:$D$10</c:f>
              <c:numCache>
                <c:formatCode>General</c:formatCode>
                <c:ptCount val="3"/>
                <c:pt idx="0">
                  <c:v>6</c:v>
                </c:pt>
              </c:numCache>
            </c:numRef>
          </c:val>
          <c:extLst>
            <c:ext xmlns:c16="http://schemas.microsoft.com/office/drawing/2014/chart" uri="{C3380CC4-5D6E-409C-BE32-E72D297353CC}">
              <c16:uniqueId val="{00000000-755D-4768-BF08-B62B07C87822}"/>
            </c:ext>
          </c:extLst>
        </c:ser>
        <c:dLbls>
          <c:showLegendKey val="0"/>
          <c:showVal val="0"/>
          <c:showCatName val="0"/>
          <c:showSerName val="0"/>
          <c:showPercent val="0"/>
          <c:showBubbleSize val="0"/>
        </c:dLbls>
        <c:gapWidth val="219"/>
        <c:overlap val="-27"/>
        <c:axId val="812685535"/>
        <c:axId val="812696095"/>
      </c:barChart>
      <c:catAx>
        <c:axId val="8126855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tr-TR"/>
                  <a:t>Fabrika</a:t>
                </a:r>
              </a:p>
            </c:rich>
          </c:tx>
          <c:layout>
            <c:manualLayout>
              <c:xMode val="edge"/>
              <c:yMode val="edge"/>
              <c:x val="0.36943135532715948"/>
              <c:y val="0.8102566345873432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tr-T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812696095"/>
        <c:crosses val="autoZero"/>
        <c:auto val="1"/>
        <c:lblAlgn val="ctr"/>
        <c:lblOffset val="100"/>
        <c:noMultiLvlLbl val="0"/>
      </c:catAx>
      <c:valAx>
        <c:axId val="8126960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tr-TR"/>
                  <a:t>Modül Sayısı</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tr-T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812685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pivotSource>
    <c:name>[KG-LST-002 MUSTERI SIKAYETLERI TAKIP.xlsx]İŞLEM DURUMLARI!PivotTable1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SON 4</a:t>
            </a:r>
            <a:r>
              <a:rPr lang="tr-TR"/>
              <a:t> AY HAKLI ŞİKAYETLERİN SONUCUNDA YAPILAN İŞLEMLER</a:t>
            </a:r>
            <a:r>
              <a:rPr lang="en-US"/>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dLbl>
          <c:idx val="0"/>
          <c:layout>
            <c:manualLayout>
              <c:x val="5.3792738559366458E-5"/>
              <c:y val="1.34850418235386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'İŞLEM DURUMLARI'!$B$5:$B$6</c:f>
              <c:strCache>
                <c:ptCount val="1"/>
                <c:pt idx="0">
                  <c:v>Çerçeve Açıklığı</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'İŞLEM DURUMLARI'!$A$7:$A$9</c:f>
              <c:strCache>
                <c:ptCount val="2"/>
                <c:pt idx="0">
                  <c:v>Değişim</c:v>
                </c:pt>
                <c:pt idx="1">
                  <c:v>Tamir</c:v>
                </c:pt>
              </c:strCache>
            </c:strRef>
          </c:cat>
          <c:val>
            <c:numRef>
              <c:f>'İŞLEM DURUMLARI'!$B$7:$B$9</c:f>
              <c:numCache>
                <c:formatCode>General</c:formatCode>
                <c:ptCount val="2"/>
                <c:pt idx="0">
                  <c:v>37</c:v>
                </c:pt>
              </c:numCache>
            </c:numRef>
          </c:val>
          <c:extLst>
            <c:ext xmlns:c16="http://schemas.microsoft.com/office/drawing/2014/chart" uri="{C3380CC4-5D6E-409C-BE32-E72D297353CC}">
              <c16:uniqueId val="{00000000-7FF5-47A7-8456-5B0CCFB3FCB1}"/>
            </c:ext>
          </c:extLst>
        </c:ser>
        <c:ser>
          <c:idx val="1"/>
          <c:order val="1"/>
          <c:tx>
            <c:strRef>
              <c:f>'İŞLEM DURUMLARI'!$C$5:$C$6</c:f>
              <c:strCache>
                <c:ptCount val="1"/>
                <c:pt idx="0">
                  <c:v>Diyot Hatası</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'İŞLEM DURUMLARI'!$A$7:$A$9</c:f>
              <c:strCache>
                <c:ptCount val="2"/>
                <c:pt idx="0">
                  <c:v>Değişim</c:v>
                </c:pt>
                <c:pt idx="1">
                  <c:v>Tamir</c:v>
                </c:pt>
              </c:strCache>
            </c:strRef>
          </c:cat>
          <c:val>
            <c:numRef>
              <c:f>'İŞLEM DURUMLARI'!$C$7:$C$9</c:f>
              <c:numCache>
                <c:formatCode>General</c:formatCode>
                <c:ptCount val="2"/>
                <c:pt idx="0">
                  <c:v>1</c:v>
                </c:pt>
                <c:pt idx="1">
                  <c:v>221</c:v>
                </c:pt>
              </c:numCache>
            </c:numRef>
          </c:val>
          <c:extLst>
            <c:ext xmlns:c16="http://schemas.microsoft.com/office/drawing/2014/chart" uri="{C3380CC4-5D6E-409C-BE32-E72D297353CC}">
              <c16:uniqueId val="{00000001-7FF5-47A7-8456-5B0CCFB3FCB1}"/>
            </c:ext>
          </c:extLst>
        </c:ser>
        <c:ser>
          <c:idx val="2"/>
          <c:order val="2"/>
          <c:tx>
            <c:strRef>
              <c:f>'İŞLEM DURUMLARI'!$D$5:$D$6</c:f>
              <c:strCache>
                <c:ptCount val="1"/>
                <c:pt idx="0">
                  <c:v>İkinci Sınıf Panel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'İŞLEM DURUMLARI'!$A$7:$A$9</c:f>
              <c:strCache>
                <c:ptCount val="2"/>
                <c:pt idx="0">
                  <c:v>Değişim</c:v>
                </c:pt>
                <c:pt idx="1">
                  <c:v>Tamir</c:v>
                </c:pt>
              </c:strCache>
            </c:strRef>
          </c:cat>
          <c:val>
            <c:numRef>
              <c:f>'İŞLEM DURUMLARI'!$D$7:$D$9</c:f>
              <c:numCache>
                <c:formatCode>General</c:formatCode>
                <c:ptCount val="2"/>
                <c:pt idx="0">
                  <c:v>108</c:v>
                </c:pt>
              </c:numCache>
            </c:numRef>
          </c:val>
          <c:extLst>
            <c:ext xmlns:c16="http://schemas.microsoft.com/office/drawing/2014/chart" uri="{C3380CC4-5D6E-409C-BE32-E72D297353CC}">
              <c16:uniqueId val="{00000002-7FF5-47A7-8456-5B0CCFB3FCB1}"/>
            </c:ext>
          </c:extLst>
        </c:ser>
        <c:ser>
          <c:idx val="3"/>
          <c:order val="3"/>
          <c:tx>
            <c:strRef>
              <c:f>'İŞLEM DURUMLARI'!$E$5:$E$6</c:f>
              <c:strCache>
                <c:ptCount val="1"/>
                <c:pt idx="0">
                  <c:v>Kırık Hücre</c:v>
                </c:pt>
              </c:strCache>
            </c:strRef>
          </c:tx>
          <c:spPr>
            <a:solidFill>
              <a:schemeClr val="accent4"/>
            </a:solidFill>
            <a:ln>
              <a:noFill/>
            </a:ln>
            <a:effectLst/>
          </c:spPr>
          <c:invertIfNegative val="0"/>
          <c:cat>
            <c:strRef>
              <c:f>'İŞLEM DURUMLARI'!$A$7:$A$9</c:f>
              <c:strCache>
                <c:ptCount val="2"/>
                <c:pt idx="0">
                  <c:v>Değişim</c:v>
                </c:pt>
                <c:pt idx="1">
                  <c:v>Tamir</c:v>
                </c:pt>
              </c:strCache>
            </c:strRef>
          </c:cat>
          <c:val>
            <c:numRef>
              <c:f>'İŞLEM DURUMLARI'!$E$7:$E$9</c:f>
              <c:numCache>
                <c:formatCode>General</c:formatCode>
                <c:ptCount val="2"/>
                <c:pt idx="0">
                  <c:v>5</c:v>
                </c:pt>
              </c:numCache>
            </c:numRef>
          </c:val>
          <c:extLst>
            <c:ext xmlns:c16="http://schemas.microsoft.com/office/drawing/2014/chart" uri="{C3380CC4-5D6E-409C-BE32-E72D297353CC}">
              <c16:uniqueId val="{00000003-7FF5-47A7-8456-5B0CCFB3FCB1}"/>
            </c:ext>
          </c:extLst>
        </c:ser>
        <c:ser>
          <c:idx val="4"/>
          <c:order val="4"/>
          <c:tx>
            <c:strRef>
              <c:f>'İŞLEM DURUMLARI'!$F$5:$F$6</c:f>
              <c:strCache>
                <c:ptCount val="1"/>
                <c:pt idx="0">
                  <c:v>Köşe Açıklığı</c:v>
                </c:pt>
              </c:strCache>
            </c:strRef>
          </c:tx>
          <c:spPr>
            <a:solidFill>
              <a:schemeClr val="accent5"/>
            </a:solidFill>
            <a:ln>
              <a:noFill/>
            </a:ln>
            <a:effectLst/>
          </c:spPr>
          <c:invertIfNegative val="0"/>
          <c:cat>
            <c:strRef>
              <c:f>'İŞLEM DURUMLARI'!$A$7:$A$9</c:f>
              <c:strCache>
                <c:ptCount val="2"/>
                <c:pt idx="0">
                  <c:v>Değişim</c:v>
                </c:pt>
                <c:pt idx="1">
                  <c:v>Tamir</c:v>
                </c:pt>
              </c:strCache>
            </c:strRef>
          </c:cat>
          <c:val>
            <c:numRef>
              <c:f>'İŞLEM DURUMLARI'!$F$7:$F$9</c:f>
              <c:numCache>
                <c:formatCode>General</c:formatCode>
                <c:ptCount val="2"/>
                <c:pt idx="0">
                  <c:v>1</c:v>
                </c:pt>
              </c:numCache>
            </c:numRef>
          </c:val>
          <c:extLst>
            <c:ext xmlns:c16="http://schemas.microsoft.com/office/drawing/2014/chart" uri="{C3380CC4-5D6E-409C-BE32-E72D297353CC}">
              <c16:uniqueId val="{00000005-7FF5-47A7-8456-5B0CCFB3FCB1}"/>
            </c:ext>
          </c:extLst>
        </c:ser>
        <c:ser>
          <c:idx val="5"/>
          <c:order val="5"/>
          <c:tx>
            <c:strRef>
              <c:f>'İŞLEM DURUMLARI'!$G$5:$G$6</c:f>
              <c:strCache>
                <c:ptCount val="1"/>
                <c:pt idx="0">
                  <c:v>String Ara Mesafe</c:v>
                </c:pt>
              </c:strCache>
            </c:strRef>
          </c:tx>
          <c:spPr>
            <a:solidFill>
              <a:schemeClr val="accent6"/>
            </a:solidFill>
            <a:ln>
              <a:noFill/>
            </a:ln>
            <a:effectLst/>
          </c:spPr>
          <c:invertIfNegative val="0"/>
          <c:dPt>
            <c:idx val="0"/>
            <c:invertIfNegative val="0"/>
            <c:bubble3D val="0"/>
            <c:extLst>
              <c:ext xmlns:c16="http://schemas.microsoft.com/office/drawing/2014/chart" uri="{C3380CC4-5D6E-409C-BE32-E72D297353CC}">
                <c16:uniqueId val="{00000000-FD48-47A6-9AC7-151660D8BB99}"/>
              </c:ext>
            </c:extLst>
          </c:dPt>
          <c:dLbls>
            <c:dLbl>
              <c:idx val="0"/>
              <c:layout>
                <c:manualLayout>
                  <c:x val="5.3792738559366458E-5"/>
                  <c:y val="1.348504182353867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D48-47A6-9AC7-151660D8BB9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tr-T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'İŞLEM DURUMLARI'!$A$7:$A$9</c:f>
              <c:strCache>
                <c:ptCount val="2"/>
                <c:pt idx="0">
                  <c:v>Değişim</c:v>
                </c:pt>
                <c:pt idx="1">
                  <c:v>Tamir</c:v>
                </c:pt>
              </c:strCache>
            </c:strRef>
          </c:cat>
          <c:val>
            <c:numRef>
              <c:f>'İŞLEM DURUMLARI'!$G$7:$G$9</c:f>
              <c:numCache>
                <c:formatCode>General</c:formatCode>
                <c:ptCount val="2"/>
                <c:pt idx="0">
                  <c:v>1</c:v>
                </c:pt>
              </c:numCache>
            </c:numRef>
          </c:val>
          <c:extLst>
            <c:ext xmlns:c16="http://schemas.microsoft.com/office/drawing/2014/chart" uri="{C3380CC4-5D6E-409C-BE32-E72D297353CC}">
              <c16:uniqueId val="{00000006-7FF5-47A7-8456-5B0CCFB3FCB1}"/>
            </c:ext>
          </c:extLst>
        </c:ser>
        <c:dLbls>
          <c:showLegendKey val="0"/>
          <c:showVal val="0"/>
          <c:showCatName val="0"/>
          <c:showSerName val="0"/>
          <c:showPercent val="0"/>
          <c:showBubbleSize val="0"/>
        </c:dLbls>
        <c:gapWidth val="219"/>
        <c:overlap val="100"/>
        <c:axId val="1406884383"/>
        <c:axId val="1406872863"/>
      </c:barChart>
      <c:catAx>
        <c:axId val="14068843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İşlem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tr-T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406872863"/>
        <c:crosses val="autoZero"/>
        <c:auto val="1"/>
        <c:lblAlgn val="ctr"/>
        <c:lblOffset val="100"/>
        <c:noMultiLvlLbl val="0"/>
      </c:catAx>
      <c:valAx>
        <c:axId val="14068728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tr-TR"/>
                  <a:t>Modül Sayısı</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tr-T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406884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1" Type="http://schemas.openxmlformats.org/officeDocument/2006/relationships/chart" Target="../charts/chart9.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36</xdr:row>
      <xdr:rowOff>91888</xdr:rowOff>
    </xdr:from>
    <xdr:to>
      <xdr:col>3</xdr:col>
      <xdr:colOff>503582</xdr:colOff>
      <xdr:row>51</xdr:row>
      <xdr:rowOff>164306</xdr:rowOff>
    </xdr:to>
    <xdr:graphicFrame macro="">
      <xdr:nvGraphicFramePr>
        <xdr:cNvPr id="2" name="Grafik 1">
          <a:extLst>
            <a:ext uri="{FF2B5EF4-FFF2-40B4-BE49-F238E27FC236}">
              <a16:creationId xmlns:a16="http://schemas.microsoft.com/office/drawing/2014/main" id="{581DBA90-9C88-5112-655E-D8A8CA77A6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57</xdr:row>
      <xdr:rowOff>188120</xdr:rowOff>
    </xdr:from>
    <xdr:to>
      <xdr:col>4</xdr:col>
      <xdr:colOff>35719</xdr:colOff>
      <xdr:row>76</xdr:row>
      <xdr:rowOff>65484</xdr:rowOff>
    </xdr:to>
    <xdr:graphicFrame macro="">
      <xdr:nvGraphicFramePr>
        <xdr:cNvPr id="7" name="Grafik 6">
          <a:extLst>
            <a:ext uri="{FF2B5EF4-FFF2-40B4-BE49-F238E27FC236}">
              <a16:creationId xmlns:a16="http://schemas.microsoft.com/office/drawing/2014/main" id="{6437D11C-E03D-78E7-4E49-B7D1AEBB80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53339</xdr:colOff>
      <xdr:row>3</xdr:row>
      <xdr:rowOff>137160</xdr:rowOff>
    </xdr:from>
    <xdr:to>
      <xdr:col>15</xdr:col>
      <xdr:colOff>53340</xdr:colOff>
      <xdr:row>24</xdr:row>
      <xdr:rowOff>80962</xdr:rowOff>
    </xdr:to>
    <xdr:graphicFrame macro="">
      <xdr:nvGraphicFramePr>
        <xdr:cNvPr id="2" name="Grafik 1">
          <a:extLst>
            <a:ext uri="{FF2B5EF4-FFF2-40B4-BE49-F238E27FC236}">
              <a16:creationId xmlns:a16="http://schemas.microsoft.com/office/drawing/2014/main" id="{F3E58B37-3804-6B9F-FBD9-27FFD3BB8C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0</xdr:colOff>
      <xdr:row>11</xdr:row>
      <xdr:rowOff>90487</xdr:rowOff>
    </xdr:from>
    <xdr:to>
      <xdr:col>12</xdr:col>
      <xdr:colOff>304800</xdr:colOff>
      <xdr:row>25</xdr:row>
      <xdr:rowOff>166687</xdr:rowOff>
    </xdr:to>
    <xdr:graphicFrame macro="">
      <xdr:nvGraphicFramePr>
        <xdr:cNvPr id="2" name="Grafik 1">
          <a:extLst>
            <a:ext uri="{FF2B5EF4-FFF2-40B4-BE49-F238E27FC236}">
              <a16:creationId xmlns:a16="http://schemas.microsoft.com/office/drawing/2014/main" id="{458E373E-4280-1C8D-3D1F-3176C683F3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571499</xdr:colOff>
      <xdr:row>3</xdr:row>
      <xdr:rowOff>138111</xdr:rowOff>
    </xdr:from>
    <xdr:to>
      <xdr:col>14</xdr:col>
      <xdr:colOff>428624</xdr:colOff>
      <xdr:row>22</xdr:row>
      <xdr:rowOff>142874</xdr:rowOff>
    </xdr:to>
    <xdr:graphicFrame macro="">
      <xdr:nvGraphicFramePr>
        <xdr:cNvPr id="2" name="Grafik 1">
          <a:extLst>
            <a:ext uri="{FF2B5EF4-FFF2-40B4-BE49-F238E27FC236}">
              <a16:creationId xmlns:a16="http://schemas.microsoft.com/office/drawing/2014/main" id="{A56D3AF5-602F-55F7-34AD-163E9E01F2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10</xdr:col>
      <xdr:colOff>10766</xdr:colOff>
      <xdr:row>4</xdr:row>
      <xdr:rowOff>8282</xdr:rowOff>
    </xdr:from>
    <xdr:to>
      <xdr:col>16</xdr:col>
      <xdr:colOff>869673</xdr:colOff>
      <xdr:row>26</xdr:row>
      <xdr:rowOff>8282</xdr:rowOff>
    </xdr:to>
    <xdr:graphicFrame macro="">
      <xdr:nvGraphicFramePr>
        <xdr:cNvPr id="2" name="Grafik 1">
          <a:extLst>
            <a:ext uri="{FF2B5EF4-FFF2-40B4-BE49-F238E27FC236}">
              <a16:creationId xmlns:a16="http://schemas.microsoft.com/office/drawing/2014/main" id="{82A6E6D1-3279-659E-3712-FDAD61ACD0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770282</xdr:colOff>
      <xdr:row>8</xdr:row>
      <xdr:rowOff>8282</xdr:rowOff>
    </xdr:from>
    <xdr:to>
      <xdr:col>9</xdr:col>
      <xdr:colOff>430695</xdr:colOff>
      <xdr:row>23</xdr:row>
      <xdr:rowOff>62947</xdr:rowOff>
    </xdr:to>
    <xdr:graphicFrame macro="">
      <xdr:nvGraphicFramePr>
        <xdr:cNvPr id="3" name="Grafik 2">
          <a:extLst>
            <a:ext uri="{FF2B5EF4-FFF2-40B4-BE49-F238E27FC236}">
              <a16:creationId xmlns:a16="http://schemas.microsoft.com/office/drawing/2014/main" id="{B819F3BA-DE34-A9FC-30BD-8E549D5F98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495300</xdr:colOff>
      <xdr:row>11</xdr:row>
      <xdr:rowOff>90487</xdr:rowOff>
    </xdr:from>
    <xdr:to>
      <xdr:col>10</xdr:col>
      <xdr:colOff>504825</xdr:colOff>
      <xdr:row>25</xdr:row>
      <xdr:rowOff>166687</xdr:rowOff>
    </xdr:to>
    <xdr:graphicFrame macro="">
      <xdr:nvGraphicFramePr>
        <xdr:cNvPr id="2" name="Grafik 1">
          <a:extLst>
            <a:ext uri="{FF2B5EF4-FFF2-40B4-BE49-F238E27FC236}">
              <a16:creationId xmlns:a16="http://schemas.microsoft.com/office/drawing/2014/main" id="{D1524AEE-B99F-ABA4-0AFA-C1C2A9911C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571500</xdr:colOff>
      <xdr:row>11</xdr:row>
      <xdr:rowOff>90487</xdr:rowOff>
    </xdr:from>
    <xdr:to>
      <xdr:col>11</xdr:col>
      <xdr:colOff>266700</xdr:colOff>
      <xdr:row>25</xdr:row>
      <xdr:rowOff>166687</xdr:rowOff>
    </xdr:to>
    <xdr:graphicFrame macro="">
      <xdr:nvGraphicFramePr>
        <xdr:cNvPr id="2" name="Grafik 1">
          <a:extLst>
            <a:ext uri="{FF2B5EF4-FFF2-40B4-BE49-F238E27FC236}">
              <a16:creationId xmlns:a16="http://schemas.microsoft.com/office/drawing/2014/main" id="{E97E1E87-7707-2611-911B-606348BDE4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685800</xdr:colOff>
      <xdr:row>11</xdr:row>
      <xdr:rowOff>123825</xdr:rowOff>
    </xdr:from>
    <xdr:to>
      <xdr:col>11</xdr:col>
      <xdr:colOff>400050</xdr:colOff>
      <xdr:row>31</xdr:row>
      <xdr:rowOff>80962</xdr:rowOff>
    </xdr:to>
    <xdr:graphicFrame macro="">
      <xdr:nvGraphicFramePr>
        <xdr:cNvPr id="2" name="Grafik 1">
          <a:extLst>
            <a:ext uri="{FF2B5EF4-FFF2-40B4-BE49-F238E27FC236}">
              <a16:creationId xmlns:a16="http://schemas.microsoft.com/office/drawing/2014/main" id="{A63B2606-C747-068C-4176-AD6E20C623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c:userShapes xmlns:c="http://schemas.openxmlformats.org/drawingml/2006/chart">
  <cdr:relSizeAnchor xmlns:cdr="http://schemas.openxmlformats.org/drawingml/2006/chartDrawing">
    <cdr:from>
      <cdr:x>0.17832</cdr:x>
      <cdr:y>0.61133</cdr:y>
    </cdr:from>
    <cdr:to>
      <cdr:x>0.24528</cdr:x>
      <cdr:y>0.67729</cdr:y>
    </cdr:to>
    <cdr:sp macro="" textlink="">
      <cdr:nvSpPr>
        <cdr:cNvPr id="2" name="Metin kutusu 1">
          <a:extLst xmlns:a="http://schemas.openxmlformats.org/drawingml/2006/main">
            <a:ext uri="{FF2B5EF4-FFF2-40B4-BE49-F238E27FC236}">
              <a16:creationId xmlns:a16="http://schemas.microsoft.com/office/drawing/2014/main" id="{BECDFD7E-EA21-2155-700C-B96E70668E7A}"/>
            </a:ext>
          </a:extLst>
        </cdr:cNvPr>
        <cdr:cNvSpPr txBox="1"/>
      </cdr:nvSpPr>
      <cdr:spPr>
        <a:xfrm xmlns:a="http://schemas.openxmlformats.org/drawingml/2006/main">
          <a:off x="1171936" y="2302979"/>
          <a:ext cx="440087" cy="248478"/>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tr-TR" sz="1100" kern="1200"/>
            <a:t>153</a:t>
          </a:r>
        </a:p>
      </cdr:txBody>
    </cdr:sp>
  </cdr:relSizeAnchor>
  <cdr:relSizeAnchor xmlns:cdr="http://schemas.openxmlformats.org/drawingml/2006/chartDrawing">
    <cdr:from>
      <cdr:x>0.41641</cdr:x>
      <cdr:y>0.43343</cdr:y>
    </cdr:from>
    <cdr:to>
      <cdr:x>0.48338</cdr:x>
      <cdr:y>0.49939</cdr:y>
    </cdr:to>
    <cdr:sp macro="" textlink="">
      <cdr:nvSpPr>
        <cdr:cNvPr id="3" name="Metin kutusu 1">
          <a:extLst xmlns:a="http://schemas.openxmlformats.org/drawingml/2006/main">
            <a:ext uri="{FF2B5EF4-FFF2-40B4-BE49-F238E27FC236}">
              <a16:creationId xmlns:a16="http://schemas.microsoft.com/office/drawing/2014/main" id="{8A5718B3-A59B-D2A8-CDA5-265800D065D7}"/>
            </a:ext>
          </a:extLst>
        </cdr:cNvPr>
        <cdr:cNvSpPr txBox="1"/>
      </cdr:nvSpPr>
      <cdr:spPr>
        <a:xfrm xmlns:a="http://schemas.openxmlformats.org/drawingml/2006/main">
          <a:off x="2736780" y="1632779"/>
          <a:ext cx="440088" cy="248478"/>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tr-TR" sz="1100" kern="1200"/>
            <a:t>415</a:t>
          </a:r>
        </a:p>
      </cdr:txBody>
    </cdr:sp>
  </cdr:relSizeAnchor>
</c:userShapes>
</file>

<file path=xl/persons/person.xml><?xml version="1.0" encoding="utf-8"?>
<personList xmlns="http://schemas.microsoft.com/office/spreadsheetml/2018/threadedcomments" xmlns:x="http://schemas.openxmlformats.org/spreadsheetml/2006/main">
  <person displayName="İlayda Erbulan" id="{25031EC1-D3A6-46E6-9DD4-F0E145817037}" userId="S::ilaydaerbulan@hsaenerji.com::429f53a3-7cb4-4f03-8bbf-2ef45fb4122f"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layda Erbulan" refreshedDate="45933.691068749999" createdVersion="8" refreshedVersion="8" minRefreshableVersion="3" recordCount="5126" xr:uid="{3967EB6B-06A4-47E4-9158-1BE891450C32}">
  <cacheSource type="worksheet">
    <worksheetSource ref="A1:O1048576" sheet="BARKODLAR"/>
  </cacheSource>
  <cacheFields count="15">
    <cacheField name="NO" numFmtId="0">
      <sharedItems containsString="0" containsBlank="1" containsNumber="1" containsInteger="1" minValue="1" maxValue="53"/>
    </cacheField>
    <cacheField name="ŞİRKET" numFmtId="164">
      <sharedItems containsBlank="1"/>
    </cacheField>
    <cacheField name="PROJE" numFmtId="164">
      <sharedItems containsBlank="1"/>
    </cacheField>
    <cacheField name="ŞİKAYET TARİHİ" numFmtId="14">
      <sharedItems containsNonDate="0" containsDate="1" containsString="0" containsBlank="1" minDate="2025-01-21T00:00:00" maxDate="2025-10-03T00:00:00" count="40">
        <d v="2025-01-21T00:00:00"/>
        <d v="2025-01-29T00:00:00"/>
        <d v="2025-02-04T00:00:00"/>
        <d v="2025-01-28T00:00:00"/>
        <d v="2025-02-26T00:00:00"/>
        <d v="2025-03-13T00:00:00"/>
        <d v="2025-03-21T00:00:00"/>
        <d v="2025-04-03T00:00:00"/>
        <d v="2025-04-04T00:00:00"/>
        <d v="2025-04-08T00:00:00"/>
        <d v="2025-04-18T00:00:00"/>
        <d v="2025-04-24T00:00:00"/>
        <d v="2025-05-09T00:00:00"/>
        <d v="2025-05-08T00:00:00"/>
        <d v="2025-05-05T00:00:00"/>
        <d v="2025-05-22T00:00:00"/>
        <d v="2025-05-28T00:00:00"/>
        <d v="2025-06-17T00:00:00"/>
        <d v="2025-06-19T00:00:00"/>
        <d v="2025-07-01T00:00:00"/>
        <d v="2025-07-25T00:00:00"/>
        <d v="2025-08-04T00:00:00"/>
        <d v="2025-07-28T00:00:00"/>
        <d v="2025-07-30T00:00:00"/>
        <d v="2025-08-15T00:00:00"/>
        <d v="2025-08-19T00:00:00"/>
        <d v="2025-08-20T00:00:00"/>
        <d v="2025-08-22T00:00:00"/>
        <d v="2025-08-28T00:00:00"/>
        <d v="2025-09-05T00:00:00"/>
        <d v="2025-09-03T00:00:00"/>
        <d v="2025-09-12T00:00:00"/>
        <d v="2025-09-06T00:00:00"/>
        <d v="2025-09-18T00:00:00"/>
        <d v="2025-09-23T00:00:00"/>
        <d v="2025-09-24T00:00:00"/>
        <d v="2025-09-29T00:00:00"/>
        <d v="2025-09-30T00:00:00"/>
        <d v="2025-10-02T00:00:00"/>
        <m/>
      </sharedItems>
    </cacheField>
    <cacheField name="MODÜL SERİ NO" numFmtId="0">
      <sharedItems containsBlank="1"/>
    </cacheField>
    <cacheField name="KUSURLU ÜRÜN MİKTARI" numFmtId="0">
      <sharedItems containsString="0" containsBlank="1" containsNumber="1" containsInteger="1" minValue="1" maxValue="1"/>
    </cacheField>
    <cacheField name="FABRİKA" numFmtId="0">
      <sharedItems containsBlank="1" count="3">
        <m/>
        <s v="HSA-2"/>
        <s v="HSA-1"/>
      </sharedItems>
    </cacheField>
    <cacheField name="MARKA" numFmtId="0">
      <sharedItems containsBlank="1"/>
    </cacheField>
    <cacheField name="ÜRETİM TARİHİ" numFmtId="0">
      <sharedItems containsNonDate="0" containsDate="1" containsString="0" containsBlank="1" minDate="2021-11-01T00:00:00" maxDate="2025-03-02T00:00:00"/>
    </cacheField>
    <cacheField name="ÜRETİM YILI" numFmtId="0">
      <sharedItems containsString="0" containsBlank="1" containsNumber="1" containsInteger="1" minValue="1900" maxValue="2025"/>
    </cacheField>
    <cacheField name="ÜRETİM AYI" numFmtId="0">
      <sharedItems containsString="0" containsBlank="1" containsNumber="1" containsInteger="1" minValue="1" maxValue="12"/>
    </cacheField>
    <cacheField name="FARK(GÜN)" numFmtId="0">
      <sharedItems containsString="0" containsBlank="1" containsNumber="1" containsInteger="1" minValue="56" maxValue="45930"/>
    </cacheField>
    <cacheField name="HATA TANIMI" numFmtId="0">
      <sharedItems containsBlank="1" count="27">
        <s v="Cam Çiziği"/>
        <s v="KırıkCam"/>
        <s v="Kırık Cam"/>
        <s v="JB Lehim Hatası"/>
        <s v="Diyot Hatası"/>
        <s v="Backsheet Hatası"/>
        <s v="RibonKayması"/>
        <s v="KonnektörHatası"/>
        <s v="EtiketHatası"/>
        <s v="Hot-spot"/>
        <s v="DüşükVoltaj"/>
        <s v="DiyotHatası"/>
        <s v="Toztutma"/>
        <s v="Yabancı_x000a_Madde"/>
        <s v="Çizik Hücre"/>
        <s v="Lekeli Hücre"/>
        <s v="Finger Kırığı"/>
        <s v="Tozlu Hücre"/>
        <s v="Köşe Açıklığı"/>
        <s v="Silikon Lekesi"/>
        <s v="Kırık Hücre"/>
        <s v="Çerçeve Açıklığı"/>
        <s v="Hatalı Etiket"/>
        <s v="Ölçü Farklılığı"/>
        <s v="Hotspot"/>
        <s v="İkinci Sınıf Panel"/>
        <m/>
      </sharedItems>
    </cacheField>
    <cacheField name="İŞLEM" numFmtId="0">
      <sharedItems containsBlank="1"/>
    </cacheField>
    <cacheField name="HAKLI/HAKSIZŞİKAYET" numFmtId="0">
      <sharedItems containsBlank="1" count="4">
        <m/>
        <s v="Haksız"/>
        <s v="Haklı"/>
        <s v="Devam ediyor"/>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layda Erbulan" refreshedDate="46092.697131828703" createdVersion="8" refreshedVersion="8" minRefreshableVersion="3" recordCount="5265" xr:uid="{1BA8DA35-C267-434B-9DC4-A7FAD00C8D0F}">
  <cacheSource type="worksheet">
    <worksheetSource ref="A1:P1048576" sheet="BARKODLAR"/>
  </cacheSource>
  <cacheFields count="16">
    <cacheField name="NO" numFmtId="0">
      <sharedItems containsString="0" containsBlank="1" containsNumber="1" containsInteger="1" minValue="2501" maxValue="2603"/>
    </cacheField>
    <cacheField name="ŞİRKET" numFmtId="164">
      <sharedItems containsBlank="1" count="37">
        <s v="ENTEGRO"/>
        <s v="KONTEK"/>
        <s v="MELİKETEKSTİL"/>
        <s v="SOLARTODAY"/>
        <s v="IDAMARMERMER"/>
        <s v="YEŞİLYURT"/>
        <s v="ABCSOLAR"/>
        <s v="CITUSENERJI"/>
        <s v="ERTEKNİK"/>
        <s v="MİGROS"/>
        <s v="OZENERGY"/>
        <s v="ELEKTAENERJİ"/>
        <s v="YEO"/>
        <s v="PRONENENERJI"/>
        <s v="AYKAMÜHENDİSLİK"/>
        <s v="PVLUXENERJI"/>
        <s v="VAGUS"/>
        <s v="SOLARAPEX"/>
        <s v="DKY ENERJİ"/>
        <s v="CİTUS POWER"/>
        <s v="PİRAMİT SENTETİK"/>
        <s v="TEKSAN"/>
        <s v="INVESTT İNŞAAT"/>
        <s v="GENBA ENERJİ"/>
        <s v=" ORIENT MÜHENDİSLİK"/>
        <s v="GENERAL SOLAR"/>
        <s v="ARAL TEKSTİL"/>
        <s v="INSIGHT ENERJİ"/>
        <s v="ÇAĞATAY ELEKTRİK"/>
        <s v="GERİLİM ENERJİ"/>
        <s v="POINT ENERJI"/>
        <s v="HERAN ENERJİ"/>
        <s v="KARADAĞ MÜHENDİSLİK"/>
        <s v="METİNAYAZ"/>
        <s v="LEOSOLAR"/>
        <s v="AKAROĞLUENERJ"/>
        <m/>
      </sharedItems>
    </cacheField>
    <cacheField name="PROJE" numFmtId="164">
      <sharedItems containsBlank="1"/>
    </cacheField>
    <cacheField name="ŞİKAYET TARİHİ" numFmtId="14">
      <sharedItems containsNonDate="0" containsDate="1" containsString="0" containsBlank="1" minDate="2025-01-21T00:00:00" maxDate="2026-02-18T00:00:00"/>
    </cacheField>
    <cacheField name="MODÜL SERİ NO" numFmtId="0">
      <sharedItems containsBlank="1"/>
    </cacheField>
    <cacheField name="KUSURLU ÜRÜN MİKTARI" numFmtId="0">
      <sharedItems containsString="0" containsBlank="1" containsNumber="1" containsInteger="1" minValue="1" maxValue="1"/>
    </cacheField>
    <cacheField name="FABRİKA" numFmtId="0">
      <sharedItems containsBlank="1"/>
    </cacheField>
    <cacheField name="MARKA" numFmtId="0">
      <sharedItems containsBlank="1"/>
    </cacheField>
    <cacheField name="ÜRETİM TARİHİ" numFmtId="0">
      <sharedItems containsDate="1" containsBlank="1" containsMixedTypes="1" minDate="2021-11-01T00:00:00" maxDate="2025-03-02T00:00:00"/>
    </cacheField>
    <cacheField name="ÜRETİM YILI" numFmtId="0">
      <sharedItems containsBlank="1" containsMixedTypes="1" containsNumber="1" containsInteger="1" minValue="1900" maxValue="2025"/>
    </cacheField>
    <cacheField name="ÜRETİM AYI" numFmtId="0">
      <sharedItems containsBlank="1" containsMixedTypes="1" containsNumber="1" containsInteger="1" minValue="1" maxValue="12"/>
    </cacheField>
    <cacheField name="FARK(GÜN)" numFmtId="0">
      <sharedItems containsString="0" containsBlank="1" containsNumber="1" containsInteger="1" minValue="56" maxValue="45930"/>
    </cacheField>
    <cacheField name="HATA TANIMI" numFmtId="0">
      <sharedItems containsBlank="1" count="38">
        <s v="Cam Çiziği"/>
        <s v="Kırık"/>
        <s v="Diyot Hatası"/>
        <s v="Backsheet Hatası"/>
        <s v="Ribon Kayması"/>
        <s v="Konnektör Hatası"/>
        <s v="Etiket Hatası"/>
        <s v="Hot-spot"/>
        <s v="Düşük Voltaj"/>
        <s v="Tozlu Hücre"/>
        <s v="Yabancı_x000a_ Madde"/>
        <s v="Çizik Hücre"/>
        <s v="Lekeli Hücre"/>
        <s v="Finger Kırığı"/>
        <s v="Köşe Açıklığı"/>
        <s v="Silikon Lekesi"/>
        <s v="Kırık Hücre"/>
        <s v="Çerçeve Açıklığı"/>
        <s v="Ölçü Farklılığı"/>
        <s v="İkinci Sınıf Panel"/>
        <s v="Kablo Boyu Kısa"/>
        <s v="String Ara Mesafe"/>
        <s v="Çerçeve Deformasyonu"/>
        <s v="P Sınıfı Kartı ile Sevk"/>
        <m/>
        <s v="EtiketHatası" u="1"/>
        <s v="DüşükVoltaj" u="1"/>
        <s v="Yabancı_x000a_Madde" u="1"/>
        <s v="Hatalı Etiket" u="1"/>
        <s v="Hotspot" u="1"/>
        <s v="KırıkCam" u="1"/>
        <s v="Kırık Cam" u="1"/>
        <s v="RibonKayması" u="1"/>
        <s v="KonnektörHatası" u="1"/>
        <s v="İzolasyon Hatası" u="1"/>
        <s v="JB Lehim Hatası" u="1"/>
        <s v="DiyotHatası" u="1"/>
        <s v="Toztutma" u="1"/>
      </sharedItems>
    </cacheField>
    <cacheField name="İŞLEM" numFmtId="0">
      <sharedItems containsBlank="1" count="5">
        <s v="Değişim"/>
        <s v="Tamir"/>
        <m/>
        <s v="Garanti Taahhütü"/>
        <s v="Garanti" u="1"/>
      </sharedItems>
    </cacheField>
    <cacheField name="HAKLI/HAKSIZŞİKAYET" numFmtId="0">
      <sharedItems containsBlank="1" count="4">
        <s v="Haklı"/>
        <s v="Haksız"/>
        <s v="Devam Ediyor"/>
        <m/>
      </sharedItems>
    </cacheField>
    <cacheField name="ŞİKAYET AY" numFmtId="0">
      <sharedItems containsString="0" containsBlank="1" containsNumber="1" containsInteger="1" minValue="1" maxValue="12" count="13">
        <n v="1"/>
        <n v="2"/>
        <n v="3"/>
        <n v="4"/>
        <n v="5"/>
        <n v="6"/>
        <n v="7"/>
        <n v="8"/>
        <n v="9"/>
        <n v="10"/>
        <n v="11"/>
        <n v="12"/>
        <m/>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layda Erbulan" refreshedDate="46111.558398842593" createdVersion="8" refreshedVersion="8" minRefreshableVersion="3" recordCount="75" xr:uid="{EB2CFFA6-4C7B-4964-AD35-91341797D88A}">
  <cacheSource type="worksheet">
    <worksheetSource ref="E1:Q1048576" sheet="GENEL LİSTE"/>
  </cacheSource>
  <cacheFields count="13">
    <cacheField name="ŞİKAYET TARİHİ" numFmtId="14">
      <sharedItems containsNonDate="0" containsDate="1" containsString="0" containsBlank="1" minDate="2025-01-21T00:00:00" maxDate="2026-03-18T00:00:00"/>
    </cacheField>
    <cacheField name="MARKA" numFmtId="0">
      <sharedItems containsBlank="1" count="6">
        <s v="MAVİÇAM"/>
        <s v="JASOLAR"/>
        <s v="JINKOSOLAR"/>
        <s v="SUNPWT"/>
        <s v="?"/>
        <m/>
      </sharedItems>
    </cacheField>
    <cacheField name="FABRİKA" numFmtId="0">
      <sharedItems containsBlank="1"/>
    </cacheField>
    <cacheField name="MODÜL GÜCÜ" numFmtId="0">
      <sharedItems containsBlank="1" containsMixedTypes="1" containsNumber="1" containsInteger="1" minValue="540" maxValue="615"/>
    </cacheField>
    <cacheField name="KUSURLU ÜRÜN MİKTARI" numFmtId="0">
      <sharedItems containsString="0" containsBlank="1" containsNumber="1" containsInteger="1" minValue="1" maxValue="740"/>
    </cacheField>
    <cacheField name="HATA TANIMI (ÖZET)" numFmtId="0">
      <sharedItems containsBlank="1"/>
    </cacheField>
    <cacheField name="HAKLI/HAKSIZŞİKAYET" numFmtId="0">
      <sharedItems containsBlank="1"/>
    </cacheField>
    <cacheField name="ŞİKAYET NOTLARI" numFmtId="0">
      <sharedItems containsBlank="1" longText="1"/>
    </cacheField>
    <cacheField name="SON CEVAP TARİHİ" numFmtId="0">
      <sharedItems containsNonDate="0" containsDate="1" containsString="0" containsBlank="1" minDate="2025-01-28T00:00:00" maxDate="2026-03-18T00:00:00"/>
    </cacheField>
    <cacheField name="ŞİKAYET YIL" numFmtId="0">
      <sharedItems containsString="0" containsBlank="1" containsNumber="1" containsInteger="1" minValue="2025" maxValue="2026" count="3">
        <n v="2025"/>
        <n v="2026"/>
        <m/>
      </sharedItems>
    </cacheField>
    <cacheField name="ŞİKAYET AY" numFmtId="0">
      <sharedItems containsString="0" containsBlank="1" containsNumber="1" containsInteger="1" minValue="1" maxValue="12" count="13">
        <n v="1"/>
        <n v="2"/>
        <n v="3"/>
        <n v="4"/>
        <n v="5"/>
        <n v="6"/>
        <n v="7"/>
        <n v="8"/>
        <n v="9"/>
        <n v="10"/>
        <n v="11"/>
        <n v="12"/>
        <m/>
      </sharedItems>
    </cacheField>
    <cacheField name="HAFTA" numFmtId="0">
      <sharedItems containsString="0" containsBlank="1" containsNumber="1" containsInteger="1" minValue="4" maxValue="52"/>
    </cacheField>
    <cacheField name="NOT" numFmtId="0">
      <sharedItems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layda Erbulan" refreshedDate="46115.497180092592" createdVersion="8" refreshedVersion="8" minRefreshableVersion="3" recordCount="5261" xr:uid="{9C58248D-6949-41F8-88D5-619F488DF049}">
  <cacheSource type="worksheet">
    <worksheetSource ref="A1:Q1048576" sheet="BARKODLAR"/>
  </cacheSource>
  <cacheFields count="17">
    <cacheField name="NO" numFmtId="0">
      <sharedItems containsString="0" containsBlank="1" containsNumber="1" containsInteger="1" minValue="2501" maxValue="2605"/>
    </cacheField>
    <cacheField name="ŞİRKET" numFmtId="164">
      <sharedItems containsBlank="1" count="37">
        <s v="ENTEGRO"/>
        <s v="KONTEK"/>
        <s v="MELİKETEKSTİL"/>
        <s v="SOLARTODAY"/>
        <s v="IDAMARMERMER"/>
        <s v="YEŞİLYURT"/>
        <s v="ABCSOLAR"/>
        <s v="CITUSENERJI"/>
        <s v="ERTEKNİK"/>
        <s v="MİGROS"/>
        <s v="OZENERGY"/>
        <s v="ELEKTAENERJİ"/>
        <s v="YEO"/>
        <s v="PRONENENERJI"/>
        <s v="AYKAMÜHENDİSLİK"/>
        <s v="PVLUXENERJI"/>
        <s v="VAGUS"/>
        <s v="SOLARAPEX"/>
        <s v="DKY ENERJİ"/>
        <s v="CİTUS POWER"/>
        <s v="PİRAMİT SENTETİK"/>
        <s v="TEKSAN"/>
        <s v="INVESTT İNŞAAT"/>
        <s v="GENBA ENERJİ"/>
        <s v=" ORIENT MÜHENDİSLİK"/>
        <s v="GENERAL SOLAR"/>
        <s v="ARAL TEKSTİL"/>
        <s v="INSIGHT ENERJİ"/>
        <s v="ÇAĞATAY ELEKTRİK"/>
        <s v="GERİLİM ENERJİ"/>
        <s v="POINT ENERJI"/>
        <s v="HERAN ENERJİ"/>
        <s v="KARADAĞ MÜHENDİSLİK"/>
        <s v="METİNAYAZ"/>
        <s v="LEOSOLAR"/>
        <s v="AKAROĞLUENERJ"/>
        <m/>
      </sharedItems>
    </cacheField>
    <cacheField name="PROJE" numFmtId="164">
      <sharedItems containsBlank="1"/>
    </cacheField>
    <cacheField name="ŞİKAYET TARİHİ" numFmtId="14">
      <sharedItems containsNonDate="0" containsDate="1" containsString="0" containsBlank="1" minDate="2025-01-21T00:00:00" maxDate="2026-03-18T00:00:00"/>
    </cacheField>
    <cacheField name="MODÜL SERİ NO" numFmtId="0">
      <sharedItems containsBlank="1"/>
    </cacheField>
    <cacheField name="KUSURLU ÜRÜN MİKTARI" numFmtId="0">
      <sharedItems containsString="0" containsBlank="1" containsNumber="1" containsInteger="1" minValue="1" maxValue="1"/>
    </cacheField>
    <cacheField name="FABRİKA" numFmtId="0">
      <sharedItems containsBlank="1"/>
    </cacheField>
    <cacheField name="MARKA" numFmtId="0">
      <sharedItems containsBlank="1"/>
    </cacheField>
    <cacheField name="ÜRETİM TARİHİ" numFmtId="0">
      <sharedItems containsDate="1" containsBlank="1" containsMixedTypes="1" minDate="2021-11-01T00:00:00" maxDate="2025-03-02T00:00:00"/>
    </cacheField>
    <cacheField name="ÜRETİM YILI" numFmtId="0">
      <sharedItems containsBlank="1" containsMixedTypes="1" containsNumber="1" containsInteger="1" minValue="1900" maxValue="2025"/>
    </cacheField>
    <cacheField name="ÜRETİM AYI" numFmtId="0">
      <sharedItems containsBlank="1" containsMixedTypes="1" containsNumber="1" containsInteger="1" minValue="1" maxValue="12"/>
    </cacheField>
    <cacheField name="FARK(GÜN)" numFmtId="0">
      <sharedItems containsString="0" containsBlank="1" containsNumber="1" containsInteger="1" minValue="56" maxValue="45930"/>
    </cacheField>
    <cacheField name="HATA TANIMI" numFmtId="0">
      <sharedItems containsBlank="1" count="25">
        <s v="Cam Çiziği"/>
        <s v="Kırık"/>
        <s v="Diyot Hatası"/>
        <s v="Backsheet Hatası"/>
        <s v="Ribon Kayması"/>
        <s v="Konnektör Hatası"/>
        <s v="Etiket Hatası"/>
        <s v="Hot-spot"/>
        <s v="Düşük Voltaj"/>
        <s v="Tozlu Hücre"/>
        <s v="Yabancı_x000a_ Madde"/>
        <s v="Çizik Hücre"/>
        <s v="Lekeli Hücre"/>
        <s v="Finger Kırığı"/>
        <s v="Köşe Açıklığı"/>
        <s v="Silikon Lekesi"/>
        <s v="Kırık Hücre"/>
        <s v="Çerçeve Açıklığı"/>
        <s v="Ölçü Farklılığı"/>
        <s v="İkinci Sınıf Panel"/>
        <s v="Kablo Boyu Kısa"/>
        <s v="String Ara Mesafe"/>
        <s v="Çerçeve Deformasyonu"/>
        <s v="P Sınıfı Kartı ile Sevk"/>
        <m/>
      </sharedItems>
    </cacheField>
    <cacheField name="İŞLEM" numFmtId="0">
      <sharedItems containsBlank="1"/>
    </cacheField>
    <cacheField name="HAKLI/HAKSIZŞİKAYET" numFmtId="0">
      <sharedItems containsBlank="1"/>
    </cacheField>
    <cacheField name="ŞİKAYET AY" numFmtId="0">
      <sharedItems containsString="0" containsBlank="1" containsNumber="1" containsInteger="1" minValue="1" maxValue="12" count="13">
        <n v="1"/>
        <n v="2"/>
        <n v="3"/>
        <n v="4"/>
        <n v="5"/>
        <n v="6"/>
        <n v="7"/>
        <n v="8"/>
        <n v="9"/>
        <n v="10"/>
        <n v="11"/>
        <n v="12"/>
        <m/>
      </sharedItems>
    </cacheField>
    <cacheField name="ŞİKAYET YIL" numFmtId="0">
      <sharedItems containsString="0" containsBlank="1" containsNumber="1" containsInteger="1" minValue="2025" maxValue="2026" count="3">
        <n v="2025"/>
        <n v="2026"/>
        <m/>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layda Erbulan" refreshedDate="46118.447389004628" createdVersion="8" refreshedVersion="8" minRefreshableVersion="3" recordCount="75" xr:uid="{CA0DC17C-BCEA-422C-A141-05E120CF9114}">
  <cacheSource type="worksheet">
    <worksheetSource ref="A1:Q1048576" sheet="GENEL LİSTE"/>
  </cacheSource>
  <cacheFields count="17">
    <cacheField name="NO" numFmtId="0">
      <sharedItems containsString="0" containsBlank="1" containsNumber="1" containsInteger="1" minValue="2501" maxValue="2605"/>
    </cacheField>
    <cacheField name="ŞİRKET" numFmtId="164">
      <sharedItems containsBlank="1"/>
    </cacheField>
    <cacheField name="PROJE" numFmtId="164">
      <sharedItems containsBlank="1"/>
    </cacheField>
    <cacheField name="PROJE LOKASYONU" numFmtId="0">
      <sharedItems containsBlank="1"/>
    </cacheField>
    <cacheField name="ŞİKAYET TARİHİ" numFmtId="14">
      <sharedItems containsNonDate="0" containsDate="1" containsString="0" containsBlank="1" minDate="2025-01-21T00:00:00" maxDate="2026-03-18T00:00:00"/>
    </cacheField>
    <cacheField name="MARKA" numFmtId="0">
      <sharedItems containsBlank="1" count="6">
        <s v="MAVİÇAM"/>
        <s v="JASOLAR"/>
        <s v="JINKOSOLAR"/>
        <s v="SUNPWT"/>
        <s v="?"/>
        <m/>
      </sharedItems>
    </cacheField>
    <cacheField name="FABRİKA" numFmtId="0">
      <sharedItems containsBlank="1" count="4">
        <s v="HSA-2"/>
        <s v="HSA-1"/>
        <s v="1&amp;2"/>
        <m/>
      </sharedItems>
    </cacheField>
    <cacheField name="MODÜL GÜCÜ" numFmtId="0">
      <sharedItems containsBlank="1" containsMixedTypes="1" containsNumber="1" containsInteger="1" minValue="540" maxValue="615"/>
    </cacheField>
    <cacheField name="KUSURLU ÜRÜN MİKTARI" numFmtId="0">
      <sharedItems containsString="0" containsBlank="1" containsNumber="1" containsInteger="1" minValue="1" maxValue="740"/>
    </cacheField>
    <cacheField name="HATA TANIMI (ÖZET)" numFmtId="0">
      <sharedItems containsBlank="1" count="26">
        <s v="Cam Çiziği"/>
        <s v="Diyot Hatası"/>
        <s v="Backsheet Hatası"/>
        <s v="Ribon Kayması"/>
        <s v="Konnektör Hatası"/>
        <s v="Kırık"/>
        <s v="JB Lehim Hatası"/>
        <s v="Etiket Hatası"/>
        <s v="Hot-spot"/>
        <s v="Düşük Voltaj"/>
        <s v="Toz Tutma"/>
        <s v="Lekeli Cam"/>
        <s v="Tozlu Hücre"/>
        <s v="Köşe Açıklığı"/>
        <s v="Silikon Lekesi"/>
        <s v="Çerçeve Açıklığı"/>
        <s v="Görsel Kusur"/>
        <s v="Ölçü Farklılığı"/>
        <s v="İkinci Sınıf Modül"/>
        <s v="Kablo Boyu Kısa"/>
        <s v="String Ara Mesafe"/>
        <s v="Çerçeve Deformasyonu"/>
        <s v="P Sınıfı Kartı ile Sevk"/>
        <s v="Kırık Cam"/>
        <m/>
        <s v="Hatalı Etiket" u="1"/>
      </sharedItems>
    </cacheField>
    <cacheField name="HAKLI/HAKSIZŞİKAYET" numFmtId="0">
      <sharedItems containsBlank="1" count="5">
        <s v="Haklı"/>
        <s v="Haksız"/>
        <s v="Devam ediyor"/>
        <s v="?"/>
        <m/>
      </sharedItems>
    </cacheField>
    <cacheField name="ŞİKAYET NOTLARI" numFmtId="0">
      <sharedItems containsBlank="1" longText="1"/>
    </cacheField>
    <cacheField name="SON CEVAP TARİHİ" numFmtId="0">
      <sharedItems containsNonDate="0" containsDate="1" containsString="0" containsBlank="1" minDate="2025-01-28T00:00:00" maxDate="2026-03-18T00:00:00"/>
    </cacheField>
    <cacheField name="ŞİKAYET YIL" numFmtId="0">
      <sharedItems containsString="0" containsBlank="1" containsNumber="1" containsInteger="1" minValue="2025" maxValue="2026" count="3">
        <n v="2025"/>
        <n v="2026"/>
        <m/>
      </sharedItems>
    </cacheField>
    <cacheField name="ŞİKAYET AY" numFmtId="0">
      <sharedItems containsString="0" containsBlank="1" containsNumber="1" containsInteger="1" minValue="1" maxValue="12" count="13">
        <n v="1"/>
        <n v="2"/>
        <n v="3"/>
        <n v="4"/>
        <n v="5"/>
        <n v="6"/>
        <n v="7"/>
        <n v="8"/>
        <n v="9"/>
        <n v="10"/>
        <n v="11"/>
        <n v="12"/>
        <m/>
      </sharedItems>
    </cacheField>
    <cacheField name="HAFTA" numFmtId="0">
      <sharedItems containsString="0" containsBlank="1" containsNumber="1" containsInteger="1" minValue="4" maxValue="52"/>
    </cacheField>
    <cacheField name="NOT"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26">
  <r>
    <n v="1"/>
    <s v="ENTEGRO"/>
    <s v="GÜRALSERAMİK"/>
    <x v="0"/>
    <s v="2490108MC2016345"/>
    <n v="1"/>
    <x v="0"/>
    <m/>
    <d v="2024-09-01T00:00:00"/>
    <n v="2024"/>
    <n v="9"/>
    <n v="142"/>
    <x v="0"/>
    <s v="Değişim"/>
    <x v="0"/>
  </r>
  <r>
    <n v="1"/>
    <s v="ENTEGRO"/>
    <s v="GÜRALSERAMİK"/>
    <x v="0"/>
    <s v="2490108MC2021386"/>
    <n v="1"/>
    <x v="0"/>
    <m/>
    <d v="2024-09-01T00:00:00"/>
    <n v="2024"/>
    <n v="9"/>
    <n v="142"/>
    <x v="0"/>
    <s v="Değişim"/>
    <x v="0"/>
  </r>
  <r>
    <n v="1"/>
    <s v="ENTEGRO"/>
    <s v="GÜRALSERAMİK"/>
    <x v="0"/>
    <s v="2490108MC2005647"/>
    <n v="1"/>
    <x v="0"/>
    <m/>
    <d v="2024-09-01T00:00:00"/>
    <n v="2024"/>
    <n v="9"/>
    <n v="142"/>
    <x v="0"/>
    <s v="Değişim"/>
    <x v="0"/>
  </r>
  <r>
    <n v="1"/>
    <s v="ENTEGRO"/>
    <s v="GÜRALSERAMİK"/>
    <x v="0"/>
    <s v="2490108MC2004636"/>
    <n v="1"/>
    <x v="0"/>
    <m/>
    <d v="2024-09-01T00:00:00"/>
    <n v="2024"/>
    <n v="9"/>
    <n v="142"/>
    <x v="1"/>
    <s v="Değişim"/>
    <x v="0"/>
  </r>
  <r>
    <n v="1"/>
    <s v="ENTEGRO"/>
    <s v="GÜRALSERAMİK"/>
    <x v="0"/>
    <s v="2490108MC2004749"/>
    <n v="1"/>
    <x v="0"/>
    <m/>
    <d v="2024-09-01T00:00:00"/>
    <n v="2024"/>
    <n v="9"/>
    <n v="142"/>
    <x v="2"/>
    <s v="Değişim"/>
    <x v="0"/>
  </r>
  <r>
    <n v="1"/>
    <s v="ENTEGRO"/>
    <s v="GÜRALSERAMİK"/>
    <x v="0"/>
    <s v="2490108MC2003126"/>
    <n v="1"/>
    <x v="0"/>
    <m/>
    <d v="2024-09-01T00:00:00"/>
    <n v="2024"/>
    <n v="9"/>
    <n v="142"/>
    <x v="0"/>
    <s v="Değişim"/>
    <x v="0"/>
  </r>
  <r>
    <n v="1"/>
    <s v="ENTEGRO"/>
    <s v="GÜRALSERAMİK"/>
    <x v="0"/>
    <s v="2490108MC2019829"/>
    <n v="1"/>
    <x v="0"/>
    <m/>
    <d v="2024-09-01T00:00:00"/>
    <n v="2024"/>
    <n v="9"/>
    <n v="142"/>
    <x v="2"/>
    <s v="Değişim"/>
    <x v="0"/>
  </r>
  <r>
    <n v="1"/>
    <s v="ENTEGRO"/>
    <s v="GÜRALSERAMİK"/>
    <x v="0"/>
    <s v="2490108MC2019421"/>
    <n v="1"/>
    <x v="0"/>
    <m/>
    <d v="2024-09-01T00:00:00"/>
    <n v="2024"/>
    <n v="9"/>
    <n v="142"/>
    <x v="0"/>
    <s v="Değişim"/>
    <x v="0"/>
  </r>
  <r>
    <n v="1"/>
    <s v="ENTEGRO"/>
    <s v="GÜRALSERAMİK"/>
    <x v="0"/>
    <s v="2490108MC2019180"/>
    <n v="1"/>
    <x v="0"/>
    <m/>
    <d v="2024-09-01T00:00:00"/>
    <n v="2024"/>
    <n v="9"/>
    <n v="142"/>
    <x v="0"/>
    <s v="Değişim"/>
    <x v="0"/>
  </r>
  <r>
    <n v="2"/>
    <s v="KONTEK"/>
    <s v="JANTSA"/>
    <x v="1"/>
    <s v="HSA1122020400297"/>
    <n v="1"/>
    <x v="0"/>
    <m/>
    <d v="2021-11-01T00:00:00"/>
    <n v="2021"/>
    <n v="11"/>
    <n v="1185"/>
    <x v="3"/>
    <m/>
    <x v="0"/>
  </r>
  <r>
    <n v="2"/>
    <s v="KONTEK"/>
    <s v="JANTSA"/>
    <x v="1"/>
    <s v="HSA1122020100500"/>
    <n v="1"/>
    <x v="0"/>
    <m/>
    <d v="2021-11-01T00:00:00"/>
    <n v="2021"/>
    <n v="11"/>
    <n v="1185"/>
    <x v="3"/>
    <m/>
    <x v="0"/>
  </r>
  <r>
    <n v="2"/>
    <s v="KONTEK"/>
    <s v="JANTSA"/>
    <x v="1"/>
    <s v="HSA1122011900909"/>
    <n v="1"/>
    <x v="0"/>
    <m/>
    <d v="2021-11-01T00:00:00"/>
    <n v="2021"/>
    <n v="11"/>
    <n v="1185"/>
    <x v="3"/>
    <m/>
    <x v="0"/>
  </r>
  <r>
    <n v="2"/>
    <s v="KONTEK"/>
    <s v="JANTSA"/>
    <x v="1"/>
    <s v="HSA1122020200504"/>
    <n v="1"/>
    <x v="0"/>
    <m/>
    <d v="2021-11-01T00:00:00"/>
    <n v="2021"/>
    <n v="11"/>
    <n v="1185"/>
    <x v="3"/>
    <m/>
    <x v="0"/>
  </r>
  <r>
    <n v="2"/>
    <s v="KONTEK"/>
    <s v="JANTSA"/>
    <x v="1"/>
    <s v="HSA1122012700437"/>
    <n v="1"/>
    <x v="0"/>
    <m/>
    <d v="2021-11-01T00:00:00"/>
    <n v="2021"/>
    <n v="11"/>
    <n v="1185"/>
    <x v="3"/>
    <m/>
    <x v="0"/>
  </r>
  <r>
    <n v="2"/>
    <s v="KONTEK"/>
    <s v="JANTSA"/>
    <x v="1"/>
    <s v="HSA1122020200579"/>
    <n v="1"/>
    <x v="0"/>
    <m/>
    <d v="2021-11-01T00:00:00"/>
    <n v="2021"/>
    <n v="11"/>
    <n v="1185"/>
    <x v="3"/>
    <m/>
    <x v="0"/>
  </r>
  <r>
    <n v="2"/>
    <s v="KONTEK"/>
    <s v="JANTSA"/>
    <x v="1"/>
    <s v="HSA1122012900108"/>
    <n v="1"/>
    <x v="0"/>
    <m/>
    <d v="2021-11-01T00:00:00"/>
    <n v="2021"/>
    <n v="11"/>
    <n v="1185"/>
    <x v="3"/>
    <m/>
    <x v="0"/>
  </r>
  <r>
    <n v="2"/>
    <s v="KONTEK"/>
    <s v="JANTSA"/>
    <x v="1"/>
    <s v="HSA1121083100123"/>
    <n v="1"/>
    <x v="0"/>
    <m/>
    <d v="2021-11-01T00:00:00"/>
    <n v="2021"/>
    <n v="11"/>
    <n v="1185"/>
    <x v="3"/>
    <m/>
    <x v="0"/>
  </r>
  <r>
    <n v="2"/>
    <s v="KONTEK"/>
    <s v="JANTSA"/>
    <x v="1"/>
    <s v="HSA1122011900611"/>
    <n v="1"/>
    <x v="0"/>
    <m/>
    <d v="2021-11-01T00:00:00"/>
    <n v="2021"/>
    <n v="11"/>
    <n v="1185"/>
    <x v="3"/>
    <m/>
    <x v="0"/>
  </r>
  <r>
    <n v="2"/>
    <s v="KONTEK"/>
    <s v="JANTSA"/>
    <x v="1"/>
    <s v="HSA1122020400057"/>
    <n v="1"/>
    <x v="0"/>
    <m/>
    <d v="2021-11-01T00:00:00"/>
    <n v="2021"/>
    <n v="11"/>
    <n v="1185"/>
    <x v="3"/>
    <m/>
    <x v="0"/>
  </r>
  <r>
    <n v="2"/>
    <s v="KONTEK"/>
    <s v="JANTSA"/>
    <x v="1"/>
    <s v="HSA1122012700615"/>
    <n v="1"/>
    <x v="0"/>
    <m/>
    <d v="2021-11-01T00:00:00"/>
    <n v="2021"/>
    <n v="11"/>
    <n v="1185"/>
    <x v="3"/>
    <m/>
    <x v="0"/>
  </r>
  <r>
    <n v="2"/>
    <s v="KONTEK"/>
    <s v="JANTSA"/>
    <x v="1"/>
    <s v="HSA1122020400105"/>
    <n v="1"/>
    <x v="0"/>
    <m/>
    <d v="2021-11-01T00:00:00"/>
    <n v="2021"/>
    <n v="11"/>
    <n v="1185"/>
    <x v="3"/>
    <m/>
    <x v="0"/>
  </r>
  <r>
    <n v="2"/>
    <s v="KONTEK"/>
    <s v="JANTSA"/>
    <x v="1"/>
    <s v="HSA1122012800440"/>
    <n v="1"/>
    <x v="0"/>
    <m/>
    <d v="2021-11-01T00:00:00"/>
    <n v="2021"/>
    <n v="11"/>
    <n v="1185"/>
    <x v="3"/>
    <m/>
    <x v="0"/>
  </r>
  <r>
    <n v="2"/>
    <s v="KONTEK"/>
    <s v="JANTSA"/>
    <x v="1"/>
    <s v="HSA1122020300559"/>
    <n v="1"/>
    <x v="0"/>
    <m/>
    <d v="2021-11-01T00:00:00"/>
    <n v="2021"/>
    <n v="11"/>
    <n v="1185"/>
    <x v="3"/>
    <m/>
    <x v="0"/>
  </r>
  <r>
    <n v="2"/>
    <s v="KONTEK"/>
    <s v="JANTSA"/>
    <x v="1"/>
    <s v="HSA1122020400474"/>
    <n v="1"/>
    <x v="0"/>
    <m/>
    <d v="2021-11-01T00:00:00"/>
    <n v="2021"/>
    <n v="11"/>
    <n v="1185"/>
    <x v="3"/>
    <m/>
    <x v="0"/>
  </r>
  <r>
    <n v="2"/>
    <s v="KONTEK"/>
    <s v="JANTSA"/>
    <x v="1"/>
    <s v="HSA1122012900866"/>
    <n v="1"/>
    <x v="0"/>
    <m/>
    <d v="2021-11-01T00:00:00"/>
    <n v="2021"/>
    <n v="11"/>
    <n v="1185"/>
    <x v="3"/>
    <m/>
    <x v="0"/>
  </r>
  <r>
    <n v="2"/>
    <s v="KONTEK"/>
    <s v="JANTSA"/>
    <x v="1"/>
    <s v="HSA1122020400019"/>
    <n v="1"/>
    <x v="0"/>
    <m/>
    <d v="2021-11-01T00:00:00"/>
    <n v="2021"/>
    <n v="11"/>
    <n v="1185"/>
    <x v="3"/>
    <m/>
    <x v="0"/>
  </r>
  <r>
    <n v="2"/>
    <s v="KONTEK"/>
    <s v="JANTSA"/>
    <x v="1"/>
    <s v="HSA1122020200864"/>
    <n v="1"/>
    <x v="0"/>
    <m/>
    <d v="2021-11-01T00:00:00"/>
    <n v="2021"/>
    <n v="11"/>
    <n v="1185"/>
    <x v="3"/>
    <m/>
    <x v="0"/>
  </r>
  <r>
    <n v="3"/>
    <s v="KONTEK"/>
    <s v="JANTSA-HADDANE"/>
    <x v="1"/>
    <s v="2320108MC2010500"/>
    <n v="1"/>
    <x v="0"/>
    <m/>
    <d v="2023-02-01T00:00:00"/>
    <n v="2023"/>
    <n v="2"/>
    <n v="728"/>
    <x v="4"/>
    <m/>
    <x v="0"/>
  </r>
  <r>
    <n v="3"/>
    <s v="KONTEK"/>
    <s v="JANTSA-HADDANE"/>
    <x v="1"/>
    <s v="2320108MC2012795"/>
    <n v="1"/>
    <x v="0"/>
    <m/>
    <d v="2023-02-01T00:00:00"/>
    <n v="2023"/>
    <n v="2"/>
    <n v="728"/>
    <x v="4"/>
    <m/>
    <x v="0"/>
  </r>
  <r>
    <n v="3"/>
    <s v="KONTEK"/>
    <s v="JANTSA-HADDANE"/>
    <x v="1"/>
    <s v="2320108MC2012647"/>
    <n v="1"/>
    <x v="0"/>
    <m/>
    <d v="2023-02-01T00:00:00"/>
    <n v="2023"/>
    <n v="2"/>
    <n v="728"/>
    <x v="4"/>
    <m/>
    <x v="0"/>
  </r>
  <r>
    <n v="3"/>
    <s v="KONTEK"/>
    <s v="JANTSA-HADDANE"/>
    <x v="1"/>
    <s v="2320108MC2012329"/>
    <n v="1"/>
    <x v="0"/>
    <m/>
    <d v="2023-02-01T00:00:00"/>
    <n v="2023"/>
    <n v="2"/>
    <n v="728"/>
    <x v="4"/>
    <m/>
    <x v="0"/>
  </r>
  <r>
    <n v="3"/>
    <s v="KONTEK"/>
    <s v="JANTSA-HADDANE"/>
    <x v="1"/>
    <s v="2320108MC2011805"/>
    <n v="1"/>
    <x v="0"/>
    <m/>
    <d v="2023-02-01T00:00:00"/>
    <n v="2023"/>
    <n v="2"/>
    <n v="728"/>
    <x v="4"/>
    <m/>
    <x v="0"/>
  </r>
  <r>
    <n v="3"/>
    <s v="KONTEK"/>
    <s v="JANTSA-HADDANE"/>
    <x v="1"/>
    <s v="2320108MC2012482"/>
    <n v="1"/>
    <x v="0"/>
    <m/>
    <d v="2023-02-01T00:00:00"/>
    <n v="2023"/>
    <n v="2"/>
    <n v="728"/>
    <x v="4"/>
    <m/>
    <x v="0"/>
  </r>
  <r>
    <n v="3"/>
    <s v="KONTEK"/>
    <s v="JANTSA-HADDANE"/>
    <x v="1"/>
    <s v="2320108MC2012408"/>
    <n v="1"/>
    <x v="0"/>
    <m/>
    <d v="2023-02-01T00:00:00"/>
    <n v="2023"/>
    <n v="2"/>
    <n v="728"/>
    <x v="4"/>
    <m/>
    <x v="0"/>
  </r>
  <r>
    <n v="3"/>
    <s v="KONTEK"/>
    <s v="JANTSA-HADDANE"/>
    <x v="1"/>
    <s v="2320108MC2012620"/>
    <n v="1"/>
    <x v="0"/>
    <m/>
    <d v="2023-02-01T00:00:00"/>
    <n v="2023"/>
    <n v="2"/>
    <n v="728"/>
    <x v="4"/>
    <m/>
    <x v="0"/>
  </r>
  <r>
    <n v="3"/>
    <s v="KONTEK"/>
    <s v="JANTSA-HADDANE"/>
    <x v="1"/>
    <s v="2320108MC2012798"/>
    <n v="1"/>
    <x v="0"/>
    <m/>
    <d v="2023-02-01T00:00:00"/>
    <n v="2023"/>
    <n v="2"/>
    <n v="728"/>
    <x v="4"/>
    <m/>
    <x v="0"/>
  </r>
  <r>
    <n v="3"/>
    <s v="KONTEK"/>
    <s v="JANTSA-HADDANE"/>
    <x v="1"/>
    <s v="2320108MC2012417"/>
    <n v="1"/>
    <x v="0"/>
    <m/>
    <d v="2023-02-01T00:00:00"/>
    <n v="2023"/>
    <n v="2"/>
    <n v="728"/>
    <x v="4"/>
    <m/>
    <x v="0"/>
  </r>
  <r>
    <n v="3"/>
    <s v="KONTEK"/>
    <s v="JANTSA-HADDANE"/>
    <x v="1"/>
    <s v="2320108MC2013065"/>
    <n v="1"/>
    <x v="0"/>
    <m/>
    <d v="2023-02-01T00:00:00"/>
    <n v="2023"/>
    <n v="2"/>
    <n v="728"/>
    <x v="4"/>
    <m/>
    <x v="0"/>
  </r>
  <r>
    <n v="4"/>
    <s v="KONTEK"/>
    <s v="JANTSA-ORTAKLAR"/>
    <x v="1"/>
    <s v="2310108MC2016899"/>
    <n v="1"/>
    <x v="0"/>
    <m/>
    <d v="2023-01-01T00:00:00"/>
    <n v="2023"/>
    <n v="1"/>
    <n v="759"/>
    <x v="4"/>
    <m/>
    <x v="0"/>
  </r>
  <r>
    <n v="4"/>
    <s v="KONTEK"/>
    <s v="JANTSA-ORTAKLAR"/>
    <x v="1"/>
    <s v="2310108MC2009246"/>
    <n v="1"/>
    <x v="0"/>
    <m/>
    <d v="2023-01-01T00:00:00"/>
    <n v="2023"/>
    <n v="1"/>
    <n v="759"/>
    <x v="4"/>
    <m/>
    <x v="0"/>
  </r>
  <r>
    <n v="4"/>
    <s v="KONTEK"/>
    <s v="JANTSA-ORTAKLAR"/>
    <x v="1"/>
    <s v="2310108MC2010330"/>
    <n v="1"/>
    <x v="0"/>
    <m/>
    <d v="2023-01-01T00:00:00"/>
    <n v="2023"/>
    <n v="1"/>
    <n v="759"/>
    <x v="4"/>
    <m/>
    <x v="0"/>
  </r>
  <r>
    <n v="4"/>
    <s v="KONTEK"/>
    <s v="JANTSA-ORTAKLAR"/>
    <x v="1"/>
    <s v="2320108MC2012554"/>
    <n v="1"/>
    <x v="0"/>
    <m/>
    <d v="2023-02-01T00:00:00"/>
    <n v="2023"/>
    <n v="2"/>
    <n v="728"/>
    <x v="4"/>
    <m/>
    <x v="0"/>
  </r>
  <r>
    <n v="4"/>
    <s v="KONTEK"/>
    <s v="JANTSA-ORTAKLAR"/>
    <x v="1"/>
    <s v="2320108MC2011577"/>
    <n v="1"/>
    <x v="0"/>
    <m/>
    <d v="2023-02-01T00:00:00"/>
    <n v="2023"/>
    <n v="2"/>
    <n v="728"/>
    <x v="4"/>
    <m/>
    <x v="0"/>
  </r>
  <r>
    <n v="4"/>
    <s v="KONTEK"/>
    <s v="JANTSA-ORTAKLAR"/>
    <x v="1"/>
    <s v="2320108MC2012977"/>
    <n v="1"/>
    <x v="0"/>
    <m/>
    <d v="2023-02-01T00:00:00"/>
    <n v="2023"/>
    <n v="2"/>
    <n v="728"/>
    <x v="4"/>
    <m/>
    <x v="0"/>
  </r>
  <r>
    <n v="4"/>
    <s v="KONTEK"/>
    <s v="JANTSA-ORTAKLAR"/>
    <x v="1"/>
    <s v="2320108MC2012272"/>
    <n v="1"/>
    <x v="0"/>
    <m/>
    <d v="2023-02-01T00:00:00"/>
    <n v="2023"/>
    <n v="2"/>
    <n v="728"/>
    <x v="4"/>
    <m/>
    <x v="0"/>
  </r>
  <r>
    <n v="5"/>
    <s v="KONTEK"/>
    <s v="PMI"/>
    <x v="1"/>
    <s v="2390108BX0025745"/>
    <n v="1"/>
    <x v="0"/>
    <m/>
    <d v="2024-09-01T00:00:00"/>
    <n v="2024"/>
    <n v="9"/>
    <n v="150"/>
    <x v="3"/>
    <m/>
    <x v="0"/>
  </r>
  <r>
    <n v="5"/>
    <s v="KONTEK"/>
    <s v="PMI"/>
    <x v="1"/>
    <s v="2320108MC2020259"/>
    <n v="1"/>
    <x v="0"/>
    <m/>
    <d v="2023-02-01T00:00:00"/>
    <n v="2023"/>
    <n v="2"/>
    <n v="728"/>
    <x v="4"/>
    <m/>
    <x v="0"/>
  </r>
  <r>
    <n v="5"/>
    <s v="KONTEK"/>
    <s v="PMI"/>
    <x v="1"/>
    <s v="2320108MC2020309"/>
    <n v="1"/>
    <x v="0"/>
    <m/>
    <d v="2023-02-01T00:00:00"/>
    <n v="2023"/>
    <n v="2"/>
    <n v="728"/>
    <x v="4"/>
    <m/>
    <x v="0"/>
  </r>
  <r>
    <n v="6"/>
    <s v="KONTEK"/>
    <s v="ARNES"/>
    <x v="2"/>
    <s v="HSA1122012100585"/>
    <n v="1"/>
    <x v="0"/>
    <m/>
    <d v="2021-11-01T00:00:00"/>
    <n v="2021"/>
    <n v="11"/>
    <n v="1191"/>
    <x v="3"/>
    <m/>
    <x v="0"/>
  </r>
  <r>
    <n v="6"/>
    <s v="KONTEK"/>
    <s v="ARNES"/>
    <x v="2"/>
    <s v="2240108BW0019160"/>
    <n v="1"/>
    <x v="0"/>
    <m/>
    <d v="2022-04-01T00:00:00"/>
    <n v="2022"/>
    <n v="4"/>
    <n v="1040"/>
    <x v="3"/>
    <m/>
    <x v="0"/>
  </r>
  <r>
    <n v="6"/>
    <s v="KONTEK"/>
    <s v="ARNES"/>
    <x v="2"/>
    <s v="HSA11220111700335"/>
    <n v="1"/>
    <x v="0"/>
    <m/>
    <d v="2021-11-01T00:00:00"/>
    <n v="2021"/>
    <n v="11"/>
    <n v="1191"/>
    <x v="3"/>
    <m/>
    <x v="0"/>
  </r>
  <r>
    <n v="7"/>
    <s v="KONTEK"/>
    <s v="MAYTEKS"/>
    <x v="2"/>
    <s v="2350108BXD009285"/>
    <n v="1"/>
    <x v="0"/>
    <m/>
    <d v="2023-05-01T00:00:00"/>
    <n v="2023"/>
    <n v="5"/>
    <n v="645"/>
    <x v="3"/>
    <m/>
    <x v="0"/>
  </r>
  <r>
    <n v="7"/>
    <s v="KONTEK"/>
    <s v="MAYTEKS"/>
    <x v="2"/>
    <s v="2340108BXD030775"/>
    <n v="1"/>
    <x v="0"/>
    <m/>
    <d v="2023-04-01T00:00:00"/>
    <n v="2023"/>
    <n v="4"/>
    <n v="675"/>
    <x v="3"/>
    <m/>
    <x v="0"/>
  </r>
  <r>
    <n v="8"/>
    <s v="MELİKETEKSTİL"/>
    <s v="MELİKETEKSTİL"/>
    <x v="3"/>
    <s v="2330108BW0021986"/>
    <n v="1"/>
    <x v="0"/>
    <m/>
    <d v="2023-03-01T00:00:00"/>
    <n v="2023"/>
    <n v="3"/>
    <n v="699"/>
    <x v="5"/>
    <m/>
    <x v="0"/>
  </r>
  <r>
    <n v="9"/>
    <s v="SOLARTODAY"/>
    <s v="LİMAK"/>
    <x v="4"/>
    <s v="E3FXT425A219990037902616"/>
    <n v="1"/>
    <x v="0"/>
    <m/>
    <d v="2025-01-01T00:00:00"/>
    <n v="2025"/>
    <n v="1"/>
    <n v="56"/>
    <x v="6"/>
    <m/>
    <x v="0"/>
  </r>
  <r>
    <n v="10"/>
    <s v="SOLARTODAY"/>
    <s v="LİMAK"/>
    <x v="5"/>
    <s v="E3FXT425A22999"/>
    <n v="1"/>
    <x v="0"/>
    <m/>
    <d v="2025-01-01T00:00:00"/>
    <n v="2025"/>
    <n v="1"/>
    <n v="71"/>
    <x v="7"/>
    <m/>
    <x v="0"/>
  </r>
  <r>
    <n v="10"/>
    <s v="SOLARTODAY"/>
    <s v="LİMAK"/>
    <x v="5"/>
    <s v="E3FXT425A22999"/>
    <n v="1"/>
    <x v="0"/>
    <m/>
    <d v="2025-01-01T00:00:00"/>
    <n v="2025"/>
    <n v="1"/>
    <n v="71"/>
    <x v="7"/>
    <m/>
    <x v="0"/>
  </r>
  <r>
    <n v="10"/>
    <s v="SOLARTODAY"/>
    <s v="LİMAK"/>
    <x v="5"/>
    <s v="E3FXT425A22999"/>
    <n v="1"/>
    <x v="0"/>
    <m/>
    <d v="2025-01-01T00:00:00"/>
    <n v="2025"/>
    <n v="1"/>
    <n v="71"/>
    <x v="7"/>
    <m/>
    <x v="0"/>
  </r>
  <r>
    <n v="10"/>
    <s v="SOLARTODAY"/>
    <s v="LİMAK"/>
    <x v="5"/>
    <s v="E3FXT425A22999"/>
    <n v="1"/>
    <x v="0"/>
    <m/>
    <d v="2025-01-01T00:00:00"/>
    <n v="2025"/>
    <n v="1"/>
    <n v="71"/>
    <x v="7"/>
    <m/>
    <x v="0"/>
  </r>
  <r>
    <n v="11"/>
    <s v="IDAMARMERMER"/>
    <s v="IDAMARMERMER"/>
    <x v="6"/>
    <s v="2450308MC1023912"/>
    <n v="1"/>
    <x v="0"/>
    <m/>
    <d v="2024-05-01T00:00:00"/>
    <n v="2024"/>
    <n v="5"/>
    <n v="324"/>
    <x v="1"/>
    <m/>
    <x v="0"/>
  </r>
  <r>
    <n v="11"/>
    <s v="IDAMARMERMER"/>
    <s v="IDAMARMERMER"/>
    <x v="6"/>
    <s v="2450308MC1020363"/>
    <n v="1"/>
    <x v="0"/>
    <m/>
    <d v="2024-05-01T00:00:00"/>
    <n v="2024"/>
    <n v="5"/>
    <n v="324"/>
    <x v="1"/>
    <m/>
    <x v="0"/>
  </r>
  <r>
    <n v="12"/>
    <s v="ENTEGRO"/>
    <s v="GÜRALSERAMİK"/>
    <x v="7"/>
    <s v="2490108MC2022367"/>
    <n v="1"/>
    <x v="0"/>
    <m/>
    <d v="2024-09-01T00:00:00"/>
    <n v="2024"/>
    <n v="9"/>
    <n v="214"/>
    <x v="3"/>
    <m/>
    <x v="0"/>
  </r>
  <r>
    <n v="12"/>
    <s v="ENTEGRO"/>
    <s v="GÜRALSERAMİK"/>
    <x v="7"/>
    <s v="2490108MC2017322"/>
    <n v="1"/>
    <x v="0"/>
    <m/>
    <d v="2024-09-01T00:00:00"/>
    <n v="2024"/>
    <n v="9"/>
    <n v="214"/>
    <x v="3"/>
    <m/>
    <x v="0"/>
  </r>
  <r>
    <n v="12"/>
    <s v="ENTEGRO"/>
    <s v="GÜRALSERAMİK"/>
    <x v="7"/>
    <s v="2490108MC2022358"/>
    <n v="1"/>
    <x v="0"/>
    <m/>
    <d v="2024-09-01T00:00:00"/>
    <n v="2024"/>
    <n v="9"/>
    <n v="214"/>
    <x v="3"/>
    <m/>
    <x v="0"/>
  </r>
  <r>
    <n v="12"/>
    <s v="ENTEGRO"/>
    <s v="GÜRALSERAMİK"/>
    <x v="7"/>
    <s v="2490108MC2012706"/>
    <n v="1"/>
    <x v="0"/>
    <m/>
    <d v="2024-09-01T00:00:00"/>
    <n v="2024"/>
    <n v="9"/>
    <n v="214"/>
    <x v="3"/>
    <m/>
    <x v="0"/>
  </r>
  <r>
    <n v="12"/>
    <s v="ENTEGRO"/>
    <s v="GÜRALSERAMİK"/>
    <x v="7"/>
    <s v="2490108MC2020108"/>
    <n v="1"/>
    <x v="0"/>
    <m/>
    <d v="2024-09-01T00:00:00"/>
    <n v="2024"/>
    <n v="9"/>
    <n v="214"/>
    <x v="3"/>
    <m/>
    <x v="0"/>
  </r>
  <r>
    <n v="12"/>
    <s v="ENTEGRO"/>
    <s v="GÜRALSERAMİK"/>
    <x v="7"/>
    <s v="2490108MC2002082"/>
    <n v="1"/>
    <x v="0"/>
    <m/>
    <d v="2024-09-01T00:00:00"/>
    <n v="2024"/>
    <n v="9"/>
    <n v="214"/>
    <x v="3"/>
    <m/>
    <x v="0"/>
  </r>
  <r>
    <n v="12"/>
    <s v="ENTEGRO"/>
    <s v="GÜRALSERAMİK"/>
    <x v="7"/>
    <s v="2490108MC2010651"/>
    <n v="1"/>
    <x v="0"/>
    <m/>
    <d v="2024-09-01T00:00:00"/>
    <n v="2024"/>
    <n v="9"/>
    <n v="214"/>
    <x v="3"/>
    <m/>
    <x v="0"/>
  </r>
  <r>
    <n v="12"/>
    <s v="ENTEGRO"/>
    <s v="GÜRALSERAMİK"/>
    <x v="7"/>
    <s v="2490108MC2007180"/>
    <n v="1"/>
    <x v="0"/>
    <m/>
    <d v="2024-09-01T00:00:00"/>
    <n v="2024"/>
    <n v="9"/>
    <n v="214"/>
    <x v="3"/>
    <m/>
    <x v="0"/>
  </r>
  <r>
    <n v="12"/>
    <s v="ENTEGRO"/>
    <s v="GÜRALSERAMİK"/>
    <x v="7"/>
    <s v="2490108MC2017832"/>
    <n v="1"/>
    <x v="0"/>
    <m/>
    <d v="2024-09-01T00:00:00"/>
    <n v="2024"/>
    <n v="9"/>
    <n v="214"/>
    <x v="3"/>
    <m/>
    <x v="0"/>
  </r>
  <r>
    <n v="12"/>
    <s v="ENTEGRO"/>
    <s v="GÜRALSERAMİK"/>
    <x v="7"/>
    <s v="2490108MC2006709"/>
    <n v="1"/>
    <x v="0"/>
    <m/>
    <d v="2024-09-01T00:00:00"/>
    <n v="2024"/>
    <n v="9"/>
    <n v="214"/>
    <x v="3"/>
    <m/>
    <x v="0"/>
  </r>
  <r>
    <n v="12"/>
    <s v="ENTEGRO"/>
    <s v="GÜRALSERAMİK"/>
    <x v="7"/>
    <s v="2490108MC2006770"/>
    <n v="1"/>
    <x v="0"/>
    <m/>
    <d v="2024-09-01T00:00:00"/>
    <n v="2024"/>
    <n v="9"/>
    <n v="214"/>
    <x v="3"/>
    <m/>
    <x v="0"/>
  </r>
  <r>
    <n v="13"/>
    <s v="YEŞİLYURT"/>
    <s v="YEŞİLYURT"/>
    <x v="8"/>
    <s v="2520107BW0036999"/>
    <n v="1"/>
    <x v="0"/>
    <m/>
    <d v="2025-02-01T00:00:00"/>
    <n v="2025"/>
    <n v="2"/>
    <n v="62"/>
    <x v="8"/>
    <m/>
    <x v="0"/>
  </r>
  <r>
    <n v="13"/>
    <s v="YEŞİLYURT"/>
    <s v="YEŞİLYURT"/>
    <x v="8"/>
    <s v="2530108BW0003978"/>
    <n v="1"/>
    <x v="0"/>
    <m/>
    <d v="2025-02-01T00:00:00"/>
    <n v="2025"/>
    <n v="2"/>
    <n v="62"/>
    <x v="8"/>
    <m/>
    <x v="0"/>
  </r>
  <r>
    <n v="14"/>
    <s v="ABCSOLAR"/>
    <s v="ABCSOLAR"/>
    <x v="9"/>
    <s v="AAAA"/>
    <n v="1"/>
    <x v="0"/>
    <m/>
    <m/>
    <n v="1900"/>
    <n v="1"/>
    <n v="45755"/>
    <x v="8"/>
    <m/>
    <x v="0"/>
  </r>
  <r>
    <n v="14"/>
    <s v="ABCSOLAR"/>
    <s v="ABCSOLAR"/>
    <x v="9"/>
    <s v="AAAA"/>
    <n v="1"/>
    <x v="0"/>
    <m/>
    <m/>
    <n v="1900"/>
    <n v="1"/>
    <n v="45755"/>
    <x v="8"/>
    <m/>
    <x v="0"/>
  </r>
  <r>
    <n v="14"/>
    <s v="ABCSOLAR"/>
    <s v="ABCSOLAR"/>
    <x v="9"/>
    <s v="AAAA"/>
    <n v="1"/>
    <x v="0"/>
    <m/>
    <m/>
    <n v="1900"/>
    <n v="1"/>
    <n v="45755"/>
    <x v="8"/>
    <m/>
    <x v="0"/>
  </r>
  <r>
    <n v="14"/>
    <s v="ABCSOLAR"/>
    <s v="ABCSOLAR"/>
    <x v="9"/>
    <s v="AAAA"/>
    <n v="1"/>
    <x v="0"/>
    <m/>
    <m/>
    <n v="1900"/>
    <n v="1"/>
    <n v="45755"/>
    <x v="8"/>
    <m/>
    <x v="0"/>
  </r>
  <r>
    <n v="14"/>
    <s v="ABCSOLAR"/>
    <s v="ABCSOLAR"/>
    <x v="9"/>
    <s v="AAAA"/>
    <n v="1"/>
    <x v="0"/>
    <m/>
    <m/>
    <n v="1900"/>
    <n v="1"/>
    <n v="45755"/>
    <x v="8"/>
    <m/>
    <x v="0"/>
  </r>
  <r>
    <n v="14"/>
    <s v="ABCSOLAR"/>
    <s v="ABCSOLAR"/>
    <x v="9"/>
    <s v="AAAA"/>
    <n v="1"/>
    <x v="0"/>
    <m/>
    <m/>
    <n v="1900"/>
    <n v="1"/>
    <n v="45755"/>
    <x v="8"/>
    <m/>
    <x v="0"/>
  </r>
  <r>
    <n v="14"/>
    <s v="ABCSOLAR"/>
    <s v="ABCSOLAR"/>
    <x v="9"/>
    <s v="AAAA"/>
    <n v="1"/>
    <x v="0"/>
    <m/>
    <m/>
    <n v="1900"/>
    <n v="1"/>
    <n v="45755"/>
    <x v="8"/>
    <m/>
    <x v="0"/>
  </r>
  <r>
    <n v="14"/>
    <s v="ABCSOLAR"/>
    <s v="ABCSOLAR"/>
    <x v="9"/>
    <s v="AAAA"/>
    <n v="1"/>
    <x v="0"/>
    <m/>
    <m/>
    <n v="1900"/>
    <n v="1"/>
    <n v="45755"/>
    <x v="8"/>
    <m/>
    <x v="0"/>
  </r>
  <r>
    <n v="14"/>
    <s v="ABCSOLAR"/>
    <s v="ABCSOLAR"/>
    <x v="9"/>
    <s v="AAAA"/>
    <n v="1"/>
    <x v="0"/>
    <m/>
    <m/>
    <n v="1900"/>
    <n v="1"/>
    <n v="45755"/>
    <x v="8"/>
    <m/>
    <x v="0"/>
  </r>
  <r>
    <n v="14"/>
    <s v="ABCSOLAR"/>
    <s v="ABCSOLAR"/>
    <x v="9"/>
    <s v="AAAA"/>
    <n v="1"/>
    <x v="0"/>
    <m/>
    <m/>
    <n v="1900"/>
    <n v="1"/>
    <n v="45755"/>
    <x v="8"/>
    <m/>
    <x v="0"/>
  </r>
  <r>
    <n v="14"/>
    <s v="ABCSOLAR"/>
    <s v="ABCSOLAR"/>
    <x v="9"/>
    <s v="AAAA"/>
    <n v="1"/>
    <x v="0"/>
    <m/>
    <m/>
    <n v="1900"/>
    <n v="1"/>
    <n v="45755"/>
    <x v="8"/>
    <m/>
    <x v="0"/>
  </r>
  <r>
    <n v="14"/>
    <s v="ABCSOLAR"/>
    <s v="ABCSOLAR"/>
    <x v="9"/>
    <s v="AAAA"/>
    <n v="1"/>
    <x v="0"/>
    <m/>
    <m/>
    <n v="1900"/>
    <n v="1"/>
    <n v="45755"/>
    <x v="8"/>
    <m/>
    <x v="0"/>
  </r>
  <r>
    <n v="15"/>
    <s v="CITUSENERJI"/>
    <s v="CIZMELIGIDA"/>
    <x v="10"/>
    <s v="2510307MC1000617"/>
    <n v="1"/>
    <x v="0"/>
    <m/>
    <d v="2025-02-01T00:00:00"/>
    <n v="2025"/>
    <n v="2"/>
    <n v="76"/>
    <x v="3"/>
    <m/>
    <x v="0"/>
  </r>
  <r>
    <n v="15"/>
    <s v="CITUSENERJI"/>
    <s v="CIZMELIGIDA"/>
    <x v="10"/>
    <s v="2510307MC1005245"/>
    <n v="1"/>
    <x v="0"/>
    <m/>
    <d v="2025-02-01T00:00:00"/>
    <n v="2025"/>
    <n v="2"/>
    <n v="76"/>
    <x v="3"/>
    <m/>
    <x v="0"/>
  </r>
  <r>
    <n v="15"/>
    <s v="CITUSENERJI"/>
    <s v="CIZMELIGIDA"/>
    <x v="10"/>
    <s v="2510307MC1003820"/>
    <n v="1"/>
    <x v="0"/>
    <m/>
    <d v="2025-02-01T00:00:00"/>
    <n v="2025"/>
    <n v="2"/>
    <n v="76"/>
    <x v="3"/>
    <m/>
    <x v="0"/>
  </r>
  <r>
    <n v="15"/>
    <s v="CITUSENERJI"/>
    <s v="CIZMELIGIDA"/>
    <x v="10"/>
    <s v="2510307MC1003705"/>
    <n v="1"/>
    <x v="0"/>
    <m/>
    <d v="2025-02-01T00:00:00"/>
    <n v="2025"/>
    <n v="2"/>
    <n v="76"/>
    <x v="3"/>
    <m/>
    <x v="0"/>
  </r>
  <r>
    <n v="15"/>
    <s v="CITUSENERJI"/>
    <s v="CIZMELIGIDA"/>
    <x v="10"/>
    <s v="2510107BW0031752"/>
    <n v="1"/>
    <x v="0"/>
    <m/>
    <d v="2025-02-01T00:00:00"/>
    <n v="2025"/>
    <n v="2"/>
    <n v="76"/>
    <x v="3"/>
    <m/>
    <x v="0"/>
  </r>
  <r>
    <n v="15"/>
    <s v="CITUSENERJI"/>
    <s v="CIZMELIGIDA"/>
    <x v="10"/>
    <s v="2510107BW0031776"/>
    <n v="1"/>
    <x v="0"/>
    <m/>
    <d v="2025-02-01T00:00:00"/>
    <n v="2025"/>
    <n v="2"/>
    <n v="76"/>
    <x v="3"/>
    <m/>
    <x v="0"/>
  </r>
  <r>
    <n v="15"/>
    <s v="CITUSENERJI"/>
    <s v="CIZMELIGIDA"/>
    <x v="10"/>
    <s v="2510307MC1000802"/>
    <n v="1"/>
    <x v="0"/>
    <m/>
    <d v="2025-02-01T00:00:00"/>
    <n v="2025"/>
    <n v="2"/>
    <n v="76"/>
    <x v="3"/>
    <m/>
    <x v="0"/>
  </r>
  <r>
    <n v="15"/>
    <s v="CITUSENERJI"/>
    <s v="CIZMELIGIDA"/>
    <x v="10"/>
    <s v="2510107BW0031206"/>
    <n v="1"/>
    <x v="0"/>
    <m/>
    <d v="2025-02-01T00:00:00"/>
    <n v="2025"/>
    <n v="2"/>
    <n v="76"/>
    <x v="3"/>
    <m/>
    <x v="0"/>
  </r>
  <r>
    <n v="15"/>
    <s v="CITUSENERJI"/>
    <s v="CIZMELIGIDA"/>
    <x v="10"/>
    <s v="2510307MC1000857"/>
    <n v="1"/>
    <x v="0"/>
    <m/>
    <d v="2025-02-01T00:00:00"/>
    <n v="2025"/>
    <n v="2"/>
    <n v="76"/>
    <x v="3"/>
    <m/>
    <x v="0"/>
  </r>
  <r>
    <n v="15"/>
    <s v="CITUSENERJI"/>
    <s v="CIZMELIGIDA"/>
    <x v="10"/>
    <s v="2510307MC1001642"/>
    <n v="1"/>
    <x v="0"/>
    <m/>
    <d v="2025-02-01T00:00:00"/>
    <n v="2025"/>
    <n v="2"/>
    <n v="76"/>
    <x v="3"/>
    <m/>
    <x v="0"/>
  </r>
  <r>
    <n v="15"/>
    <s v="CITUSENERJI"/>
    <s v="CIZMELIGIDA"/>
    <x v="10"/>
    <s v="2510307MC1000074"/>
    <n v="1"/>
    <x v="0"/>
    <m/>
    <d v="2025-02-01T00:00:00"/>
    <n v="2025"/>
    <n v="2"/>
    <n v="76"/>
    <x v="3"/>
    <m/>
    <x v="0"/>
  </r>
  <r>
    <n v="15"/>
    <s v="CITUSENERJI"/>
    <s v="CIZMELIGIDA"/>
    <x v="10"/>
    <s v="2510307MC1004564"/>
    <n v="1"/>
    <x v="0"/>
    <m/>
    <d v="2025-02-01T00:00:00"/>
    <n v="2025"/>
    <n v="2"/>
    <n v="76"/>
    <x v="3"/>
    <m/>
    <x v="0"/>
  </r>
  <r>
    <n v="15"/>
    <s v="CITUSENERJI"/>
    <s v="CIZMELIGIDA"/>
    <x v="10"/>
    <s v="2510307MC1004611"/>
    <n v="1"/>
    <x v="0"/>
    <m/>
    <d v="2025-02-01T00:00:00"/>
    <n v="2025"/>
    <n v="2"/>
    <n v="76"/>
    <x v="3"/>
    <m/>
    <x v="0"/>
  </r>
  <r>
    <n v="15"/>
    <s v="CITUSENERJI"/>
    <s v="CIZMELIGIDA"/>
    <x v="10"/>
    <s v="2510307MC1002349"/>
    <n v="1"/>
    <x v="0"/>
    <m/>
    <d v="2025-02-01T00:00:00"/>
    <n v="2025"/>
    <n v="2"/>
    <n v="76"/>
    <x v="3"/>
    <m/>
    <x v="0"/>
  </r>
  <r>
    <n v="15"/>
    <s v="CITUSENERJI"/>
    <s v="CIZMELIGIDA"/>
    <x v="10"/>
    <s v="2510107BW0031963"/>
    <n v="1"/>
    <x v="0"/>
    <m/>
    <d v="2025-02-01T00:00:00"/>
    <n v="2025"/>
    <n v="2"/>
    <n v="76"/>
    <x v="3"/>
    <m/>
    <x v="0"/>
  </r>
  <r>
    <n v="15"/>
    <s v="CITUSENERJI"/>
    <s v="CIZMELIGIDA"/>
    <x v="10"/>
    <s v="2510107BW0031842"/>
    <n v="1"/>
    <x v="0"/>
    <m/>
    <d v="2025-02-01T00:00:00"/>
    <n v="2025"/>
    <n v="2"/>
    <n v="76"/>
    <x v="3"/>
    <m/>
    <x v="0"/>
  </r>
  <r>
    <n v="16"/>
    <s v="ERTEKNİK"/>
    <s v="ERTEKNİKSULAMA"/>
    <x v="11"/>
    <s v="24A01"/>
    <n v="1"/>
    <x v="0"/>
    <m/>
    <d v="2024-10-01T00:00:00"/>
    <n v="2024"/>
    <n v="10"/>
    <n v="205"/>
    <x v="8"/>
    <m/>
    <x v="0"/>
  </r>
  <r>
    <n v="16"/>
    <s v="ERTEKNİK"/>
    <s v="ERTEKNİKSULAMA"/>
    <x v="11"/>
    <s v="AAAA"/>
    <n v="1"/>
    <x v="0"/>
    <m/>
    <d v="2024-10-01T00:00:00"/>
    <n v="2024"/>
    <n v="10"/>
    <n v="205"/>
    <x v="8"/>
    <m/>
    <x v="0"/>
  </r>
  <r>
    <n v="16"/>
    <s v="ERTEKNİK"/>
    <s v="ERTEKNİKSULAMA"/>
    <x v="11"/>
    <s v="AAAA"/>
    <n v="1"/>
    <x v="0"/>
    <m/>
    <d v="2024-10-01T00:00:00"/>
    <n v="2024"/>
    <n v="10"/>
    <n v="205"/>
    <x v="8"/>
    <m/>
    <x v="0"/>
  </r>
  <r>
    <n v="16"/>
    <s v="ERTEKNİK"/>
    <s v="ERTEKNİKSULAMA"/>
    <x v="11"/>
    <s v="AAAA"/>
    <n v="1"/>
    <x v="0"/>
    <m/>
    <d v="2024-10-01T00:00:00"/>
    <n v="2024"/>
    <n v="10"/>
    <n v="205"/>
    <x v="8"/>
    <m/>
    <x v="0"/>
  </r>
  <r>
    <n v="16"/>
    <s v="ERTEKNİK"/>
    <s v="ERTEKNİKSULAMA"/>
    <x v="11"/>
    <s v="AAAA"/>
    <n v="1"/>
    <x v="0"/>
    <m/>
    <d v="2024-10-01T00:00:00"/>
    <n v="2024"/>
    <n v="10"/>
    <n v="205"/>
    <x v="8"/>
    <m/>
    <x v="0"/>
  </r>
  <r>
    <n v="16"/>
    <s v="ERTEKNİK"/>
    <s v="ERTEKNİKSULAMA"/>
    <x v="11"/>
    <s v="AAAA"/>
    <n v="1"/>
    <x v="0"/>
    <m/>
    <d v="2024-10-01T00:00:00"/>
    <n v="2024"/>
    <n v="10"/>
    <n v="205"/>
    <x v="8"/>
    <m/>
    <x v="0"/>
  </r>
  <r>
    <n v="16"/>
    <s v="ERTEKNİK"/>
    <s v="ERTEKNİKSULAMA"/>
    <x v="11"/>
    <s v="AAAA"/>
    <n v="1"/>
    <x v="0"/>
    <m/>
    <d v="2024-10-01T00:00:00"/>
    <n v="2024"/>
    <n v="10"/>
    <n v="205"/>
    <x v="8"/>
    <m/>
    <x v="0"/>
  </r>
  <r>
    <n v="16"/>
    <s v="ERTEKNİK"/>
    <s v="ERTEKNİKSULAMA"/>
    <x v="11"/>
    <s v="AAAA"/>
    <n v="1"/>
    <x v="0"/>
    <m/>
    <d v="2024-10-01T00:00:00"/>
    <n v="2024"/>
    <n v="10"/>
    <n v="205"/>
    <x v="8"/>
    <m/>
    <x v="0"/>
  </r>
  <r>
    <n v="16"/>
    <s v="ERTEKNİK"/>
    <s v="ERTEKNİKSULAMA"/>
    <x v="11"/>
    <s v="AAAA"/>
    <n v="1"/>
    <x v="0"/>
    <m/>
    <d v="2024-10-01T00:00:00"/>
    <n v="2024"/>
    <n v="10"/>
    <n v="205"/>
    <x v="8"/>
    <m/>
    <x v="0"/>
  </r>
  <r>
    <n v="16"/>
    <s v="ERTEKNİK"/>
    <s v="ERTEKNİKSULAMA"/>
    <x v="11"/>
    <s v="AAAA"/>
    <n v="1"/>
    <x v="0"/>
    <m/>
    <d v="2024-10-01T00:00:00"/>
    <n v="2024"/>
    <n v="10"/>
    <n v="205"/>
    <x v="8"/>
    <m/>
    <x v="0"/>
  </r>
  <r>
    <n v="16"/>
    <s v="ERTEKNİK"/>
    <s v="ERTEKNİKSULAMA"/>
    <x v="11"/>
    <s v="AAAA"/>
    <n v="1"/>
    <x v="0"/>
    <m/>
    <d v="2024-10-01T00:00:00"/>
    <n v="2024"/>
    <n v="10"/>
    <n v="205"/>
    <x v="8"/>
    <m/>
    <x v="0"/>
  </r>
  <r>
    <n v="16"/>
    <s v="ERTEKNİK"/>
    <s v="ERTEKNİKSULAMA"/>
    <x v="11"/>
    <s v="AAAA"/>
    <n v="1"/>
    <x v="0"/>
    <m/>
    <d v="2024-10-01T00:00:00"/>
    <n v="2024"/>
    <n v="10"/>
    <n v="205"/>
    <x v="8"/>
    <m/>
    <x v="0"/>
  </r>
  <r>
    <n v="16"/>
    <s v="ERTEKNİK"/>
    <s v="ERTEKNİKSULAMA"/>
    <x v="11"/>
    <s v="AAAA"/>
    <n v="1"/>
    <x v="0"/>
    <m/>
    <d v="2024-10-01T00:00:00"/>
    <n v="2024"/>
    <n v="10"/>
    <n v="205"/>
    <x v="8"/>
    <m/>
    <x v="0"/>
  </r>
  <r>
    <n v="16"/>
    <s v="ERTEKNİK"/>
    <s v="ERTEKNİKSULAMA"/>
    <x v="11"/>
    <s v="AAAA"/>
    <n v="1"/>
    <x v="0"/>
    <m/>
    <d v="2024-10-01T00:00:00"/>
    <n v="2024"/>
    <n v="10"/>
    <n v="205"/>
    <x v="8"/>
    <m/>
    <x v="0"/>
  </r>
  <r>
    <n v="16"/>
    <s v="ERTEKNİK"/>
    <s v="ERTEKNİKSULAMA"/>
    <x v="11"/>
    <s v="AAAA"/>
    <n v="1"/>
    <x v="0"/>
    <m/>
    <d v="2024-10-01T00:00:00"/>
    <n v="2024"/>
    <n v="10"/>
    <n v="205"/>
    <x v="8"/>
    <m/>
    <x v="0"/>
  </r>
  <r>
    <n v="16"/>
    <s v="ERTEKNİK"/>
    <s v="ERTEKNİKSULAMA"/>
    <x v="11"/>
    <s v="AAAA"/>
    <n v="1"/>
    <x v="0"/>
    <m/>
    <d v="2024-10-01T00:00:00"/>
    <n v="2024"/>
    <n v="10"/>
    <n v="205"/>
    <x v="8"/>
    <m/>
    <x v="0"/>
  </r>
  <r>
    <n v="16"/>
    <s v="ERTEKNİK"/>
    <s v="ERTEKNİKSULAMA"/>
    <x v="11"/>
    <s v="AAAA"/>
    <n v="1"/>
    <x v="0"/>
    <m/>
    <d v="2024-10-01T00:00:00"/>
    <n v="2024"/>
    <n v="10"/>
    <n v="205"/>
    <x v="8"/>
    <m/>
    <x v="0"/>
  </r>
  <r>
    <n v="16"/>
    <s v="ERTEKNİK"/>
    <s v="ERTEKNİKSULAMA"/>
    <x v="11"/>
    <s v="AAAA"/>
    <n v="1"/>
    <x v="0"/>
    <m/>
    <d v="2024-10-01T00:00:00"/>
    <n v="2024"/>
    <n v="10"/>
    <n v="205"/>
    <x v="8"/>
    <m/>
    <x v="0"/>
  </r>
  <r>
    <n v="16"/>
    <s v="ERTEKNİK"/>
    <s v="ERTEKNİKSULAMA"/>
    <x v="11"/>
    <s v="AAAA"/>
    <n v="1"/>
    <x v="0"/>
    <m/>
    <d v="2024-10-01T00:00:00"/>
    <n v="2024"/>
    <n v="10"/>
    <n v="205"/>
    <x v="8"/>
    <m/>
    <x v="0"/>
  </r>
  <r>
    <n v="16"/>
    <s v="ERTEKNİK"/>
    <s v="ERTEKNİKSULAMA"/>
    <x v="11"/>
    <s v="AAAA"/>
    <n v="1"/>
    <x v="0"/>
    <m/>
    <d v="2024-10-01T00:00:00"/>
    <n v="2024"/>
    <n v="10"/>
    <n v="205"/>
    <x v="8"/>
    <m/>
    <x v="0"/>
  </r>
  <r>
    <n v="16"/>
    <s v="ERTEKNİK"/>
    <s v="ERTEKNİKSULAMA"/>
    <x v="11"/>
    <s v="AAAA"/>
    <n v="1"/>
    <x v="0"/>
    <m/>
    <d v="2024-10-01T00:00:00"/>
    <n v="2024"/>
    <n v="10"/>
    <n v="205"/>
    <x v="8"/>
    <m/>
    <x v="0"/>
  </r>
  <r>
    <n v="16"/>
    <s v="ERTEKNİK"/>
    <s v="ERTEKNİKSULAMA"/>
    <x v="11"/>
    <s v="AAAA"/>
    <n v="1"/>
    <x v="0"/>
    <m/>
    <d v="2024-10-01T00:00:00"/>
    <n v="2024"/>
    <n v="10"/>
    <n v="205"/>
    <x v="8"/>
    <m/>
    <x v="0"/>
  </r>
  <r>
    <n v="16"/>
    <s v="ERTEKNİK"/>
    <s v="ERTEKNİKSULAMA"/>
    <x v="11"/>
    <s v="AAAA"/>
    <n v="1"/>
    <x v="0"/>
    <m/>
    <d v="2024-10-01T00:00:00"/>
    <n v="2024"/>
    <n v="10"/>
    <n v="205"/>
    <x v="8"/>
    <m/>
    <x v="0"/>
  </r>
  <r>
    <n v="16"/>
    <s v="ERTEKNİK"/>
    <s v="ERTEKNİKSULAMA"/>
    <x v="11"/>
    <s v="AAAA"/>
    <n v="1"/>
    <x v="0"/>
    <m/>
    <d v="2024-10-01T00:00:00"/>
    <n v="2024"/>
    <n v="10"/>
    <n v="205"/>
    <x v="8"/>
    <m/>
    <x v="0"/>
  </r>
  <r>
    <n v="16"/>
    <s v="ERTEKNİK"/>
    <s v="ERTEKNİKSULAMA"/>
    <x v="11"/>
    <s v="AAAA"/>
    <n v="1"/>
    <x v="0"/>
    <m/>
    <d v="2024-10-01T00:00:00"/>
    <n v="2024"/>
    <n v="10"/>
    <n v="205"/>
    <x v="8"/>
    <m/>
    <x v="0"/>
  </r>
  <r>
    <n v="16"/>
    <s v="ERTEKNİK"/>
    <s v="ERTEKNİKSULAMA"/>
    <x v="11"/>
    <s v="AAAA"/>
    <n v="1"/>
    <x v="0"/>
    <m/>
    <d v="2024-10-01T00:00:00"/>
    <n v="2024"/>
    <n v="10"/>
    <n v="205"/>
    <x v="8"/>
    <m/>
    <x v="0"/>
  </r>
  <r>
    <n v="16"/>
    <s v="ERTEKNİK"/>
    <s v="ERTEKNİKSULAMA"/>
    <x v="11"/>
    <s v="AAAA"/>
    <n v="1"/>
    <x v="0"/>
    <m/>
    <d v="2024-10-01T00:00:00"/>
    <n v="2024"/>
    <n v="10"/>
    <n v="205"/>
    <x v="8"/>
    <m/>
    <x v="0"/>
  </r>
  <r>
    <n v="16"/>
    <s v="ERTEKNİK"/>
    <s v="ERTEKNİKSULAMA"/>
    <x v="11"/>
    <s v="AAAA"/>
    <n v="1"/>
    <x v="0"/>
    <m/>
    <d v="2024-10-01T00:00:00"/>
    <n v="2024"/>
    <n v="10"/>
    <n v="205"/>
    <x v="8"/>
    <m/>
    <x v="0"/>
  </r>
  <r>
    <n v="16"/>
    <s v="ERTEKNİK"/>
    <s v="ERTEKNİKSULAMA"/>
    <x v="11"/>
    <s v="AAAA"/>
    <n v="1"/>
    <x v="0"/>
    <m/>
    <d v="2024-10-01T00:00:00"/>
    <n v="2024"/>
    <n v="10"/>
    <n v="205"/>
    <x v="8"/>
    <m/>
    <x v="0"/>
  </r>
  <r>
    <n v="16"/>
    <s v="ERTEKNİK"/>
    <s v="ERTEKNİKSULAMA"/>
    <x v="11"/>
    <s v="AAAA"/>
    <n v="1"/>
    <x v="0"/>
    <m/>
    <d v="2024-10-01T00:00:00"/>
    <n v="2024"/>
    <n v="10"/>
    <n v="205"/>
    <x v="8"/>
    <m/>
    <x v="0"/>
  </r>
  <r>
    <n v="16"/>
    <s v="ERTEKNİK"/>
    <s v="ERTEKNİKSULAMA"/>
    <x v="11"/>
    <s v="AAAA"/>
    <n v="1"/>
    <x v="0"/>
    <m/>
    <d v="2024-10-01T00:00:00"/>
    <n v="2024"/>
    <n v="10"/>
    <n v="205"/>
    <x v="8"/>
    <m/>
    <x v="0"/>
  </r>
  <r>
    <n v="16"/>
    <s v="ERTEKNİK"/>
    <s v="ERTEKNİKSULAMA"/>
    <x v="11"/>
    <s v="AAAA"/>
    <n v="1"/>
    <x v="0"/>
    <m/>
    <d v="2024-10-01T00:00:00"/>
    <n v="2024"/>
    <n v="10"/>
    <n v="205"/>
    <x v="8"/>
    <m/>
    <x v="0"/>
  </r>
  <r>
    <n v="16"/>
    <s v="ERTEKNİK"/>
    <s v="ERTEKNİKSULAMA"/>
    <x v="11"/>
    <s v="AAAA"/>
    <n v="1"/>
    <x v="0"/>
    <m/>
    <d v="2024-10-01T00:00:00"/>
    <n v="2024"/>
    <n v="10"/>
    <n v="205"/>
    <x v="8"/>
    <m/>
    <x v="0"/>
  </r>
  <r>
    <n v="16"/>
    <s v="ERTEKNİK"/>
    <s v="ERTEKNİKSULAMA"/>
    <x v="11"/>
    <s v="AAAA"/>
    <n v="1"/>
    <x v="0"/>
    <m/>
    <d v="2024-10-01T00:00:00"/>
    <n v="2024"/>
    <n v="10"/>
    <n v="205"/>
    <x v="8"/>
    <m/>
    <x v="0"/>
  </r>
  <r>
    <n v="16"/>
    <s v="ERTEKNİK"/>
    <s v="ERTEKNİKSULAMA"/>
    <x v="11"/>
    <s v="AAAA"/>
    <n v="1"/>
    <x v="0"/>
    <m/>
    <d v="2024-10-01T00:00:00"/>
    <n v="2024"/>
    <n v="10"/>
    <n v="205"/>
    <x v="8"/>
    <m/>
    <x v="0"/>
  </r>
  <r>
    <n v="17"/>
    <s v="KONTEK"/>
    <s v="PENGUENGES"/>
    <x v="12"/>
    <s v="2440108BX0008947"/>
    <n v="1"/>
    <x v="0"/>
    <m/>
    <d v="2024-04-01T00:00:00"/>
    <n v="2024"/>
    <n v="4"/>
    <n v="403"/>
    <x v="9"/>
    <m/>
    <x v="0"/>
  </r>
  <r>
    <n v="17"/>
    <s v="KONTEK"/>
    <s v="PENGUENGES"/>
    <x v="12"/>
    <s v="2450108BX0038413"/>
    <n v="1"/>
    <x v="0"/>
    <m/>
    <d v="2024-04-01T00:00:00"/>
    <n v="2024"/>
    <n v="4"/>
    <n v="403"/>
    <x v="9"/>
    <m/>
    <x v="0"/>
  </r>
  <r>
    <n v="17"/>
    <s v="KONTEK"/>
    <s v="PENGUENGES"/>
    <x v="12"/>
    <s v="2450108BX0038706"/>
    <n v="1"/>
    <x v="0"/>
    <m/>
    <d v="2024-05-01T00:00:00"/>
    <n v="2024"/>
    <n v="5"/>
    <n v="373"/>
    <x v="9"/>
    <m/>
    <x v="0"/>
  </r>
  <r>
    <n v="17"/>
    <s v="KONTEK"/>
    <s v="PENGUENGES"/>
    <x v="12"/>
    <s v="2470108BX0004939"/>
    <n v="1"/>
    <x v="0"/>
    <m/>
    <d v="2024-07-01T00:00:00"/>
    <n v="2024"/>
    <n v="7"/>
    <n v="312"/>
    <x v="9"/>
    <m/>
    <x v="0"/>
  </r>
  <r>
    <n v="17"/>
    <s v="KONTEK"/>
    <s v="PENGUENGES"/>
    <x v="12"/>
    <s v="2480108BX0017301"/>
    <n v="1"/>
    <x v="0"/>
    <m/>
    <d v="2024-08-01T00:00:00"/>
    <n v="2024"/>
    <n v="8"/>
    <n v="281"/>
    <x v="9"/>
    <m/>
    <x v="0"/>
  </r>
  <r>
    <n v="17"/>
    <s v="KONTEK"/>
    <s v="PENGUENGES"/>
    <x v="12"/>
    <s v="2440108BX0019797"/>
    <n v="1"/>
    <x v="0"/>
    <m/>
    <d v="2024-04-01T00:00:00"/>
    <n v="2024"/>
    <n v="4"/>
    <n v="403"/>
    <x v="9"/>
    <m/>
    <x v="0"/>
  </r>
  <r>
    <n v="17"/>
    <s v="KONTEK"/>
    <s v="PENGUENGES"/>
    <x v="12"/>
    <s v="2480108BX0017507"/>
    <n v="1"/>
    <x v="0"/>
    <m/>
    <d v="2024-08-01T00:00:00"/>
    <n v="2024"/>
    <n v="8"/>
    <n v="281"/>
    <x v="9"/>
    <m/>
    <x v="0"/>
  </r>
  <r>
    <n v="17"/>
    <s v="KONTEK"/>
    <s v="PENGUENGES"/>
    <x v="12"/>
    <s v="2480108BX0017168"/>
    <n v="1"/>
    <x v="0"/>
    <m/>
    <d v="2024-08-01T00:00:00"/>
    <n v="2024"/>
    <n v="8"/>
    <n v="281"/>
    <x v="9"/>
    <m/>
    <x v="0"/>
  </r>
  <r>
    <n v="17"/>
    <s v="KONTEK"/>
    <s v="PENGUENGES"/>
    <x v="12"/>
    <s v="2480108BX0018279"/>
    <n v="1"/>
    <x v="0"/>
    <m/>
    <d v="2024-08-01T00:00:00"/>
    <n v="2024"/>
    <n v="8"/>
    <n v="281"/>
    <x v="9"/>
    <m/>
    <x v="0"/>
  </r>
  <r>
    <n v="17"/>
    <s v="KONTEK"/>
    <s v="PENGUENGES"/>
    <x v="12"/>
    <s v="2480108BX0016370"/>
    <n v="1"/>
    <x v="0"/>
    <m/>
    <d v="2024-08-01T00:00:00"/>
    <n v="2024"/>
    <n v="8"/>
    <n v="281"/>
    <x v="9"/>
    <m/>
    <x v="0"/>
  </r>
  <r>
    <n v="18"/>
    <s v="SOLARTODAY"/>
    <s v="LİMAK"/>
    <x v="13"/>
    <s v="E3FXT425A189990037405856"/>
    <n v="1"/>
    <x v="0"/>
    <m/>
    <m/>
    <n v="1900"/>
    <n v="1"/>
    <n v="45785"/>
    <x v="6"/>
    <m/>
    <x v="0"/>
  </r>
  <r>
    <n v="18"/>
    <s v="SOLARTODAY"/>
    <s v="LİMAK"/>
    <x v="13"/>
    <s v="E3FXT425A239990038103489"/>
    <n v="1"/>
    <x v="0"/>
    <m/>
    <m/>
    <n v="1900"/>
    <n v="1"/>
    <n v="45785"/>
    <x v="6"/>
    <m/>
    <x v="0"/>
  </r>
  <r>
    <n v="18"/>
    <s v="SOLARTODAY"/>
    <s v="LİMAK"/>
    <x v="13"/>
    <s v="E3FXT425A139990036204868"/>
    <n v="1"/>
    <x v="0"/>
    <m/>
    <m/>
    <n v="1900"/>
    <n v="1"/>
    <n v="45785"/>
    <x v="6"/>
    <m/>
    <x v="0"/>
  </r>
  <r>
    <n v="18"/>
    <s v="SOLARTODAY"/>
    <s v="LİMAK"/>
    <x v="13"/>
    <s v="E3FXT425A139990036204773"/>
    <n v="1"/>
    <x v="0"/>
    <m/>
    <m/>
    <n v="1900"/>
    <n v="1"/>
    <n v="45785"/>
    <x v="6"/>
    <m/>
    <x v="0"/>
  </r>
  <r>
    <n v="18"/>
    <s v="SOLARTODAY"/>
    <s v="LİMAK"/>
    <x v="13"/>
    <s v="E3FXT425A149990036206618"/>
    <n v="1"/>
    <x v="0"/>
    <m/>
    <m/>
    <n v="1900"/>
    <n v="1"/>
    <n v="45785"/>
    <x v="6"/>
    <m/>
    <x v="0"/>
  </r>
  <r>
    <n v="18"/>
    <s v="SOLARTODAY"/>
    <s v="LİMAK"/>
    <x v="13"/>
    <s v="E3FXT425A159990037400685"/>
    <n v="1"/>
    <x v="0"/>
    <m/>
    <m/>
    <n v="1900"/>
    <n v="1"/>
    <n v="45785"/>
    <x v="6"/>
    <m/>
    <x v="0"/>
  </r>
  <r>
    <n v="18"/>
    <s v="SOLARTODAY"/>
    <s v="LİMAK"/>
    <x v="13"/>
    <s v="E3FXT425A159990037400651"/>
    <n v="1"/>
    <x v="0"/>
    <m/>
    <m/>
    <n v="1900"/>
    <n v="1"/>
    <n v="45785"/>
    <x v="6"/>
    <m/>
    <x v="0"/>
  </r>
  <r>
    <n v="18"/>
    <s v="SOLARTODAY"/>
    <s v="LİMAK"/>
    <x v="13"/>
    <s v="E3FXT425A179990037403542"/>
    <n v="1"/>
    <x v="0"/>
    <m/>
    <m/>
    <n v="1900"/>
    <n v="1"/>
    <n v="45785"/>
    <x v="6"/>
    <m/>
    <x v="0"/>
  </r>
  <r>
    <n v="18"/>
    <s v="SOLARTODAY"/>
    <s v="LİMAK"/>
    <x v="13"/>
    <s v="E3FXT425A169990037403266"/>
    <n v="1"/>
    <x v="0"/>
    <m/>
    <m/>
    <n v="1900"/>
    <n v="1"/>
    <n v="45785"/>
    <x v="6"/>
    <m/>
    <x v="0"/>
  </r>
  <r>
    <n v="18"/>
    <s v="SOLARTODAY"/>
    <s v="LİMAK"/>
    <x v="13"/>
    <s v="E3FXT425A159990037400678"/>
    <n v="1"/>
    <x v="0"/>
    <m/>
    <m/>
    <n v="1900"/>
    <n v="1"/>
    <n v="45785"/>
    <x v="6"/>
    <m/>
    <x v="0"/>
  </r>
  <r>
    <n v="18"/>
    <s v="SOLARTODAY"/>
    <s v="LİMAK"/>
    <x v="13"/>
    <s v="E3FXT425A149990037400020"/>
    <n v="1"/>
    <x v="0"/>
    <m/>
    <m/>
    <n v="1900"/>
    <n v="1"/>
    <n v="45785"/>
    <x v="6"/>
    <m/>
    <x v="0"/>
  </r>
  <r>
    <n v="18"/>
    <s v="SOLARTODAY"/>
    <s v="LİMAK"/>
    <x v="13"/>
    <s v="E3FXT425A159990037400521"/>
    <n v="1"/>
    <x v="0"/>
    <m/>
    <m/>
    <n v="1900"/>
    <n v="1"/>
    <n v="45785"/>
    <x v="6"/>
    <m/>
    <x v="0"/>
  </r>
  <r>
    <n v="18"/>
    <s v="SOLARTODAY"/>
    <s v="LİMAK"/>
    <x v="13"/>
    <s v="E3FXT425A159990037400444"/>
    <n v="1"/>
    <x v="0"/>
    <m/>
    <m/>
    <n v="1900"/>
    <n v="1"/>
    <n v="45785"/>
    <x v="6"/>
    <m/>
    <x v="0"/>
  </r>
  <r>
    <n v="18"/>
    <s v="SOLARTODAY"/>
    <s v="LİMAK"/>
    <x v="13"/>
    <s v="E3FXT425A159990037400485"/>
    <n v="1"/>
    <x v="0"/>
    <m/>
    <m/>
    <n v="1900"/>
    <n v="1"/>
    <n v="45785"/>
    <x v="6"/>
    <m/>
    <x v="0"/>
  </r>
  <r>
    <n v="18"/>
    <s v="SOLARTODAY"/>
    <s v="LİMAK"/>
    <x v="13"/>
    <s v="E3FXT425A159990037400524"/>
    <n v="1"/>
    <x v="0"/>
    <m/>
    <m/>
    <n v="1900"/>
    <n v="1"/>
    <n v="45785"/>
    <x v="6"/>
    <m/>
    <x v="0"/>
  </r>
  <r>
    <n v="18"/>
    <s v="SOLARTODAY"/>
    <s v="LİMAK"/>
    <x v="13"/>
    <s v="E3FXT425A159990037400355"/>
    <n v="1"/>
    <x v="0"/>
    <m/>
    <m/>
    <n v="1900"/>
    <n v="1"/>
    <n v="45785"/>
    <x v="6"/>
    <m/>
    <x v="0"/>
  </r>
  <r>
    <n v="18"/>
    <s v="SOLARTODAY"/>
    <s v="LİMAK"/>
    <x v="13"/>
    <s v="E3FXT425A159990037400643"/>
    <n v="1"/>
    <x v="0"/>
    <m/>
    <m/>
    <n v="1900"/>
    <n v="1"/>
    <n v="45785"/>
    <x v="6"/>
    <m/>
    <x v="0"/>
  </r>
  <r>
    <n v="18"/>
    <s v="SOLARTODAY"/>
    <s v="LİMAK"/>
    <x v="13"/>
    <s v="E3FXT425A159990037400575"/>
    <n v="1"/>
    <x v="0"/>
    <m/>
    <m/>
    <n v="1900"/>
    <n v="1"/>
    <n v="45785"/>
    <x v="6"/>
    <m/>
    <x v="0"/>
  </r>
  <r>
    <n v="18"/>
    <s v="SOLARTODAY"/>
    <s v="LİMAK"/>
    <x v="13"/>
    <s v="E3FXT425A159990037400661"/>
    <n v="1"/>
    <x v="0"/>
    <m/>
    <m/>
    <n v="1900"/>
    <n v="1"/>
    <n v="45785"/>
    <x v="6"/>
    <m/>
    <x v="0"/>
  </r>
  <r>
    <n v="18"/>
    <s v="SOLARTODAY"/>
    <s v="LİMAK"/>
    <x v="13"/>
    <s v="E3FXT425A159990037400590"/>
    <n v="1"/>
    <x v="0"/>
    <m/>
    <m/>
    <n v="1900"/>
    <n v="1"/>
    <n v="45785"/>
    <x v="6"/>
    <m/>
    <x v="0"/>
  </r>
  <r>
    <n v="18"/>
    <s v="SOLARTODAY"/>
    <s v="LİMAK"/>
    <x v="13"/>
    <s v="E3FXT425A159990037400693"/>
    <n v="1"/>
    <x v="0"/>
    <m/>
    <m/>
    <n v="1900"/>
    <n v="1"/>
    <n v="45785"/>
    <x v="6"/>
    <m/>
    <x v="0"/>
  </r>
  <r>
    <n v="18"/>
    <s v="SOLARTODAY"/>
    <s v="LİMAK"/>
    <x v="13"/>
    <s v="E3FXT425A159990037400592"/>
    <n v="1"/>
    <x v="0"/>
    <m/>
    <m/>
    <n v="1900"/>
    <n v="1"/>
    <n v="45785"/>
    <x v="6"/>
    <m/>
    <x v="0"/>
  </r>
  <r>
    <n v="18"/>
    <s v="SOLARTODAY"/>
    <s v="LİMAK"/>
    <x v="13"/>
    <s v="E3FXT425A159990037400203"/>
    <n v="1"/>
    <x v="0"/>
    <m/>
    <m/>
    <n v="1900"/>
    <n v="1"/>
    <n v="45785"/>
    <x v="6"/>
    <m/>
    <x v="0"/>
  </r>
  <r>
    <n v="18"/>
    <s v="SOLARTODAY"/>
    <s v="LİMAK"/>
    <x v="13"/>
    <s v="E3FXT425A159990037400546"/>
    <n v="1"/>
    <x v="0"/>
    <m/>
    <m/>
    <n v="1900"/>
    <n v="1"/>
    <n v="45785"/>
    <x v="6"/>
    <m/>
    <x v="0"/>
  </r>
  <r>
    <n v="18"/>
    <s v="SOLARTODAY"/>
    <s v="LİMAK"/>
    <x v="13"/>
    <s v="E3FXT425A159990037400742"/>
    <n v="1"/>
    <x v="0"/>
    <m/>
    <m/>
    <n v="1900"/>
    <n v="1"/>
    <n v="45785"/>
    <x v="6"/>
    <m/>
    <x v="0"/>
  </r>
  <r>
    <n v="18"/>
    <s v="SOLARTODAY"/>
    <s v="LİMAK"/>
    <x v="13"/>
    <s v="E3FXT425A169990037402857"/>
    <n v="1"/>
    <x v="0"/>
    <m/>
    <m/>
    <n v="1900"/>
    <n v="1"/>
    <n v="45785"/>
    <x v="6"/>
    <m/>
    <x v="0"/>
  </r>
  <r>
    <n v="18"/>
    <s v="SOLARTODAY"/>
    <s v="LİMAK"/>
    <x v="13"/>
    <s v="E3FXT425A249990038104460"/>
    <n v="1"/>
    <x v="0"/>
    <m/>
    <m/>
    <n v="1900"/>
    <n v="1"/>
    <n v="45785"/>
    <x v="6"/>
    <m/>
    <x v="0"/>
  </r>
  <r>
    <n v="18"/>
    <s v="SOLARTODAY"/>
    <s v="LİMAK"/>
    <x v="13"/>
    <s v="E3FXT425A239990038103387"/>
    <n v="1"/>
    <x v="0"/>
    <m/>
    <m/>
    <n v="1900"/>
    <n v="1"/>
    <n v="45785"/>
    <x v="6"/>
    <m/>
    <x v="0"/>
  </r>
  <r>
    <n v="18"/>
    <s v="SOLARTODAY"/>
    <s v="LİMAK"/>
    <x v="13"/>
    <s v="E3FXT425A169990037401877"/>
    <n v="1"/>
    <x v="0"/>
    <m/>
    <m/>
    <n v="1900"/>
    <n v="1"/>
    <n v="45785"/>
    <x v="6"/>
    <m/>
    <x v="0"/>
  </r>
  <r>
    <n v="18"/>
    <s v="SOLARTODAY"/>
    <s v="LİMAK"/>
    <x v="13"/>
    <s v="E3FXT425A179990037404154"/>
    <n v="1"/>
    <x v="0"/>
    <m/>
    <m/>
    <n v="1900"/>
    <n v="1"/>
    <n v="45785"/>
    <x v="6"/>
    <m/>
    <x v="0"/>
  </r>
  <r>
    <n v="18"/>
    <s v="SOLARTODAY"/>
    <s v="LİMAK"/>
    <x v="13"/>
    <s v="E3FXT425A179990037403781"/>
    <n v="1"/>
    <x v="0"/>
    <m/>
    <m/>
    <n v="1900"/>
    <n v="1"/>
    <n v="45785"/>
    <x v="6"/>
    <m/>
    <x v="0"/>
  </r>
  <r>
    <n v="18"/>
    <s v="SOLARTODAY"/>
    <s v="LİMAK"/>
    <x v="13"/>
    <s v="E3FXT425A269990038106570"/>
    <n v="1"/>
    <x v="0"/>
    <m/>
    <m/>
    <n v="1900"/>
    <n v="1"/>
    <n v="45785"/>
    <x v="6"/>
    <m/>
    <x v="0"/>
  </r>
  <r>
    <n v="18"/>
    <s v="SOLARTODAY"/>
    <s v="LİMAK"/>
    <x v="13"/>
    <s v="AAAA"/>
    <n v="1"/>
    <x v="0"/>
    <m/>
    <m/>
    <n v="1900"/>
    <n v="1"/>
    <n v="45785"/>
    <x v="6"/>
    <m/>
    <x v="0"/>
  </r>
  <r>
    <n v="19"/>
    <s v="ERTEKNİK"/>
    <s v="ERTEKNİK"/>
    <x v="14"/>
    <s v="AAAA"/>
    <n v="1"/>
    <x v="0"/>
    <m/>
    <m/>
    <n v="1900"/>
    <n v="1"/>
    <n v="45782"/>
    <x v="8"/>
    <m/>
    <x v="0"/>
  </r>
  <r>
    <n v="19"/>
    <s v="ERTEKNİK"/>
    <s v="ERTEKNİK"/>
    <x v="14"/>
    <s v="AAAA"/>
    <n v="1"/>
    <x v="0"/>
    <m/>
    <m/>
    <n v="1900"/>
    <n v="1"/>
    <n v="45782"/>
    <x v="8"/>
    <m/>
    <x v="0"/>
  </r>
  <r>
    <n v="19"/>
    <s v="ERTEKNİK"/>
    <s v="ERTEKNİK"/>
    <x v="14"/>
    <s v="AAAA"/>
    <n v="1"/>
    <x v="0"/>
    <m/>
    <m/>
    <n v="1900"/>
    <n v="1"/>
    <n v="45782"/>
    <x v="8"/>
    <m/>
    <x v="0"/>
  </r>
  <r>
    <n v="19"/>
    <s v="ERTEKNİK"/>
    <s v="ERTEKNİK"/>
    <x v="14"/>
    <s v="AAAA"/>
    <n v="1"/>
    <x v="0"/>
    <m/>
    <m/>
    <n v="1900"/>
    <n v="1"/>
    <n v="45782"/>
    <x v="8"/>
    <m/>
    <x v="0"/>
  </r>
  <r>
    <n v="19"/>
    <s v="ERTEKNİK"/>
    <s v="ERTEKNİK"/>
    <x v="14"/>
    <s v="AAAA"/>
    <n v="1"/>
    <x v="0"/>
    <m/>
    <m/>
    <n v="1900"/>
    <n v="1"/>
    <n v="45782"/>
    <x v="8"/>
    <m/>
    <x v="0"/>
  </r>
  <r>
    <n v="19"/>
    <s v="ERTEKNİK"/>
    <s v="ERTEKNİK"/>
    <x v="14"/>
    <s v="AAAA"/>
    <n v="1"/>
    <x v="0"/>
    <m/>
    <m/>
    <n v="1900"/>
    <n v="1"/>
    <n v="45782"/>
    <x v="8"/>
    <m/>
    <x v="0"/>
  </r>
  <r>
    <n v="19"/>
    <s v="ERTEKNİK"/>
    <s v="ERTEKNİK"/>
    <x v="14"/>
    <s v="AAAA"/>
    <n v="1"/>
    <x v="0"/>
    <m/>
    <m/>
    <n v="1900"/>
    <n v="1"/>
    <n v="45782"/>
    <x v="8"/>
    <m/>
    <x v="0"/>
  </r>
  <r>
    <n v="19"/>
    <s v="ERTEKNİK"/>
    <s v="ERTEKNİK"/>
    <x v="14"/>
    <s v="AAAA"/>
    <n v="1"/>
    <x v="0"/>
    <m/>
    <m/>
    <n v="1900"/>
    <n v="1"/>
    <n v="45782"/>
    <x v="8"/>
    <m/>
    <x v="0"/>
  </r>
  <r>
    <n v="19"/>
    <s v="ERTEKNİK"/>
    <s v="ERTEKNİK"/>
    <x v="14"/>
    <s v="AAAA"/>
    <n v="1"/>
    <x v="0"/>
    <m/>
    <m/>
    <n v="1900"/>
    <n v="1"/>
    <n v="45782"/>
    <x v="8"/>
    <m/>
    <x v="0"/>
  </r>
  <r>
    <n v="19"/>
    <s v="ERTEKNİK"/>
    <s v="ERTEKNİK"/>
    <x v="14"/>
    <s v="AAAA"/>
    <n v="1"/>
    <x v="0"/>
    <m/>
    <m/>
    <n v="1900"/>
    <n v="1"/>
    <n v="45782"/>
    <x v="8"/>
    <m/>
    <x v="0"/>
  </r>
  <r>
    <n v="19"/>
    <s v="ERTEKNİK"/>
    <s v="ERTEKNİK"/>
    <x v="14"/>
    <s v="AAAA"/>
    <n v="1"/>
    <x v="0"/>
    <m/>
    <m/>
    <n v="1900"/>
    <n v="1"/>
    <n v="45782"/>
    <x v="8"/>
    <m/>
    <x v="0"/>
  </r>
  <r>
    <n v="19"/>
    <s v="ERTEKNİK"/>
    <s v="ERTEKNİK"/>
    <x v="14"/>
    <s v="AAAA"/>
    <n v="1"/>
    <x v="0"/>
    <m/>
    <m/>
    <n v="1900"/>
    <n v="1"/>
    <n v="45782"/>
    <x v="8"/>
    <m/>
    <x v="0"/>
  </r>
  <r>
    <n v="19"/>
    <s v="ERTEKNİK"/>
    <s v="ERTEKNİK"/>
    <x v="14"/>
    <s v="AAAA"/>
    <n v="1"/>
    <x v="0"/>
    <m/>
    <m/>
    <n v="1900"/>
    <n v="1"/>
    <n v="45782"/>
    <x v="8"/>
    <m/>
    <x v="0"/>
  </r>
  <r>
    <n v="19"/>
    <s v="ERTEKNİK"/>
    <s v="ERTEKNİK"/>
    <x v="14"/>
    <s v="AAAA"/>
    <n v="1"/>
    <x v="0"/>
    <m/>
    <m/>
    <n v="1900"/>
    <n v="1"/>
    <n v="45782"/>
    <x v="8"/>
    <m/>
    <x v="0"/>
  </r>
  <r>
    <n v="19"/>
    <s v="ERTEKNİK"/>
    <s v="ERTEKNİK"/>
    <x v="14"/>
    <s v="AAAA"/>
    <n v="1"/>
    <x v="0"/>
    <m/>
    <m/>
    <n v="1900"/>
    <n v="1"/>
    <n v="45782"/>
    <x v="8"/>
    <m/>
    <x v="0"/>
  </r>
  <r>
    <n v="19"/>
    <s v="ERTEKNİK"/>
    <s v="ERTEKNİK"/>
    <x v="14"/>
    <s v="AAAA"/>
    <n v="1"/>
    <x v="0"/>
    <m/>
    <m/>
    <n v="1900"/>
    <n v="1"/>
    <n v="45782"/>
    <x v="8"/>
    <m/>
    <x v="0"/>
  </r>
  <r>
    <n v="19"/>
    <s v="ERTEKNİK"/>
    <s v="ERTEKNİK"/>
    <x v="14"/>
    <s v="AAAA"/>
    <n v="1"/>
    <x v="0"/>
    <m/>
    <m/>
    <n v="1900"/>
    <n v="1"/>
    <n v="45782"/>
    <x v="8"/>
    <m/>
    <x v="0"/>
  </r>
  <r>
    <n v="19"/>
    <s v="ERTEKNİK"/>
    <s v="ERTEKNİK"/>
    <x v="14"/>
    <s v="AAAA"/>
    <n v="1"/>
    <x v="0"/>
    <m/>
    <m/>
    <n v="1900"/>
    <n v="1"/>
    <n v="45782"/>
    <x v="8"/>
    <m/>
    <x v="0"/>
  </r>
  <r>
    <n v="19"/>
    <s v="ERTEKNİK"/>
    <s v="ERTEKNİK"/>
    <x v="14"/>
    <s v="AAAA"/>
    <n v="1"/>
    <x v="0"/>
    <m/>
    <m/>
    <n v="1900"/>
    <n v="1"/>
    <n v="45782"/>
    <x v="8"/>
    <m/>
    <x v="0"/>
  </r>
  <r>
    <n v="19"/>
    <s v="ERTEKNİK"/>
    <s v="ERTEKNİK"/>
    <x v="14"/>
    <s v="AAAA"/>
    <n v="1"/>
    <x v="0"/>
    <m/>
    <m/>
    <n v="1900"/>
    <n v="1"/>
    <n v="45782"/>
    <x v="8"/>
    <m/>
    <x v="0"/>
  </r>
  <r>
    <n v="19"/>
    <s v="ERTEKNİK"/>
    <s v="ERTEKNİK"/>
    <x v="14"/>
    <s v="AAAA"/>
    <n v="1"/>
    <x v="0"/>
    <m/>
    <m/>
    <n v="1900"/>
    <n v="1"/>
    <n v="45782"/>
    <x v="8"/>
    <m/>
    <x v="0"/>
  </r>
  <r>
    <n v="19"/>
    <s v="ERTEKNİK"/>
    <s v="ERTEKNİK"/>
    <x v="14"/>
    <s v="AAAA"/>
    <n v="1"/>
    <x v="0"/>
    <m/>
    <m/>
    <n v="1900"/>
    <n v="1"/>
    <n v="45782"/>
    <x v="8"/>
    <m/>
    <x v="0"/>
  </r>
  <r>
    <n v="19"/>
    <s v="ERTEKNİK"/>
    <s v="ERTEKNİK"/>
    <x v="14"/>
    <s v="AAAA"/>
    <n v="1"/>
    <x v="0"/>
    <m/>
    <m/>
    <n v="1900"/>
    <n v="1"/>
    <n v="45782"/>
    <x v="8"/>
    <m/>
    <x v="0"/>
  </r>
  <r>
    <n v="19"/>
    <s v="ERTEKNİK"/>
    <s v="ERTEKNİK"/>
    <x v="14"/>
    <s v="AAAA"/>
    <n v="1"/>
    <x v="0"/>
    <m/>
    <m/>
    <n v="1900"/>
    <n v="1"/>
    <n v="45782"/>
    <x v="8"/>
    <m/>
    <x v="0"/>
  </r>
  <r>
    <n v="19"/>
    <s v="ERTEKNİK"/>
    <s v="ERTEKNİK"/>
    <x v="14"/>
    <s v="AAAA"/>
    <n v="1"/>
    <x v="0"/>
    <m/>
    <m/>
    <n v="1900"/>
    <n v="1"/>
    <n v="45782"/>
    <x v="8"/>
    <m/>
    <x v="0"/>
  </r>
  <r>
    <n v="19"/>
    <s v="ERTEKNİK"/>
    <s v="ERTEKNİK"/>
    <x v="14"/>
    <s v="AAAA"/>
    <n v="1"/>
    <x v="0"/>
    <m/>
    <m/>
    <n v="1900"/>
    <n v="1"/>
    <n v="45782"/>
    <x v="8"/>
    <m/>
    <x v="0"/>
  </r>
  <r>
    <n v="19"/>
    <s v="ERTEKNİK"/>
    <s v="ERTEKNİK"/>
    <x v="14"/>
    <s v="AAAA"/>
    <n v="1"/>
    <x v="0"/>
    <m/>
    <m/>
    <n v="1900"/>
    <n v="1"/>
    <n v="45782"/>
    <x v="8"/>
    <m/>
    <x v="0"/>
  </r>
  <r>
    <n v="19"/>
    <s v="ERTEKNİK"/>
    <s v="ERTEKNİK"/>
    <x v="14"/>
    <s v="AAAA"/>
    <n v="1"/>
    <x v="0"/>
    <m/>
    <m/>
    <n v="1900"/>
    <n v="1"/>
    <n v="45782"/>
    <x v="8"/>
    <m/>
    <x v="0"/>
  </r>
  <r>
    <n v="19"/>
    <s v="ERTEKNİK"/>
    <s v="ERTEKNİK"/>
    <x v="14"/>
    <s v="AAAA"/>
    <n v="1"/>
    <x v="0"/>
    <m/>
    <m/>
    <n v="1900"/>
    <n v="1"/>
    <n v="45782"/>
    <x v="8"/>
    <m/>
    <x v="0"/>
  </r>
  <r>
    <n v="19"/>
    <s v="ERTEKNİK"/>
    <s v="ERTEKNİK"/>
    <x v="14"/>
    <s v="AAAA"/>
    <n v="1"/>
    <x v="0"/>
    <m/>
    <m/>
    <n v="1900"/>
    <n v="1"/>
    <n v="45782"/>
    <x v="8"/>
    <m/>
    <x v="0"/>
  </r>
  <r>
    <n v="19"/>
    <s v="ERTEKNİK"/>
    <s v="ERTEKNİK"/>
    <x v="14"/>
    <s v="AAAA"/>
    <n v="1"/>
    <x v="0"/>
    <m/>
    <m/>
    <n v="1900"/>
    <n v="1"/>
    <n v="45782"/>
    <x v="8"/>
    <m/>
    <x v="0"/>
  </r>
  <r>
    <n v="19"/>
    <s v="ERTEKNİK"/>
    <s v="ERTEKNİK"/>
    <x v="14"/>
    <s v="AAAA"/>
    <n v="1"/>
    <x v="0"/>
    <m/>
    <m/>
    <n v="1900"/>
    <n v="1"/>
    <n v="45782"/>
    <x v="8"/>
    <m/>
    <x v="0"/>
  </r>
  <r>
    <n v="19"/>
    <s v="ERTEKNİK"/>
    <s v="ERTEKNİK"/>
    <x v="14"/>
    <s v="AAAA"/>
    <n v="1"/>
    <x v="0"/>
    <m/>
    <m/>
    <n v="1900"/>
    <n v="1"/>
    <n v="45782"/>
    <x v="8"/>
    <m/>
    <x v="0"/>
  </r>
  <r>
    <n v="19"/>
    <s v="ERTEKNİK"/>
    <s v="ERTEKNİK"/>
    <x v="14"/>
    <s v="AAAA"/>
    <n v="1"/>
    <x v="0"/>
    <m/>
    <m/>
    <n v="1900"/>
    <n v="1"/>
    <n v="45782"/>
    <x v="8"/>
    <m/>
    <x v="0"/>
  </r>
  <r>
    <n v="19"/>
    <s v="ERTEKNİK"/>
    <s v="ERTEKNİK"/>
    <x v="14"/>
    <s v="AAAA"/>
    <n v="1"/>
    <x v="0"/>
    <m/>
    <m/>
    <n v="1900"/>
    <n v="1"/>
    <n v="45782"/>
    <x v="8"/>
    <m/>
    <x v="0"/>
  </r>
  <r>
    <n v="19"/>
    <s v="ERTEKNİK"/>
    <s v="ERTEKNİK"/>
    <x v="14"/>
    <s v="AAAA"/>
    <n v="1"/>
    <x v="0"/>
    <m/>
    <m/>
    <n v="1900"/>
    <n v="1"/>
    <n v="45782"/>
    <x v="8"/>
    <m/>
    <x v="0"/>
  </r>
  <r>
    <n v="20"/>
    <s v="MİGROS"/>
    <s v="İNCİGES"/>
    <x v="15"/>
    <s v="2480108BX0047544"/>
    <n v="1"/>
    <x v="0"/>
    <m/>
    <d v="2024-08-01T00:00:00"/>
    <n v="2024"/>
    <n v="8"/>
    <n v="294"/>
    <x v="3"/>
    <m/>
    <x v="0"/>
  </r>
  <r>
    <n v="20"/>
    <s v="MİGROS"/>
    <s v="İNCİGES"/>
    <x v="15"/>
    <s v="2480108BX0047740"/>
    <n v="1"/>
    <x v="0"/>
    <m/>
    <d v="2024-08-01T00:00:00"/>
    <n v="2024"/>
    <n v="8"/>
    <n v="294"/>
    <x v="3"/>
    <m/>
    <x v="0"/>
  </r>
  <r>
    <n v="20"/>
    <s v="MİGROS"/>
    <s v="İNCİGES"/>
    <x v="15"/>
    <s v="2480108BX0027047"/>
    <n v="1"/>
    <x v="0"/>
    <m/>
    <d v="2024-08-01T00:00:00"/>
    <n v="2024"/>
    <n v="8"/>
    <n v="294"/>
    <x v="3"/>
    <m/>
    <x v="0"/>
  </r>
  <r>
    <n v="20"/>
    <s v="MİGROS"/>
    <s v="İNCİGES"/>
    <x v="15"/>
    <s v="2480108BX0031336"/>
    <n v="1"/>
    <x v="0"/>
    <m/>
    <d v="2024-08-01T00:00:00"/>
    <n v="2024"/>
    <n v="8"/>
    <n v="294"/>
    <x v="3"/>
    <m/>
    <x v="0"/>
  </r>
  <r>
    <n v="20"/>
    <s v="MİGROS"/>
    <s v="İNCİGES"/>
    <x v="15"/>
    <s v="2480108BX0030061"/>
    <n v="1"/>
    <x v="0"/>
    <m/>
    <d v="2024-08-01T00:00:00"/>
    <n v="2024"/>
    <n v="8"/>
    <n v="294"/>
    <x v="3"/>
    <m/>
    <x v="0"/>
  </r>
  <r>
    <n v="20"/>
    <s v="MİGROS"/>
    <s v="İNCİGES"/>
    <x v="15"/>
    <s v="2490108BX0016709"/>
    <n v="1"/>
    <x v="0"/>
    <m/>
    <d v="2024-09-01T00:00:00"/>
    <n v="2024"/>
    <n v="9"/>
    <n v="263"/>
    <x v="3"/>
    <m/>
    <x v="0"/>
  </r>
  <r>
    <n v="20"/>
    <s v="MİGROS"/>
    <s v="İNCİGES"/>
    <x v="15"/>
    <s v="2490108BX0011610"/>
    <n v="1"/>
    <x v="0"/>
    <m/>
    <d v="2024-09-01T00:00:00"/>
    <n v="2024"/>
    <n v="9"/>
    <n v="263"/>
    <x v="3"/>
    <m/>
    <x v="0"/>
  </r>
  <r>
    <n v="20"/>
    <s v="MİGROS"/>
    <s v="İNCİGES"/>
    <x v="15"/>
    <s v="2490108BX0020160"/>
    <n v="1"/>
    <x v="0"/>
    <m/>
    <d v="2024-09-01T00:00:00"/>
    <n v="2024"/>
    <n v="9"/>
    <n v="263"/>
    <x v="3"/>
    <m/>
    <x v="0"/>
  </r>
  <r>
    <n v="20"/>
    <s v="MİGROS"/>
    <s v="İNCİGES"/>
    <x v="15"/>
    <s v="2480108BX0034358"/>
    <n v="1"/>
    <x v="0"/>
    <m/>
    <d v="2024-08-01T00:00:00"/>
    <n v="2024"/>
    <n v="8"/>
    <n v="294"/>
    <x v="3"/>
    <m/>
    <x v="0"/>
  </r>
  <r>
    <n v="20"/>
    <s v="MİGROS"/>
    <s v="İNCİGES"/>
    <x v="15"/>
    <s v="2480108BX0046907"/>
    <n v="1"/>
    <x v="0"/>
    <m/>
    <d v="2024-08-01T00:00:00"/>
    <n v="2024"/>
    <n v="8"/>
    <n v="294"/>
    <x v="3"/>
    <m/>
    <x v="0"/>
  </r>
  <r>
    <n v="20"/>
    <s v="MİGROS"/>
    <s v="İNCİGES"/>
    <x v="15"/>
    <s v="2480108BX0044180"/>
    <n v="1"/>
    <x v="0"/>
    <m/>
    <d v="2024-08-01T00:00:00"/>
    <n v="2024"/>
    <n v="8"/>
    <n v="294"/>
    <x v="3"/>
    <m/>
    <x v="0"/>
  </r>
  <r>
    <n v="20"/>
    <s v="MİGROS"/>
    <s v="İNCİGES"/>
    <x v="15"/>
    <s v="2480108BX0043640"/>
    <n v="1"/>
    <x v="0"/>
    <m/>
    <d v="2024-08-01T00:00:00"/>
    <n v="2024"/>
    <n v="8"/>
    <n v="294"/>
    <x v="3"/>
    <m/>
    <x v="0"/>
  </r>
  <r>
    <n v="20"/>
    <s v="MİGROS"/>
    <s v="İNCİGES"/>
    <x v="15"/>
    <s v="2480108BX0042613"/>
    <n v="1"/>
    <x v="0"/>
    <m/>
    <d v="2024-08-01T00:00:00"/>
    <n v="2024"/>
    <n v="8"/>
    <n v="294"/>
    <x v="3"/>
    <m/>
    <x v="0"/>
  </r>
  <r>
    <n v="20"/>
    <s v="MİGROS"/>
    <s v="İNCİGES"/>
    <x v="15"/>
    <s v="2480108BX0049698"/>
    <n v="1"/>
    <x v="0"/>
    <m/>
    <d v="2024-08-01T00:00:00"/>
    <n v="2024"/>
    <n v="8"/>
    <n v="294"/>
    <x v="3"/>
    <m/>
    <x v="0"/>
  </r>
  <r>
    <n v="20"/>
    <s v="MİGROS"/>
    <s v="İNCİGES"/>
    <x v="15"/>
    <s v="2480108BX0050247"/>
    <n v="1"/>
    <x v="0"/>
    <m/>
    <d v="2024-08-01T00:00:00"/>
    <n v="2024"/>
    <n v="8"/>
    <n v="294"/>
    <x v="3"/>
    <m/>
    <x v="0"/>
  </r>
  <r>
    <n v="20"/>
    <s v="MİGROS"/>
    <s v="İNCİGES"/>
    <x v="15"/>
    <s v="2480108BX0056853"/>
    <n v="1"/>
    <x v="0"/>
    <m/>
    <d v="2024-08-01T00:00:00"/>
    <n v="2024"/>
    <n v="8"/>
    <n v="294"/>
    <x v="3"/>
    <m/>
    <x v="0"/>
  </r>
  <r>
    <n v="20"/>
    <s v="MİGROS"/>
    <s v="İNCİGES"/>
    <x v="15"/>
    <s v="2490108BX0024543"/>
    <n v="1"/>
    <x v="0"/>
    <m/>
    <d v="2024-09-01T00:00:00"/>
    <n v="2024"/>
    <n v="9"/>
    <n v="263"/>
    <x v="3"/>
    <m/>
    <x v="0"/>
  </r>
  <r>
    <n v="20"/>
    <s v="MİGROS"/>
    <s v="İNCİGES"/>
    <x v="15"/>
    <s v="2490108BX0001289"/>
    <n v="1"/>
    <x v="0"/>
    <m/>
    <d v="2024-09-01T00:00:00"/>
    <n v="2024"/>
    <n v="9"/>
    <n v="263"/>
    <x v="3"/>
    <m/>
    <x v="0"/>
  </r>
  <r>
    <n v="20"/>
    <s v="MİGROS"/>
    <s v="İNCİGES"/>
    <x v="15"/>
    <s v="2480108BX0045050"/>
    <n v="1"/>
    <x v="0"/>
    <m/>
    <d v="2024-08-01T00:00:00"/>
    <n v="2024"/>
    <n v="8"/>
    <n v="294"/>
    <x v="3"/>
    <m/>
    <x v="0"/>
  </r>
  <r>
    <n v="20"/>
    <s v="MİGROS"/>
    <s v="İNCİGES"/>
    <x v="15"/>
    <s v="24A0108BX0015971"/>
    <n v="1"/>
    <x v="0"/>
    <m/>
    <d v="2024-10-01T00:00:00"/>
    <n v="2024"/>
    <n v="10"/>
    <n v="233"/>
    <x v="3"/>
    <m/>
    <x v="0"/>
  </r>
  <r>
    <n v="20"/>
    <s v="MİGROS"/>
    <s v="İNCİGES"/>
    <x v="15"/>
    <s v="24A0108BX0015973"/>
    <n v="1"/>
    <x v="0"/>
    <m/>
    <d v="2024-10-01T00:00:00"/>
    <n v="2024"/>
    <n v="10"/>
    <n v="233"/>
    <x v="3"/>
    <m/>
    <x v="0"/>
  </r>
  <r>
    <n v="20"/>
    <s v="MİGROS"/>
    <s v="İNCİGES"/>
    <x v="15"/>
    <s v="24A0108BX0015142"/>
    <n v="1"/>
    <x v="0"/>
    <m/>
    <d v="2024-10-01T00:00:00"/>
    <n v="2024"/>
    <n v="10"/>
    <n v="233"/>
    <x v="3"/>
    <m/>
    <x v="0"/>
  </r>
  <r>
    <n v="20"/>
    <s v="MİGROS"/>
    <s v="İNCİGES"/>
    <x v="15"/>
    <s v="24A0108BX0009494"/>
    <n v="1"/>
    <x v="0"/>
    <m/>
    <d v="2024-10-01T00:00:00"/>
    <n v="2024"/>
    <n v="10"/>
    <n v="233"/>
    <x v="3"/>
    <m/>
    <x v="0"/>
  </r>
  <r>
    <n v="20"/>
    <s v="MİGROS"/>
    <s v="İNCİGES"/>
    <x v="15"/>
    <s v="24A0108BX0015247"/>
    <n v="1"/>
    <x v="0"/>
    <m/>
    <d v="2024-10-01T00:00:00"/>
    <n v="2024"/>
    <n v="10"/>
    <n v="233"/>
    <x v="3"/>
    <m/>
    <x v="0"/>
  </r>
  <r>
    <n v="20"/>
    <s v="MİGROS"/>
    <s v="İNCİGES"/>
    <x v="15"/>
    <s v="2490108BX0008657"/>
    <n v="1"/>
    <x v="0"/>
    <m/>
    <d v="2024-09-01T00:00:00"/>
    <n v="2024"/>
    <n v="9"/>
    <n v="263"/>
    <x v="3"/>
    <m/>
    <x v="0"/>
  </r>
  <r>
    <n v="20"/>
    <s v="MİGROS"/>
    <s v="İNCİGES"/>
    <x v="15"/>
    <s v="24A0108BX0014796"/>
    <n v="1"/>
    <x v="0"/>
    <m/>
    <d v="2024-10-01T00:00:00"/>
    <n v="2024"/>
    <n v="10"/>
    <n v="233"/>
    <x v="3"/>
    <m/>
    <x v="0"/>
  </r>
  <r>
    <n v="20"/>
    <s v="MİGROS"/>
    <s v="İNCİGES"/>
    <x v="15"/>
    <s v="24A0108BX0015930"/>
    <n v="1"/>
    <x v="0"/>
    <m/>
    <d v="2024-10-01T00:00:00"/>
    <n v="2024"/>
    <n v="10"/>
    <n v="233"/>
    <x v="3"/>
    <m/>
    <x v="0"/>
  </r>
  <r>
    <n v="20"/>
    <s v="MİGROS"/>
    <s v="İNCİGES"/>
    <x v="15"/>
    <s v="2490108BX0024843"/>
    <n v="1"/>
    <x v="0"/>
    <m/>
    <d v="2024-09-01T00:00:00"/>
    <n v="2024"/>
    <n v="9"/>
    <n v="263"/>
    <x v="3"/>
    <m/>
    <x v="0"/>
  </r>
  <r>
    <n v="20"/>
    <s v="MİGROS"/>
    <s v="İNCİGES"/>
    <x v="15"/>
    <s v="24A0108BX0012400"/>
    <n v="1"/>
    <x v="0"/>
    <m/>
    <d v="2024-10-01T00:00:00"/>
    <n v="2024"/>
    <n v="10"/>
    <n v="233"/>
    <x v="3"/>
    <m/>
    <x v="0"/>
  </r>
  <r>
    <n v="20"/>
    <s v="MİGROS"/>
    <s v="İNCİGES"/>
    <x v="15"/>
    <s v="24A0108BX0003749"/>
    <n v="1"/>
    <x v="0"/>
    <m/>
    <d v="2024-10-01T00:00:00"/>
    <n v="2024"/>
    <n v="10"/>
    <n v="233"/>
    <x v="3"/>
    <m/>
    <x v="0"/>
  </r>
  <r>
    <n v="20"/>
    <s v="MİGROS"/>
    <s v="İNCİGES"/>
    <x v="15"/>
    <s v="2480108BX0052979"/>
    <n v="1"/>
    <x v="0"/>
    <m/>
    <d v="2024-08-01T00:00:00"/>
    <n v="2024"/>
    <n v="8"/>
    <n v="294"/>
    <x v="3"/>
    <m/>
    <x v="0"/>
  </r>
  <r>
    <n v="20"/>
    <s v="MİGROS"/>
    <s v="İNCİGES"/>
    <x v="15"/>
    <s v="2480108BX0033080"/>
    <n v="1"/>
    <x v="0"/>
    <m/>
    <d v="2024-08-01T00:00:00"/>
    <n v="2024"/>
    <n v="8"/>
    <n v="294"/>
    <x v="3"/>
    <m/>
    <x v="0"/>
  </r>
  <r>
    <n v="20"/>
    <s v="MİGROS"/>
    <s v="İNCİGES"/>
    <x v="15"/>
    <s v="2480108BX0037692"/>
    <n v="1"/>
    <x v="0"/>
    <m/>
    <d v="2024-08-01T00:00:00"/>
    <n v="2024"/>
    <n v="8"/>
    <n v="294"/>
    <x v="3"/>
    <m/>
    <x v="0"/>
  </r>
  <r>
    <n v="20"/>
    <s v="MİGROS"/>
    <s v="İNCİGES"/>
    <x v="15"/>
    <s v="2480108BX0046979"/>
    <n v="1"/>
    <x v="0"/>
    <m/>
    <d v="2024-08-01T00:00:00"/>
    <n v="2024"/>
    <n v="8"/>
    <n v="294"/>
    <x v="3"/>
    <m/>
    <x v="0"/>
  </r>
  <r>
    <n v="20"/>
    <s v="MİGROS"/>
    <s v="İNCİGES"/>
    <x v="15"/>
    <s v="24A0108BX0006424"/>
    <n v="1"/>
    <x v="0"/>
    <m/>
    <d v="2024-10-01T00:00:00"/>
    <n v="2024"/>
    <n v="10"/>
    <n v="233"/>
    <x v="3"/>
    <m/>
    <x v="0"/>
  </r>
  <r>
    <n v="20"/>
    <s v="MİGROS"/>
    <s v="İNCİGES"/>
    <x v="15"/>
    <s v="2490108BX0000299"/>
    <n v="1"/>
    <x v="0"/>
    <m/>
    <d v="2024-09-01T00:00:00"/>
    <n v="2024"/>
    <n v="9"/>
    <n v="263"/>
    <x v="3"/>
    <m/>
    <x v="0"/>
  </r>
  <r>
    <n v="20"/>
    <s v="MİGROS"/>
    <s v="İNCİGES"/>
    <x v="15"/>
    <s v="2490108BX0004924"/>
    <n v="1"/>
    <x v="0"/>
    <m/>
    <d v="2024-09-01T00:00:00"/>
    <n v="2024"/>
    <n v="9"/>
    <n v="263"/>
    <x v="3"/>
    <m/>
    <x v="0"/>
  </r>
  <r>
    <n v="20"/>
    <s v="MİGROS"/>
    <s v="İNCİGES"/>
    <x v="15"/>
    <s v="24A0108BX0012928"/>
    <n v="1"/>
    <x v="0"/>
    <m/>
    <d v="2024-10-01T00:00:00"/>
    <n v="2024"/>
    <n v="10"/>
    <n v="233"/>
    <x v="3"/>
    <m/>
    <x v="0"/>
  </r>
  <r>
    <n v="20"/>
    <s v="MİGROS"/>
    <s v="İNCİGES"/>
    <x v="15"/>
    <s v="2490108BX0002991"/>
    <n v="1"/>
    <x v="0"/>
    <m/>
    <d v="2024-09-01T00:00:00"/>
    <n v="2024"/>
    <n v="9"/>
    <n v="263"/>
    <x v="3"/>
    <m/>
    <x v="0"/>
  </r>
  <r>
    <n v="20"/>
    <s v="MİGROS"/>
    <s v="İNCİGES"/>
    <x v="15"/>
    <s v="2490108BX0013950"/>
    <n v="1"/>
    <x v="0"/>
    <m/>
    <d v="2024-09-01T00:00:00"/>
    <n v="2024"/>
    <n v="9"/>
    <n v="263"/>
    <x v="3"/>
    <m/>
    <x v="0"/>
  </r>
  <r>
    <n v="20"/>
    <s v="MİGROS"/>
    <s v="İNCİGES"/>
    <x v="15"/>
    <s v="24A0108BX0013205"/>
    <n v="1"/>
    <x v="0"/>
    <m/>
    <d v="2024-10-01T00:00:00"/>
    <n v="2024"/>
    <n v="10"/>
    <n v="233"/>
    <x v="3"/>
    <m/>
    <x v="0"/>
  </r>
  <r>
    <n v="20"/>
    <s v="MİGROS"/>
    <s v="İNCİGES"/>
    <x v="15"/>
    <s v="2490108BX0019145"/>
    <n v="1"/>
    <x v="0"/>
    <m/>
    <d v="2024-09-01T00:00:00"/>
    <n v="2024"/>
    <n v="9"/>
    <n v="263"/>
    <x v="3"/>
    <m/>
    <x v="0"/>
  </r>
  <r>
    <n v="20"/>
    <s v="MİGROS"/>
    <s v="İNCİGES"/>
    <x v="15"/>
    <s v="2490108BX0019252"/>
    <n v="1"/>
    <x v="0"/>
    <m/>
    <d v="2024-09-01T00:00:00"/>
    <n v="2024"/>
    <n v="9"/>
    <n v="263"/>
    <x v="3"/>
    <m/>
    <x v="0"/>
  </r>
  <r>
    <n v="20"/>
    <s v="MİGROS"/>
    <s v="İNCİGES"/>
    <x v="15"/>
    <s v="2490108BX0026521"/>
    <n v="1"/>
    <x v="0"/>
    <m/>
    <d v="2024-09-01T00:00:00"/>
    <n v="2024"/>
    <n v="9"/>
    <n v="263"/>
    <x v="3"/>
    <m/>
    <x v="0"/>
  </r>
  <r>
    <n v="20"/>
    <s v="MİGROS"/>
    <s v="İNCİGES"/>
    <x v="15"/>
    <s v="24A0108BX0002261"/>
    <n v="1"/>
    <x v="0"/>
    <m/>
    <d v="2024-10-01T00:00:00"/>
    <n v="2024"/>
    <n v="10"/>
    <n v="233"/>
    <x v="3"/>
    <m/>
    <x v="0"/>
  </r>
  <r>
    <n v="20"/>
    <s v="MİGROS"/>
    <s v="İNCİGES"/>
    <x v="15"/>
    <s v="24A0108BX0000157"/>
    <n v="1"/>
    <x v="0"/>
    <m/>
    <d v="2024-10-01T00:00:00"/>
    <n v="2024"/>
    <n v="10"/>
    <n v="233"/>
    <x v="3"/>
    <m/>
    <x v="0"/>
  </r>
  <r>
    <n v="20"/>
    <s v="MİGROS"/>
    <s v="İNCİGES"/>
    <x v="15"/>
    <s v="2490108BX0021447"/>
    <n v="1"/>
    <x v="0"/>
    <m/>
    <d v="2024-09-01T00:00:00"/>
    <n v="2024"/>
    <n v="9"/>
    <n v="263"/>
    <x v="3"/>
    <m/>
    <x v="0"/>
  </r>
  <r>
    <n v="20"/>
    <s v="MİGROS"/>
    <s v="İNCİGES"/>
    <x v="15"/>
    <s v="2490108BX0018462"/>
    <n v="1"/>
    <x v="0"/>
    <m/>
    <d v="2024-09-01T00:00:00"/>
    <n v="2024"/>
    <n v="9"/>
    <n v="263"/>
    <x v="3"/>
    <m/>
    <x v="0"/>
  </r>
  <r>
    <n v="20"/>
    <s v="MİGROS"/>
    <s v="İNCİGES"/>
    <x v="15"/>
    <s v="2490108BX0026976"/>
    <n v="1"/>
    <x v="0"/>
    <m/>
    <d v="2024-09-01T00:00:00"/>
    <n v="2024"/>
    <n v="9"/>
    <n v="263"/>
    <x v="3"/>
    <m/>
    <x v="0"/>
  </r>
  <r>
    <n v="21"/>
    <s v="OZENERGY"/>
    <s v="ÖRGÜGES"/>
    <x v="15"/>
    <s v="2231611MC1000771"/>
    <n v="1"/>
    <x v="0"/>
    <m/>
    <d v="2022-03-01T00:00:00"/>
    <n v="2022"/>
    <n v="3"/>
    <n v="1178"/>
    <x v="3"/>
    <m/>
    <x v="0"/>
  </r>
  <r>
    <n v="21"/>
    <s v="OZENERGY"/>
    <s v="ÖRGÜGES"/>
    <x v="15"/>
    <s v="2231711MC1000110"/>
    <n v="1"/>
    <x v="0"/>
    <m/>
    <d v="2022-03-01T00:00:00"/>
    <n v="2022"/>
    <n v="3"/>
    <n v="1178"/>
    <x v="3"/>
    <m/>
    <x v="0"/>
  </r>
  <r>
    <n v="21"/>
    <s v="OZENERGY"/>
    <s v="ÖRGÜGES"/>
    <x v="15"/>
    <s v="2231611MC1000473"/>
    <n v="1"/>
    <x v="0"/>
    <m/>
    <d v="2022-03-01T00:00:00"/>
    <n v="2022"/>
    <n v="3"/>
    <n v="1178"/>
    <x v="3"/>
    <m/>
    <x v="0"/>
  </r>
  <r>
    <n v="21"/>
    <s v="OZENERGY"/>
    <s v="ÖRGÜGES"/>
    <x v="15"/>
    <s v="2231111MC0000089"/>
    <n v="1"/>
    <x v="0"/>
    <m/>
    <d v="2022-03-01T00:00:00"/>
    <n v="2022"/>
    <n v="3"/>
    <n v="1178"/>
    <x v="3"/>
    <m/>
    <x v="0"/>
  </r>
  <r>
    <n v="21"/>
    <s v="OZENERGY"/>
    <s v="ÖRGÜGES"/>
    <x v="15"/>
    <s v="2230108BW0003025"/>
    <n v="1"/>
    <x v="0"/>
    <m/>
    <d v="2022-03-01T00:00:00"/>
    <n v="2022"/>
    <n v="3"/>
    <n v="1178"/>
    <x v="3"/>
    <m/>
    <x v="0"/>
  </r>
  <r>
    <n v="21"/>
    <s v="OZENERGY"/>
    <s v="ÖRGÜGES"/>
    <x v="15"/>
    <s v="2230108BW0002685"/>
    <n v="1"/>
    <x v="0"/>
    <m/>
    <d v="2022-03-01T00:00:00"/>
    <n v="2022"/>
    <n v="3"/>
    <n v="1178"/>
    <x v="3"/>
    <m/>
    <x v="0"/>
  </r>
  <r>
    <n v="21"/>
    <s v="OZENERGY"/>
    <s v="ÖRGÜGES"/>
    <x v="15"/>
    <s v="2231211MC0000143"/>
    <n v="1"/>
    <x v="0"/>
    <m/>
    <d v="2022-03-01T00:00:00"/>
    <n v="2022"/>
    <n v="3"/>
    <n v="1178"/>
    <x v="3"/>
    <m/>
    <x v="0"/>
  </r>
  <r>
    <n v="21"/>
    <s v="OZENERGY"/>
    <s v="ÖRGÜGES"/>
    <x v="15"/>
    <s v="2230108BW0002424"/>
    <n v="1"/>
    <x v="0"/>
    <m/>
    <d v="2022-03-01T00:00:00"/>
    <n v="2022"/>
    <n v="3"/>
    <n v="1178"/>
    <x v="3"/>
    <m/>
    <x v="0"/>
  </r>
  <r>
    <n v="21"/>
    <s v="OZENERGY"/>
    <s v="ÖRGÜGES"/>
    <x v="15"/>
    <s v="2231511MC1000417"/>
    <n v="1"/>
    <x v="0"/>
    <m/>
    <d v="2022-03-01T00:00:00"/>
    <n v="2022"/>
    <n v="3"/>
    <n v="1178"/>
    <x v="3"/>
    <m/>
    <x v="0"/>
  </r>
  <r>
    <n v="21"/>
    <s v="OZENERGY"/>
    <s v="ÖRGÜGES"/>
    <x v="15"/>
    <s v="2231611MC1000637"/>
    <n v="1"/>
    <x v="0"/>
    <m/>
    <d v="2022-03-01T00:00:00"/>
    <n v="2022"/>
    <n v="3"/>
    <n v="1178"/>
    <x v="3"/>
    <m/>
    <x v="0"/>
  </r>
  <r>
    <n v="21"/>
    <s v="OZENERGY"/>
    <s v="ÖRGÜGES"/>
    <x v="15"/>
    <s v="2231611MC1000589"/>
    <n v="1"/>
    <x v="0"/>
    <m/>
    <d v="2022-03-01T00:00:00"/>
    <n v="2022"/>
    <n v="3"/>
    <n v="1178"/>
    <x v="3"/>
    <m/>
    <x v="0"/>
  </r>
  <r>
    <n v="21"/>
    <s v="OZENERGY"/>
    <s v="ÖRGÜGES"/>
    <x v="15"/>
    <s v="2231611MC1000421"/>
    <n v="1"/>
    <x v="0"/>
    <m/>
    <d v="2022-03-01T00:00:00"/>
    <n v="2022"/>
    <n v="3"/>
    <n v="1178"/>
    <x v="3"/>
    <m/>
    <x v="0"/>
  </r>
  <r>
    <n v="21"/>
    <s v="OZENERGY"/>
    <s v="ÖRGÜGES"/>
    <x v="15"/>
    <s v="2231611MC1000770"/>
    <n v="1"/>
    <x v="0"/>
    <m/>
    <d v="2022-03-01T00:00:00"/>
    <n v="2022"/>
    <n v="3"/>
    <n v="1178"/>
    <x v="3"/>
    <m/>
    <x v="0"/>
  </r>
  <r>
    <n v="21"/>
    <s v="OZENERGY"/>
    <s v="ÖRGÜGES"/>
    <x v="15"/>
    <s v="2230811MC0000605"/>
    <n v="1"/>
    <x v="0"/>
    <m/>
    <d v="2022-03-01T00:00:00"/>
    <n v="2022"/>
    <n v="3"/>
    <n v="1178"/>
    <x v="3"/>
    <m/>
    <x v="0"/>
  </r>
  <r>
    <n v="21"/>
    <s v="OZENERGY"/>
    <s v="ÖRGÜGES"/>
    <x v="15"/>
    <s v="2231611MC1000778"/>
    <n v="1"/>
    <x v="0"/>
    <m/>
    <d v="2022-03-01T00:00:00"/>
    <n v="2022"/>
    <n v="3"/>
    <n v="1178"/>
    <x v="3"/>
    <m/>
    <x v="0"/>
  </r>
  <r>
    <n v="21"/>
    <s v="OZENERGY"/>
    <s v="ÖRGÜGES"/>
    <x v="15"/>
    <s v="2231511MC1000429"/>
    <n v="1"/>
    <x v="0"/>
    <m/>
    <d v="2022-03-01T00:00:00"/>
    <n v="2022"/>
    <n v="3"/>
    <n v="1178"/>
    <x v="3"/>
    <m/>
    <x v="0"/>
  </r>
  <r>
    <n v="22"/>
    <s v="ELEKTAENERJİ"/>
    <s v="ELEKTAENERJİ"/>
    <x v="16"/>
    <s v="2520107BW001889"/>
    <n v="1"/>
    <x v="0"/>
    <m/>
    <d v="2025-02-01T00:00:00"/>
    <n v="2025"/>
    <n v="2"/>
    <n v="116"/>
    <x v="10"/>
    <m/>
    <x v="0"/>
  </r>
  <r>
    <n v="23"/>
    <s v="YEO"/>
    <s v="BİM"/>
    <x v="17"/>
    <s v="24B0108MC2003551"/>
    <n v="1"/>
    <x v="0"/>
    <m/>
    <d v="2024-11-01T00:00:00"/>
    <n v="2024"/>
    <n v="11"/>
    <n v="228"/>
    <x v="3"/>
    <m/>
    <x v="0"/>
  </r>
  <r>
    <n v="23"/>
    <s v="YEO"/>
    <s v="BİM"/>
    <x v="17"/>
    <s v="24B0108MC2006053"/>
    <n v="1"/>
    <x v="0"/>
    <m/>
    <d v="2024-11-01T00:00:00"/>
    <n v="2024"/>
    <n v="11"/>
    <n v="228"/>
    <x v="3"/>
    <m/>
    <x v="0"/>
  </r>
  <r>
    <n v="23"/>
    <s v="YEO"/>
    <s v="BİM"/>
    <x v="17"/>
    <s v="24B0108MC2010697"/>
    <n v="1"/>
    <x v="0"/>
    <m/>
    <d v="2024-11-01T00:00:00"/>
    <n v="2024"/>
    <n v="11"/>
    <n v="228"/>
    <x v="3"/>
    <m/>
    <x v="0"/>
  </r>
  <r>
    <n v="23"/>
    <s v="YEO"/>
    <s v="BİM"/>
    <x v="17"/>
    <s v="24B0108MC2002559"/>
    <n v="1"/>
    <x v="0"/>
    <m/>
    <d v="2024-11-01T00:00:00"/>
    <n v="2024"/>
    <n v="11"/>
    <n v="228"/>
    <x v="3"/>
    <m/>
    <x v="0"/>
  </r>
  <r>
    <n v="23"/>
    <s v="YEO"/>
    <s v="BİM"/>
    <x v="17"/>
    <s v="24B0108MC2001760"/>
    <n v="1"/>
    <x v="0"/>
    <m/>
    <d v="2024-11-01T00:00:00"/>
    <n v="2024"/>
    <n v="11"/>
    <n v="228"/>
    <x v="3"/>
    <m/>
    <x v="0"/>
  </r>
  <r>
    <n v="23"/>
    <s v="YEO"/>
    <s v="BİM"/>
    <x v="17"/>
    <s v="24B0108MC2003365"/>
    <n v="1"/>
    <x v="0"/>
    <m/>
    <d v="2024-11-01T00:00:00"/>
    <n v="2024"/>
    <n v="11"/>
    <n v="228"/>
    <x v="3"/>
    <m/>
    <x v="0"/>
  </r>
  <r>
    <n v="23"/>
    <s v="YEO"/>
    <s v="BİM"/>
    <x v="17"/>
    <s v="24B0108MC2002208"/>
    <n v="1"/>
    <x v="0"/>
    <m/>
    <d v="2024-11-01T00:00:00"/>
    <n v="2024"/>
    <n v="11"/>
    <n v="228"/>
    <x v="3"/>
    <m/>
    <x v="0"/>
  </r>
  <r>
    <n v="23"/>
    <s v="YEO"/>
    <s v="BİM"/>
    <x v="17"/>
    <s v="24A0108MC2008619"/>
    <n v="1"/>
    <x v="0"/>
    <m/>
    <d v="2024-10-01T00:00:00"/>
    <n v="2024"/>
    <n v="10"/>
    <n v="259"/>
    <x v="3"/>
    <m/>
    <x v="0"/>
  </r>
  <r>
    <n v="23"/>
    <s v="YEO"/>
    <s v="BİM"/>
    <x v="17"/>
    <s v="24A0108MC2004336"/>
    <n v="1"/>
    <x v="0"/>
    <m/>
    <d v="2024-10-01T00:00:00"/>
    <n v="2024"/>
    <n v="10"/>
    <n v="259"/>
    <x v="3"/>
    <m/>
    <x v="0"/>
  </r>
  <r>
    <n v="23"/>
    <s v="YEO"/>
    <s v="BİM"/>
    <x v="17"/>
    <s v="24B0108MC2009202"/>
    <n v="1"/>
    <x v="0"/>
    <m/>
    <d v="2024-11-01T00:00:00"/>
    <n v="2024"/>
    <n v="11"/>
    <n v="228"/>
    <x v="3"/>
    <m/>
    <x v="0"/>
  </r>
  <r>
    <n v="23"/>
    <s v="YEO"/>
    <s v="BİM"/>
    <x v="17"/>
    <s v="24B0108MC2012295"/>
    <n v="1"/>
    <x v="0"/>
    <m/>
    <d v="2024-11-01T00:00:00"/>
    <n v="2024"/>
    <n v="11"/>
    <n v="228"/>
    <x v="3"/>
    <m/>
    <x v="0"/>
  </r>
  <r>
    <n v="23"/>
    <s v="YEO"/>
    <s v="BİM"/>
    <x v="17"/>
    <s v="24A0108MC2014957"/>
    <n v="1"/>
    <x v="0"/>
    <m/>
    <d v="2024-10-01T00:00:00"/>
    <n v="2024"/>
    <n v="10"/>
    <n v="259"/>
    <x v="3"/>
    <m/>
    <x v="0"/>
  </r>
  <r>
    <n v="23"/>
    <s v="YEO"/>
    <s v="BİM"/>
    <x v="17"/>
    <s v="24A0108MC2011925"/>
    <n v="1"/>
    <x v="0"/>
    <m/>
    <d v="2024-10-01T00:00:00"/>
    <n v="2024"/>
    <n v="10"/>
    <n v="259"/>
    <x v="3"/>
    <m/>
    <x v="0"/>
  </r>
  <r>
    <n v="23"/>
    <s v="YEO"/>
    <s v="BİM"/>
    <x v="17"/>
    <s v="24B0108MC2007757"/>
    <n v="1"/>
    <x v="0"/>
    <m/>
    <d v="2024-11-01T00:00:00"/>
    <n v="2024"/>
    <n v="11"/>
    <n v="228"/>
    <x v="3"/>
    <m/>
    <x v="0"/>
  </r>
  <r>
    <n v="24"/>
    <s v="ENTEGRO"/>
    <s v="ABMEVPROJESİ"/>
    <x v="18"/>
    <s v="24B0108MC2017016"/>
    <n v="1"/>
    <x v="0"/>
    <m/>
    <d v="2024-10-01T00:00:00"/>
    <n v="2024"/>
    <n v="10"/>
    <n v="261"/>
    <x v="1"/>
    <m/>
    <x v="0"/>
  </r>
  <r>
    <n v="25"/>
    <s v="ENTEGRO"/>
    <s v="RAMADAARAZİGES"/>
    <x v="18"/>
    <s v="2360108MC1000905"/>
    <n v="1"/>
    <x v="0"/>
    <m/>
    <d v="2023-06-01T00:00:00"/>
    <n v="2023"/>
    <n v="6"/>
    <n v="749"/>
    <x v="3"/>
    <m/>
    <x v="0"/>
  </r>
  <r>
    <n v="25"/>
    <s v="ENTEGRO"/>
    <s v="RAMADAARAZİGES"/>
    <x v="18"/>
    <s v="2350108MC1013620"/>
    <n v="1"/>
    <x v="0"/>
    <m/>
    <d v="2023-05-01T00:00:00"/>
    <n v="2023"/>
    <n v="5"/>
    <n v="780"/>
    <x v="3"/>
    <m/>
    <x v="0"/>
  </r>
  <r>
    <n v="26"/>
    <s v="ENTEGRO"/>
    <s v="ADALYA"/>
    <x v="18"/>
    <s v="2320108MC2022139"/>
    <n v="1"/>
    <x v="0"/>
    <m/>
    <d v="2023-02-01T00:00:00"/>
    <n v="2023"/>
    <n v="2"/>
    <n v="869"/>
    <x v="11"/>
    <m/>
    <x v="0"/>
  </r>
  <r>
    <n v="27"/>
    <s v="PRONENENERJI"/>
    <s v="DEMSAN"/>
    <x v="19"/>
    <s v="22C0108BW0054242"/>
    <n v="1"/>
    <x v="0"/>
    <m/>
    <d v="2022-12-01T00:00:00"/>
    <n v="2022"/>
    <n v="12"/>
    <n v="943"/>
    <x v="9"/>
    <m/>
    <x v="0"/>
  </r>
  <r>
    <n v="27"/>
    <s v="PRONENENERJI"/>
    <s v="DEMSAN"/>
    <x v="19"/>
    <s v="2310108MC1000565"/>
    <n v="1"/>
    <x v="0"/>
    <m/>
    <d v="2023-01-01T00:00:00"/>
    <n v="2023"/>
    <n v="1"/>
    <n v="912"/>
    <x v="9"/>
    <m/>
    <x v="0"/>
  </r>
  <r>
    <n v="27"/>
    <s v="PRONENENERJI"/>
    <s v="DEMSAN"/>
    <x v="19"/>
    <s v="2310108MC1000038"/>
    <n v="1"/>
    <x v="0"/>
    <m/>
    <d v="2023-01-01T00:00:00"/>
    <n v="2023"/>
    <n v="1"/>
    <n v="912"/>
    <x v="9"/>
    <m/>
    <x v="0"/>
  </r>
  <r>
    <n v="27"/>
    <s v="PRONENENERJI"/>
    <s v="DEMSAN"/>
    <x v="19"/>
    <s v="2310108MC1000370"/>
    <n v="1"/>
    <x v="0"/>
    <m/>
    <d v="2023-01-01T00:00:00"/>
    <n v="2023"/>
    <n v="1"/>
    <n v="912"/>
    <x v="9"/>
    <m/>
    <x v="0"/>
  </r>
  <r>
    <n v="28"/>
    <s v="KONTEK"/>
    <s v="TİRSANKARDAN"/>
    <x v="19"/>
    <s v="2410108BX0011336"/>
    <n v="1"/>
    <x v="0"/>
    <m/>
    <d v="2024-01-01T00:00:00"/>
    <n v="2024"/>
    <n v="1"/>
    <n v="547"/>
    <x v="12"/>
    <m/>
    <x v="0"/>
  </r>
  <r>
    <n v="29"/>
    <s v="AYKAMÜHENDİSLİK"/>
    <s v="ALKANMAKİNE"/>
    <x v="20"/>
    <s v="2310108MC2019548"/>
    <n v="1"/>
    <x v="0"/>
    <m/>
    <d v="2023-01-01T00:00:00"/>
    <n v="2023"/>
    <n v="1"/>
    <n v="936"/>
    <x v="9"/>
    <m/>
    <x v="0"/>
  </r>
  <r>
    <n v="29"/>
    <s v="AYKAMÜHENDİSLİK"/>
    <s v="ALKANMAKİNE"/>
    <x v="20"/>
    <s v="2310108MC2019244"/>
    <n v="1"/>
    <x v="0"/>
    <m/>
    <d v="2023-01-01T00:00:00"/>
    <n v="2023"/>
    <n v="1"/>
    <n v="936"/>
    <x v="9"/>
    <m/>
    <x v="0"/>
  </r>
  <r>
    <n v="29"/>
    <s v="AYKAMÜHENDİSLİK"/>
    <s v="ALKANMAKİNE"/>
    <x v="20"/>
    <s v="2330108MC2001285"/>
    <n v="1"/>
    <x v="0"/>
    <m/>
    <d v="2023-03-01T00:00:00"/>
    <n v="2023"/>
    <n v="3"/>
    <n v="877"/>
    <x v="9"/>
    <m/>
    <x v="0"/>
  </r>
  <r>
    <n v="29"/>
    <s v="AYKAMÜHENDİSLİK"/>
    <s v="ALKANMAKİNE"/>
    <x v="20"/>
    <s v="2310108MC2019289"/>
    <n v="1"/>
    <x v="0"/>
    <m/>
    <d v="2023-01-01T00:00:00"/>
    <n v="2023"/>
    <n v="1"/>
    <n v="936"/>
    <x v="9"/>
    <m/>
    <x v="0"/>
  </r>
  <r>
    <n v="29"/>
    <s v="AYKAMÜHENDİSLİK"/>
    <s v="ALKANMAKİNE"/>
    <x v="20"/>
    <s v="2310108MC2019693"/>
    <n v="1"/>
    <x v="0"/>
    <m/>
    <d v="2023-01-01T00:00:00"/>
    <n v="2023"/>
    <n v="1"/>
    <n v="936"/>
    <x v="9"/>
    <m/>
    <x v="0"/>
  </r>
  <r>
    <n v="29"/>
    <s v="AYKAMÜHENDİSLİK"/>
    <s v="ALKANMAKİNE"/>
    <x v="20"/>
    <s v="2320108MC2037333"/>
    <n v="1"/>
    <x v="0"/>
    <m/>
    <d v="2023-02-01T00:00:00"/>
    <n v="2023"/>
    <n v="2"/>
    <n v="905"/>
    <x v="9"/>
    <m/>
    <x v="0"/>
  </r>
  <r>
    <n v="29"/>
    <s v="AYKAMÜHENDİSLİK"/>
    <s v="ALKANMAKİNE"/>
    <x v="20"/>
    <s v="2320108MC2035512"/>
    <n v="1"/>
    <x v="0"/>
    <m/>
    <d v="2023-02-01T00:00:00"/>
    <n v="2023"/>
    <n v="2"/>
    <n v="905"/>
    <x v="9"/>
    <m/>
    <x v="0"/>
  </r>
  <r>
    <n v="29"/>
    <s v="AYKAMÜHENDİSLİK"/>
    <s v="ALKANMAKİNE"/>
    <x v="20"/>
    <s v="2330108MC2010439"/>
    <n v="1"/>
    <x v="0"/>
    <m/>
    <d v="2023-03-01T00:00:00"/>
    <n v="2023"/>
    <n v="3"/>
    <n v="877"/>
    <x v="9"/>
    <m/>
    <x v="0"/>
  </r>
  <r>
    <n v="29"/>
    <s v="AYKAMÜHENDİSLİK"/>
    <s v="ALKANMAKİNE"/>
    <x v="20"/>
    <s v="2330108MC2010217"/>
    <n v="1"/>
    <x v="0"/>
    <m/>
    <d v="2023-03-01T00:00:00"/>
    <n v="2023"/>
    <n v="3"/>
    <n v="877"/>
    <x v="9"/>
    <m/>
    <x v="0"/>
  </r>
  <r>
    <n v="29"/>
    <s v="AYKAMÜHENDİSLİK"/>
    <s v="ALKANMAKİNE"/>
    <x v="20"/>
    <s v="2330108MC2010188"/>
    <n v="1"/>
    <x v="0"/>
    <m/>
    <d v="2023-03-01T00:00:00"/>
    <n v="2023"/>
    <n v="3"/>
    <n v="877"/>
    <x v="9"/>
    <m/>
    <x v="0"/>
  </r>
  <r>
    <n v="29"/>
    <s v="AYKAMÜHENDİSLİK"/>
    <s v="ALKANMAKİNE"/>
    <x v="20"/>
    <s v="2330108MC2010101"/>
    <n v="1"/>
    <x v="0"/>
    <m/>
    <d v="2023-03-01T00:00:00"/>
    <n v="2023"/>
    <n v="3"/>
    <n v="877"/>
    <x v="9"/>
    <m/>
    <x v="0"/>
  </r>
  <r>
    <n v="29"/>
    <s v="AYKAMÜHENDİSLİK"/>
    <s v="ALKANMAKİNE"/>
    <x v="20"/>
    <s v="2330108MC2010110"/>
    <n v="1"/>
    <x v="0"/>
    <m/>
    <d v="2023-03-01T00:00:00"/>
    <n v="2023"/>
    <n v="3"/>
    <n v="877"/>
    <x v="9"/>
    <m/>
    <x v="0"/>
  </r>
  <r>
    <n v="30"/>
    <s v="PVLUXENERJI"/>
    <s v="PVLUXENERJI"/>
    <x v="21"/>
    <s v="E3FXT425A039990036200025"/>
    <n v="1"/>
    <x v="1"/>
    <s v="MAVİÇAM"/>
    <d v="2025-03-01T00:00:00"/>
    <n v="2025"/>
    <n v="3"/>
    <n v="156"/>
    <x v="1"/>
    <m/>
    <x v="1"/>
  </r>
  <r>
    <n v="31"/>
    <s v="VAGUS"/>
    <s v="BORTAR YEMEK"/>
    <x v="22"/>
    <s v="E4FXT425F119990045000497"/>
    <n v="1"/>
    <x v="2"/>
    <m/>
    <m/>
    <n v="1900"/>
    <n v="1"/>
    <n v="45866"/>
    <x v="13"/>
    <m/>
    <x v="1"/>
  </r>
  <r>
    <n v="31"/>
    <s v="VAGUS"/>
    <s v="BORTAR YEMEK"/>
    <x v="22"/>
    <s v="E4FXT425F129990045001907"/>
    <n v="1"/>
    <x v="2"/>
    <m/>
    <m/>
    <n v="1900"/>
    <n v="1"/>
    <n v="45866"/>
    <x v="14"/>
    <m/>
    <x v="1"/>
  </r>
  <r>
    <n v="31"/>
    <s v="VAGUS"/>
    <s v="BORTAR YEMEK"/>
    <x v="22"/>
    <s v="E4FXT425F119990045001346"/>
    <n v="1"/>
    <x v="2"/>
    <m/>
    <m/>
    <n v="1900"/>
    <n v="1"/>
    <n v="45866"/>
    <x v="15"/>
    <m/>
    <x v="1"/>
  </r>
  <r>
    <n v="31"/>
    <s v="VAGUS"/>
    <s v="BORTAR YEMEK"/>
    <x v="22"/>
    <s v="E4FXT425F119990045000189"/>
    <n v="1"/>
    <x v="2"/>
    <m/>
    <m/>
    <n v="1900"/>
    <n v="1"/>
    <n v="45866"/>
    <x v="14"/>
    <m/>
    <x v="1"/>
  </r>
  <r>
    <n v="31"/>
    <s v="VAGUS"/>
    <s v="BORTAR YEMEK"/>
    <x v="22"/>
    <s v="E4FXT425F129990045001509"/>
    <n v="1"/>
    <x v="2"/>
    <m/>
    <m/>
    <n v="1900"/>
    <n v="1"/>
    <n v="45866"/>
    <x v="15"/>
    <m/>
    <x v="1"/>
  </r>
  <r>
    <n v="31"/>
    <s v="VAGUS"/>
    <s v="BORTAR YEMEK"/>
    <x v="22"/>
    <s v="E4FXT425F119990045000405"/>
    <n v="1"/>
    <x v="2"/>
    <m/>
    <m/>
    <n v="1900"/>
    <n v="1"/>
    <n v="45866"/>
    <x v="16"/>
    <m/>
    <x v="1"/>
  </r>
  <r>
    <n v="32"/>
    <s v="ENTEGRO"/>
    <s v="AKGÜÇ"/>
    <x v="23"/>
    <s v="2490107BW0033928"/>
    <n v="1"/>
    <x v="0"/>
    <m/>
    <m/>
    <n v="1900"/>
    <n v="1"/>
    <n v="45868"/>
    <x v="9"/>
    <m/>
    <x v="1"/>
  </r>
  <r>
    <n v="32"/>
    <s v="ENTEGRO"/>
    <s v="AKGÜÇ"/>
    <x v="23"/>
    <s v="2490107BW0033727"/>
    <n v="1"/>
    <x v="0"/>
    <m/>
    <m/>
    <n v="1900"/>
    <n v="1"/>
    <n v="45868"/>
    <x v="9"/>
    <m/>
    <x v="1"/>
  </r>
  <r>
    <n v="32"/>
    <s v="ENTEGRO"/>
    <s v="AKGÜÇ"/>
    <x v="23"/>
    <s v="2490107BW0033719"/>
    <n v="1"/>
    <x v="0"/>
    <m/>
    <m/>
    <n v="1900"/>
    <n v="1"/>
    <n v="45868"/>
    <x v="9"/>
    <m/>
    <x v="1"/>
  </r>
  <r>
    <n v="32"/>
    <s v="ENTEGRO"/>
    <s v="AKGÜÇ"/>
    <x v="23"/>
    <s v="2490107BW0034082"/>
    <n v="1"/>
    <x v="0"/>
    <m/>
    <m/>
    <n v="1900"/>
    <n v="1"/>
    <n v="45868"/>
    <x v="9"/>
    <m/>
    <x v="1"/>
  </r>
  <r>
    <n v="32"/>
    <s v="ENTEGRO"/>
    <s v="AKGÜÇ"/>
    <x v="23"/>
    <s v="2490107BW0034003"/>
    <n v="1"/>
    <x v="0"/>
    <m/>
    <m/>
    <n v="1900"/>
    <n v="1"/>
    <n v="45868"/>
    <x v="9"/>
    <m/>
    <x v="1"/>
  </r>
  <r>
    <n v="32"/>
    <s v="ENTEGRO"/>
    <s v="AKGÜÇ"/>
    <x v="23"/>
    <s v="2490107BW0034024"/>
    <n v="1"/>
    <x v="0"/>
    <m/>
    <m/>
    <n v="1900"/>
    <n v="1"/>
    <n v="45868"/>
    <x v="9"/>
    <m/>
    <x v="1"/>
  </r>
  <r>
    <n v="32"/>
    <s v="ENTEGRO"/>
    <s v="AKGÜÇ"/>
    <x v="23"/>
    <s v="2490107BW0034104"/>
    <n v="1"/>
    <x v="0"/>
    <m/>
    <m/>
    <n v="1900"/>
    <n v="1"/>
    <n v="45868"/>
    <x v="9"/>
    <m/>
    <x v="1"/>
  </r>
  <r>
    <n v="32"/>
    <s v="ENTEGRO"/>
    <s v="AKGÜÇ"/>
    <x v="23"/>
    <s v="2490107BW0034124"/>
    <n v="1"/>
    <x v="0"/>
    <m/>
    <m/>
    <n v="1900"/>
    <n v="1"/>
    <n v="45868"/>
    <x v="9"/>
    <m/>
    <x v="1"/>
  </r>
  <r>
    <n v="32"/>
    <s v="ENTEGRO"/>
    <s v="AKGÜÇ"/>
    <x v="23"/>
    <s v="2490107BW0033972"/>
    <n v="1"/>
    <x v="0"/>
    <m/>
    <m/>
    <n v="1900"/>
    <n v="1"/>
    <n v="45868"/>
    <x v="9"/>
    <m/>
    <x v="1"/>
  </r>
  <r>
    <n v="32"/>
    <s v="ENTEGRO"/>
    <s v="AKGÜÇ"/>
    <x v="23"/>
    <s v="2490107BW0034088"/>
    <n v="1"/>
    <x v="0"/>
    <m/>
    <m/>
    <n v="1900"/>
    <n v="1"/>
    <n v="45868"/>
    <x v="9"/>
    <m/>
    <x v="1"/>
  </r>
  <r>
    <n v="32"/>
    <s v="ENTEGRO"/>
    <s v="AKGÜÇ"/>
    <x v="23"/>
    <s v="2490107BW0033944"/>
    <n v="1"/>
    <x v="0"/>
    <m/>
    <m/>
    <n v="1900"/>
    <n v="1"/>
    <n v="45868"/>
    <x v="9"/>
    <m/>
    <x v="1"/>
  </r>
  <r>
    <n v="32"/>
    <s v="ENTEGRO"/>
    <s v="AKGÜÇ"/>
    <x v="23"/>
    <s v="2490107BW0034081"/>
    <n v="1"/>
    <x v="0"/>
    <m/>
    <m/>
    <n v="1900"/>
    <n v="1"/>
    <n v="45868"/>
    <x v="9"/>
    <m/>
    <x v="1"/>
  </r>
  <r>
    <n v="32"/>
    <s v="ENTEGRO"/>
    <s v="AKGÜÇ"/>
    <x v="23"/>
    <s v="2490107BW0004059"/>
    <n v="1"/>
    <x v="0"/>
    <m/>
    <m/>
    <n v="1900"/>
    <n v="1"/>
    <n v="45868"/>
    <x v="9"/>
    <m/>
    <x v="1"/>
  </r>
  <r>
    <n v="32"/>
    <s v="ENTEGRO"/>
    <s v="AKGÜÇ"/>
    <x v="23"/>
    <s v="2490107BW0004233"/>
    <n v="1"/>
    <x v="0"/>
    <m/>
    <m/>
    <n v="1900"/>
    <n v="1"/>
    <n v="45868"/>
    <x v="9"/>
    <m/>
    <x v="1"/>
  </r>
  <r>
    <n v="32"/>
    <s v="ENTEGRO"/>
    <s v="AKGÜÇ"/>
    <x v="23"/>
    <s v="2490107BW0004217"/>
    <n v="1"/>
    <x v="0"/>
    <m/>
    <m/>
    <n v="1900"/>
    <n v="1"/>
    <n v="45868"/>
    <x v="9"/>
    <m/>
    <x v="1"/>
  </r>
  <r>
    <n v="32"/>
    <s v="ENTEGRO"/>
    <s v="AKGÜÇ"/>
    <x v="23"/>
    <s v="2490107BW0003597"/>
    <n v="1"/>
    <x v="0"/>
    <m/>
    <m/>
    <n v="1900"/>
    <n v="1"/>
    <n v="45868"/>
    <x v="9"/>
    <m/>
    <x v="1"/>
  </r>
  <r>
    <n v="32"/>
    <s v="ENTEGRO"/>
    <s v="AKGÜÇ"/>
    <x v="23"/>
    <s v="2490107BW0004102"/>
    <n v="1"/>
    <x v="0"/>
    <m/>
    <m/>
    <n v="1900"/>
    <n v="1"/>
    <n v="45868"/>
    <x v="9"/>
    <m/>
    <x v="1"/>
  </r>
  <r>
    <n v="32"/>
    <s v="ENTEGRO"/>
    <s v="AKGÜÇ"/>
    <x v="23"/>
    <s v="2490107BW0004038"/>
    <n v="1"/>
    <x v="0"/>
    <m/>
    <m/>
    <n v="1900"/>
    <n v="1"/>
    <n v="45868"/>
    <x v="9"/>
    <m/>
    <x v="1"/>
  </r>
  <r>
    <n v="32"/>
    <s v="ENTEGRO"/>
    <s v="AKGÜÇ"/>
    <x v="23"/>
    <s v="2490107BW0004128"/>
    <n v="1"/>
    <x v="0"/>
    <m/>
    <m/>
    <n v="1900"/>
    <n v="1"/>
    <n v="45868"/>
    <x v="9"/>
    <m/>
    <x v="1"/>
  </r>
  <r>
    <n v="32"/>
    <s v="ENTEGRO"/>
    <s v="AKGÜÇ"/>
    <x v="23"/>
    <s v="2490107BW0004166"/>
    <n v="1"/>
    <x v="0"/>
    <m/>
    <m/>
    <n v="1900"/>
    <n v="1"/>
    <n v="45868"/>
    <x v="9"/>
    <m/>
    <x v="1"/>
  </r>
  <r>
    <n v="32"/>
    <s v="ENTEGRO"/>
    <s v="AKGÜÇ"/>
    <x v="23"/>
    <s v="2490107BW0004055"/>
    <n v="1"/>
    <x v="0"/>
    <m/>
    <m/>
    <n v="1900"/>
    <n v="1"/>
    <n v="45868"/>
    <x v="9"/>
    <m/>
    <x v="1"/>
  </r>
  <r>
    <n v="32"/>
    <s v="ENTEGRO"/>
    <s v="AKGÜÇ"/>
    <x v="23"/>
    <s v="2490107BW0003666"/>
    <n v="1"/>
    <x v="0"/>
    <m/>
    <m/>
    <n v="1900"/>
    <n v="1"/>
    <n v="45868"/>
    <x v="9"/>
    <m/>
    <x v="1"/>
  </r>
  <r>
    <n v="32"/>
    <s v="ENTEGRO"/>
    <s v="AKGÜÇ"/>
    <x v="23"/>
    <s v="2490107BW0003572"/>
    <n v="1"/>
    <x v="0"/>
    <m/>
    <m/>
    <n v="1900"/>
    <n v="1"/>
    <n v="45868"/>
    <x v="9"/>
    <m/>
    <x v="1"/>
  </r>
  <r>
    <n v="32"/>
    <s v="ENTEGRO"/>
    <s v="AKGÜÇ"/>
    <x v="23"/>
    <s v="2490107BW0003376"/>
    <n v="1"/>
    <x v="0"/>
    <m/>
    <m/>
    <n v="1900"/>
    <n v="1"/>
    <n v="45868"/>
    <x v="9"/>
    <m/>
    <x v="1"/>
  </r>
  <r>
    <n v="32"/>
    <s v="ENTEGRO"/>
    <s v="AKGÜÇ"/>
    <x v="23"/>
    <s v="2490107BW0001956"/>
    <n v="1"/>
    <x v="0"/>
    <m/>
    <m/>
    <n v="1900"/>
    <n v="1"/>
    <n v="45868"/>
    <x v="9"/>
    <m/>
    <x v="1"/>
  </r>
  <r>
    <n v="32"/>
    <s v="ENTEGRO"/>
    <s v="AKGÜÇ"/>
    <x v="23"/>
    <s v="2490107BW0002441"/>
    <n v="1"/>
    <x v="0"/>
    <m/>
    <m/>
    <n v="1900"/>
    <n v="1"/>
    <n v="45868"/>
    <x v="9"/>
    <m/>
    <x v="1"/>
  </r>
  <r>
    <n v="32"/>
    <s v="ENTEGRO"/>
    <s v="AKGÜÇ"/>
    <x v="23"/>
    <s v="2490107BW0002242"/>
    <n v="1"/>
    <x v="0"/>
    <m/>
    <m/>
    <n v="1900"/>
    <n v="1"/>
    <n v="45868"/>
    <x v="9"/>
    <m/>
    <x v="1"/>
  </r>
  <r>
    <n v="32"/>
    <s v="ENTEGRO"/>
    <s v="AKGÜÇ"/>
    <x v="23"/>
    <s v="2490107BW0031573"/>
    <n v="1"/>
    <x v="0"/>
    <m/>
    <m/>
    <n v="1900"/>
    <n v="1"/>
    <n v="45868"/>
    <x v="9"/>
    <m/>
    <x v="1"/>
  </r>
  <r>
    <n v="32"/>
    <s v="ENTEGRO"/>
    <s v="AKGÜÇ"/>
    <x v="23"/>
    <s v="2490107BW0031657"/>
    <n v="1"/>
    <x v="0"/>
    <m/>
    <m/>
    <n v="1900"/>
    <n v="1"/>
    <n v="45868"/>
    <x v="9"/>
    <m/>
    <x v="1"/>
  </r>
  <r>
    <n v="32"/>
    <s v="ENTEGRO"/>
    <s v="AKGÜÇ"/>
    <x v="23"/>
    <s v="2490107BW0031629"/>
    <n v="1"/>
    <x v="0"/>
    <m/>
    <m/>
    <n v="1900"/>
    <n v="1"/>
    <n v="45868"/>
    <x v="9"/>
    <m/>
    <x v="1"/>
  </r>
  <r>
    <n v="32"/>
    <s v="ENTEGRO"/>
    <s v="AKGÜÇ"/>
    <x v="23"/>
    <s v="2490107BW0031656"/>
    <n v="1"/>
    <x v="0"/>
    <m/>
    <m/>
    <n v="1900"/>
    <n v="1"/>
    <n v="45868"/>
    <x v="9"/>
    <m/>
    <x v="1"/>
  </r>
  <r>
    <n v="32"/>
    <s v="ENTEGRO"/>
    <s v="AKGÜÇ"/>
    <x v="23"/>
    <s v="2490107BW0002460"/>
    <n v="1"/>
    <x v="0"/>
    <m/>
    <m/>
    <n v="1900"/>
    <n v="1"/>
    <n v="45868"/>
    <x v="9"/>
    <m/>
    <x v="1"/>
  </r>
  <r>
    <n v="32"/>
    <s v="ENTEGRO"/>
    <s v="AKGÜÇ"/>
    <x v="23"/>
    <s v="2490107BW0002448"/>
    <n v="1"/>
    <x v="0"/>
    <m/>
    <m/>
    <n v="1900"/>
    <n v="1"/>
    <n v="45868"/>
    <x v="9"/>
    <m/>
    <x v="1"/>
  </r>
  <r>
    <n v="32"/>
    <s v="ENTEGRO"/>
    <s v="AKGÜÇ"/>
    <x v="23"/>
    <s v="2490107BW0031511"/>
    <n v="1"/>
    <x v="0"/>
    <m/>
    <m/>
    <n v="1900"/>
    <n v="1"/>
    <n v="45868"/>
    <x v="9"/>
    <m/>
    <x v="1"/>
  </r>
  <r>
    <n v="32"/>
    <s v="ENTEGRO"/>
    <s v="AKGÜÇ"/>
    <x v="23"/>
    <s v="2490107BW0031659"/>
    <n v="1"/>
    <x v="0"/>
    <m/>
    <m/>
    <n v="1900"/>
    <n v="1"/>
    <n v="45868"/>
    <x v="9"/>
    <m/>
    <x v="1"/>
  </r>
  <r>
    <n v="32"/>
    <s v="ENTEGRO"/>
    <s v="AKGÜÇ"/>
    <x v="23"/>
    <s v="2490107BW0001957"/>
    <n v="1"/>
    <x v="0"/>
    <m/>
    <m/>
    <n v="1900"/>
    <n v="1"/>
    <n v="45868"/>
    <x v="9"/>
    <m/>
    <x v="1"/>
  </r>
  <r>
    <n v="32"/>
    <s v="ENTEGRO"/>
    <s v="AKGÜÇ"/>
    <x v="23"/>
    <s v="2490107BW0031362"/>
    <n v="1"/>
    <x v="0"/>
    <m/>
    <m/>
    <n v="1900"/>
    <n v="1"/>
    <n v="45868"/>
    <x v="9"/>
    <m/>
    <x v="1"/>
  </r>
  <r>
    <n v="32"/>
    <s v="ENTEGRO"/>
    <s v="AKGÜÇ"/>
    <x v="23"/>
    <s v="2480107BW0002426"/>
    <n v="1"/>
    <x v="0"/>
    <m/>
    <m/>
    <n v="1900"/>
    <n v="1"/>
    <n v="45868"/>
    <x v="9"/>
    <m/>
    <x v="1"/>
  </r>
  <r>
    <n v="32"/>
    <s v="ENTEGRO"/>
    <s v="AKGÜÇ"/>
    <x v="23"/>
    <s v="2480107BW0002438"/>
    <n v="1"/>
    <x v="0"/>
    <m/>
    <m/>
    <n v="1900"/>
    <n v="1"/>
    <n v="45868"/>
    <x v="9"/>
    <m/>
    <x v="1"/>
  </r>
  <r>
    <n v="32"/>
    <s v="ENTEGRO"/>
    <s v="AKGÜÇ"/>
    <x v="23"/>
    <s v="2490107BW0032204"/>
    <n v="1"/>
    <x v="0"/>
    <m/>
    <m/>
    <n v="1900"/>
    <n v="1"/>
    <n v="45868"/>
    <x v="9"/>
    <m/>
    <x v="1"/>
  </r>
  <r>
    <n v="32"/>
    <s v="ENTEGRO"/>
    <s v="AKGÜÇ"/>
    <x v="23"/>
    <s v="2490107BW0032299"/>
    <n v="1"/>
    <x v="0"/>
    <m/>
    <m/>
    <n v="1900"/>
    <n v="1"/>
    <n v="45868"/>
    <x v="9"/>
    <m/>
    <x v="1"/>
  </r>
  <r>
    <n v="32"/>
    <s v="ENTEGRO"/>
    <s v="AKGÜÇ"/>
    <x v="23"/>
    <s v="2490107BW0003076"/>
    <n v="1"/>
    <x v="0"/>
    <m/>
    <m/>
    <n v="1900"/>
    <n v="1"/>
    <n v="45868"/>
    <x v="9"/>
    <m/>
    <x v="1"/>
  </r>
  <r>
    <n v="32"/>
    <s v="ENTEGRO"/>
    <s v="AKGÜÇ"/>
    <x v="23"/>
    <s v="2480107BW0003139"/>
    <n v="1"/>
    <x v="0"/>
    <m/>
    <m/>
    <n v="1900"/>
    <n v="1"/>
    <n v="45868"/>
    <x v="9"/>
    <m/>
    <x v="1"/>
  </r>
  <r>
    <n v="32"/>
    <s v="ENTEGRO"/>
    <s v="AKGÜÇ"/>
    <x v="23"/>
    <s v="2490107BW0032128"/>
    <n v="1"/>
    <x v="0"/>
    <m/>
    <m/>
    <n v="1900"/>
    <n v="1"/>
    <n v="45868"/>
    <x v="9"/>
    <m/>
    <x v="1"/>
  </r>
  <r>
    <n v="32"/>
    <s v="ENTEGRO"/>
    <s v="AKGÜÇ"/>
    <x v="23"/>
    <s v="2490107BW0032350"/>
    <n v="1"/>
    <x v="0"/>
    <m/>
    <m/>
    <n v="1900"/>
    <n v="1"/>
    <n v="45868"/>
    <x v="9"/>
    <m/>
    <x v="1"/>
  </r>
  <r>
    <n v="32"/>
    <s v="ENTEGRO"/>
    <s v="AKGÜÇ"/>
    <x v="23"/>
    <s v="2480107BW0003118"/>
    <n v="1"/>
    <x v="0"/>
    <m/>
    <m/>
    <n v="1900"/>
    <n v="1"/>
    <n v="45868"/>
    <x v="9"/>
    <m/>
    <x v="1"/>
  </r>
  <r>
    <n v="32"/>
    <s v="ENTEGRO"/>
    <s v="AKGÜÇ"/>
    <x v="23"/>
    <s v="2480107BW0003123"/>
    <n v="1"/>
    <x v="0"/>
    <m/>
    <m/>
    <n v="1900"/>
    <n v="1"/>
    <n v="45868"/>
    <x v="9"/>
    <m/>
    <x v="1"/>
  </r>
  <r>
    <n v="32"/>
    <s v="ENTEGRO"/>
    <s v="AKGÜÇ"/>
    <x v="23"/>
    <s v="2480107BW0031934"/>
    <n v="1"/>
    <x v="0"/>
    <m/>
    <m/>
    <n v="1900"/>
    <n v="1"/>
    <n v="45868"/>
    <x v="9"/>
    <m/>
    <x v="1"/>
  </r>
  <r>
    <n v="32"/>
    <s v="ENTEGRO"/>
    <s v="AKGÜÇ"/>
    <x v="23"/>
    <s v="2480107BW0032406"/>
    <n v="1"/>
    <x v="0"/>
    <m/>
    <m/>
    <n v="1900"/>
    <n v="1"/>
    <n v="45868"/>
    <x v="9"/>
    <m/>
    <x v="1"/>
  </r>
  <r>
    <n v="32"/>
    <s v="ENTEGRO"/>
    <s v="AKGÜÇ"/>
    <x v="23"/>
    <s v="2490107BW003235"/>
    <n v="1"/>
    <x v="0"/>
    <m/>
    <m/>
    <n v="1900"/>
    <n v="1"/>
    <n v="45868"/>
    <x v="9"/>
    <m/>
    <x v="1"/>
  </r>
  <r>
    <n v="32"/>
    <s v="ENTEGRO"/>
    <s v="AKGÜÇ"/>
    <x v="23"/>
    <s v="2480107BW0032359"/>
    <n v="1"/>
    <x v="0"/>
    <m/>
    <m/>
    <n v="1900"/>
    <n v="1"/>
    <n v="45868"/>
    <x v="9"/>
    <m/>
    <x v="1"/>
  </r>
  <r>
    <n v="32"/>
    <s v="ENTEGRO"/>
    <s v="AKGÜÇ"/>
    <x v="23"/>
    <s v="2480107BW0032391"/>
    <n v="1"/>
    <x v="0"/>
    <m/>
    <m/>
    <n v="1900"/>
    <n v="1"/>
    <n v="45868"/>
    <x v="9"/>
    <m/>
    <x v="1"/>
  </r>
  <r>
    <n v="32"/>
    <s v="ENTEGRO"/>
    <s v="AKGÜÇ"/>
    <x v="23"/>
    <s v="2480107BW0033564"/>
    <n v="1"/>
    <x v="0"/>
    <m/>
    <m/>
    <n v="1900"/>
    <n v="1"/>
    <n v="45868"/>
    <x v="9"/>
    <m/>
    <x v="1"/>
  </r>
  <r>
    <n v="32"/>
    <s v="ENTEGRO"/>
    <s v="AKGÜÇ"/>
    <x v="23"/>
    <s v="2480107BW0033510"/>
    <n v="1"/>
    <x v="0"/>
    <m/>
    <m/>
    <n v="1900"/>
    <n v="1"/>
    <n v="45868"/>
    <x v="9"/>
    <m/>
    <x v="1"/>
  </r>
  <r>
    <n v="32"/>
    <s v="ENTEGRO"/>
    <s v="AKGÜÇ"/>
    <x v="23"/>
    <s v="2480107BW0033537"/>
    <n v="1"/>
    <x v="0"/>
    <m/>
    <m/>
    <n v="1900"/>
    <n v="1"/>
    <n v="45868"/>
    <x v="9"/>
    <m/>
    <x v="1"/>
  </r>
  <r>
    <n v="32"/>
    <s v="ENTEGRO"/>
    <s v="AKGÜÇ"/>
    <x v="23"/>
    <s v="2480107BW0032298"/>
    <n v="1"/>
    <x v="0"/>
    <m/>
    <m/>
    <n v="1900"/>
    <n v="1"/>
    <n v="45868"/>
    <x v="9"/>
    <m/>
    <x v="1"/>
  </r>
  <r>
    <n v="32"/>
    <s v="ENTEGRO"/>
    <s v="AKGÜÇ"/>
    <x v="23"/>
    <s v="2480107BW0032348"/>
    <n v="1"/>
    <x v="0"/>
    <m/>
    <m/>
    <n v="1900"/>
    <n v="1"/>
    <n v="45868"/>
    <x v="9"/>
    <m/>
    <x v="1"/>
  </r>
  <r>
    <n v="32"/>
    <s v="ENTEGRO"/>
    <s v="AKGÜÇ"/>
    <x v="23"/>
    <s v="2480107BW0033442"/>
    <n v="1"/>
    <x v="0"/>
    <m/>
    <m/>
    <n v="1900"/>
    <n v="1"/>
    <n v="45868"/>
    <x v="9"/>
    <m/>
    <x v="1"/>
  </r>
  <r>
    <n v="32"/>
    <s v="ENTEGRO"/>
    <s v="AKGÜÇ"/>
    <x v="23"/>
    <s v="2480107BW0033560"/>
    <n v="1"/>
    <x v="0"/>
    <m/>
    <m/>
    <n v="1900"/>
    <n v="1"/>
    <n v="45868"/>
    <x v="9"/>
    <m/>
    <x v="1"/>
  </r>
  <r>
    <n v="32"/>
    <s v="ENTEGRO"/>
    <s v="AKGÜÇ"/>
    <x v="23"/>
    <s v="2480107BW0031757"/>
    <n v="1"/>
    <x v="0"/>
    <m/>
    <m/>
    <n v="1900"/>
    <n v="1"/>
    <n v="45868"/>
    <x v="9"/>
    <m/>
    <x v="1"/>
  </r>
  <r>
    <n v="32"/>
    <s v="ENTEGRO"/>
    <s v="AKGÜÇ"/>
    <x v="23"/>
    <s v="2480107BW0032420"/>
    <n v="1"/>
    <x v="0"/>
    <m/>
    <m/>
    <n v="1900"/>
    <n v="1"/>
    <n v="45868"/>
    <x v="9"/>
    <m/>
    <x v="1"/>
  </r>
  <r>
    <n v="32"/>
    <s v="ENTEGRO"/>
    <s v="AKGÜÇ"/>
    <x v="23"/>
    <s v="2480107BW0033497"/>
    <n v="1"/>
    <x v="0"/>
    <m/>
    <m/>
    <n v="1900"/>
    <n v="1"/>
    <n v="45868"/>
    <x v="9"/>
    <m/>
    <x v="1"/>
  </r>
  <r>
    <n v="32"/>
    <s v="ENTEGRO"/>
    <s v="AKGÜÇ"/>
    <x v="23"/>
    <s v="2480107BW0033562"/>
    <n v="1"/>
    <x v="0"/>
    <m/>
    <m/>
    <n v="1900"/>
    <n v="1"/>
    <n v="45868"/>
    <x v="9"/>
    <m/>
    <x v="1"/>
  </r>
  <r>
    <n v="32"/>
    <s v="ENTEGRO"/>
    <s v="AKGÜÇ"/>
    <x v="23"/>
    <s v="2480107BW0032446"/>
    <n v="1"/>
    <x v="0"/>
    <m/>
    <m/>
    <n v="1900"/>
    <n v="1"/>
    <n v="45868"/>
    <x v="9"/>
    <m/>
    <x v="1"/>
  </r>
  <r>
    <n v="32"/>
    <s v="ENTEGRO"/>
    <s v="AKGÜÇ"/>
    <x v="23"/>
    <s v="2480107BW0032487"/>
    <n v="1"/>
    <x v="0"/>
    <m/>
    <m/>
    <n v="1900"/>
    <n v="1"/>
    <n v="45868"/>
    <x v="9"/>
    <m/>
    <x v="1"/>
  </r>
  <r>
    <n v="32"/>
    <s v="ENTEGRO"/>
    <s v="AKGÜÇ"/>
    <x v="23"/>
    <s v="2480107BW0033518"/>
    <n v="1"/>
    <x v="0"/>
    <m/>
    <m/>
    <n v="1900"/>
    <n v="1"/>
    <n v="45868"/>
    <x v="9"/>
    <m/>
    <x v="1"/>
  </r>
  <r>
    <n v="32"/>
    <s v="ENTEGRO"/>
    <s v="AKGÜÇ"/>
    <x v="23"/>
    <s v="2480107BW0033513"/>
    <n v="1"/>
    <x v="0"/>
    <m/>
    <m/>
    <n v="1900"/>
    <n v="1"/>
    <n v="45868"/>
    <x v="9"/>
    <m/>
    <x v="1"/>
  </r>
  <r>
    <n v="32"/>
    <s v="ENTEGRO"/>
    <s v="AKGÜÇ"/>
    <x v="23"/>
    <s v="2480107BW0032507"/>
    <n v="1"/>
    <x v="0"/>
    <m/>
    <m/>
    <n v="1900"/>
    <n v="1"/>
    <n v="45868"/>
    <x v="9"/>
    <m/>
    <x v="1"/>
  </r>
  <r>
    <n v="32"/>
    <s v="ENTEGRO"/>
    <s v="AKGÜÇ"/>
    <x v="23"/>
    <s v="2480107BW0032584"/>
    <n v="1"/>
    <x v="0"/>
    <m/>
    <m/>
    <n v="1900"/>
    <n v="1"/>
    <n v="45868"/>
    <x v="9"/>
    <m/>
    <x v="1"/>
  </r>
  <r>
    <n v="32"/>
    <s v="ENTEGRO"/>
    <s v="AKGÜÇ"/>
    <x v="23"/>
    <s v="2480107BW0033516"/>
    <n v="1"/>
    <x v="0"/>
    <m/>
    <m/>
    <n v="1900"/>
    <n v="1"/>
    <n v="45868"/>
    <x v="9"/>
    <m/>
    <x v="1"/>
  </r>
  <r>
    <n v="32"/>
    <s v="ENTEGRO"/>
    <s v="AKGÜÇ"/>
    <x v="23"/>
    <s v="2480107BW0033843"/>
    <n v="1"/>
    <x v="0"/>
    <m/>
    <m/>
    <n v="1900"/>
    <n v="1"/>
    <n v="45868"/>
    <x v="9"/>
    <m/>
    <x v="1"/>
  </r>
  <r>
    <n v="32"/>
    <s v="ENTEGRO"/>
    <s v="AKGÜÇ"/>
    <x v="23"/>
    <s v="2480107BW0032473"/>
    <n v="1"/>
    <x v="0"/>
    <m/>
    <m/>
    <n v="1900"/>
    <n v="1"/>
    <n v="45868"/>
    <x v="9"/>
    <m/>
    <x v="1"/>
  </r>
  <r>
    <n v="32"/>
    <s v="ENTEGRO"/>
    <s v="AKGÜÇ"/>
    <x v="23"/>
    <s v="2480107BW0032632"/>
    <n v="1"/>
    <x v="0"/>
    <m/>
    <m/>
    <n v="1900"/>
    <n v="1"/>
    <n v="45868"/>
    <x v="9"/>
    <m/>
    <x v="1"/>
  </r>
  <r>
    <n v="32"/>
    <s v="ENTEGRO"/>
    <s v="AKGÜÇ"/>
    <x v="23"/>
    <s v="2480107BW0033539"/>
    <n v="1"/>
    <x v="0"/>
    <m/>
    <m/>
    <n v="1900"/>
    <n v="1"/>
    <n v="45868"/>
    <x v="9"/>
    <m/>
    <x v="1"/>
  </r>
  <r>
    <n v="32"/>
    <s v="ENTEGRO"/>
    <s v="AKGÜÇ"/>
    <x v="23"/>
    <s v="2480107BW0033174"/>
    <n v="1"/>
    <x v="0"/>
    <m/>
    <m/>
    <n v="1900"/>
    <n v="1"/>
    <n v="45868"/>
    <x v="9"/>
    <m/>
    <x v="1"/>
  </r>
  <r>
    <n v="32"/>
    <s v="ENTEGRO"/>
    <s v="AKGÜÇ"/>
    <x v="23"/>
    <s v="2480107BW0032647"/>
    <n v="1"/>
    <x v="0"/>
    <m/>
    <m/>
    <n v="1900"/>
    <n v="1"/>
    <n v="45868"/>
    <x v="9"/>
    <m/>
    <x v="1"/>
  </r>
  <r>
    <n v="32"/>
    <s v="ENTEGRO"/>
    <s v="AKGÜÇ"/>
    <x v="23"/>
    <s v="2480107BW0032620"/>
    <n v="1"/>
    <x v="0"/>
    <m/>
    <m/>
    <n v="1900"/>
    <n v="1"/>
    <n v="45868"/>
    <x v="9"/>
    <m/>
    <x v="1"/>
  </r>
  <r>
    <n v="32"/>
    <s v="ENTEGRO"/>
    <s v="AKGÜÇ"/>
    <x v="23"/>
    <s v="2480107BW0032954"/>
    <n v="1"/>
    <x v="0"/>
    <m/>
    <m/>
    <n v="1900"/>
    <n v="1"/>
    <n v="45868"/>
    <x v="9"/>
    <m/>
    <x v="1"/>
  </r>
  <r>
    <n v="32"/>
    <s v="ENTEGRO"/>
    <s v="AKGÜÇ"/>
    <x v="23"/>
    <s v="2480107BW0032884"/>
    <n v="1"/>
    <x v="0"/>
    <m/>
    <m/>
    <n v="1900"/>
    <n v="1"/>
    <n v="45868"/>
    <x v="9"/>
    <m/>
    <x v="1"/>
  </r>
  <r>
    <n v="32"/>
    <s v="ENTEGRO"/>
    <s v="AKGÜÇ"/>
    <x v="23"/>
    <s v="2480107BW0032938"/>
    <n v="1"/>
    <x v="0"/>
    <m/>
    <m/>
    <n v="1900"/>
    <n v="1"/>
    <n v="45868"/>
    <x v="9"/>
    <m/>
    <x v="1"/>
  </r>
  <r>
    <n v="32"/>
    <s v="ENTEGRO"/>
    <s v="AKGÜÇ"/>
    <x v="23"/>
    <s v="2480107BW0032939"/>
    <n v="1"/>
    <x v="0"/>
    <m/>
    <m/>
    <n v="1900"/>
    <n v="1"/>
    <n v="45868"/>
    <x v="9"/>
    <m/>
    <x v="1"/>
  </r>
  <r>
    <n v="32"/>
    <s v="ENTEGRO"/>
    <s v="AKGÜÇ"/>
    <x v="23"/>
    <s v="2480107BW0032754"/>
    <n v="1"/>
    <x v="0"/>
    <m/>
    <m/>
    <n v="1900"/>
    <n v="1"/>
    <n v="45868"/>
    <x v="9"/>
    <m/>
    <x v="1"/>
  </r>
  <r>
    <n v="32"/>
    <s v="ENTEGRO"/>
    <s v="AKGÜÇ"/>
    <x v="23"/>
    <s v="2480107BW0032661"/>
    <n v="1"/>
    <x v="0"/>
    <m/>
    <m/>
    <n v="1900"/>
    <n v="1"/>
    <n v="45868"/>
    <x v="9"/>
    <m/>
    <x v="1"/>
  </r>
  <r>
    <n v="32"/>
    <s v="ENTEGRO"/>
    <s v="AKGÜÇ"/>
    <x v="23"/>
    <s v="2480107BW0032751"/>
    <n v="1"/>
    <x v="0"/>
    <m/>
    <m/>
    <n v="1900"/>
    <n v="1"/>
    <n v="45868"/>
    <x v="9"/>
    <m/>
    <x v="1"/>
  </r>
  <r>
    <n v="32"/>
    <s v="ENTEGRO"/>
    <s v="AKGÜÇ"/>
    <x v="23"/>
    <s v="2480107BW0033124"/>
    <n v="1"/>
    <x v="0"/>
    <m/>
    <m/>
    <n v="1900"/>
    <n v="1"/>
    <n v="45868"/>
    <x v="9"/>
    <m/>
    <x v="1"/>
  </r>
  <r>
    <n v="32"/>
    <s v="ENTEGRO"/>
    <s v="AKGÜÇ"/>
    <x v="23"/>
    <s v="2480107BW0033199"/>
    <n v="1"/>
    <x v="0"/>
    <m/>
    <m/>
    <n v="1900"/>
    <n v="1"/>
    <n v="45868"/>
    <x v="9"/>
    <m/>
    <x v="1"/>
  </r>
  <r>
    <n v="32"/>
    <s v="ENTEGRO"/>
    <s v="AKGÜÇ"/>
    <x v="23"/>
    <s v="2480107BW0033054"/>
    <n v="1"/>
    <x v="0"/>
    <m/>
    <m/>
    <n v="1900"/>
    <n v="1"/>
    <n v="45868"/>
    <x v="9"/>
    <m/>
    <x v="1"/>
  </r>
  <r>
    <n v="32"/>
    <s v="ENTEGRO"/>
    <s v="AKGÜÇ"/>
    <x v="23"/>
    <s v="2480107BW0032557"/>
    <n v="1"/>
    <x v="0"/>
    <m/>
    <m/>
    <n v="1900"/>
    <n v="1"/>
    <n v="45868"/>
    <x v="9"/>
    <m/>
    <x v="1"/>
  </r>
  <r>
    <n v="32"/>
    <s v="ENTEGRO"/>
    <s v="AKGÜÇ"/>
    <x v="23"/>
    <s v="2480107BW0033668"/>
    <n v="1"/>
    <x v="0"/>
    <m/>
    <m/>
    <n v="1900"/>
    <n v="1"/>
    <n v="45868"/>
    <x v="9"/>
    <m/>
    <x v="1"/>
  </r>
  <r>
    <n v="32"/>
    <s v="ENTEGRO"/>
    <s v="AKGÜÇ"/>
    <x v="23"/>
    <s v="2490107BW0008453"/>
    <n v="1"/>
    <x v="0"/>
    <m/>
    <m/>
    <n v="1900"/>
    <n v="1"/>
    <n v="45868"/>
    <x v="9"/>
    <m/>
    <x v="1"/>
  </r>
  <r>
    <n v="32"/>
    <s v="ENTEGRO"/>
    <s v="AKGÜÇ"/>
    <x v="23"/>
    <s v="2490107BW0013579"/>
    <n v="1"/>
    <x v="0"/>
    <m/>
    <m/>
    <n v="1900"/>
    <n v="1"/>
    <n v="45868"/>
    <x v="9"/>
    <m/>
    <x v="1"/>
  </r>
  <r>
    <n v="32"/>
    <s v="ENTEGRO"/>
    <s v="AKGÜÇ"/>
    <x v="23"/>
    <s v="2490107BW0008806"/>
    <n v="1"/>
    <x v="0"/>
    <m/>
    <m/>
    <n v="1900"/>
    <n v="1"/>
    <n v="45868"/>
    <x v="9"/>
    <m/>
    <x v="1"/>
  </r>
  <r>
    <n v="32"/>
    <s v="ENTEGRO"/>
    <s v="AKGÜÇ"/>
    <x v="23"/>
    <s v="2490107BW0008705"/>
    <n v="1"/>
    <x v="0"/>
    <m/>
    <m/>
    <n v="1900"/>
    <n v="1"/>
    <n v="45868"/>
    <x v="9"/>
    <m/>
    <x v="1"/>
  </r>
  <r>
    <n v="32"/>
    <s v="ENTEGRO"/>
    <s v="AKGÜÇ"/>
    <x v="23"/>
    <s v="2490107BW0008259"/>
    <n v="1"/>
    <x v="0"/>
    <m/>
    <m/>
    <n v="1900"/>
    <n v="1"/>
    <n v="45868"/>
    <x v="9"/>
    <m/>
    <x v="1"/>
  </r>
  <r>
    <n v="32"/>
    <s v="ENTEGRO"/>
    <s v="AKGÜÇ"/>
    <x v="23"/>
    <s v="2490107BW0008346"/>
    <n v="1"/>
    <x v="0"/>
    <m/>
    <m/>
    <n v="1900"/>
    <n v="1"/>
    <n v="45868"/>
    <x v="9"/>
    <m/>
    <x v="1"/>
  </r>
  <r>
    <n v="32"/>
    <s v="ENTEGRO"/>
    <s v="AKGÜÇ"/>
    <x v="23"/>
    <s v="2490107BW0008347"/>
    <n v="1"/>
    <x v="0"/>
    <m/>
    <m/>
    <n v="1900"/>
    <n v="1"/>
    <n v="45868"/>
    <x v="9"/>
    <m/>
    <x v="1"/>
  </r>
  <r>
    <n v="32"/>
    <s v="ENTEGRO"/>
    <s v="AKGÜÇ"/>
    <x v="23"/>
    <s v="2490107BW0008166"/>
    <n v="1"/>
    <x v="0"/>
    <m/>
    <m/>
    <n v="1900"/>
    <n v="1"/>
    <n v="45868"/>
    <x v="9"/>
    <m/>
    <x v="1"/>
  </r>
  <r>
    <n v="32"/>
    <s v="ENTEGRO"/>
    <s v="AKGÜÇ"/>
    <x v="23"/>
    <s v="2490107BW0008754"/>
    <n v="1"/>
    <x v="0"/>
    <m/>
    <m/>
    <n v="1900"/>
    <n v="1"/>
    <n v="45868"/>
    <x v="9"/>
    <m/>
    <x v="1"/>
  </r>
  <r>
    <n v="32"/>
    <s v="ENTEGRO"/>
    <s v="AKGÜÇ"/>
    <x v="23"/>
    <s v="2490107BW0008750"/>
    <n v="1"/>
    <x v="0"/>
    <m/>
    <m/>
    <n v="1900"/>
    <n v="1"/>
    <n v="45868"/>
    <x v="9"/>
    <m/>
    <x v="1"/>
  </r>
  <r>
    <n v="32"/>
    <s v="ENTEGRO"/>
    <s v="AKGÜÇ"/>
    <x v="23"/>
    <s v="2490107BW0008761"/>
    <n v="1"/>
    <x v="0"/>
    <m/>
    <m/>
    <n v="1900"/>
    <n v="1"/>
    <n v="45868"/>
    <x v="9"/>
    <m/>
    <x v="1"/>
  </r>
  <r>
    <n v="32"/>
    <s v="ENTEGRO"/>
    <s v="AKGÜÇ"/>
    <x v="23"/>
    <s v="2490107BW0008782"/>
    <n v="1"/>
    <x v="0"/>
    <m/>
    <m/>
    <n v="1900"/>
    <n v="1"/>
    <n v="45868"/>
    <x v="9"/>
    <m/>
    <x v="1"/>
  </r>
  <r>
    <n v="32"/>
    <s v="ENTEGRO"/>
    <s v="AKGÜÇ"/>
    <x v="23"/>
    <s v="2490107BW0008677"/>
    <n v="1"/>
    <x v="0"/>
    <m/>
    <m/>
    <n v="1900"/>
    <n v="1"/>
    <n v="45868"/>
    <x v="9"/>
    <m/>
    <x v="1"/>
  </r>
  <r>
    <n v="32"/>
    <s v="ENTEGRO"/>
    <s v="AKGÜÇ"/>
    <x v="23"/>
    <s v="2480107BW0032669"/>
    <n v="1"/>
    <x v="0"/>
    <m/>
    <m/>
    <n v="1900"/>
    <n v="1"/>
    <n v="45868"/>
    <x v="9"/>
    <m/>
    <x v="1"/>
  </r>
  <r>
    <n v="32"/>
    <s v="ENTEGRO"/>
    <s v="AKGÜÇ"/>
    <x v="23"/>
    <s v="2480107BW0032866"/>
    <n v="1"/>
    <x v="0"/>
    <m/>
    <m/>
    <n v="1900"/>
    <n v="1"/>
    <n v="45868"/>
    <x v="9"/>
    <m/>
    <x v="1"/>
  </r>
  <r>
    <n v="32"/>
    <s v="ENTEGRO"/>
    <s v="AKGÜÇ"/>
    <x v="23"/>
    <s v="2480107BW0032912"/>
    <n v="1"/>
    <x v="0"/>
    <m/>
    <m/>
    <n v="1900"/>
    <n v="1"/>
    <n v="45868"/>
    <x v="9"/>
    <m/>
    <x v="1"/>
  </r>
  <r>
    <n v="32"/>
    <s v="ENTEGRO"/>
    <s v="AKGÜÇ"/>
    <x v="23"/>
    <s v="2480107BW0032899"/>
    <n v="1"/>
    <x v="0"/>
    <m/>
    <m/>
    <n v="1900"/>
    <n v="1"/>
    <n v="45868"/>
    <x v="9"/>
    <m/>
    <x v="1"/>
  </r>
  <r>
    <n v="32"/>
    <s v="ENTEGRO"/>
    <s v="AKGÜÇ"/>
    <x v="23"/>
    <s v="2480107BW0032858"/>
    <n v="1"/>
    <x v="0"/>
    <m/>
    <m/>
    <n v="1900"/>
    <n v="1"/>
    <n v="45868"/>
    <x v="9"/>
    <m/>
    <x v="1"/>
  </r>
  <r>
    <n v="32"/>
    <s v="ENTEGRO"/>
    <s v="AKGÜÇ"/>
    <x v="23"/>
    <s v="2480107BW0032744"/>
    <n v="1"/>
    <x v="0"/>
    <m/>
    <m/>
    <n v="1900"/>
    <n v="1"/>
    <n v="45868"/>
    <x v="9"/>
    <m/>
    <x v="1"/>
  </r>
  <r>
    <n v="32"/>
    <s v="ENTEGRO"/>
    <s v="AKGÜÇ"/>
    <x v="23"/>
    <s v="2480107BW0032828"/>
    <n v="1"/>
    <x v="0"/>
    <m/>
    <m/>
    <n v="1900"/>
    <n v="1"/>
    <n v="45868"/>
    <x v="9"/>
    <m/>
    <x v="1"/>
  </r>
  <r>
    <n v="32"/>
    <s v="ENTEGRO"/>
    <s v="AKGÜÇ"/>
    <x v="23"/>
    <s v="2480107BW0032883"/>
    <n v="1"/>
    <x v="0"/>
    <m/>
    <m/>
    <n v="1900"/>
    <n v="1"/>
    <n v="45868"/>
    <x v="9"/>
    <m/>
    <x v="1"/>
  </r>
  <r>
    <n v="32"/>
    <s v="ENTEGRO"/>
    <s v="AKGÜÇ"/>
    <x v="23"/>
    <s v="2480107BW0032905"/>
    <n v="1"/>
    <x v="0"/>
    <m/>
    <m/>
    <n v="1900"/>
    <n v="1"/>
    <n v="45868"/>
    <x v="9"/>
    <m/>
    <x v="1"/>
  </r>
  <r>
    <n v="32"/>
    <s v="ENTEGRO"/>
    <s v="AKGÜÇ"/>
    <x v="23"/>
    <s v="2480107BW0032875"/>
    <n v="1"/>
    <x v="0"/>
    <m/>
    <m/>
    <n v="1900"/>
    <n v="1"/>
    <n v="45868"/>
    <x v="9"/>
    <m/>
    <x v="1"/>
  </r>
  <r>
    <n v="32"/>
    <s v="ENTEGRO"/>
    <s v="AKGÜÇ"/>
    <x v="23"/>
    <s v="2480107BW0031434"/>
    <n v="1"/>
    <x v="0"/>
    <m/>
    <m/>
    <n v="1900"/>
    <n v="1"/>
    <n v="45868"/>
    <x v="9"/>
    <m/>
    <x v="1"/>
  </r>
  <r>
    <n v="32"/>
    <s v="ENTEGRO"/>
    <s v="AKGÜÇ"/>
    <x v="23"/>
    <s v="2480107BW0033657"/>
    <n v="1"/>
    <x v="0"/>
    <m/>
    <m/>
    <n v="1900"/>
    <n v="1"/>
    <n v="45868"/>
    <x v="9"/>
    <m/>
    <x v="1"/>
  </r>
  <r>
    <n v="32"/>
    <s v="ENTEGRO"/>
    <s v="AKGÜÇ"/>
    <x v="23"/>
    <s v="2480107BW0031424"/>
    <n v="1"/>
    <x v="0"/>
    <m/>
    <m/>
    <n v="1900"/>
    <n v="1"/>
    <n v="45868"/>
    <x v="9"/>
    <m/>
    <x v="1"/>
  </r>
  <r>
    <n v="32"/>
    <s v="ENTEGRO"/>
    <s v="AKGÜÇ"/>
    <x v="23"/>
    <s v="2480107BW0033404"/>
    <n v="1"/>
    <x v="0"/>
    <m/>
    <m/>
    <n v="1900"/>
    <n v="1"/>
    <n v="45868"/>
    <x v="9"/>
    <m/>
    <x v="1"/>
  </r>
  <r>
    <n v="32"/>
    <s v="ENTEGRO"/>
    <s v="AKGÜÇ"/>
    <x v="23"/>
    <s v="2480107BW0031492"/>
    <n v="1"/>
    <x v="0"/>
    <m/>
    <m/>
    <n v="1900"/>
    <n v="1"/>
    <n v="45868"/>
    <x v="9"/>
    <m/>
    <x v="1"/>
  </r>
  <r>
    <n v="32"/>
    <s v="ENTEGRO"/>
    <s v="AKGÜÇ"/>
    <x v="23"/>
    <s v="2480107BW0033322"/>
    <n v="1"/>
    <x v="0"/>
    <m/>
    <m/>
    <n v="1900"/>
    <n v="1"/>
    <n v="45868"/>
    <x v="9"/>
    <m/>
    <x v="1"/>
  </r>
  <r>
    <n v="32"/>
    <s v="ENTEGRO"/>
    <s v="AKGÜÇ"/>
    <x v="23"/>
    <s v="2480107BW0031150"/>
    <n v="1"/>
    <x v="0"/>
    <m/>
    <m/>
    <n v="1900"/>
    <n v="1"/>
    <n v="45868"/>
    <x v="9"/>
    <m/>
    <x v="1"/>
  </r>
  <r>
    <n v="32"/>
    <s v="ENTEGRO"/>
    <s v="AKGÜÇ"/>
    <x v="23"/>
    <s v="2480107BW0033167"/>
    <n v="1"/>
    <x v="0"/>
    <m/>
    <m/>
    <n v="1900"/>
    <n v="1"/>
    <n v="45868"/>
    <x v="9"/>
    <m/>
    <x v="1"/>
  </r>
  <r>
    <n v="32"/>
    <s v="ENTEGRO"/>
    <s v="AKGÜÇ"/>
    <x v="23"/>
    <s v="2480107BW0031605"/>
    <n v="1"/>
    <x v="0"/>
    <m/>
    <m/>
    <n v="1900"/>
    <n v="1"/>
    <n v="45868"/>
    <x v="9"/>
    <m/>
    <x v="1"/>
  </r>
  <r>
    <n v="32"/>
    <s v="ENTEGRO"/>
    <s v="AKGÜÇ"/>
    <x v="23"/>
    <s v="2480107BW0033320"/>
    <n v="1"/>
    <x v="0"/>
    <m/>
    <m/>
    <n v="1900"/>
    <n v="1"/>
    <n v="45868"/>
    <x v="9"/>
    <m/>
    <x v="1"/>
  </r>
  <r>
    <n v="32"/>
    <s v="ENTEGRO"/>
    <s v="AKGÜÇ"/>
    <x v="23"/>
    <s v="2480107BW0031555"/>
    <n v="1"/>
    <x v="0"/>
    <m/>
    <m/>
    <n v="1900"/>
    <n v="1"/>
    <n v="45868"/>
    <x v="9"/>
    <m/>
    <x v="1"/>
  </r>
  <r>
    <n v="32"/>
    <s v="ENTEGRO"/>
    <s v="AKGÜÇ"/>
    <x v="23"/>
    <s v="2480107BW0033312"/>
    <n v="1"/>
    <x v="0"/>
    <m/>
    <m/>
    <n v="1900"/>
    <n v="1"/>
    <n v="45868"/>
    <x v="9"/>
    <m/>
    <x v="1"/>
  </r>
  <r>
    <n v="32"/>
    <s v="ENTEGRO"/>
    <s v="AKGÜÇ"/>
    <x v="23"/>
    <s v="2480107BW0031498"/>
    <n v="1"/>
    <x v="0"/>
    <m/>
    <m/>
    <n v="1900"/>
    <n v="1"/>
    <n v="45868"/>
    <x v="9"/>
    <m/>
    <x v="1"/>
  </r>
  <r>
    <n v="32"/>
    <s v="ENTEGRO"/>
    <s v="AKGÜÇ"/>
    <x v="23"/>
    <s v="2480107BW0033302"/>
    <n v="1"/>
    <x v="0"/>
    <m/>
    <m/>
    <n v="1900"/>
    <n v="1"/>
    <n v="45868"/>
    <x v="9"/>
    <m/>
    <x v="1"/>
  </r>
  <r>
    <n v="32"/>
    <s v="ENTEGRO"/>
    <s v="AKGÜÇ"/>
    <x v="23"/>
    <s v="2480107BW0031560"/>
    <n v="1"/>
    <x v="0"/>
    <m/>
    <m/>
    <n v="1900"/>
    <n v="1"/>
    <n v="45868"/>
    <x v="9"/>
    <m/>
    <x v="1"/>
  </r>
  <r>
    <n v="32"/>
    <s v="ENTEGRO"/>
    <s v="AKGÜÇ"/>
    <x v="23"/>
    <s v="2480107BW0033278"/>
    <n v="1"/>
    <x v="0"/>
    <m/>
    <m/>
    <n v="1900"/>
    <n v="1"/>
    <n v="45868"/>
    <x v="9"/>
    <m/>
    <x v="1"/>
  </r>
  <r>
    <n v="32"/>
    <s v="ENTEGRO"/>
    <s v="AKGÜÇ"/>
    <x v="23"/>
    <s v="2480107BW0031616"/>
    <n v="1"/>
    <x v="0"/>
    <m/>
    <m/>
    <n v="1900"/>
    <n v="1"/>
    <n v="45868"/>
    <x v="9"/>
    <m/>
    <x v="1"/>
  </r>
  <r>
    <n v="32"/>
    <s v="ENTEGRO"/>
    <s v="AKGÜÇ"/>
    <x v="23"/>
    <s v="2480107BW0032706"/>
    <n v="1"/>
    <x v="0"/>
    <m/>
    <m/>
    <n v="1900"/>
    <n v="1"/>
    <n v="45868"/>
    <x v="9"/>
    <m/>
    <x v="1"/>
  </r>
  <r>
    <n v="32"/>
    <s v="ENTEGRO"/>
    <s v="AKGÜÇ"/>
    <x v="23"/>
    <s v="2480107BW0031576"/>
    <n v="1"/>
    <x v="0"/>
    <m/>
    <m/>
    <n v="1900"/>
    <n v="1"/>
    <n v="45868"/>
    <x v="9"/>
    <m/>
    <x v="1"/>
  </r>
  <r>
    <n v="32"/>
    <s v="ENTEGRO"/>
    <s v="AKGÜÇ"/>
    <x v="23"/>
    <s v="2480107BW0033337"/>
    <n v="1"/>
    <x v="0"/>
    <m/>
    <m/>
    <n v="1900"/>
    <n v="1"/>
    <n v="45868"/>
    <x v="9"/>
    <m/>
    <x v="1"/>
  </r>
  <r>
    <n v="32"/>
    <s v="ENTEGRO"/>
    <s v="AKGÜÇ"/>
    <x v="23"/>
    <s v="2480107BW0031575"/>
    <n v="1"/>
    <x v="0"/>
    <m/>
    <m/>
    <n v="1900"/>
    <n v="1"/>
    <n v="45868"/>
    <x v="9"/>
    <m/>
    <x v="1"/>
  </r>
  <r>
    <n v="32"/>
    <s v="ENTEGRO"/>
    <s v="AKGÜÇ"/>
    <x v="23"/>
    <s v="2480107BW0033114"/>
    <n v="1"/>
    <x v="0"/>
    <m/>
    <m/>
    <n v="1900"/>
    <n v="1"/>
    <n v="45868"/>
    <x v="9"/>
    <m/>
    <x v="1"/>
  </r>
  <r>
    <n v="32"/>
    <s v="ENTEGRO"/>
    <s v="AKGÜÇ"/>
    <x v="23"/>
    <s v="2480107BW0032710"/>
    <n v="1"/>
    <x v="0"/>
    <m/>
    <m/>
    <n v="1900"/>
    <n v="1"/>
    <n v="45868"/>
    <x v="9"/>
    <m/>
    <x v="1"/>
  </r>
  <r>
    <n v="32"/>
    <s v="ENTEGRO"/>
    <s v="AKGÜÇ"/>
    <x v="23"/>
    <s v="2480107BW0031622"/>
    <n v="1"/>
    <x v="0"/>
    <m/>
    <m/>
    <n v="1900"/>
    <n v="1"/>
    <n v="45868"/>
    <x v="9"/>
    <m/>
    <x v="1"/>
  </r>
  <r>
    <n v="32"/>
    <s v="ENTEGRO"/>
    <s v="AKGÜÇ"/>
    <x v="23"/>
    <s v="2480107BW0031568"/>
    <n v="1"/>
    <x v="0"/>
    <m/>
    <m/>
    <n v="1900"/>
    <n v="1"/>
    <n v="45868"/>
    <x v="9"/>
    <m/>
    <x v="1"/>
  </r>
  <r>
    <n v="32"/>
    <s v="ENTEGRO"/>
    <s v="AKGÜÇ"/>
    <x v="23"/>
    <s v="2480107BW0033111"/>
    <n v="1"/>
    <x v="0"/>
    <m/>
    <m/>
    <n v="1900"/>
    <n v="1"/>
    <n v="45868"/>
    <x v="9"/>
    <m/>
    <x v="1"/>
  </r>
  <r>
    <n v="32"/>
    <s v="ENTEGRO"/>
    <s v="AKGÜÇ"/>
    <x v="23"/>
    <s v="2480107BW0033424"/>
    <n v="1"/>
    <x v="0"/>
    <m/>
    <m/>
    <n v="1900"/>
    <n v="1"/>
    <n v="45868"/>
    <x v="9"/>
    <m/>
    <x v="1"/>
  </r>
  <r>
    <n v="32"/>
    <s v="ENTEGRO"/>
    <s v="AKGÜÇ"/>
    <x v="23"/>
    <s v="2480107BW0033825"/>
    <n v="1"/>
    <x v="0"/>
    <m/>
    <m/>
    <n v="1900"/>
    <n v="1"/>
    <n v="45868"/>
    <x v="9"/>
    <m/>
    <x v="1"/>
  </r>
  <r>
    <n v="32"/>
    <s v="ENTEGRO"/>
    <s v="AKGÜÇ"/>
    <x v="23"/>
    <s v="2480107BW0033829"/>
    <n v="1"/>
    <x v="0"/>
    <m/>
    <m/>
    <n v="1900"/>
    <n v="1"/>
    <n v="45868"/>
    <x v="9"/>
    <m/>
    <x v="1"/>
  </r>
  <r>
    <n v="32"/>
    <s v="ENTEGRO"/>
    <s v="AKGÜÇ"/>
    <x v="23"/>
    <s v="2480107BW0033596"/>
    <n v="1"/>
    <x v="0"/>
    <m/>
    <m/>
    <n v="1900"/>
    <n v="1"/>
    <n v="45868"/>
    <x v="9"/>
    <m/>
    <x v="1"/>
  </r>
  <r>
    <n v="32"/>
    <s v="ENTEGRO"/>
    <s v="AKGÜÇ"/>
    <x v="23"/>
    <s v="2480107BW0035186"/>
    <n v="1"/>
    <x v="0"/>
    <m/>
    <m/>
    <n v="1900"/>
    <n v="1"/>
    <n v="45868"/>
    <x v="9"/>
    <m/>
    <x v="1"/>
  </r>
  <r>
    <n v="32"/>
    <s v="ENTEGRO"/>
    <s v="AKGÜÇ"/>
    <x v="23"/>
    <s v="2480107BW0033828"/>
    <n v="1"/>
    <x v="0"/>
    <m/>
    <m/>
    <n v="1900"/>
    <n v="1"/>
    <n v="45868"/>
    <x v="9"/>
    <m/>
    <x v="1"/>
  </r>
  <r>
    <n v="32"/>
    <s v="ENTEGRO"/>
    <s v="AKGÜÇ"/>
    <x v="23"/>
    <s v="2480107BW0033900"/>
    <n v="1"/>
    <x v="0"/>
    <m/>
    <m/>
    <n v="1900"/>
    <n v="1"/>
    <n v="45868"/>
    <x v="9"/>
    <m/>
    <x v="1"/>
  </r>
  <r>
    <n v="32"/>
    <s v="ENTEGRO"/>
    <s v="AKGÜÇ"/>
    <x v="23"/>
    <s v="2480107BW0035264"/>
    <n v="1"/>
    <x v="0"/>
    <m/>
    <m/>
    <n v="1900"/>
    <n v="1"/>
    <n v="45868"/>
    <x v="9"/>
    <m/>
    <x v="1"/>
  </r>
  <r>
    <n v="32"/>
    <s v="ENTEGRO"/>
    <s v="AKGÜÇ"/>
    <x v="23"/>
    <s v="2480107BW0035214"/>
    <n v="1"/>
    <x v="0"/>
    <m/>
    <m/>
    <n v="1900"/>
    <n v="1"/>
    <n v="45868"/>
    <x v="9"/>
    <m/>
    <x v="1"/>
  </r>
  <r>
    <n v="32"/>
    <s v="ENTEGRO"/>
    <s v="AKGÜÇ"/>
    <x v="23"/>
    <s v="2480107BW0032697"/>
    <n v="1"/>
    <x v="0"/>
    <m/>
    <m/>
    <n v="1900"/>
    <n v="1"/>
    <n v="45868"/>
    <x v="9"/>
    <m/>
    <x v="1"/>
  </r>
  <r>
    <n v="32"/>
    <s v="ENTEGRO"/>
    <s v="AKGÜÇ"/>
    <x v="23"/>
    <s v="2480107BW0032393"/>
    <n v="1"/>
    <x v="0"/>
    <m/>
    <m/>
    <n v="1900"/>
    <n v="1"/>
    <n v="45868"/>
    <x v="9"/>
    <m/>
    <x v="1"/>
  </r>
  <r>
    <n v="32"/>
    <s v="ENTEGRO"/>
    <s v="AKGÜÇ"/>
    <x v="23"/>
    <s v="2480107BW0032850"/>
    <n v="1"/>
    <x v="0"/>
    <m/>
    <m/>
    <n v="1900"/>
    <n v="1"/>
    <n v="45868"/>
    <x v="9"/>
    <m/>
    <x v="1"/>
  </r>
  <r>
    <n v="33"/>
    <s v="SOLARAPEX"/>
    <s v="DEMİREZEN GIDA"/>
    <x v="24"/>
    <s v="2240108BW0008261"/>
    <n v="1"/>
    <x v="2"/>
    <s v="MAVİÇAM"/>
    <m/>
    <n v="1900"/>
    <n v="1"/>
    <n v="45884"/>
    <x v="4"/>
    <s v="Tamir"/>
    <x v="2"/>
  </r>
  <r>
    <n v="33"/>
    <s v="SOLARAPEX"/>
    <s v="DEMİREZEN GIDA"/>
    <x v="24"/>
    <s v="2230108BW0011995"/>
    <n v="1"/>
    <x v="2"/>
    <s v="MAVİÇAM"/>
    <m/>
    <n v="1900"/>
    <n v="1"/>
    <n v="45884"/>
    <x v="4"/>
    <s v="Tamir"/>
    <x v="2"/>
  </r>
  <r>
    <n v="33"/>
    <s v="SOLARAPEX"/>
    <s v="DEMİREZEN GIDA"/>
    <x v="24"/>
    <s v="2240108BW0008516"/>
    <n v="1"/>
    <x v="2"/>
    <s v="MAVİÇAM"/>
    <m/>
    <n v="1900"/>
    <n v="1"/>
    <n v="45884"/>
    <x v="4"/>
    <s v="Tamir"/>
    <x v="2"/>
  </r>
  <r>
    <n v="33"/>
    <s v="SOLARAPEX"/>
    <s v="DEMİREZEN GIDA"/>
    <x v="24"/>
    <s v="2230108BW0011788"/>
    <n v="1"/>
    <x v="2"/>
    <s v="MAVİÇAM"/>
    <m/>
    <n v="1900"/>
    <n v="1"/>
    <n v="45884"/>
    <x v="4"/>
    <s v="Tamir"/>
    <x v="2"/>
  </r>
  <r>
    <n v="33"/>
    <s v="SOLARAPEX"/>
    <s v="DEMİREZEN GIDA"/>
    <x v="24"/>
    <s v="2240108BW0007992"/>
    <n v="1"/>
    <x v="2"/>
    <s v="MAVİÇAM"/>
    <m/>
    <n v="1900"/>
    <n v="1"/>
    <n v="45884"/>
    <x v="4"/>
    <s v="Tamir"/>
    <x v="2"/>
  </r>
  <r>
    <n v="33"/>
    <s v="SOLARAPEX"/>
    <s v="DEMİREZEN GIDA"/>
    <x v="24"/>
    <s v="22301088W0005329"/>
    <n v="1"/>
    <x v="2"/>
    <s v="MAVİÇAM"/>
    <m/>
    <n v="1900"/>
    <n v="1"/>
    <n v="45884"/>
    <x v="4"/>
    <s v="Tamir"/>
    <x v="2"/>
  </r>
  <r>
    <n v="33"/>
    <s v="SOLARAPEX"/>
    <s v="DEMİREZEN GIDA"/>
    <x v="24"/>
    <s v="2230108BW0005331"/>
    <n v="1"/>
    <x v="2"/>
    <s v="MAVİÇAM"/>
    <m/>
    <n v="1900"/>
    <n v="1"/>
    <n v="45884"/>
    <x v="4"/>
    <s v="Tamir"/>
    <x v="2"/>
  </r>
  <r>
    <n v="33"/>
    <s v="SOLARAPEX"/>
    <s v="DEMİREZEN GIDA"/>
    <x v="24"/>
    <s v="2230108BW0005360"/>
    <n v="1"/>
    <x v="2"/>
    <s v="MAVİÇAM"/>
    <m/>
    <n v="1900"/>
    <n v="1"/>
    <n v="45884"/>
    <x v="4"/>
    <s v="Tamir"/>
    <x v="2"/>
  </r>
  <r>
    <n v="33"/>
    <s v="SOLARAPEX"/>
    <s v="DEMİREZEN GIDA"/>
    <x v="24"/>
    <s v="2501083BW0009762"/>
    <n v="1"/>
    <x v="2"/>
    <s v="MAVİÇAM"/>
    <m/>
    <n v="1900"/>
    <n v="1"/>
    <n v="45884"/>
    <x v="4"/>
    <s v="Tamir"/>
    <x v="2"/>
  </r>
  <r>
    <n v="33"/>
    <s v="SOLARAPEX"/>
    <s v="DEMİREZEN GIDA"/>
    <x v="24"/>
    <s v="2240108BW0008531"/>
    <n v="1"/>
    <x v="2"/>
    <s v="MAVİÇAM"/>
    <m/>
    <n v="1900"/>
    <n v="1"/>
    <n v="45884"/>
    <x v="4"/>
    <s v="Tamir"/>
    <x v="2"/>
  </r>
  <r>
    <n v="33"/>
    <s v="SOLARAPEX"/>
    <s v="DEMİREZEN GIDA"/>
    <x v="24"/>
    <s v="2240108BW0041021"/>
    <n v="1"/>
    <x v="2"/>
    <s v="MAVİÇAM"/>
    <m/>
    <n v="1900"/>
    <n v="1"/>
    <n v="45884"/>
    <x v="4"/>
    <s v="Tamir"/>
    <x v="2"/>
  </r>
  <r>
    <n v="33"/>
    <s v="SOLARAPEX"/>
    <s v="DEMİREZEN GIDA"/>
    <x v="24"/>
    <s v="2240108BW0001812"/>
    <n v="1"/>
    <x v="2"/>
    <s v="MAVİÇAM"/>
    <m/>
    <n v="1900"/>
    <n v="1"/>
    <n v="45884"/>
    <x v="4"/>
    <s v="Tamir"/>
    <x v="2"/>
  </r>
  <r>
    <n v="33"/>
    <s v="SOLARAPEX"/>
    <s v="DEMİREZEN GIDA"/>
    <x v="24"/>
    <s v="2250108BW0006130"/>
    <n v="1"/>
    <x v="2"/>
    <s v="MAVİÇAM"/>
    <m/>
    <n v="1900"/>
    <n v="1"/>
    <n v="45884"/>
    <x v="4"/>
    <s v="Tamir"/>
    <x v="2"/>
  </r>
  <r>
    <n v="33"/>
    <s v="SOLARAPEX"/>
    <s v="DEMİREZEN GIDA"/>
    <x v="24"/>
    <s v="2240108BW0008263"/>
    <n v="1"/>
    <x v="2"/>
    <s v="MAVİÇAM"/>
    <m/>
    <n v="1900"/>
    <n v="1"/>
    <n v="45884"/>
    <x v="4"/>
    <s v="Tamir"/>
    <x v="2"/>
  </r>
  <r>
    <n v="33"/>
    <s v="SOLARAPEX"/>
    <s v="DEMİREZEN GIDA"/>
    <x v="24"/>
    <s v="2250108BW0008493"/>
    <n v="1"/>
    <x v="2"/>
    <s v="MAVİÇAM"/>
    <m/>
    <n v="1900"/>
    <n v="1"/>
    <n v="45884"/>
    <x v="4"/>
    <s v="Tamir"/>
    <x v="2"/>
  </r>
  <r>
    <n v="33"/>
    <s v="SOLARAPEX"/>
    <s v="DEMİREZEN GIDA"/>
    <x v="24"/>
    <s v="2230108BW0005224"/>
    <n v="1"/>
    <x v="2"/>
    <s v="MAVİÇAM"/>
    <m/>
    <n v="1900"/>
    <n v="1"/>
    <n v="45884"/>
    <x v="4"/>
    <s v="Tamir"/>
    <x v="2"/>
  </r>
  <r>
    <n v="33"/>
    <s v="SOLARAPEX"/>
    <s v="DEMİREZEN GIDA"/>
    <x v="24"/>
    <s v="2230108BW0008773"/>
    <n v="1"/>
    <x v="2"/>
    <s v="MAVİÇAM"/>
    <m/>
    <n v="1900"/>
    <n v="1"/>
    <n v="45884"/>
    <x v="4"/>
    <s v="Tamir"/>
    <x v="2"/>
  </r>
  <r>
    <n v="33"/>
    <s v="SOLARAPEX"/>
    <s v="DEMİREZEN GIDA"/>
    <x v="24"/>
    <s v="2250108BW0005562"/>
    <n v="1"/>
    <x v="2"/>
    <s v="MAVİÇAM"/>
    <m/>
    <n v="1900"/>
    <n v="1"/>
    <n v="45884"/>
    <x v="4"/>
    <s v="Tamir"/>
    <x v="2"/>
  </r>
  <r>
    <n v="34"/>
    <s v="ENTEGRO"/>
    <s v="VOLKAN İTFAİYE"/>
    <x v="23"/>
    <s v="AAAA"/>
    <n v="1"/>
    <x v="0"/>
    <m/>
    <m/>
    <n v="1900"/>
    <n v="1"/>
    <n v="45868"/>
    <x v="17"/>
    <m/>
    <x v="1"/>
  </r>
  <r>
    <n v="34"/>
    <s v="ENTEGRO"/>
    <s v="VOLKAN İTFAİYE"/>
    <x v="23"/>
    <s v="AAAA"/>
    <n v="1"/>
    <x v="0"/>
    <m/>
    <m/>
    <n v="1900"/>
    <n v="1"/>
    <n v="45868"/>
    <x v="17"/>
    <m/>
    <x v="1"/>
  </r>
  <r>
    <n v="34"/>
    <s v="ENTEGRO"/>
    <s v="VOLKAN İTFAİYE"/>
    <x v="23"/>
    <s v="AAAA"/>
    <n v="1"/>
    <x v="0"/>
    <m/>
    <m/>
    <n v="1900"/>
    <n v="1"/>
    <n v="45868"/>
    <x v="17"/>
    <m/>
    <x v="1"/>
  </r>
  <r>
    <n v="34"/>
    <s v="ENTEGRO"/>
    <s v="VOLKAN İTFAİYE"/>
    <x v="23"/>
    <s v="AAAA"/>
    <n v="1"/>
    <x v="0"/>
    <m/>
    <m/>
    <n v="1900"/>
    <n v="1"/>
    <n v="45868"/>
    <x v="17"/>
    <m/>
    <x v="1"/>
  </r>
  <r>
    <n v="34"/>
    <s v="ENTEGRO"/>
    <s v="VOLKAN İTFAİYE"/>
    <x v="23"/>
    <s v="AAAA"/>
    <n v="1"/>
    <x v="0"/>
    <m/>
    <m/>
    <n v="1900"/>
    <n v="1"/>
    <n v="45868"/>
    <x v="17"/>
    <m/>
    <x v="1"/>
  </r>
  <r>
    <n v="34"/>
    <s v="ENTEGRO"/>
    <s v="VOLKAN İTFAİYE"/>
    <x v="23"/>
    <s v="AAAA"/>
    <n v="1"/>
    <x v="0"/>
    <m/>
    <m/>
    <n v="1900"/>
    <n v="1"/>
    <n v="45868"/>
    <x v="17"/>
    <m/>
    <x v="1"/>
  </r>
  <r>
    <n v="34"/>
    <s v="ENTEGRO"/>
    <s v="VOLKAN İTFAİYE"/>
    <x v="23"/>
    <s v="AAAA"/>
    <n v="1"/>
    <x v="0"/>
    <m/>
    <m/>
    <n v="1900"/>
    <n v="1"/>
    <n v="45868"/>
    <x v="17"/>
    <m/>
    <x v="1"/>
  </r>
  <r>
    <n v="34"/>
    <s v="ENTEGRO"/>
    <s v="VOLKAN İTFAİYE"/>
    <x v="23"/>
    <s v="AAAA"/>
    <n v="1"/>
    <x v="0"/>
    <m/>
    <m/>
    <n v="1900"/>
    <n v="1"/>
    <n v="45868"/>
    <x v="17"/>
    <m/>
    <x v="1"/>
  </r>
  <r>
    <n v="34"/>
    <s v="ENTEGRO"/>
    <s v="VOLKAN İTFAİYE"/>
    <x v="23"/>
    <s v="AAAA"/>
    <n v="1"/>
    <x v="0"/>
    <m/>
    <m/>
    <n v="1900"/>
    <n v="1"/>
    <n v="45868"/>
    <x v="17"/>
    <m/>
    <x v="1"/>
  </r>
  <r>
    <n v="34"/>
    <s v="ENTEGRO"/>
    <s v="VOLKAN İTFAİYE"/>
    <x v="23"/>
    <s v="AAAA"/>
    <n v="1"/>
    <x v="0"/>
    <m/>
    <m/>
    <n v="1900"/>
    <n v="1"/>
    <n v="45868"/>
    <x v="17"/>
    <m/>
    <x v="1"/>
  </r>
  <r>
    <n v="34"/>
    <s v="ENTEGRO"/>
    <s v="VOLKAN İTFAİYE"/>
    <x v="23"/>
    <s v="AAAA"/>
    <n v="1"/>
    <x v="0"/>
    <m/>
    <m/>
    <n v="1900"/>
    <n v="1"/>
    <n v="45868"/>
    <x v="17"/>
    <m/>
    <x v="1"/>
  </r>
  <r>
    <n v="34"/>
    <s v="ENTEGRO"/>
    <s v="VOLKAN İTFAİYE"/>
    <x v="23"/>
    <s v="AAAA"/>
    <n v="1"/>
    <x v="0"/>
    <m/>
    <m/>
    <n v="1900"/>
    <n v="1"/>
    <n v="45868"/>
    <x v="17"/>
    <m/>
    <x v="1"/>
  </r>
  <r>
    <n v="34"/>
    <s v="ENTEGRO"/>
    <s v="VOLKAN İTFAİYE"/>
    <x v="23"/>
    <s v="AAAA"/>
    <n v="1"/>
    <x v="0"/>
    <m/>
    <m/>
    <n v="1900"/>
    <n v="1"/>
    <n v="45868"/>
    <x v="17"/>
    <m/>
    <x v="1"/>
  </r>
  <r>
    <n v="34"/>
    <s v="ENTEGRO"/>
    <s v="VOLKAN İTFAİYE"/>
    <x v="23"/>
    <s v="AAAA"/>
    <n v="1"/>
    <x v="0"/>
    <m/>
    <m/>
    <n v="1900"/>
    <n v="1"/>
    <n v="45868"/>
    <x v="17"/>
    <m/>
    <x v="1"/>
  </r>
  <r>
    <n v="34"/>
    <s v="ENTEGRO"/>
    <s v="VOLKAN İTFAİYE"/>
    <x v="23"/>
    <s v="AAAA"/>
    <n v="1"/>
    <x v="0"/>
    <m/>
    <m/>
    <n v="1900"/>
    <n v="1"/>
    <n v="45868"/>
    <x v="17"/>
    <m/>
    <x v="1"/>
  </r>
  <r>
    <n v="34"/>
    <s v="ENTEGRO"/>
    <s v="VOLKAN İTFAİYE"/>
    <x v="23"/>
    <s v="AAAA"/>
    <n v="1"/>
    <x v="0"/>
    <m/>
    <m/>
    <n v="1900"/>
    <n v="1"/>
    <n v="45868"/>
    <x v="17"/>
    <m/>
    <x v="1"/>
  </r>
  <r>
    <n v="34"/>
    <s v="ENTEGRO"/>
    <s v="VOLKAN İTFAİYE"/>
    <x v="23"/>
    <s v="AAAA"/>
    <n v="1"/>
    <x v="0"/>
    <m/>
    <m/>
    <n v="1900"/>
    <n v="1"/>
    <n v="45868"/>
    <x v="17"/>
    <m/>
    <x v="1"/>
  </r>
  <r>
    <n v="34"/>
    <s v="ENTEGRO"/>
    <s v="VOLKAN İTFAİYE"/>
    <x v="23"/>
    <s v="AAAA"/>
    <n v="1"/>
    <x v="0"/>
    <m/>
    <m/>
    <n v="1900"/>
    <n v="1"/>
    <n v="45868"/>
    <x v="17"/>
    <m/>
    <x v="1"/>
  </r>
  <r>
    <n v="34"/>
    <s v="ENTEGRO"/>
    <s v="VOLKAN İTFAİYE"/>
    <x v="23"/>
    <s v="AAAA"/>
    <n v="1"/>
    <x v="0"/>
    <m/>
    <m/>
    <n v="1900"/>
    <n v="1"/>
    <n v="45868"/>
    <x v="17"/>
    <m/>
    <x v="1"/>
  </r>
  <r>
    <n v="34"/>
    <s v="ENTEGRO"/>
    <s v="VOLKAN İTFAİYE"/>
    <x v="23"/>
    <s v="AAAA"/>
    <n v="1"/>
    <x v="0"/>
    <m/>
    <m/>
    <n v="1900"/>
    <n v="1"/>
    <n v="45868"/>
    <x v="17"/>
    <m/>
    <x v="1"/>
  </r>
  <r>
    <n v="34"/>
    <s v="ENTEGRO"/>
    <s v="VOLKAN İTFAİYE"/>
    <x v="23"/>
    <s v="AAAA"/>
    <n v="1"/>
    <x v="0"/>
    <m/>
    <m/>
    <n v="1900"/>
    <n v="1"/>
    <n v="45868"/>
    <x v="17"/>
    <m/>
    <x v="1"/>
  </r>
  <r>
    <n v="34"/>
    <s v="ENTEGRO"/>
    <s v="VOLKAN İTFAİYE"/>
    <x v="23"/>
    <s v="AAAA"/>
    <n v="1"/>
    <x v="0"/>
    <m/>
    <m/>
    <n v="1900"/>
    <n v="1"/>
    <n v="45868"/>
    <x v="17"/>
    <m/>
    <x v="1"/>
  </r>
  <r>
    <n v="34"/>
    <s v="ENTEGRO"/>
    <s v="VOLKAN İTFAİYE"/>
    <x v="23"/>
    <s v="AAAA"/>
    <n v="1"/>
    <x v="0"/>
    <m/>
    <m/>
    <n v="1900"/>
    <n v="1"/>
    <n v="45868"/>
    <x v="17"/>
    <m/>
    <x v="1"/>
  </r>
  <r>
    <n v="34"/>
    <s v="ENTEGRO"/>
    <s v="VOLKAN İTFAİYE"/>
    <x v="23"/>
    <s v="AAAA"/>
    <n v="1"/>
    <x v="0"/>
    <m/>
    <m/>
    <n v="1900"/>
    <n v="1"/>
    <n v="45868"/>
    <x v="17"/>
    <m/>
    <x v="1"/>
  </r>
  <r>
    <n v="34"/>
    <s v="ENTEGRO"/>
    <s v="VOLKAN İTFAİYE"/>
    <x v="23"/>
    <s v="AAAA"/>
    <n v="1"/>
    <x v="0"/>
    <m/>
    <m/>
    <n v="1900"/>
    <n v="1"/>
    <n v="45868"/>
    <x v="17"/>
    <m/>
    <x v="1"/>
  </r>
  <r>
    <n v="34"/>
    <s v="ENTEGRO"/>
    <s v="VOLKAN İTFAİYE"/>
    <x v="23"/>
    <s v="AAAA"/>
    <n v="1"/>
    <x v="0"/>
    <m/>
    <m/>
    <n v="1900"/>
    <n v="1"/>
    <n v="45868"/>
    <x v="17"/>
    <m/>
    <x v="1"/>
  </r>
  <r>
    <n v="34"/>
    <s v="ENTEGRO"/>
    <s v="VOLKAN İTFAİYE"/>
    <x v="23"/>
    <s v="AAAA"/>
    <n v="1"/>
    <x v="0"/>
    <m/>
    <m/>
    <n v="1900"/>
    <n v="1"/>
    <n v="45868"/>
    <x v="17"/>
    <m/>
    <x v="1"/>
  </r>
  <r>
    <n v="34"/>
    <s v="ENTEGRO"/>
    <s v="VOLKAN İTFAİYE"/>
    <x v="23"/>
    <s v="AAAA"/>
    <n v="1"/>
    <x v="0"/>
    <m/>
    <m/>
    <n v="1900"/>
    <n v="1"/>
    <n v="45868"/>
    <x v="17"/>
    <m/>
    <x v="1"/>
  </r>
  <r>
    <n v="34"/>
    <s v="ENTEGRO"/>
    <s v="VOLKAN İTFAİYE"/>
    <x v="23"/>
    <s v="AAAA"/>
    <n v="1"/>
    <x v="0"/>
    <m/>
    <m/>
    <n v="1900"/>
    <n v="1"/>
    <n v="45868"/>
    <x v="17"/>
    <m/>
    <x v="1"/>
  </r>
  <r>
    <n v="34"/>
    <s v="ENTEGRO"/>
    <s v="VOLKAN İTFAİYE"/>
    <x v="23"/>
    <s v="AAAA"/>
    <n v="1"/>
    <x v="0"/>
    <m/>
    <m/>
    <n v="1900"/>
    <n v="1"/>
    <n v="45868"/>
    <x v="17"/>
    <m/>
    <x v="1"/>
  </r>
  <r>
    <n v="34"/>
    <s v="ENTEGRO"/>
    <s v="VOLKAN İTFAİYE"/>
    <x v="23"/>
    <s v="AAAA"/>
    <n v="1"/>
    <x v="0"/>
    <m/>
    <m/>
    <n v="1900"/>
    <n v="1"/>
    <n v="45868"/>
    <x v="17"/>
    <m/>
    <x v="1"/>
  </r>
  <r>
    <n v="34"/>
    <s v="ENTEGRO"/>
    <s v="VOLKAN İTFAİYE"/>
    <x v="23"/>
    <s v="AAAA"/>
    <n v="1"/>
    <x v="0"/>
    <m/>
    <m/>
    <n v="1900"/>
    <n v="1"/>
    <n v="45868"/>
    <x v="17"/>
    <m/>
    <x v="1"/>
  </r>
  <r>
    <n v="34"/>
    <s v="ENTEGRO"/>
    <s v="VOLKAN İTFAİYE"/>
    <x v="23"/>
    <s v="AAAA"/>
    <n v="1"/>
    <x v="0"/>
    <m/>
    <m/>
    <n v="1900"/>
    <n v="1"/>
    <n v="45868"/>
    <x v="17"/>
    <m/>
    <x v="1"/>
  </r>
  <r>
    <n v="34"/>
    <s v="ENTEGRO"/>
    <s v="VOLKAN İTFAİYE"/>
    <x v="23"/>
    <s v="AAAA"/>
    <n v="1"/>
    <x v="0"/>
    <m/>
    <m/>
    <n v="1900"/>
    <n v="1"/>
    <n v="45868"/>
    <x v="17"/>
    <m/>
    <x v="1"/>
  </r>
  <r>
    <n v="34"/>
    <s v="ENTEGRO"/>
    <s v="VOLKAN İTFAİYE"/>
    <x v="23"/>
    <s v="AAAA"/>
    <n v="1"/>
    <x v="0"/>
    <m/>
    <m/>
    <n v="1900"/>
    <n v="1"/>
    <n v="45868"/>
    <x v="17"/>
    <m/>
    <x v="1"/>
  </r>
  <r>
    <n v="34"/>
    <s v="ENTEGRO"/>
    <s v="VOLKAN İTFAİYE"/>
    <x v="23"/>
    <s v="AAAA"/>
    <n v="1"/>
    <x v="0"/>
    <m/>
    <m/>
    <n v="1900"/>
    <n v="1"/>
    <n v="45868"/>
    <x v="17"/>
    <m/>
    <x v="1"/>
  </r>
  <r>
    <n v="34"/>
    <s v="ENTEGRO"/>
    <s v="VOLKAN İTFAİYE"/>
    <x v="23"/>
    <s v="AAAA"/>
    <n v="1"/>
    <x v="0"/>
    <m/>
    <m/>
    <n v="1900"/>
    <n v="1"/>
    <n v="45868"/>
    <x v="17"/>
    <m/>
    <x v="1"/>
  </r>
  <r>
    <n v="34"/>
    <s v="ENTEGRO"/>
    <s v="VOLKAN İTFAİYE"/>
    <x v="23"/>
    <s v="AAAA"/>
    <n v="1"/>
    <x v="0"/>
    <m/>
    <m/>
    <n v="1900"/>
    <n v="1"/>
    <n v="45868"/>
    <x v="17"/>
    <m/>
    <x v="1"/>
  </r>
  <r>
    <n v="34"/>
    <s v="ENTEGRO"/>
    <s v="VOLKAN İTFAİYE"/>
    <x v="23"/>
    <s v="AAAA"/>
    <n v="1"/>
    <x v="0"/>
    <m/>
    <m/>
    <n v="1900"/>
    <n v="1"/>
    <n v="45868"/>
    <x v="17"/>
    <m/>
    <x v="1"/>
  </r>
  <r>
    <n v="34"/>
    <s v="ENTEGRO"/>
    <s v="VOLKAN İTFAİYE"/>
    <x v="23"/>
    <s v="AAAA"/>
    <n v="1"/>
    <x v="0"/>
    <m/>
    <m/>
    <n v="1900"/>
    <n v="1"/>
    <n v="45868"/>
    <x v="17"/>
    <m/>
    <x v="1"/>
  </r>
  <r>
    <n v="34"/>
    <s v="ENTEGRO"/>
    <s v="VOLKAN İTFAİYE"/>
    <x v="23"/>
    <s v="AAAA"/>
    <n v="1"/>
    <x v="0"/>
    <m/>
    <m/>
    <n v="1900"/>
    <n v="1"/>
    <n v="45868"/>
    <x v="17"/>
    <m/>
    <x v="1"/>
  </r>
  <r>
    <n v="34"/>
    <s v="ENTEGRO"/>
    <s v="VOLKAN İTFAİYE"/>
    <x v="23"/>
    <s v="AAAA"/>
    <n v="1"/>
    <x v="0"/>
    <m/>
    <m/>
    <n v="1900"/>
    <n v="1"/>
    <n v="45868"/>
    <x v="17"/>
    <m/>
    <x v="1"/>
  </r>
  <r>
    <n v="34"/>
    <s v="ENTEGRO"/>
    <s v="VOLKAN İTFAİYE"/>
    <x v="23"/>
    <s v="AAAA"/>
    <n v="1"/>
    <x v="0"/>
    <m/>
    <m/>
    <n v="1900"/>
    <n v="1"/>
    <n v="45868"/>
    <x v="17"/>
    <m/>
    <x v="1"/>
  </r>
  <r>
    <n v="34"/>
    <s v="ENTEGRO"/>
    <s v="VOLKAN İTFAİYE"/>
    <x v="23"/>
    <s v="AAAA"/>
    <n v="1"/>
    <x v="0"/>
    <m/>
    <m/>
    <n v="1900"/>
    <n v="1"/>
    <n v="45868"/>
    <x v="17"/>
    <m/>
    <x v="1"/>
  </r>
  <r>
    <n v="34"/>
    <s v="ENTEGRO"/>
    <s v="VOLKAN İTFAİYE"/>
    <x v="23"/>
    <s v="AAAA"/>
    <n v="1"/>
    <x v="0"/>
    <m/>
    <m/>
    <n v="1900"/>
    <n v="1"/>
    <n v="45868"/>
    <x v="17"/>
    <m/>
    <x v="1"/>
  </r>
  <r>
    <n v="34"/>
    <s v="ENTEGRO"/>
    <s v="VOLKAN İTFAİYE"/>
    <x v="23"/>
    <s v="AAAA"/>
    <n v="1"/>
    <x v="0"/>
    <m/>
    <m/>
    <n v="1900"/>
    <n v="1"/>
    <n v="45868"/>
    <x v="17"/>
    <m/>
    <x v="1"/>
  </r>
  <r>
    <n v="34"/>
    <s v="ENTEGRO"/>
    <s v="VOLKAN İTFAİYE"/>
    <x v="23"/>
    <s v="AAAA"/>
    <n v="1"/>
    <x v="0"/>
    <m/>
    <m/>
    <n v="1900"/>
    <n v="1"/>
    <n v="45868"/>
    <x v="17"/>
    <m/>
    <x v="1"/>
  </r>
  <r>
    <n v="34"/>
    <s v="ENTEGRO"/>
    <s v="VOLKAN İTFAİYE"/>
    <x v="23"/>
    <s v="AAAA"/>
    <n v="1"/>
    <x v="0"/>
    <m/>
    <m/>
    <n v="1900"/>
    <n v="1"/>
    <n v="45868"/>
    <x v="17"/>
    <m/>
    <x v="1"/>
  </r>
  <r>
    <n v="34"/>
    <s v="ENTEGRO"/>
    <s v="VOLKAN İTFAİYE"/>
    <x v="23"/>
    <s v="AAAA"/>
    <n v="1"/>
    <x v="0"/>
    <m/>
    <m/>
    <n v="1900"/>
    <n v="1"/>
    <n v="45868"/>
    <x v="17"/>
    <m/>
    <x v="1"/>
  </r>
  <r>
    <n v="34"/>
    <s v="ENTEGRO"/>
    <s v="VOLKAN İTFAİYE"/>
    <x v="23"/>
    <s v="AAAA"/>
    <n v="1"/>
    <x v="0"/>
    <m/>
    <m/>
    <n v="1900"/>
    <n v="1"/>
    <n v="45868"/>
    <x v="17"/>
    <m/>
    <x v="1"/>
  </r>
  <r>
    <n v="34"/>
    <s v="ENTEGRO"/>
    <s v="VOLKAN İTFAİYE"/>
    <x v="23"/>
    <s v="AAAA"/>
    <n v="1"/>
    <x v="0"/>
    <m/>
    <m/>
    <n v="1900"/>
    <n v="1"/>
    <n v="45868"/>
    <x v="17"/>
    <m/>
    <x v="1"/>
  </r>
  <r>
    <n v="34"/>
    <s v="ENTEGRO"/>
    <s v="VOLKAN İTFAİYE"/>
    <x v="23"/>
    <s v="AAAA"/>
    <n v="1"/>
    <x v="0"/>
    <m/>
    <m/>
    <n v="1900"/>
    <n v="1"/>
    <n v="45868"/>
    <x v="17"/>
    <m/>
    <x v="1"/>
  </r>
  <r>
    <n v="34"/>
    <s v="ENTEGRO"/>
    <s v="VOLKAN İTFAİYE"/>
    <x v="23"/>
    <s v="AAAA"/>
    <n v="1"/>
    <x v="0"/>
    <m/>
    <m/>
    <n v="1900"/>
    <n v="1"/>
    <n v="45868"/>
    <x v="17"/>
    <m/>
    <x v="1"/>
  </r>
  <r>
    <n v="34"/>
    <s v="ENTEGRO"/>
    <s v="VOLKAN İTFAİYE"/>
    <x v="23"/>
    <s v="AAAA"/>
    <n v="1"/>
    <x v="0"/>
    <m/>
    <m/>
    <n v="1900"/>
    <n v="1"/>
    <n v="45868"/>
    <x v="17"/>
    <m/>
    <x v="1"/>
  </r>
  <r>
    <n v="34"/>
    <s v="ENTEGRO"/>
    <s v="VOLKAN İTFAİYE"/>
    <x v="23"/>
    <s v="AAAA"/>
    <n v="1"/>
    <x v="0"/>
    <m/>
    <m/>
    <n v="1900"/>
    <n v="1"/>
    <n v="45868"/>
    <x v="17"/>
    <m/>
    <x v="1"/>
  </r>
  <r>
    <n v="34"/>
    <s v="ENTEGRO"/>
    <s v="VOLKAN İTFAİYE"/>
    <x v="23"/>
    <s v="AAAA"/>
    <n v="1"/>
    <x v="0"/>
    <m/>
    <m/>
    <n v="1900"/>
    <n v="1"/>
    <n v="45868"/>
    <x v="17"/>
    <m/>
    <x v="1"/>
  </r>
  <r>
    <n v="34"/>
    <s v="ENTEGRO"/>
    <s v="VOLKAN İTFAİYE"/>
    <x v="23"/>
    <s v="AAAA"/>
    <n v="1"/>
    <x v="0"/>
    <m/>
    <m/>
    <n v="1900"/>
    <n v="1"/>
    <n v="45868"/>
    <x v="17"/>
    <m/>
    <x v="1"/>
  </r>
  <r>
    <n v="34"/>
    <s v="ENTEGRO"/>
    <s v="VOLKAN İTFAİYE"/>
    <x v="23"/>
    <s v="AAAA"/>
    <n v="1"/>
    <x v="0"/>
    <m/>
    <m/>
    <n v="1900"/>
    <n v="1"/>
    <n v="45868"/>
    <x v="17"/>
    <m/>
    <x v="1"/>
  </r>
  <r>
    <n v="34"/>
    <s v="ENTEGRO"/>
    <s v="VOLKAN İTFAİYE"/>
    <x v="23"/>
    <s v="AAAA"/>
    <n v="1"/>
    <x v="0"/>
    <m/>
    <m/>
    <n v="1900"/>
    <n v="1"/>
    <n v="45868"/>
    <x v="17"/>
    <m/>
    <x v="1"/>
  </r>
  <r>
    <n v="34"/>
    <s v="ENTEGRO"/>
    <s v="VOLKAN İTFAİYE"/>
    <x v="23"/>
    <s v="AAAA"/>
    <n v="1"/>
    <x v="0"/>
    <m/>
    <m/>
    <n v="1900"/>
    <n v="1"/>
    <n v="45868"/>
    <x v="17"/>
    <m/>
    <x v="1"/>
  </r>
  <r>
    <n v="35"/>
    <s v="DKY ENERJİ"/>
    <s v="DKY ENERJİ"/>
    <x v="25"/>
    <s v="AAAA"/>
    <n v="1"/>
    <x v="1"/>
    <s v="MAVİÇAM"/>
    <m/>
    <n v="1900"/>
    <n v="1"/>
    <n v="45888"/>
    <x v="18"/>
    <s v="Değişim"/>
    <x v="2"/>
  </r>
  <r>
    <n v="36"/>
    <s v="CİTUS POWER"/>
    <s v="ÇİZMECİ"/>
    <x v="26"/>
    <s v="AAAA"/>
    <n v="1"/>
    <x v="2"/>
    <s v="MAVİÇAM"/>
    <m/>
    <n v="1900"/>
    <n v="1"/>
    <n v="45889"/>
    <x v="4"/>
    <m/>
    <x v="3"/>
  </r>
  <r>
    <n v="36"/>
    <s v="CİTUS POWER"/>
    <s v="ÇİZMECİ"/>
    <x v="26"/>
    <s v="AAAA"/>
    <n v="1"/>
    <x v="2"/>
    <s v="MAVİÇAM"/>
    <m/>
    <n v="1900"/>
    <n v="1"/>
    <n v="45889"/>
    <x v="4"/>
    <m/>
    <x v="3"/>
  </r>
  <r>
    <n v="37"/>
    <s v="CİTUS POWER"/>
    <s v="BALSU"/>
    <x v="26"/>
    <s v="AAAA"/>
    <n v="1"/>
    <x v="2"/>
    <s v="MAVİÇAM"/>
    <m/>
    <n v="1900"/>
    <n v="1"/>
    <n v="45889"/>
    <x v="4"/>
    <m/>
    <x v="3"/>
  </r>
  <r>
    <n v="37"/>
    <s v="CİTUS POWER"/>
    <s v="BALSU"/>
    <x v="26"/>
    <s v="AAAA"/>
    <n v="1"/>
    <x v="2"/>
    <s v="MAVİÇAM"/>
    <m/>
    <n v="1900"/>
    <n v="1"/>
    <n v="45889"/>
    <x v="4"/>
    <m/>
    <x v="3"/>
  </r>
  <r>
    <n v="37"/>
    <s v="CİTUS POWER"/>
    <s v="BALSU"/>
    <x v="26"/>
    <s v="AAAA"/>
    <n v="1"/>
    <x v="2"/>
    <s v="MAVİÇAM"/>
    <m/>
    <n v="1900"/>
    <n v="1"/>
    <n v="45889"/>
    <x v="4"/>
    <m/>
    <x v="3"/>
  </r>
  <r>
    <n v="38"/>
    <s v="CİTUS POWER"/>
    <s v="ACACIA"/>
    <x v="26"/>
    <s v="AAAA"/>
    <n v="1"/>
    <x v="2"/>
    <s v="JASOLAR"/>
    <m/>
    <n v="1900"/>
    <n v="1"/>
    <n v="45889"/>
    <x v="4"/>
    <m/>
    <x v="3"/>
  </r>
  <r>
    <n v="38"/>
    <s v="CİTUS POWER"/>
    <s v="ACACIA"/>
    <x v="26"/>
    <s v="AAAA"/>
    <n v="1"/>
    <x v="2"/>
    <s v="JASOLAR"/>
    <m/>
    <n v="1900"/>
    <n v="1"/>
    <n v="45889"/>
    <x v="4"/>
    <m/>
    <x v="3"/>
  </r>
  <r>
    <n v="38"/>
    <s v="CİTUS POWER"/>
    <s v="ACACIA"/>
    <x v="26"/>
    <s v="AAAA"/>
    <n v="1"/>
    <x v="2"/>
    <s v="JASOLAR"/>
    <m/>
    <n v="1900"/>
    <n v="1"/>
    <n v="45889"/>
    <x v="4"/>
    <m/>
    <x v="3"/>
  </r>
  <r>
    <n v="38"/>
    <s v="CİTUS POWER"/>
    <s v="ACACIA"/>
    <x v="26"/>
    <s v="AAAA"/>
    <n v="1"/>
    <x v="2"/>
    <s v="JASOLAR"/>
    <m/>
    <n v="1900"/>
    <n v="1"/>
    <n v="45889"/>
    <x v="4"/>
    <m/>
    <x v="3"/>
  </r>
  <r>
    <n v="38"/>
    <s v="CİTUS POWER"/>
    <s v="ACACIA"/>
    <x v="26"/>
    <s v="AAAA"/>
    <n v="1"/>
    <x v="2"/>
    <s v="JASOLAR"/>
    <m/>
    <n v="1900"/>
    <n v="1"/>
    <n v="45889"/>
    <x v="4"/>
    <m/>
    <x v="3"/>
  </r>
  <r>
    <n v="38"/>
    <s v="CİTUS POWER"/>
    <s v="ACACIA"/>
    <x v="26"/>
    <s v="AAAA"/>
    <n v="1"/>
    <x v="2"/>
    <s v="JASOLAR"/>
    <m/>
    <n v="1900"/>
    <n v="1"/>
    <n v="45889"/>
    <x v="4"/>
    <m/>
    <x v="3"/>
  </r>
  <r>
    <n v="38"/>
    <s v="CİTUS POWER"/>
    <s v="ACACIA"/>
    <x v="26"/>
    <s v="AAAA"/>
    <n v="1"/>
    <x v="2"/>
    <s v="JASOLAR"/>
    <m/>
    <n v="1900"/>
    <n v="1"/>
    <n v="45889"/>
    <x v="4"/>
    <m/>
    <x v="3"/>
  </r>
  <r>
    <n v="38"/>
    <s v="CİTUS POWER"/>
    <s v="ACACIA"/>
    <x v="26"/>
    <s v="AAAA"/>
    <n v="1"/>
    <x v="2"/>
    <s v="JASOLAR"/>
    <m/>
    <n v="1900"/>
    <n v="1"/>
    <n v="45889"/>
    <x v="4"/>
    <m/>
    <x v="3"/>
  </r>
  <r>
    <n v="38"/>
    <s v="CİTUS POWER"/>
    <s v="ACACIA"/>
    <x v="26"/>
    <s v="AAAA"/>
    <n v="1"/>
    <x v="2"/>
    <s v="JASOLAR"/>
    <m/>
    <n v="1900"/>
    <n v="1"/>
    <n v="45889"/>
    <x v="4"/>
    <m/>
    <x v="3"/>
  </r>
  <r>
    <n v="38"/>
    <s v="CİTUS POWER"/>
    <s v="ACACIA"/>
    <x v="26"/>
    <s v="AAAA"/>
    <n v="1"/>
    <x v="2"/>
    <s v="JASOLAR"/>
    <m/>
    <n v="1900"/>
    <n v="1"/>
    <n v="45889"/>
    <x v="4"/>
    <m/>
    <x v="3"/>
  </r>
  <r>
    <n v="38"/>
    <s v="CİTUS POWER"/>
    <s v="ACACIA"/>
    <x v="26"/>
    <s v="AAAA"/>
    <n v="1"/>
    <x v="2"/>
    <s v="JASOLAR"/>
    <m/>
    <n v="1900"/>
    <n v="1"/>
    <n v="45889"/>
    <x v="4"/>
    <m/>
    <x v="3"/>
  </r>
  <r>
    <n v="38"/>
    <s v="CİTUS POWER"/>
    <s v="ACACIA"/>
    <x v="26"/>
    <s v="AAAA"/>
    <n v="1"/>
    <x v="2"/>
    <s v="JASOLAR"/>
    <m/>
    <n v="1900"/>
    <n v="1"/>
    <n v="45889"/>
    <x v="4"/>
    <m/>
    <x v="3"/>
  </r>
  <r>
    <n v="38"/>
    <s v="CİTUS POWER"/>
    <s v="ACACIA"/>
    <x v="26"/>
    <s v="AAAA"/>
    <n v="1"/>
    <x v="2"/>
    <s v="JASOLAR"/>
    <m/>
    <n v="1900"/>
    <n v="1"/>
    <n v="45889"/>
    <x v="4"/>
    <m/>
    <x v="3"/>
  </r>
  <r>
    <n v="38"/>
    <s v="CİTUS POWER"/>
    <s v="ACACIA"/>
    <x v="26"/>
    <s v="AAAA"/>
    <n v="1"/>
    <x v="2"/>
    <s v="JASOLAR"/>
    <m/>
    <n v="1900"/>
    <n v="1"/>
    <n v="45889"/>
    <x v="4"/>
    <m/>
    <x v="3"/>
  </r>
  <r>
    <n v="38"/>
    <s v="CİTUS POWER"/>
    <s v="ACACIA"/>
    <x v="26"/>
    <s v="AAAA"/>
    <n v="1"/>
    <x v="2"/>
    <s v="JASOLAR"/>
    <m/>
    <n v="1900"/>
    <n v="1"/>
    <n v="45889"/>
    <x v="4"/>
    <m/>
    <x v="3"/>
  </r>
  <r>
    <n v="38"/>
    <s v="CİTUS POWER"/>
    <s v="ACACIA"/>
    <x v="26"/>
    <s v="AAAA"/>
    <n v="1"/>
    <x v="2"/>
    <s v="JASOLAR"/>
    <m/>
    <n v="1900"/>
    <n v="1"/>
    <n v="45889"/>
    <x v="4"/>
    <m/>
    <x v="3"/>
  </r>
  <r>
    <n v="38"/>
    <s v="CİTUS POWER"/>
    <s v="ACACIA"/>
    <x v="26"/>
    <s v="AAAA"/>
    <n v="1"/>
    <x v="2"/>
    <s v="JASOLAR"/>
    <m/>
    <n v="1900"/>
    <n v="1"/>
    <n v="45889"/>
    <x v="4"/>
    <m/>
    <x v="3"/>
  </r>
  <r>
    <n v="38"/>
    <s v="CİTUS POWER"/>
    <s v="ACACIA"/>
    <x v="26"/>
    <s v="AAAA"/>
    <n v="1"/>
    <x v="2"/>
    <s v="JASOLAR"/>
    <m/>
    <n v="1900"/>
    <n v="1"/>
    <n v="45889"/>
    <x v="4"/>
    <m/>
    <x v="3"/>
  </r>
  <r>
    <n v="38"/>
    <s v="CİTUS POWER"/>
    <s v="ACACIA"/>
    <x v="26"/>
    <s v="AAAA"/>
    <n v="1"/>
    <x v="2"/>
    <s v="JASOLAR"/>
    <m/>
    <n v="1900"/>
    <n v="1"/>
    <n v="45889"/>
    <x v="4"/>
    <m/>
    <x v="3"/>
  </r>
  <r>
    <n v="38"/>
    <s v="CİTUS POWER"/>
    <s v="ACACIA"/>
    <x v="26"/>
    <s v="AAAA"/>
    <n v="1"/>
    <x v="2"/>
    <s v="JASOLAR"/>
    <m/>
    <n v="1900"/>
    <n v="1"/>
    <n v="45889"/>
    <x v="4"/>
    <m/>
    <x v="3"/>
  </r>
  <r>
    <n v="38"/>
    <s v="CİTUS POWER"/>
    <s v="ACACIA"/>
    <x v="26"/>
    <s v="AAAA"/>
    <n v="1"/>
    <x v="2"/>
    <s v="JASOLAR"/>
    <m/>
    <n v="1900"/>
    <n v="1"/>
    <n v="45889"/>
    <x v="4"/>
    <m/>
    <x v="3"/>
  </r>
  <r>
    <n v="38"/>
    <s v="CİTUS POWER"/>
    <s v="ACACIA"/>
    <x v="26"/>
    <s v="AAAA"/>
    <n v="1"/>
    <x v="2"/>
    <s v="JASOLAR"/>
    <m/>
    <n v="1900"/>
    <n v="1"/>
    <n v="45889"/>
    <x v="4"/>
    <m/>
    <x v="3"/>
  </r>
  <r>
    <n v="38"/>
    <s v="CİTUS POWER"/>
    <s v="ACACIA"/>
    <x v="26"/>
    <s v="AAAA"/>
    <n v="1"/>
    <x v="2"/>
    <s v="JASOLAR"/>
    <m/>
    <n v="1900"/>
    <n v="1"/>
    <n v="45889"/>
    <x v="4"/>
    <m/>
    <x v="3"/>
  </r>
  <r>
    <n v="38"/>
    <s v="CİTUS POWER"/>
    <s v="ACACIA"/>
    <x v="26"/>
    <s v="AAAA"/>
    <n v="1"/>
    <x v="2"/>
    <s v="JASOLAR"/>
    <m/>
    <n v="1900"/>
    <n v="1"/>
    <n v="45889"/>
    <x v="4"/>
    <m/>
    <x v="3"/>
  </r>
  <r>
    <n v="38"/>
    <s v="CİTUS POWER"/>
    <s v="ACACIA"/>
    <x v="26"/>
    <s v="AAAA"/>
    <n v="1"/>
    <x v="2"/>
    <s v="JASOLAR"/>
    <m/>
    <n v="1900"/>
    <n v="1"/>
    <n v="45889"/>
    <x v="4"/>
    <m/>
    <x v="3"/>
  </r>
  <r>
    <n v="38"/>
    <s v="CİTUS POWER"/>
    <s v="ACACIA"/>
    <x v="26"/>
    <s v="AAAA"/>
    <n v="1"/>
    <x v="2"/>
    <s v="JASOLAR"/>
    <m/>
    <n v="1900"/>
    <n v="1"/>
    <n v="45889"/>
    <x v="4"/>
    <m/>
    <x v="3"/>
  </r>
  <r>
    <n v="38"/>
    <s v="CİTUS POWER"/>
    <s v="ACACIA"/>
    <x v="26"/>
    <s v="AAAA"/>
    <n v="1"/>
    <x v="2"/>
    <s v="JASOLAR"/>
    <m/>
    <n v="1900"/>
    <n v="1"/>
    <n v="45889"/>
    <x v="4"/>
    <m/>
    <x v="3"/>
  </r>
  <r>
    <n v="38"/>
    <s v="CİTUS POWER"/>
    <s v="ACACIA"/>
    <x v="26"/>
    <s v="AAAA"/>
    <n v="1"/>
    <x v="2"/>
    <s v="JASOLAR"/>
    <m/>
    <n v="1900"/>
    <n v="1"/>
    <n v="45889"/>
    <x v="4"/>
    <m/>
    <x v="3"/>
  </r>
  <r>
    <n v="38"/>
    <s v="CİTUS POWER"/>
    <s v="ACACIA"/>
    <x v="26"/>
    <s v="AAAA"/>
    <n v="1"/>
    <x v="2"/>
    <s v="JASOLAR"/>
    <m/>
    <n v="1900"/>
    <n v="1"/>
    <n v="45889"/>
    <x v="4"/>
    <m/>
    <x v="3"/>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39"/>
    <s v="PİRAMİT SENTETİK"/>
    <s v="PİRAMİT SENTETİK"/>
    <x v="27"/>
    <s v="AAAA"/>
    <n v="1"/>
    <x v="2"/>
    <s v="MAVİÇAM"/>
    <m/>
    <n v="1900"/>
    <n v="1"/>
    <n v="45891"/>
    <x v="19"/>
    <s v="Garanti"/>
    <x v="2"/>
  </r>
  <r>
    <n v="40"/>
    <s v="SOLARTODAY"/>
    <s v="ARTAŞ"/>
    <x v="24"/>
    <s v="E3FXT425B249990039700107"/>
    <n v="1"/>
    <x v="1"/>
    <s v="JINKOSOLAR"/>
    <m/>
    <n v="1900"/>
    <n v="1"/>
    <n v="45884"/>
    <x v="20"/>
    <s v="Değişim"/>
    <x v="2"/>
  </r>
  <r>
    <n v="40"/>
    <s v="SOLARTODAY"/>
    <s v="ARTAŞ"/>
    <x v="24"/>
    <s v="E3FXT425B249990039701508"/>
    <n v="1"/>
    <x v="1"/>
    <s v="JINKOSOLAR"/>
    <m/>
    <n v="1900"/>
    <n v="1"/>
    <n v="45884"/>
    <x v="20"/>
    <s v="Değişim"/>
    <x v="2"/>
  </r>
  <r>
    <n v="40"/>
    <s v="SOLARTODAY"/>
    <s v="ARTAŞ"/>
    <x v="24"/>
    <s v="E3FXT425B249990039701727"/>
    <n v="1"/>
    <x v="1"/>
    <s v="JINKOSOLAR"/>
    <m/>
    <n v="1900"/>
    <n v="1"/>
    <n v="45884"/>
    <x v="20"/>
    <s v="Değişim"/>
    <x v="2"/>
  </r>
  <r>
    <n v="40"/>
    <s v="SOLARTODAY"/>
    <s v="ARTAŞ"/>
    <x v="24"/>
    <s v="E3FXT425B249990039701162"/>
    <n v="1"/>
    <x v="1"/>
    <s v="JINKOSOLAR"/>
    <m/>
    <n v="1900"/>
    <n v="1"/>
    <n v="45884"/>
    <x v="20"/>
    <s v="Değişim"/>
    <x v="2"/>
  </r>
  <r>
    <n v="40"/>
    <s v="SOLARTODAY"/>
    <s v="ARTAŞ"/>
    <x v="24"/>
    <s v="E3FXT425B249990039701715"/>
    <n v="1"/>
    <x v="1"/>
    <s v="JINKOSOLAR"/>
    <m/>
    <n v="1900"/>
    <n v="1"/>
    <n v="45884"/>
    <x v="20"/>
    <s v="Değişim"/>
    <x v="2"/>
  </r>
  <r>
    <n v="40"/>
    <s v="SOLARTODAY"/>
    <s v="ARTAŞ"/>
    <x v="24"/>
    <s v="E3FXT425B249990039700944"/>
    <n v="1"/>
    <x v="1"/>
    <s v="JINKOSOLAR"/>
    <m/>
    <n v="1900"/>
    <n v="1"/>
    <n v="45884"/>
    <x v="21"/>
    <s v="Değişim"/>
    <x v="2"/>
  </r>
  <r>
    <n v="40"/>
    <s v="SOLARTODAY"/>
    <s v="ARTAŞ"/>
    <x v="24"/>
    <s v="E3FXT425B249990039700333"/>
    <n v="1"/>
    <x v="1"/>
    <s v="JINKOSOLAR"/>
    <m/>
    <n v="1900"/>
    <n v="1"/>
    <n v="45884"/>
    <x v="21"/>
    <s v="Değişim"/>
    <x v="2"/>
  </r>
  <r>
    <n v="40"/>
    <s v="SOLARTODAY"/>
    <s v="ARTAŞ"/>
    <x v="24"/>
    <s v="E3FXT425B249990039700484"/>
    <n v="1"/>
    <x v="1"/>
    <s v="JINKOSOLAR"/>
    <m/>
    <n v="1900"/>
    <n v="1"/>
    <n v="45884"/>
    <x v="21"/>
    <s v="Değişim"/>
    <x v="2"/>
  </r>
  <r>
    <n v="40"/>
    <s v="SOLARTODAY"/>
    <s v="ARTAŞ"/>
    <x v="24"/>
    <s v="E3FXT425B249990039701671"/>
    <n v="1"/>
    <x v="1"/>
    <s v="JINKOSOLAR"/>
    <m/>
    <n v="1900"/>
    <n v="1"/>
    <n v="45884"/>
    <x v="21"/>
    <s v="Değişim"/>
    <x v="2"/>
  </r>
  <r>
    <n v="40"/>
    <s v="SOLARTODAY"/>
    <s v="ARTAŞ"/>
    <x v="24"/>
    <s v="E3FXT425B249990039701647"/>
    <n v="1"/>
    <x v="1"/>
    <s v="JINKOSOLAR"/>
    <m/>
    <n v="1900"/>
    <n v="1"/>
    <n v="45884"/>
    <x v="21"/>
    <s v="Değişim"/>
    <x v="2"/>
  </r>
  <r>
    <n v="40"/>
    <s v="SOLARTODAY"/>
    <s v="ARTAŞ"/>
    <x v="24"/>
    <s v="E3FXT425B279990039805023"/>
    <n v="1"/>
    <x v="1"/>
    <s v="JINKOSOLAR"/>
    <m/>
    <n v="1900"/>
    <n v="1"/>
    <n v="45884"/>
    <x v="21"/>
    <s v="Değişim"/>
    <x v="2"/>
  </r>
  <r>
    <n v="40"/>
    <s v="SOLARTODAY"/>
    <s v="ARTAŞ"/>
    <x v="24"/>
    <s v="E3FXT425B279990039805798"/>
    <n v="1"/>
    <x v="1"/>
    <s v="JINKOSOLAR"/>
    <m/>
    <n v="1900"/>
    <n v="1"/>
    <n v="45884"/>
    <x v="21"/>
    <s v="Değişim"/>
    <x v="2"/>
  </r>
  <r>
    <n v="40"/>
    <s v="SOLARTODAY"/>
    <s v="ARTAŞ"/>
    <x v="24"/>
    <s v="E3FXT425B279990039806630"/>
    <n v="1"/>
    <x v="1"/>
    <s v="JINKOSOLAR"/>
    <m/>
    <n v="1900"/>
    <n v="1"/>
    <n v="45884"/>
    <x v="21"/>
    <s v="Değişim"/>
    <x v="2"/>
  </r>
  <r>
    <n v="40"/>
    <s v="SOLARTODAY"/>
    <s v="ARTAŞ"/>
    <x v="24"/>
    <s v="E3FXT425B259990039801167"/>
    <n v="1"/>
    <x v="1"/>
    <s v="JINKOSOLAR"/>
    <m/>
    <n v="1900"/>
    <n v="1"/>
    <n v="45884"/>
    <x v="21"/>
    <s v="Değişim"/>
    <x v="2"/>
  </r>
  <r>
    <n v="40"/>
    <s v="SOLARTODAY"/>
    <s v="ARTAŞ"/>
    <x v="24"/>
    <s v="E3FXT425B259990039800541"/>
    <n v="1"/>
    <x v="1"/>
    <s v="JINKOSOLAR"/>
    <m/>
    <n v="1900"/>
    <n v="1"/>
    <n v="45884"/>
    <x v="21"/>
    <s v="Değişim"/>
    <x v="2"/>
  </r>
  <r>
    <n v="40"/>
    <s v="SOLARTODAY"/>
    <s v="ARTAŞ"/>
    <x v="24"/>
    <s v="E3FXT425B259990039800949"/>
    <n v="1"/>
    <x v="1"/>
    <s v="JINKOSOLAR"/>
    <m/>
    <n v="1900"/>
    <n v="1"/>
    <n v="45884"/>
    <x v="21"/>
    <s v="Değişim"/>
    <x v="2"/>
  </r>
  <r>
    <n v="40"/>
    <s v="SOLARTODAY"/>
    <s v="ARTAŞ"/>
    <x v="24"/>
    <s v="E3FXT425D299990042801193"/>
    <n v="1"/>
    <x v="1"/>
    <s v="JINKOSOLAR"/>
    <m/>
    <n v="1900"/>
    <n v="1"/>
    <n v="45884"/>
    <x v="21"/>
    <s v="Değişim"/>
    <x v="2"/>
  </r>
  <r>
    <n v="40"/>
    <s v="SOLARTODAY"/>
    <s v="ARTAŞ"/>
    <x v="24"/>
    <s v="E3FXT425D299990042800950"/>
    <n v="1"/>
    <x v="1"/>
    <s v="JINKOSOLAR"/>
    <m/>
    <n v="1900"/>
    <n v="1"/>
    <n v="45884"/>
    <x v="21"/>
    <s v="Değişim"/>
    <x v="2"/>
  </r>
  <r>
    <n v="40"/>
    <s v="SOLARTODAY"/>
    <s v="ARTAŞ"/>
    <x v="24"/>
    <s v="E3FXT425D299990042800277"/>
    <n v="1"/>
    <x v="1"/>
    <s v="JINKOSOLAR"/>
    <m/>
    <n v="1900"/>
    <n v="1"/>
    <n v="45884"/>
    <x v="21"/>
    <s v="Değişim"/>
    <x v="2"/>
  </r>
  <r>
    <n v="40"/>
    <s v="SOLARTODAY"/>
    <s v="ARTAŞ"/>
    <x v="24"/>
    <s v="E3FXT425D299990042800939"/>
    <n v="1"/>
    <x v="1"/>
    <s v="JINKOSOLAR"/>
    <m/>
    <n v="1900"/>
    <n v="1"/>
    <n v="45884"/>
    <x v="21"/>
    <s v="Değişim"/>
    <x v="2"/>
  </r>
  <r>
    <n v="40"/>
    <s v="SOLARTODAY"/>
    <s v="ARTAŞ"/>
    <x v="24"/>
    <s v="E3FXT425D299990042801162"/>
    <n v="1"/>
    <x v="1"/>
    <s v="JINKOSOLAR"/>
    <m/>
    <n v="1900"/>
    <n v="1"/>
    <n v="45884"/>
    <x v="21"/>
    <s v="Değişim"/>
    <x v="2"/>
  </r>
  <r>
    <n v="40"/>
    <s v="SOLARTODAY"/>
    <s v="ARTAŞ"/>
    <x v="24"/>
    <s v="E3FXT425D299990042801160"/>
    <n v="1"/>
    <x v="1"/>
    <s v="JINKOSOLAR"/>
    <m/>
    <n v="1900"/>
    <n v="1"/>
    <n v="45884"/>
    <x v="21"/>
    <s v="Değişim"/>
    <x v="2"/>
  </r>
  <r>
    <n v="40"/>
    <s v="SOLARTODAY"/>
    <s v="ARTAŞ"/>
    <x v="24"/>
    <s v="E3FXT425C219990041202309"/>
    <n v="1"/>
    <x v="1"/>
    <s v="JINKOSOLAR"/>
    <m/>
    <n v="1900"/>
    <n v="1"/>
    <n v="45884"/>
    <x v="21"/>
    <s v="Değişim"/>
    <x v="2"/>
  </r>
  <r>
    <n v="40"/>
    <s v="SOLARTODAY"/>
    <s v="ARTAŞ"/>
    <x v="24"/>
    <s v="E3FXT425C209990041201317"/>
    <n v="1"/>
    <x v="1"/>
    <s v="JINKOSOLAR"/>
    <m/>
    <n v="1900"/>
    <n v="1"/>
    <n v="45884"/>
    <x v="21"/>
    <s v="Değişim"/>
    <x v="2"/>
  </r>
  <r>
    <n v="40"/>
    <s v="SOLARTODAY"/>
    <s v="ARTAŞ"/>
    <x v="24"/>
    <s v="E3FXT425C119990040213957"/>
    <n v="1"/>
    <x v="1"/>
    <s v="JINKOSOLAR"/>
    <m/>
    <n v="1900"/>
    <n v="1"/>
    <n v="45884"/>
    <x v="21"/>
    <s v="Değişim"/>
    <x v="2"/>
  </r>
  <r>
    <n v="40"/>
    <s v="SOLARTODAY"/>
    <s v="ARTAŞ"/>
    <x v="24"/>
    <s v="E3FXT425B269990039802869"/>
    <n v="1"/>
    <x v="1"/>
    <s v="JINKOSOLAR"/>
    <m/>
    <n v="1900"/>
    <n v="1"/>
    <n v="45884"/>
    <x v="21"/>
    <s v="Değişim"/>
    <x v="2"/>
  </r>
  <r>
    <n v="40"/>
    <s v="SOLARTODAY"/>
    <s v="ARTAŞ"/>
    <x v="24"/>
    <s v="E3FXT425B269990039802799"/>
    <n v="1"/>
    <x v="1"/>
    <s v="JINKOSOLAR"/>
    <m/>
    <n v="1900"/>
    <n v="1"/>
    <n v="45884"/>
    <x v="21"/>
    <s v="Değişim"/>
    <x v="2"/>
  </r>
  <r>
    <n v="40"/>
    <s v="SOLARTODAY"/>
    <s v="ARTAŞ"/>
    <x v="24"/>
    <s v="E3FXT425B289990039807475"/>
    <n v="1"/>
    <x v="1"/>
    <s v="JINKOSOLAR"/>
    <m/>
    <n v="1900"/>
    <n v="1"/>
    <n v="45884"/>
    <x v="21"/>
    <s v="Değişim"/>
    <x v="2"/>
  </r>
  <r>
    <n v="40"/>
    <s v="SOLARTODAY"/>
    <s v="ARTAŞ"/>
    <x v="24"/>
    <s v="E3FXT425D299990042801129"/>
    <n v="1"/>
    <x v="1"/>
    <s v="JINKOSOLAR"/>
    <m/>
    <n v="1900"/>
    <n v="1"/>
    <n v="45884"/>
    <x v="21"/>
    <s v="Değişim"/>
    <x v="2"/>
  </r>
  <r>
    <n v="40"/>
    <s v="SOLARTODAY"/>
    <s v="ARTAŞ"/>
    <x v="24"/>
    <s v="E3FXT425D299990042801013"/>
    <n v="1"/>
    <x v="1"/>
    <s v="JINKOSOLAR"/>
    <m/>
    <n v="1900"/>
    <n v="1"/>
    <n v="45884"/>
    <x v="21"/>
    <s v="Değişim"/>
    <x v="2"/>
  </r>
  <r>
    <n v="40"/>
    <s v="SOLARTODAY"/>
    <s v="ARTAŞ"/>
    <x v="24"/>
    <s v="E3FXT425D299990042800979"/>
    <n v="1"/>
    <x v="1"/>
    <s v="JINKOSOLAR"/>
    <m/>
    <n v="1900"/>
    <n v="1"/>
    <n v="45884"/>
    <x v="21"/>
    <s v="Değişim"/>
    <x v="2"/>
  </r>
  <r>
    <n v="40"/>
    <s v="SOLARTODAY"/>
    <s v="ARTAŞ"/>
    <x v="24"/>
    <s v="E3FXT425D299990042801045"/>
    <n v="1"/>
    <x v="1"/>
    <s v="JINKOSOLAR"/>
    <m/>
    <n v="1900"/>
    <n v="1"/>
    <n v="45884"/>
    <x v="21"/>
    <s v="Değişim"/>
    <x v="2"/>
  </r>
  <r>
    <n v="40"/>
    <s v="SOLARTODAY"/>
    <s v="ARTAŞ"/>
    <x v="24"/>
    <s v="E3FXT425D299990042801204"/>
    <n v="1"/>
    <x v="1"/>
    <s v="JINKOSOLAR"/>
    <m/>
    <n v="1900"/>
    <n v="1"/>
    <n v="45884"/>
    <x v="21"/>
    <s v="Değişim"/>
    <x v="2"/>
  </r>
  <r>
    <n v="40"/>
    <s v="SOLARTODAY"/>
    <s v="ARTAŞ"/>
    <x v="24"/>
    <s v="E3FXT425D299990042801241"/>
    <n v="1"/>
    <x v="1"/>
    <s v="JINKOSOLAR"/>
    <m/>
    <n v="1900"/>
    <n v="1"/>
    <n v="45884"/>
    <x v="21"/>
    <s v="Değişim"/>
    <x v="2"/>
  </r>
  <r>
    <n v="40"/>
    <s v="SOLARTODAY"/>
    <s v="ARTAŞ"/>
    <x v="24"/>
    <s v="E3FXT425D309990042801554"/>
    <n v="1"/>
    <x v="1"/>
    <s v="JINKOSOLAR"/>
    <m/>
    <n v="1900"/>
    <n v="1"/>
    <n v="45884"/>
    <x v="21"/>
    <s v="Değişim"/>
    <x v="2"/>
  </r>
  <r>
    <n v="40"/>
    <s v="SOLARTODAY"/>
    <s v="ARTAŞ"/>
    <x v="24"/>
    <s v="E3FXT425D309990042801485"/>
    <n v="1"/>
    <x v="1"/>
    <s v="JINKOSOLAR"/>
    <m/>
    <n v="1900"/>
    <n v="1"/>
    <n v="45884"/>
    <x v="21"/>
    <s v="Değişim"/>
    <x v="2"/>
  </r>
  <r>
    <n v="40"/>
    <s v="SOLARTODAY"/>
    <s v="ARTAŞ"/>
    <x v="24"/>
    <s v="E3FXT425D309990042801619"/>
    <n v="1"/>
    <x v="1"/>
    <s v="JINKOSOLAR"/>
    <m/>
    <n v="1900"/>
    <n v="1"/>
    <n v="45884"/>
    <x v="21"/>
    <s v="Değişim"/>
    <x v="2"/>
  </r>
  <r>
    <n v="40"/>
    <s v="SOLARTODAY"/>
    <s v="ARTAŞ"/>
    <x v="24"/>
    <s v="E3FXT425C229990041204337"/>
    <n v="1"/>
    <x v="1"/>
    <s v="JINKOSOLAR"/>
    <m/>
    <n v="1900"/>
    <n v="1"/>
    <n v="45884"/>
    <x v="21"/>
    <s v="Değişim"/>
    <x v="2"/>
  </r>
  <r>
    <n v="40"/>
    <s v="SOLARTODAY"/>
    <s v="ARTAŞ"/>
    <x v="24"/>
    <s v="E3FXT425C229990041204156"/>
    <n v="1"/>
    <x v="1"/>
    <s v="JINKOSOLAR"/>
    <m/>
    <n v="1900"/>
    <n v="1"/>
    <n v="45884"/>
    <x v="21"/>
    <s v="Değişim"/>
    <x v="2"/>
  </r>
  <r>
    <n v="40"/>
    <s v="SOLARTODAY"/>
    <s v="ARTAŞ"/>
    <x v="24"/>
    <s v="E3FXT425C249990041206593"/>
    <n v="1"/>
    <x v="1"/>
    <s v="JINKOSOLAR"/>
    <m/>
    <n v="1900"/>
    <n v="1"/>
    <n v="45884"/>
    <x v="21"/>
    <s v="Değişim"/>
    <x v="2"/>
  </r>
  <r>
    <n v="40"/>
    <s v="SOLARTODAY"/>
    <s v="ARTAŞ"/>
    <x v="24"/>
    <s v="E3FXT425C049990040200076"/>
    <n v="1"/>
    <x v="1"/>
    <s v="JINKOSOLAR"/>
    <m/>
    <n v="1900"/>
    <n v="1"/>
    <n v="45884"/>
    <x v="21"/>
    <s v="Değişim"/>
    <x v="2"/>
  </r>
  <r>
    <n v="40"/>
    <s v="SOLARTODAY"/>
    <s v="ARTAŞ"/>
    <x v="24"/>
    <s v="E3FXT425C079990040206925"/>
    <n v="1"/>
    <x v="1"/>
    <s v="JINKOSOLAR"/>
    <m/>
    <n v="1900"/>
    <n v="1"/>
    <n v="45884"/>
    <x v="21"/>
    <s v="Değişim"/>
    <x v="2"/>
  </r>
  <r>
    <n v="41"/>
    <s v="SOLARTODAY"/>
    <s v="ARTAŞ"/>
    <x v="24"/>
    <m/>
    <n v="1"/>
    <x v="1"/>
    <s v="JINKOSOLAR"/>
    <m/>
    <n v="1900"/>
    <n v="1"/>
    <n v="45884"/>
    <x v="21"/>
    <m/>
    <x v="1"/>
  </r>
  <r>
    <n v="41"/>
    <s v="SOLARTODAY"/>
    <s v="ARTAŞ"/>
    <x v="24"/>
    <m/>
    <n v="1"/>
    <x v="1"/>
    <s v="JINKOSOLAR"/>
    <m/>
    <n v="1900"/>
    <n v="1"/>
    <n v="45884"/>
    <x v="21"/>
    <m/>
    <x v="1"/>
  </r>
  <r>
    <n v="41"/>
    <s v="SOLARTODAY"/>
    <s v="ARTAŞ"/>
    <x v="24"/>
    <m/>
    <n v="1"/>
    <x v="1"/>
    <s v="JINKOSOLAR"/>
    <m/>
    <n v="1900"/>
    <n v="1"/>
    <n v="45884"/>
    <x v="21"/>
    <m/>
    <x v="1"/>
  </r>
  <r>
    <n v="41"/>
    <s v="SOLARTODAY"/>
    <s v="ARTAŞ"/>
    <x v="24"/>
    <m/>
    <n v="1"/>
    <x v="1"/>
    <s v="JINKOSOLAR"/>
    <m/>
    <n v="1900"/>
    <n v="1"/>
    <n v="45884"/>
    <x v="21"/>
    <m/>
    <x v="1"/>
  </r>
  <r>
    <n v="41"/>
    <s v="SOLARTODAY"/>
    <s v="ARTAŞ"/>
    <x v="24"/>
    <m/>
    <n v="1"/>
    <x v="1"/>
    <s v="JINKOSOLAR"/>
    <m/>
    <n v="1900"/>
    <n v="1"/>
    <n v="45884"/>
    <x v="21"/>
    <m/>
    <x v="1"/>
  </r>
  <r>
    <n v="41"/>
    <s v="SOLARTODAY"/>
    <s v="ARTAŞ"/>
    <x v="24"/>
    <m/>
    <n v="1"/>
    <x v="1"/>
    <s v="JINKOSOLAR"/>
    <m/>
    <n v="1900"/>
    <n v="1"/>
    <n v="45884"/>
    <x v="21"/>
    <m/>
    <x v="1"/>
  </r>
  <r>
    <n v="41"/>
    <s v="SOLARTODAY"/>
    <s v="ARTAŞ"/>
    <x v="24"/>
    <m/>
    <n v="1"/>
    <x v="1"/>
    <s v="JINKOSOLAR"/>
    <m/>
    <n v="1900"/>
    <n v="1"/>
    <n v="45884"/>
    <x v="21"/>
    <m/>
    <x v="1"/>
  </r>
  <r>
    <n v="41"/>
    <s v="SOLARTODAY"/>
    <s v="ARTAŞ"/>
    <x v="24"/>
    <m/>
    <n v="1"/>
    <x v="1"/>
    <s v="JINKOSOLAR"/>
    <m/>
    <n v="1900"/>
    <n v="1"/>
    <n v="45884"/>
    <x v="21"/>
    <m/>
    <x v="1"/>
  </r>
  <r>
    <n v="41"/>
    <s v="SOLARTODAY"/>
    <s v="ARTAŞ"/>
    <x v="24"/>
    <m/>
    <n v="1"/>
    <x v="1"/>
    <s v="JINKOSOLAR"/>
    <m/>
    <n v="1900"/>
    <n v="1"/>
    <n v="45884"/>
    <x v="21"/>
    <m/>
    <x v="1"/>
  </r>
  <r>
    <n v="41"/>
    <s v="SOLARTODAY"/>
    <s v="ARTAŞ"/>
    <x v="24"/>
    <m/>
    <n v="1"/>
    <x v="1"/>
    <s v="JINKOSOLAR"/>
    <m/>
    <n v="1900"/>
    <n v="1"/>
    <n v="45884"/>
    <x v="21"/>
    <m/>
    <x v="1"/>
  </r>
  <r>
    <n v="41"/>
    <s v="SOLARTODAY"/>
    <s v="ARTAŞ"/>
    <x v="24"/>
    <m/>
    <n v="1"/>
    <x v="1"/>
    <s v="JINKOSOLAR"/>
    <m/>
    <n v="1900"/>
    <n v="1"/>
    <n v="45884"/>
    <x v="21"/>
    <m/>
    <x v="1"/>
  </r>
  <r>
    <n v="41"/>
    <s v="SOLARTODAY"/>
    <s v="ARTAŞ"/>
    <x v="24"/>
    <m/>
    <n v="1"/>
    <x v="1"/>
    <s v="JINKOSOLAR"/>
    <m/>
    <n v="1900"/>
    <n v="1"/>
    <n v="45884"/>
    <x v="21"/>
    <m/>
    <x v="1"/>
  </r>
  <r>
    <n v="41"/>
    <s v="SOLARTODAY"/>
    <s v="ARTAŞ"/>
    <x v="24"/>
    <m/>
    <n v="1"/>
    <x v="1"/>
    <s v="JINKOSOLAR"/>
    <m/>
    <n v="1900"/>
    <n v="1"/>
    <n v="45884"/>
    <x v="21"/>
    <m/>
    <x v="1"/>
  </r>
  <r>
    <n v="41"/>
    <s v="SOLARTODAY"/>
    <s v="ARTAŞ"/>
    <x v="24"/>
    <m/>
    <n v="1"/>
    <x v="1"/>
    <s v="JINKOSOLAR"/>
    <m/>
    <n v="1900"/>
    <n v="1"/>
    <n v="45884"/>
    <x v="21"/>
    <m/>
    <x v="1"/>
  </r>
  <r>
    <n v="41"/>
    <s v="SOLARTODAY"/>
    <s v="ARTAŞ"/>
    <x v="24"/>
    <m/>
    <n v="1"/>
    <x v="1"/>
    <s v="JINKOSOLAR"/>
    <m/>
    <n v="1900"/>
    <n v="1"/>
    <n v="45884"/>
    <x v="21"/>
    <m/>
    <x v="1"/>
  </r>
  <r>
    <n v="41"/>
    <s v="SOLARTODAY"/>
    <s v="ARTAŞ"/>
    <x v="24"/>
    <m/>
    <n v="1"/>
    <x v="1"/>
    <s v="JINKOSOLAR"/>
    <m/>
    <n v="1900"/>
    <n v="1"/>
    <n v="45884"/>
    <x v="21"/>
    <m/>
    <x v="1"/>
  </r>
  <r>
    <n v="41"/>
    <s v="SOLARTODAY"/>
    <s v="ARTAŞ"/>
    <x v="24"/>
    <m/>
    <n v="1"/>
    <x v="1"/>
    <s v="JINKOSOLAR"/>
    <m/>
    <n v="1900"/>
    <n v="1"/>
    <n v="45884"/>
    <x v="21"/>
    <m/>
    <x v="1"/>
  </r>
  <r>
    <n v="41"/>
    <s v="SOLARTODAY"/>
    <s v="ARTAŞ"/>
    <x v="24"/>
    <m/>
    <n v="1"/>
    <x v="1"/>
    <s v="JINKOSOLAR"/>
    <m/>
    <n v="1900"/>
    <n v="1"/>
    <n v="45884"/>
    <x v="21"/>
    <m/>
    <x v="1"/>
  </r>
  <r>
    <n v="41"/>
    <s v="SOLARTODAY"/>
    <s v="ARTAŞ"/>
    <x v="24"/>
    <m/>
    <n v="1"/>
    <x v="1"/>
    <s v="JINKOSOLAR"/>
    <m/>
    <n v="1900"/>
    <n v="1"/>
    <n v="45884"/>
    <x v="21"/>
    <m/>
    <x v="1"/>
  </r>
  <r>
    <n v="41"/>
    <s v="SOLARTODAY"/>
    <s v="ARTAŞ"/>
    <x v="24"/>
    <m/>
    <n v="1"/>
    <x v="1"/>
    <s v="JINKOSOLAR"/>
    <m/>
    <n v="1900"/>
    <n v="1"/>
    <n v="45884"/>
    <x v="21"/>
    <m/>
    <x v="1"/>
  </r>
  <r>
    <n v="41"/>
    <s v="SOLARTODAY"/>
    <s v="ARTAŞ"/>
    <x v="24"/>
    <m/>
    <n v="1"/>
    <x v="1"/>
    <s v="JINKOSOLAR"/>
    <m/>
    <n v="1900"/>
    <n v="1"/>
    <n v="45884"/>
    <x v="21"/>
    <m/>
    <x v="1"/>
  </r>
  <r>
    <n v="41"/>
    <s v="SOLARTODAY"/>
    <s v="ARTAŞ"/>
    <x v="24"/>
    <m/>
    <n v="1"/>
    <x v="1"/>
    <s v="JINKOSOLAR"/>
    <m/>
    <n v="1900"/>
    <n v="1"/>
    <n v="45884"/>
    <x v="21"/>
    <m/>
    <x v="1"/>
  </r>
  <r>
    <n v="41"/>
    <s v="SOLARTODAY"/>
    <s v="ARTAŞ"/>
    <x v="24"/>
    <m/>
    <n v="1"/>
    <x v="1"/>
    <s v="JINKOSOLAR"/>
    <m/>
    <n v="1900"/>
    <n v="1"/>
    <n v="45884"/>
    <x v="21"/>
    <m/>
    <x v="1"/>
  </r>
  <r>
    <n v="41"/>
    <s v="SOLARTODAY"/>
    <s v="ARTAŞ"/>
    <x v="24"/>
    <m/>
    <n v="1"/>
    <x v="1"/>
    <s v="JINKOSOLAR"/>
    <m/>
    <n v="1900"/>
    <n v="1"/>
    <n v="45884"/>
    <x v="21"/>
    <m/>
    <x v="1"/>
  </r>
  <r>
    <n v="41"/>
    <s v="SOLARTODAY"/>
    <s v="ARTAŞ"/>
    <x v="24"/>
    <m/>
    <n v="1"/>
    <x v="1"/>
    <s v="JINKOSOLAR"/>
    <m/>
    <n v="1900"/>
    <n v="1"/>
    <n v="45884"/>
    <x v="21"/>
    <m/>
    <x v="1"/>
  </r>
  <r>
    <n v="41"/>
    <s v="SOLARTODAY"/>
    <s v="ARTAŞ"/>
    <x v="24"/>
    <m/>
    <n v="1"/>
    <x v="1"/>
    <s v="JINKOSOLAR"/>
    <m/>
    <n v="1900"/>
    <n v="1"/>
    <n v="45884"/>
    <x v="21"/>
    <m/>
    <x v="1"/>
  </r>
  <r>
    <n v="41"/>
    <s v="SOLARTODAY"/>
    <s v="ARTAŞ"/>
    <x v="24"/>
    <m/>
    <n v="1"/>
    <x v="1"/>
    <s v="JINKOSOLAR"/>
    <m/>
    <n v="1900"/>
    <n v="1"/>
    <n v="45884"/>
    <x v="21"/>
    <m/>
    <x v="1"/>
  </r>
  <r>
    <n v="41"/>
    <s v="SOLARTODAY"/>
    <s v="ARTAŞ"/>
    <x v="24"/>
    <m/>
    <n v="1"/>
    <x v="1"/>
    <s v="JINKOSOLAR"/>
    <m/>
    <n v="1900"/>
    <n v="1"/>
    <n v="45884"/>
    <x v="21"/>
    <m/>
    <x v="1"/>
  </r>
  <r>
    <n v="41"/>
    <s v="SOLARTODAY"/>
    <s v="ARTAŞ"/>
    <x v="24"/>
    <m/>
    <n v="1"/>
    <x v="1"/>
    <s v="JINKOSOLAR"/>
    <m/>
    <n v="1900"/>
    <n v="1"/>
    <n v="45884"/>
    <x v="21"/>
    <m/>
    <x v="1"/>
  </r>
  <r>
    <n v="41"/>
    <s v="SOLARTODAY"/>
    <s v="ARTAŞ"/>
    <x v="24"/>
    <m/>
    <n v="1"/>
    <x v="1"/>
    <s v="JINKOSOLAR"/>
    <m/>
    <n v="1900"/>
    <n v="1"/>
    <n v="45884"/>
    <x v="21"/>
    <m/>
    <x v="1"/>
  </r>
  <r>
    <n v="41"/>
    <s v="SOLARTODAY"/>
    <s v="ARTAŞ"/>
    <x v="24"/>
    <m/>
    <n v="1"/>
    <x v="1"/>
    <s v="JINKOSOLAR"/>
    <m/>
    <n v="1900"/>
    <n v="1"/>
    <n v="45884"/>
    <x v="21"/>
    <m/>
    <x v="1"/>
  </r>
  <r>
    <n v="41"/>
    <s v="SOLARTODAY"/>
    <s v="ARTAŞ"/>
    <x v="24"/>
    <m/>
    <n v="1"/>
    <x v="1"/>
    <s v="JINKOSOLAR"/>
    <m/>
    <n v="1900"/>
    <n v="1"/>
    <n v="45884"/>
    <x v="21"/>
    <m/>
    <x v="1"/>
  </r>
  <r>
    <n v="41"/>
    <s v="SOLARTODAY"/>
    <s v="ARTAŞ"/>
    <x v="24"/>
    <m/>
    <n v="1"/>
    <x v="1"/>
    <s v="JINKOSOLAR"/>
    <m/>
    <n v="1900"/>
    <n v="1"/>
    <n v="45884"/>
    <x v="21"/>
    <m/>
    <x v="1"/>
  </r>
  <r>
    <n v="41"/>
    <s v="SOLARTODAY"/>
    <s v="ARTAŞ"/>
    <x v="24"/>
    <m/>
    <n v="1"/>
    <x v="1"/>
    <s v="JINKOSOLAR"/>
    <m/>
    <n v="1900"/>
    <n v="1"/>
    <n v="45884"/>
    <x v="21"/>
    <m/>
    <x v="1"/>
  </r>
  <r>
    <n v="41"/>
    <s v="SOLARTODAY"/>
    <s v="ARTAŞ"/>
    <x v="24"/>
    <m/>
    <n v="1"/>
    <x v="1"/>
    <s v="JINKOSOLAR"/>
    <m/>
    <n v="1900"/>
    <n v="1"/>
    <n v="45884"/>
    <x v="21"/>
    <m/>
    <x v="1"/>
  </r>
  <r>
    <n v="41"/>
    <s v="SOLARTODAY"/>
    <s v="ARTAŞ"/>
    <x v="24"/>
    <m/>
    <n v="1"/>
    <x v="1"/>
    <s v="JINKOSOLAR"/>
    <m/>
    <n v="1900"/>
    <n v="1"/>
    <n v="45884"/>
    <x v="21"/>
    <m/>
    <x v="1"/>
  </r>
  <r>
    <n v="41"/>
    <s v="SOLARTODAY"/>
    <s v="ARTAŞ"/>
    <x v="24"/>
    <m/>
    <n v="1"/>
    <x v="1"/>
    <s v="JINKOSOLAR"/>
    <m/>
    <n v="1900"/>
    <n v="1"/>
    <n v="45884"/>
    <x v="21"/>
    <m/>
    <x v="1"/>
  </r>
  <r>
    <n v="41"/>
    <s v="SOLARTODAY"/>
    <s v="ARTAŞ"/>
    <x v="24"/>
    <m/>
    <n v="1"/>
    <x v="1"/>
    <s v="JINKOSOLAR"/>
    <m/>
    <n v="1900"/>
    <n v="1"/>
    <n v="45884"/>
    <x v="21"/>
    <m/>
    <x v="1"/>
  </r>
  <r>
    <n v="41"/>
    <s v="SOLARTODAY"/>
    <s v="ARTAŞ"/>
    <x v="24"/>
    <m/>
    <n v="1"/>
    <x v="1"/>
    <s v="JINKOSOLAR"/>
    <m/>
    <n v="1900"/>
    <n v="1"/>
    <n v="45884"/>
    <x v="21"/>
    <m/>
    <x v="1"/>
  </r>
  <r>
    <n v="41"/>
    <s v="SOLARTODAY"/>
    <s v="ARTAŞ"/>
    <x v="24"/>
    <m/>
    <n v="1"/>
    <x v="1"/>
    <s v="JINKOSOLAR"/>
    <m/>
    <n v="1900"/>
    <n v="1"/>
    <n v="45884"/>
    <x v="21"/>
    <m/>
    <x v="1"/>
  </r>
  <r>
    <n v="41"/>
    <s v="SOLARTODAY"/>
    <s v="ARTAŞ"/>
    <x v="24"/>
    <m/>
    <n v="1"/>
    <x v="1"/>
    <s v="JINKOSOLAR"/>
    <m/>
    <n v="1900"/>
    <n v="1"/>
    <n v="45884"/>
    <x v="21"/>
    <m/>
    <x v="1"/>
  </r>
  <r>
    <n v="41"/>
    <s v="SOLARTODAY"/>
    <s v="ARTAŞ"/>
    <x v="24"/>
    <m/>
    <n v="1"/>
    <x v="1"/>
    <s v="JINKOSOLAR"/>
    <m/>
    <n v="1900"/>
    <n v="1"/>
    <n v="45884"/>
    <x v="21"/>
    <m/>
    <x v="1"/>
  </r>
  <r>
    <n v="41"/>
    <s v="SOLARTODAY"/>
    <s v="ARTAŞ"/>
    <x v="24"/>
    <m/>
    <n v="1"/>
    <x v="1"/>
    <s v="JINKOSOLAR"/>
    <m/>
    <n v="1900"/>
    <n v="1"/>
    <n v="45884"/>
    <x v="21"/>
    <m/>
    <x v="1"/>
  </r>
  <r>
    <n v="41"/>
    <s v="SOLARTODAY"/>
    <s v="ARTAŞ"/>
    <x v="24"/>
    <m/>
    <n v="1"/>
    <x v="1"/>
    <s v="JINKOSOLAR"/>
    <m/>
    <n v="1900"/>
    <n v="1"/>
    <n v="45884"/>
    <x v="21"/>
    <m/>
    <x v="1"/>
  </r>
  <r>
    <n v="41"/>
    <s v="SOLARTODAY"/>
    <s v="ARTAŞ"/>
    <x v="24"/>
    <m/>
    <n v="1"/>
    <x v="1"/>
    <s v="JINKOSOLAR"/>
    <m/>
    <n v="1900"/>
    <n v="1"/>
    <n v="45884"/>
    <x v="21"/>
    <m/>
    <x v="1"/>
  </r>
  <r>
    <n v="41"/>
    <s v="SOLARTODAY"/>
    <s v="ARTAŞ"/>
    <x v="24"/>
    <m/>
    <n v="1"/>
    <x v="1"/>
    <s v="JINKOSOLAR"/>
    <m/>
    <n v="1900"/>
    <n v="1"/>
    <n v="45884"/>
    <x v="21"/>
    <m/>
    <x v="1"/>
  </r>
  <r>
    <n v="41"/>
    <s v="SOLARTODAY"/>
    <s v="ARTAŞ"/>
    <x v="24"/>
    <m/>
    <n v="1"/>
    <x v="1"/>
    <s v="JINKOSOLAR"/>
    <m/>
    <n v="1900"/>
    <n v="1"/>
    <n v="45884"/>
    <x v="21"/>
    <m/>
    <x v="1"/>
  </r>
  <r>
    <n v="41"/>
    <s v="SOLARTODAY"/>
    <s v="ARTAŞ"/>
    <x v="24"/>
    <m/>
    <n v="1"/>
    <x v="1"/>
    <s v="JINKOSOLAR"/>
    <m/>
    <n v="1900"/>
    <n v="1"/>
    <n v="45884"/>
    <x v="21"/>
    <m/>
    <x v="1"/>
  </r>
  <r>
    <n v="41"/>
    <s v="SOLARTODAY"/>
    <s v="ARTAŞ"/>
    <x v="24"/>
    <m/>
    <n v="1"/>
    <x v="1"/>
    <s v="JINKOSOLAR"/>
    <m/>
    <n v="1900"/>
    <n v="1"/>
    <n v="45884"/>
    <x v="21"/>
    <m/>
    <x v="1"/>
  </r>
  <r>
    <n v="41"/>
    <s v="SOLARTODAY"/>
    <s v="ARTAŞ"/>
    <x v="24"/>
    <m/>
    <n v="1"/>
    <x v="1"/>
    <s v="JINKOSOLAR"/>
    <m/>
    <n v="1900"/>
    <n v="1"/>
    <n v="45884"/>
    <x v="21"/>
    <m/>
    <x v="1"/>
  </r>
  <r>
    <n v="41"/>
    <s v="SOLARTODAY"/>
    <s v="ARTAŞ"/>
    <x v="24"/>
    <m/>
    <n v="1"/>
    <x v="1"/>
    <s v="JINKOSOLAR"/>
    <m/>
    <n v="1900"/>
    <n v="1"/>
    <n v="45884"/>
    <x v="21"/>
    <m/>
    <x v="1"/>
  </r>
  <r>
    <n v="41"/>
    <s v="SOLARTODAY"/>
    <s v="ARTAŞ"/>
    <x v="24"/>
    <m/>
    <n v="1"/>
    <x v="1"/>
    <s v="JINKOSOLAR"/>
    <m/>
    <n v="1900"/>
    <n v="1"/>
    <n v="45884"/>
    <x v="21"/>
    <m/>
    <x v="1"/>
  </r>
  <r>
    <n v="41"/>
    <s v="SOLARTODAY"/>
    <s v="ARTAŞ"/>
    <x v="24"/>
    <m/>
    <n v="1"/>
    <x v="1"/>
    <s v="JINKOSOLAR"/>
    <m/>
    <n v="1900"/>
    <n v="1"/>
    <n v="45884"/>
    <x v="21"/>
    <m/>
    <x v="1"/>
  </r>
  <r>
    <n v="41"/>
    <s v="SOLARTODAY"/>
    <s v="ARTAŞ"/>
    <x v="24"/>
    <m/>
    <n v="1"/>
    <x v="1"/>
    <s v="JINKOSOLAR"/>
    <m/>
    <n v="1900"/>
    <n v="1"/>
    <n v="45884"/>
    <x v="21"/>
    <m/>
    <x v="1"/>
  </r>
  <r>
    <n v="41"/>
    <s v="SOLARTODAY"/>
    <s v="ARTAŞ"/>
    <x v="24"/>
    <m/>
    <n v="1"/>
    <x v="1"/>
    <s v="JINKOSOLAR"/>
    <m/>
    <n v="1900"/>
    <n v="1"/>
    <n v="45884"/>
    <x v="21"/>
    <m/>
    <x v="1"/>
  </r>
  <r>
    <n v="41"/>
    <s v="SOLARTODAY"/>
    <s v="ARTAŞ"/>
    <x v="24"/>
    <m/>
    <n v="1"/>
    <x v="1"/>
    <s v="JINKOSOLAR"/>
    <m/>
    <n v="1900"/>
    <n v="1"/>
    <n v="45884"/>
    <x v="21"/>
    <m/>
    <x v="1"/>
  </r>
  <r>
    <n v="41"/>
    <s v="SOLARTODAY"/>
    <s v="ARTAŞ"/>
    <x v="24"/>
    <m/>
    <n v="1"/>
    <x v="1"/>
    <s v="JINKOSOLAR"/>
    <m/>
    <n v="1900"/>
    <n v="1"/>
    <n v="45884"/>
    <x v="21"/>
    <m/>
    <x v="1"/>
  </r>
  <r>
    <n v="41"/>
    <s v="SOLARTODAY"/>
    <s v="ARTAŞ"/>
    <x v="24"/>
    <m/>
    <n v="1"/>
    <x v="1"/>
    <s v="JINKOSOLAR"/>
    <m/>
    <n v="1900"/>
    <n v="1"/>
    <n v="45884"/>
    <x v="21"/>
    <m/>
    <x v="1"/>
  </r>
  <r>
    <n v="41"/>
    <s v="SOLARTODAY"/>
    <s v="ARTAŞ"/>
    <x v="24"/>
    <m/>
    <n v="1"/>
    <x v="1"/>
    <s v="JINKOSOLAR"/>
    <m/>
    <n v="1900"/>
    <n v="1"/>
    <n v="45884"/>
    <x v="21"/>
    <m/>
    <x v="1"/>
  </r>
  <r>
    <n v="41"/>
    <s v="SOLARTODAY"/>
    <s v="ARTAŞ"/>
    <x v="24"/>
    <m/>
    <n v="1"/>
    <x v="1"/>
    <s v="JINKOSOLAR"/>
    <m/>
    <n v="1900"/>
    <n v="1"/>
    <n v="45884"/>
    <x v="21"/>
    <m/>
    <x v="1"/>
  </r>
  <r>
    <n v="41"/>
    <s v="SOLARTODAY"/>
    <s v="ARTAŞ"/>
    <x v="24"/>
    <m/>
    <n v="1"/>
    <x v="1"/>
    <s v="JINKOSOLAR"/>
    <m/>
    <n v="1900"/>
    <n v="1"/>
    <n v="45884"/>
    <x v="21"/>
    <m/>
    <x v="1"/>
  </r>
  <r>
    <n v="41"/>
    <s v="SOLARTODAY"/>
    <s v="ARTAŞ"/>
    <x v="24"/>
    <m/>
    <n v="1"/>
    <x v="1"/>
    <s v="JINKOSOLAR"/>
    <m/>
    <n v="1900"/>
    <n v="1"/>
    <n v="45884"/>
    <x v="21"/>
    <m/>
    <x v="1"/>
  </r>
  <r>
    <n v="41"/>
    <s v="SOLARTODAY"/>
    <s v="ARTAŞ"/>
    <x v="24"/>
    <m/>
    <n v="1"/>
    <x v="1"/>
    <s v="JINKOSOLAR"/>
    <m/>
    <n v="1900"/>
    <n v="1"/>
    <n v="45884"/>
    <x v="21"/>
    <m/>
    <x v="1"/>
  </r>
  <r>
    <n v="41"/>
    <s v="SOLARTODAY"/>
    <s v="ARTAŞ"/>
    <x v="24"/>
    <m/>
    <n v="1"/>
    <x v="1"/>
    <s v="JINKOSOLAR"/>
    <m/>
    <n v="1900"/>
    <n v="1"/>
    <n v="45884"/>
    <x v="21"/>
    <m/>
    <x v="1"/>
  </r>
  <r>
    <n v="41"/>
    <s v="SOLARTODAY"/>
    <s v="ARTAŞ"/>
    <x v="24"/>
    <m/>
    <n v="1"/>
    <x v="1"/>
    <s v="JINKOSOLAR"/>
    <m/>
    <n v="1900"/>
    <n v="1"/>
    <n v="45884"/>
    <x v="21"/>
    <m/>
    <x v="1"/>
  </r>
  <r>
    <n v="41"/>
    <s v="SOLARTODAY"/>
    <s v="ARTAŞ"/>
    <x v="24"/>
    <m/>
    <n v="1"/>
    <x v="1"/>
    <s v="JINKOSOLAR"/>
    <m/>
    <n v="1900"/>
    <n v="1"/>
    <n v="45884"/>
    <x v="21"/>
    <m/>
    <x v="1"/>
  </r>
  <r>
    <n v="41"/>
    <s v="SOLARTODAY"/>
    <s v="ARTAŞ"/>
    <x v="24"/>
    <m/>
    <n v="1"/>
    <x v="1"/>
    <s v="JINKOSOLAR"/>
    <m/>
    <n v="1900"/>
    <n v="1"/>
    <n v="45884"/>
    <x v="21"/>
    <m/>
    <x v="1"/>
  </r>
  <r>
    <n v="41"/>
    <s v="SOLARTODAY"/>
    <s v="ARTAŞ"/>
    <x v="24"/>
    <m/>
    <n v="1"/>
    <x v="1"/>
    <s v="JINKOSOLAR"/>
    <m/>
    <n v="1900"/>
    <n v="1"/>
    <n v="45884"/>
    <x v="21"/>
    <m/>
    <x v="1"/>
  </r>
  <r>
    <n v="41"/>
    <s v="SOLARTODAY"/>
    <s v="ARTAŞ"/>
    <x v="24"/>
    <m/>
    <n v="1"/>
    <x v="1"/>
    <s v="JINKOSOLAR"/>
    <m/>
    <n v="1900"/>
    <n v="1"/>
    <n v="45884"/>
    <x v="21"/>
    <m/>
    <x v="1"/>
  </r>
  <r>
    <n v="41"/>
    <s v="SOLARTODAY"/>
    <s v="ARTAŞ"/>
    <x v="24"/>
    <m/>
    <n v="1"/>
    <x v="1"/>
    <s v="JINKOSOLAR"/>
    <m/>
    <n v="1900"/>
    <n v="1"/>
    <n v="45884"/>
    <x v="21"/>
    <m/>
    <x v="1"/>
  </r>
  <r>
    <n v="41"/>
    <s v="SOLARTODAY"/>
    <s v="ARTAŞ"/>
    <x v="24"/>
    <m/>
    <n v="1"/>
    <x v="1"/>
    <s v="JINKOSOLAR"/>
    <m/>
    <n v="1900"/>
    <n v="1"/>
    <n v="45884"/>
    <x v="21"/>
    <m/>
    <x v="1"/>
  </r>
  <r>
    <n v="41"/>
    <s v="SOLARTODAY"/>
    <s v="ARTAŞ"/>
    <x v="24"/>
    <m/>
    <n v="1"/>
    <x v="1"/>
    <s v="JINKOSOLAR"/>
    <m/>
    <n v="1900"/>
    <n v="1"/>
    <n v="45884"/>
    <x v="21"/>
    <m/>
    <x v="1"/>
  </r>
  <r>
    <n v="41"/>
    <s v="SOLARTODAY"/>
    <s v="ARTAŞ"/>
    <x v="24"/>
    <m/>
    <n v="1"/>
    <x v="1"/>
    <s v="JINKOSOLAR"/>
    <m/>
    <n v="1900"/>
    <n v="1"/>
    <n v="45884"/>
    <x v="21"/>
    <m/>
    <x v="1"/>
  </r>
  <r>
    <n v="41"/>
    <s v="SOLARTODAY"/>
    <s v="ARTAŞ"/>
    <x v="24"/>
    <m/>
    <n v="1"/>
    <x v="1"/>
    <s v="JINKOSOLAR"/>
    <m/>
    <n v="1900"/>
    <n v="1"/>
    <n v="45884"/>
    <x v="21"/>
    <m/>
    <x v="1"/>
  </r>
  <r>
    <n v="41"/>
    <s v="SOLARTODAY"/>
    <s v="ARTAŞ"/>
    <x v="24"/>
    <m/>
    <n v="1"/>
    <x v="1"/>
    <s v="JINKOSOLAR"/>
    <m/>
    <n v="1900"/>
    <n v="1"/>
    <n v="45884"/>
    <x v="21"/>
    <m/>
    <x v="1"/>
  </r>
  <r>
    <n v="41"/>
    <s v="SOLARTODAY"/>
    <s v="ARTAŞ"/>
    <x v="24"/>
    <m/>
    <n v="1"/>
    <x v="1"/>
    <s v="JINKOSOLAR"/>
    <m/>
    <n v="1900"/>
    <n v="1"/>
    <n v="45884"/>
    <x v="21"/>
    <m/>
    <x v="1"/>
  </r>
  <r>
    <n v="41"/>
    <s v="SOLARTODAY"/>
    <s v="ARTAŞ"/>
    <x v="24"/>
    <m/>
    <n v="1"/>
    <x v="1"/>
    <s v="JINKOSOLAR"/>
    <m/>
    <n v="1900"/>
    <n v="1"/>
    <n v="45884"/>
    <x v="21"/>
    <m/>
    <x v="1"/>
  </r>
  <r>
    <n v="41"/>
    <s v="SOLARTODAY"/>
    <s v="ARTAŞ"/>
    <x v="24"/>
    <m/>
    <n v="1"/>
    <x v="1"/>
    <s v="JINKOSOLAR"/>
    <m/>
    <n v="1900"/>
    <n v="1"/>
    <n v="45884"/>
    <x v="21"/>
    <m/>
    <x v="1"/>
  </r>
  <r>
    <n v="41"/>
    <s v="SOLARTODAY"/>
    <s v="ARTAŞ"/>
    <x v="24"/>
    <m/>
    <n v="1"/>
    <x v="1"/>
    <s v="JINKOSOLAR"/>
    <m/>
    <n v="1900"/>
    <n v="1"/>
    <n v="45884"/>
    <x v="21"/>
    <m/>
    <x v="1"/>
  </r>
  <r>
    <n v="41"/>
    <s v="SOLARTODAY"/>
    <s v="ARTAŞ"/>
    <x v="24"/>
    <m/>
    <n v="1"/>
    <x v="1"/>
    <s v="JINKOSOLAR"/>
    <m/>
    <n v="1900"/>
    <n v="1"/>
    <n v="45884"/>
    <x v="21"/>
    <m/>
    <x v="1"/>
  </r>
  <r>
    <n v="41"/>
    <s v="SOLARTODAY"/>
    <s v="ARTAŞ"/>
    <x v="24"/>
    <m/>
    <n v="1"/>
    <x v="1"/>
    <s v="JINKOSOLAR"/>
    <m/>
    <n v="1900"/>
    <n v="1"/>
    <n v="45884"/>
    <x v="21"/>
    <m/>
    <x v="1"/>
  </r>
  <r>
    <n v="41"/>
    <s v="SOLARTODAY"/>
    <s v="ARTAŞ"/>
    <x v="24"/>
    <m/>
    <n v="1"/>
    <x v="1"/>
    <s v="JINKOSOLAR"/>
    <m/>
    <n v="1900"/>
    <n v="1"/>
    <n v="45884"/>
    <x v="21"/>
    <m/>
    <x v="1"/>
  </r>
  <r>
    <n v="41"/>
    <s v="SOLARTODAY"/>
    <s v="ARTAŞ"/>
    <x v="24"/>
    <m/>
    <n v="1"/>
    <x v="1"/>
    <s v="JINKOSOLAR"/>
    <m/>
    <n v="1900"/>
    <n v="1"/>
    <n v="45884"/>
    <x v="21"/>
    <m/>
    <x v="1"/>
  </r>
  <r>
    <n v="41"/>
    <s v="SOLARTODAY"/>
    <s v="ARTAŞ"/>
    <x v="24"/>
    <m/>
    <n v="1"/>
    <x v="1"/>
    <s v="JINKOSOLAR"/>
    <m/>
    <n v="1900"/>
    <n v="1"/>
    <n v="45884"/>
    <x v="21"/>
    <m/>
    <x v="1"/>
  </r>
  <r>
    <n v="41"/>
    <s v="SOLARTODAY"/>
    <s v="ARTAŞ"/>
    <x v="24"/>
    <m/>
    <n v="1"/>
    <x v="1"/>
    <s v="JINKOSOLAR"/>
    <m/>
    <n v="1900"/>
    <n v="1"/>
    <n v="45884"/>
    <x v="21"/>
    <m/>
    <x v="1"/>
  </r>
  <r>
    <n v="41"/>
    <s v="SOLARTODAY"/>
    <s v="ARTAŞ"/>
    <x v="24"/>
    <m/>
    <n v="1"/>
    <x v="1"/>
    <s v="JINKOSOLAR"/>
    <m/>
    <n v="1900"/>
    <n v="1"/>
    <n v="45884"/>
    <x v="21"/>
    <m/>
    <x v="1"/>
  </r>
  <r>
    <n v="41"/>
    <s v="SOLARTODAY"/>
    <s v="ARTAŞ"/>
    <x v="24"/>
    <m/>
    <n v="1"/>
    <x v="1"/>
    <s v="JINKOSOLAR"/>
    <m/>
    <n v="1900"/>
    <n v="1"/>
    <n v="45884"/>
    <x v="21"/>
    <m/>
    <x v="1"/>
  </r>
  <r>
    <n v="41"/>
    <s v="SOLARTODAY"/>
    <s v="ARTAŞ"/>
    <x v="24"/>
    <m/>
    <n v="1"/>
    <x v="1"/>
    <s v="JINKOSOLAR"/>
    <m/>
    <n v="1900"/>
    <n v="1"/>
    <n v="45884"/>
    <x v="21"/>
    <m/>
    <x v="1"/>
  </r>
  <r>
    <n v="41"/>
    <s v="SOLARTODAY"/>
    <s v="ARTAŞ"/>
    <x v="24"/>
    <m/>
    <n v="1"/>
    <x v="1"/>
    <s v="JINKOSOLAR"/>
    <m/>
    <n v="1900"/>
    <n v="1"/>
    <n v="45884"/>
    <x v="21"/>
    <m/>
    <x v="1"/>
  </r>
  <r>
    <n v="41"/>
    <s v="SOLARTODAY"/>
    <s v="ARTAŞ"/>
    <x v="24"/>
    <m/>
    <n v="1"/>
    <x v="1"/>
    <s v="JINKOSOLAR"/>
    <m/>
    <n v="1900"/>
    <n v="1"/>
    <n v="45884"/>
    <x v="21"/>
    <m/>
    <x v="1"/>
  </r>
  <r>
    <n v="41"/>
    <s v="SOLARTODAY"/>
    <s v="ARTAŞ"/>
    <x v="24"/>
    <m/>
    <n v="1"/>
    <x v="1"/>
    <s v="JINKOSOLAR"/>
    <m/>
    <n v="1900"/>
    <n v="1"/>
    <n v="45884"/>
    <x v="21"/>
    <m/>
    <x v="1"/>
  </r>
  <r>
    <n v="41"/>
    <s v="SOLARTODAY"/>
    <s v="ARTAŞ"/>
    <x v="24"/>
    <m/>
    <n v="1"/>
    <x v="1"/>
    <s v="JINKOSOLAR"/>
    <m/>
    <n v="1900"/>
    <n v="1"/>
    <n v="45884"/>
    <x v="21"/>
    <m/>
    <x v="1"/>
  </r>
  <r>
    <n v="41"/>
    <s v="SOLARTODAY"/>
    <s v="ARTAŞ"/>
    <x v="24"/>
    <m/>
    <n v="1"/>
    <x v="1"/>
    <s v="JINKOSOLAR"/>
    <m/>
    <n v="1900"/>
    <n v="1"/>
    <n v="45884"/>
    <x v="21"/>
    <m/>
    <x v="1"/>
  </r>
  <r>
    <n v="41"/>
    <s v="SOLARTODAY"/>
    <s v="ARTAŞ"/>
    <x v="24"/>
    <m/>
    <n v="1"/>
    <x v="1"/>
    <s v="JINKOSOLAR"/>
    <m/>
    <n v="1900"/>
    <n v="1"/>
    <n v="45884"/>
    <x v="21"/>
    <m/>
    <x v="1"/>
  </r>
  <r>
    <n v="41"/>
    <s v="SOLARTODAY"/>
    <s v="ARTAŞ"/>
    <x v="24"/>
    <m/>
    <n v="1"/>
    <x v="1"/>
    <s v="JINKOSOLAR"/>
    <m/>
    <n v="1900"/>
    <n v="1"/>
    <n v="45884"/>
    <x v="21"/>
    <m/>
    <x v="1"/>
  </r>
  <r>
    <n v="41"/>
    <s v="SOLARTODAY"/>
    <s v="ARTAŞ"/>
    <x v="24"/>
    <m/>
    <n v="1"/>
    <x v="1"/>
    <s v="JINKOSOLAR"/>
    <m/>
    <n v="1900"/>
    <n v="1"/>
    <n v="45884"/>
    <x v="21"/>
    <m/>
    <x v="1"/>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2"/>
    <s v="TEKSAN"/>
    <s v="TEKSAN"/>
    <x v="28"/>
    <m/>
    <n v="1"/>
    <x v="2"/>
    <s v="SUNPWT"/>
    <m/>
    <n v="1900"/>
    <n v="1"/>
    <n v="45897"/>
    <x v="22"/>
    <s v="Tamir"/>
    <x v="2"/>
  </r>
  <r>
    <n v="43"/>
    <s v="INVESTT İNŞAAT"/>
    <s v="YAPINET"/>
    <x v="29"/>
    <s v="AAAA"/>
    <n v="1"/>
    <x v="1"/>
    <s v="MAVİÇAM"/>
    <m/>
    <n v="1900"/>
    <n v="1"/>
    <n v="45905"/>
    <x v="2"/>
    <s v="Değişim"/>
    <x v="1"/>
  </r>
  <r>
    <n v="43"/>
    <s v="INVESTT İNŞAAT"/>
    <s v="YAPINET"/>
    <x v="29"/>
    <s v="AAAA"/>
    <n v="1"/>
    <x v="1"/>
    <s v="MAVİÇAM"/>
    <m/>
    <n v="1900"/>
    <n v="1"/>
    <n v="45905"/>
    <x v="2"/>
    <s v="Değişim"/>
    <x v="1"/>
  </r>
  <r>
    <n v="43"/>
    <s v="INVESTT İNŞAAT"/>
    <s v="YAPINET"/>
    <x v="29"/>
    <s v="AAAA"/>
    <n v="1"/>
    <x v="1"/>
    <s v="MAVİÇAM"/>
    <m/>
    <n v="1900"/>
    <n v="1"/>
    <n v="45905"/>
    <x v="2"/>
    <s v="Değişim"/>
    <x v="1"/>
  </r>
  <r>
    <n v="43"/>
    <s v="INVESTT İNŞAAT"/>
    <s v="YAPINET"/>
    <x v="29"/>
    <s v="AAAA"/>
    <n v="1"/>
    <x v="1"/>
    <s v="MAVİÇAM"/>
    <m/>
    <n v="1900"/>
    <n v="1"/>
    <n v="45905"/>
    <x v="2"/>
    <s v="Değişim"/>
    <x v="1"/>
  </r>
  <r>
    <n v="43"/>
    <s v="INVESTT İNŞAAT"/>
    <s v="YAPINET"/>
    <x v="29"/>
    <s v="AAAA"/>
    <n v="1"/>
    <x v="1"/>
    <s v="MAVİÇAM"/>
    <m/>
    <n v="1900"/>
    <n v="1"/>
    <n v="45905"/>
    <x v="2"/>
    <s v="Değişim"/>
    <x v="1"/>
  </r>
  <r>
    <n v="43"/>
    <s v="INVESTT İNŞAAT"/>
    <s v="YAPINET"/>
    <x v="29"/>
    <s v="AAAA"/>
    <n v="1"/>
    <x v="1"/>
    <s v="MAVİÇAM"/>
    <m/>
    <n v="1900"/>
    <n v="1"/>
    <n v="45905"/>
    <x v="2"/>
    <s v="Değişim"/>
    <x v="1"/>
  </r>
  <r>
    <n v="44"/>
    <s v="ENTEGRO"/>
    <s v="AKGÜÇ"/>
    <x v="30"/>
    <s v="2510107BW0013694"/>
    <n v="1"/>
    <x v="1"/>
    <m/>
    <m/>
    <n v="1900"/>
    <n v="1"/>
    <n v="45903"/>
    <x v="2"/>
    <s v="Değişim"/>
    <x v="1"/>
  </r>
  <r>
    <n v="44"/>
    <s v="ENTEGRO"/>
    <s v="AKGÜÇ"/>
    <x v="30"/>
    <s v="2490107BW0015777"/>
    <n v="1"/>
    <x v="1"/>
    <m/>
    <m/>
    <n v="1900"/>
    <n v="1"/>
    <n v="45903"/>
    <x v="2"/>
    <s v="Değişim"/>
    <x v="1"/>
  </r>
  <r>
    <n v="44"/>
    <s v="ENTEGRO"/>
    <s v="AKGÜÇ"/>
    <x v="30"/>
    <s v="2510107BW0016431"/>
    <n v="1"/>
    <x v="1"/>
    <m/>
    <m/>
    <n v="1900"/>
    <n v="1"/>
    <n v="45903"/>
    <x v="2"/>
    <s v="Değişim"/>
    <x v="1"/>
  </r>
  <r>
    <n v="44"/>
    <s v="ENTEGRO"/>
    <s v="AKGÜÇ"/>
    <x v="30"/>
    <s v="2510107BW0016474"/>
    <n v="1"/>
    <x v="1"/>
    <m/>
    <m/>
    <n v="1900"/>
    <n v="1"/>
    <n v="45903"/>
    <x v="2"/>
    <s v="Değişim"/>
    <x v="1"/>
  </r>
  <r>
    <n v="44"/>
    <s v="ENTEGRO"/>
    <s v="AKGÜÇ"/>
    <x v="30"/>
    <s v="2480107BW0016818"/>
    <n v="1"/>
    <x v="1"/>
    <m/>
    <m/>
    <n v="1900"/>
    <n v="1"/>
    <n v="45903"/>
    <x v="2"/>
    <s v="Değişim"/>
    <x v="1"/>
  </r>
  <r>
    <n v="44"/>
    <s v="ENTEGRO"/>
    <s v="AKGÜÇ"/>
    <x v="30"/>
    <s v="2480107BW0033756"/>
    <n v="1"/>
    <x v="1"/>
    <m/>
    <m/>
    <n v="1900"/>
    <n v="1"/>
    <n v="45903"/>
    <x v="2"/>
    <s v="Değişim"/>
    <x v="1"/>
  </r>
  <r>
    <n v="44"/>
    <s v="ENTEGRO"/>
    <s v="AKGÜÇ"/>
    <x v="30"/>
    <s v="2480107BW0016496"/>
    <n v="1"/>
    <x v="1"/>
    <m/>
    <m/>
    <n v="1900"/>
    <n v="1"/>
    <n v="45903"/>
    <x v="2"/>
    <s v="Değişim"/>
    <x v="1"/>
  </r>
  <r>
    <n v="44"/>
    <s v="ENTEGRO"/>
    <s v="AKGÜÇ"/>
    <x v="30"/>
    <s v="2480107BW0016226"/>
    <n v="1"/>
    <x v="1"/>
    <m/>
    <m/>
    <n v="1900"/>
    <n v="1"/>
    <n v="45903"/>
    <x v="2"/>
    <s v="Değişim"/>
    <x v="1"/>
  </r>
  <r>
    <n v="44"/>
    <s v="ENTEGRO"/>
    <s v="AKGÜÇ"/>
    <x v="30"/>
    <s v="2480107BW0017498"/>
    <n v="1"/>
    <x v="1"/>
    <m/>
    <m/>
    <n v="1900"/>
    <n v="1"/>
    <n v="45903"/>
    <x v="2"/>
    <s v="Değişim"/>
    <x v="1"/>
  </r>
  <r>
    <n v="44"/>
    <s v="ENTEGRO"/>
    <s v="AKGÜÇ"/>
    <x v="30"/>
    <s v="2480107BW0015375"/>
    <n v="1"/>
    <x v="1"/>
    <m/>
    <m/>
    <n v="1900"/>
    <n v="1"/>
    <n v="45903"/>
    <x v="2"/>
    <s v="Değişim"/>
    <x v="1"/>
  </r>
  <r>
    <n v="44"/>
    <s v="ENTEGRO"/>
    <s v="AKGÜÇ"/>
    <x v="30"/>
    <s v="2490107BW0009062"/>
    <n v="1"/>
    <x v="1"/>
    <m/>
    <m/>
    <n v="1900"/>
    <n v="1"/>
    <n v="45903"/>
    <x v="2"/>
    <s v="Değişim"/>
    <x v="1"/>
  </r>
  <r>
    <n v="44"/>
    <s v="ENTEGRO"/>
    <s v="AKGÜÇ"/>
    <x v="30"/>
    <s v="2480107BW0016816"/>
    <n v="1"/>
    <x v="1"/>
    <m/>
    <m/>
    <n v="1900"/>
    <n v="1"/>
    <n v="45903"/>
    <x v="2"/>
    <s v="Değişim"/>
    <x v="1"/>
  </r>
  <r>
    <n v="44"/>
    <s v="ENTEGRO"/>
    <s v="AKGÜÇ"/>
    <x v="30"/>
    <s v="2480107BW0016693"/>
    <n v="1"/>
    <x v="1"/>
    <m/>
    <m/>
    <n v="1900"/>
    <n v="1"/>
    <n v="45903"/>
    <x v="2"/>
    <s v="Değişim"/>
    <x v="1"/>
  </r>
  <r>
    <n v="44"/>
    <s v="ENTEGRO"/>
    <s v="AKGÜÇ"/>
    <x v="30"/>
    <s v="2480108BW0006190"/>
    <n v="1"/>
    <x v="1"/>
    <m/>
    <m/>
    <n v="1900"/>
    <n v="1"/>
    <n v="45903"/>
    <x v="2"/>
    <s v="Değişim"/>
    <x v="1"/>
  </r>
  <r>
    <n v="44"/>
    <s v="ENTEGRO"/>
    <s v="AKGÜÇ"/>
    <x v="30"/>
    <s v="24C0107BW0006497"/>
    <n v="1"/>
    <x v="1"/>
    <m/>
    <m/>
    <n v="1900"/>
    <n v="1"/>
    <n v="45903"/>
    <x v="2"/>
    <s v="Değişim"/>
    <x v="1"/>
  </r>
  <r>
    <n v="44"/>
    <s v="ENTEGRO"/>
    <s v="AKGÜÇ"/>
    <x v="30"/>
    <s v="2480107BW0032822"/>
    <n v="1"/>
    <x v="1"/>
    <m/>
    <m/>
    <n v="1900"/>
    <n v="1"/>
    <n v="45903"/>
    <x v="2"/>
    <s v="Değişim"/>
    <x v="1"/>
  </r>
  <r>
    <n v="44"/>
    <s v="ENTEGRO"/>
    <s v="AKGÜÇ"/>
    <x v="30"/>
    <s v="24B0107BW0053328"/>
    <n v="1"/>
    <x v="1"/>
    <m/>
    <m/>
    <n v="1900"/>
    <n v="1"/>
    <n v="45903"/>
    <x v="2"/>
    <s v="Değişim"/>
    <x v="1"/>
  </r>
  <r>
    <n v="44"/>
    <s v="ENTEGRO"/>
    <s v="AKGÜÇ"/>
    <x v="30"/>
    <s v="2490107BW0009320"/>
    <n v="1"/>
    <x v="1"/>
    <m/>
    <m/>
    <n v="1900"/>
    <n v="1"/>
    <n v="45903"/>
    <x v="2"/>
    <m/>
    <x v="1"/>
  </r>
  <r>
    <n v="44"/>
    <s v="ENTEGRO"/>
    <s v="AKGÜÇ"/>
    <x v="30"/>
    <s v="2490107BW0009304"/>
    <n v="1"/>
    <x v="1"/>
    <m/>
    <m/>
    <n v="1900"/>
    <n v="1"/>
    <n v="45903"/>
    <x v="2"/>
    <s v="Değişim"/>
    <x v="1"/>
  </r>
  <r>
    <n v="44"/>
    <s v="ENTEGRO"/>
    <s v="AKGÜÇ"/>
    <x v="30"/>
    <s v="2480107BW0015003"/>
    <n v="1"/>
    <x v="1"/>
    <m/>
    <m/>
    <n v="1900"/>
    <n v="1"/>
    <n v="45903"/>
    <x v="2"/>
    <s v="Değişim"/>
    <x v="1"/>
  </r>
  <r>
    <n v="44"/>
    <s v="ENTEGRO"/>
    <s v="AKGÜÇ"/>
    <x v="30"/>
    <s v="24C0107BW0042486"/>
    <n v="1"/>
    <x v="1"/>
    <m/>
    <m/>
    <n v="1900"/>
    <n v="1"/>
    <n v="45903"/>
    <x v="2"/>
    <s v="Değişim"/>
    <x v="1"/>
  </r>
  <r>
    <n v="44"/>
    <s v="ENTEGRO"/>
    <s v="AKGÜÇ"/>
    <x v="30"/>
    <s v="2510107BW0016212"/>
    <n v="1"/>
    <x v="1"/>
    <m/>
    <m/>
    <n v="1900"/>
    <n v="1"/>
    <n v="45903"/>
    <x v="2"/>
    <m/>
    <x v="1"/>
  </r>
  <r>
    <n v="44"/>
    <s v="ENTEGRO"/>
    <s v="AKGÜÇ"/>
    <x v="30"/>
    <s v="2510107BW0016232"/>
    <n v="1"/>
    <x v="1"/>
    <m/>
    <m/>
    <n v="1900"/>
    <n v="1"/>
    <n v="45903"/>
    <x v="2"/>
    <s v="Değişim"/>
    <x v="1"/>
  </r>
  <r>
    <n v="44"/>
    <s v="ENTEGRO"/>
    <s v="AKGÜÇ"/>
    <x v="30"/>
    <s v="2480107BW0014187"/>
    <n v="1"/>
    <x v="1"/>
    <m/>
    <m/>
    <n v="1900"/>
    <n v="1"/>
    <n v="45903"/>
    <x v="2"/>
    <s v="Değişim"/>
    <x v="1"/>
  </r>
  <r>
    <n v="44"/>
    <s v="ENTEGRO"/>
    <s v="AKGÜÇ"/>
    <x v="30"/>
    <s v="2480107BW0015034"/>
    <n v="1"/>
    <x v="1"/>
    <m/>
    <m/>
    <n v="1900"/>
    <n v="1"/>
    <n v="45903"/>
    <x v="2"/>
    <s v="Değişim"/>
    <x v="1"/>
  </r>
  <r>
    <n v="44"/>
    <s v="ENTEGRO"/>
    <s v="AKGÜÇ"/>
    <x v="30"/>
    <s v="2480107BW0013837"/>
    <n v="1"/>
    <x v="1"/>
    <m/>
    <m/>
    <n v="1900"/>
    <n v="1"/>
    <n v="45903"/>
    <x v="2"/>
    <s v="Değişim"/>
    <x v="1"/>
  </r>
  <r>
    <n v="44"/>
    <s v="ENTEGRO"/>
    <s v="AKGÜÇ"/>
    <x v="30"/>
    <s v="2480107BW0013820"/>
    <n v="1"/>
    <x v="1"/>
    <m/>
    <m/>
    <n v="1900"/>
    <n v="1"/>
    <n v="45903"/>
    <x v="2"/>
    <s v="Değişim"/>
    <x v="1"/>
  </r>
  <r>
    <n v="44"/>
    <s v="ENTEGRO"/>
    <s v="AKGÜÇ"/>
    <x v="30"/>
    <s v="2480107BW0014171"/>
    <n v="1"/>
    <x v="1"/>
    <m/>
    <m/>
    <n v="1900"/>
    <n v="1"/>
    <n v="45903"/>
    <x v="2"/>
    <m/>
    <x v="1"/>
  </r>
  <r>
    <n v="44"/>
    <s v="ENTEGRO"/>
    <s v="AKGÜÇ"/>
    <x v="30"/>
    <s v="24A0107BW0008767"/>
    <n v="1"/>
    <x v="1"/>
    <m/>
    <m/>
    <n v="1900"/>
    <n v="1"/>
    <n v="45903"/>
    <x v="2"/>
    <m/>
    <x v="1"/>
  </r>
  <r>
    <n v="44"/>
    <s v="ENTEGRO"/>
    <s v="AKGÜÇ"/>
    <x v="30"/>
    <s v="2510107BW0017024"/>
    <n v="1"/>
    <x v="1"/>
    <m/>
    <m/>
    <n v="1900"/>
    <n v="1"/>
    <n v="45903"/>
    <x v="2"/>
    <s v="Değişim"/>
    <x v="1"/>
  </r>
  <r>
    <n v="44"/>
    <s v="ENTEGRO"/>
    <s v="AKGÜÇ"/>
    <x v="30"/>
    <s v="24C0107BW0043764"/>
    <n v="1"/>
    <x v="1"/>
    <m/>
    <m/>
    <n v="1900"/>
    <n v="1"/>
    <n v="45903"/>
    <x v="2"/>
    <s v="Değişim"/>
    <x v="1"/>
  </r>
  <r>
    <n v="44"/>
    <s v="ENTEGRO"/>
    <s v="AKGÜÇ"/>
    <x v="30"/>
    <s v="24C0107BW0043095"/>
    <n v="1"/>
    <x v="1"/>
    <m/>
    <m/>
    <n v="1900"/>
    <n v="1"/>
    <n v="45903"/>
    <x v="2"/>
    <s v="Değişim"/>
    <x v="1"/>
  </r>
  <r>
    <n v="44"/>
    <s v="ENTEGRO"/>
    <s v="AKGÜÇ"/>
    <x v="30"/>
    <s v="2510107BW0016041"/>
    <n v="1"/>
    <x v="1"/>
    <m/>
    <m/>
    <n v="1900"/>
    <n v="1"/>
    <n v="45903"/>
    <x v="2"/>
    <s v="Değişim"/>
    <x v="1"/>
  </r>
  <r>
    <n v="44"/>
    <s v="ENTEGRO"/>
    <s v="AKGÜÇ"/>
    <x v="30"/>
    <s v="2510107BW0016051"/>
    <n v="1"/>
    <x v="1"/>
    <m/>
    <m/>
    <n v="1900"/>
    <n v="1"/>
    <n v="45903"/>
    <x v="2"/>
    <s v="Değişim"/>
    <x v="1"/>
  </r>
  <r>
    <n v="44"/>
    <s v="ENTEGRO"/>
    <s v="AKGÜÇ"/>
    <x v="30"/>
    <s v="2510107BW0013538"/>
    <n v="1"/>
    <x v="1"/>
    <m/>
    <m/>
    <n v="1900"/>
    <n v="1"/>
    <n v="45903"/>
    <x v="2"/>
    <s v="Değişim"/>
    <x v="1"/>
  </r>
  <r>
    <n v="44"/>
    <s v="ENTEGRO"/>
    <s v="AKGÜÇ"/>
    <x v="30"/>
    <s v="24C0107BW0001178"/>
    <n v="1"/>
    <x v="1"/>
    <m/>
    <m/>
    <n v="1900"/>
    <n v="1"/>
    <n v="45903"/>
    <x v="2"/>
    <s v="Değişim"/>
    <x v="1"/>
  </r>
  <r>
    <n v="44"/>
    <s v="ENTEGRO"/>
    <s v="AKGÜÇ"/>
    <x v="30"/>
    <s v="24C0107BW0043808"/>
    <n v="1"/>
    <x v="1"/>
    <m/>
    <m/>
    <n v="1900"/>
    <n v="1"/>
    <n v="45903"/>
    <x v="2"/>
    <s v="Değişim"/>
    <x v="1"/>
  </r>
  <r>
    <n v="44"/>
    <s v="ENTEGRO"/>
    <s v="AKGÜÇ"/>
    <x v="30"/>
    <s v="2510107BW0013898"/>
    <n v="1"/>
    <x v="1"/>
    <m/>
    <m/>
    <n v="1900"/>
    <n v="1"/>
    <n v="45903"/>
    <x v="2"/>
    <s v="Değişim"/>
    <x v="1"/>
  </r>
  <r>
    <n v="44"/>
    <s v="ENTEGRO"/>
    <s v="AKGÜÇ"/>
    <x v="30"/>
    <s v="2490107BW0039175"/>
    <n v="1"/>
    <x v="1"/>
    <m/>
    <m/>
    <n v="1900"/>
    <n v="1"/>
    <n v="45903"/>
    <x v="2"/>
    <m/>
    <x v="1"/>
  </r>
  <r>
    <n v="44"/>
    <s v="ENTEGRO"/>
    <s v="AKGÜÇ"/>
    <x v="30"/>
    <s v="24C0107BW0044145"/>
    <n v="1"/>
    <x v="1"/>
    <m/>
    <m/>
    <n v="1900"/>
    <n v="1"/>
    <n v="45903"/>
    <x v="2"/>
    <s v="Değişim"/>
    <x v="1"/>
  </r>
  <r>
    <n v="44"/>
    <s v="ENTEGRO"/>
    <s v="AKGÜÇ"/>
    <x v="30"/>
    <s v="24C0107BW0043717"/>
    <n v="1"/>
    <x v="1"/>
    <m/>
    <m/>
    <n v="1900"/>
    <n v="1"/>
    <n v="45903"/>
    <x v="2"/>
    <s v="Değişim"/>
    <x v="1"/>
  </r>
  <r>
    <n v="44"/>
    <s v="ENTEGRO"/>
    <s v="AKGÜÇ"/>
    <x v="30"/>
    <s v="24A0107BW0009259"/>
    <n v="1"/>
    <x v="1"/>
    <m/>
    <m/>
    <n v="1900"/>
    <n v="1"/>
    <n v="45903"/>
    <x v="2"/>
    <s v="Değişim"/>
    <x v="1"/>
  </r>
  <r>
    <n v="45"/>
    <s v="GENBA ENERJİ"/>
    <s v="GENBA ENERJİ"/>
    <x v="31"/>
    <s v="24A0108BX0004556"/>
    <n v="1"/>
    <x v="1"/>
    <m/>
    <m/>
    <n v="1900"/>
    <n v="1"/>
    <n v="45912"/>
    <x v="23"/>
    <m/>
    <x v="1"/>
  </r>
  <r>
    <n v="45"/>
    <s v="GENBA ENERJİ"/>
    <s v="GENBA ENERJİ"/>
    <x v="31"/>
    <s v="24A0108BX0004684"/>
    <n v="1"/>
    <x v="1"/>
    <m/>
    <m/>
    <n v="1900"/>
    <n v="1"/>
    <n v="45912"/>
    <x v="23"/>
    <m/>
    <x v="1"/>
  </r>
  <r>
    <n v="45"/>
    <s v="GENBA ENERJİ"/>
    <s v="GENBA ENERJİ"/>
    <x v="31"/>
    <s v="24A0108BX0004729"/>
    <n v="1"/>
    <x v="1"/>
    <m/>
    <m/>
    <n v="1900"/>
    <n v="1"/>
    <n v="45912"/>
    <x v="23"/>
    <m/>
    <x v="1"/>
  </r>
  <r>
    <n v="45"/>
    <s v="GENBA ENERJİ"/>
    <s v="GENBA ENERJİ"/>
    <x v="31"/>
    <s v="24A0108BX0004661"/>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5"/>
    <s v="GENBA ENERJİ"/>
    <s v="GENBA ENERJİ"/>
    <x v="31"/>
    <s v="AAAA"/>
    <n v="1"/>
    <x v="1"/>
    <m/>
    <m/>
    <n v="1900"/>
    <n v="1"/>
    <n v="45912"/>
    <x v="23"/>
    <m/>
    <x v="1"/>
  </r>
  <r>
    <n v="46"/>
    <s v=" ORIENT MÜHENDİSLİK"/>
    <s v=" ORIENT MÜHENDİSLİK"/>
    <x v="32"/>
    <s v="2470108BX0034141"/>
    <n v="1"/>
    <x v="1"/>
    <m/>
    <m/>
    <n v="1900"/>
    <n v="1"/>
    <n v="45906"/>
    <x v="4"/>
    <m/>
    <x v="3"/>
  </r>
  <r>
    <n v="46"/>
    <s v=" ORIENT MÜHENDİSLİK"/>
    <s v=" ORIENT MÜHENDİSLİK"/>
    <x v="32"/>
    <s v="2480108BX0000088"/>
    <n v="1"/>
    <x v="1"/>
    <m/>
    <m/>
    <n v="1900"/>
    <n v="1"/>
    <n v="45906"/>
    <x v="4"/>
    <m/>
    <x v="3"/>
  </r>
  <r>
    <n v="46"/>
    <s v=" ORIENT MÜHENDİSLİK"/>
    <s v=" ORIENT MÜHENDİSLİK"/>
    <x v="32"/>
    <s v="2470108BX0033438"/>
    <n v="1"/>
    <x v="1"/>
    <m/>
    <m/>
    <n v="1900"/>
    <n v="1"/>
    <n v="45906"/>
    <x v="4"/>
    <m/>
    <x v="3"/>
  </r>
  <r>
    <n v="46"/>
    <s v=" ORIENT MÜHENDİSLİK"/>
    <s v=" ORIENT MÜHENDİSLİK"/>
    <x v="32"/>
    <s v="2470108BX0034762"/>
    <n v="1"/>
    <x v="1"/>
    <m/>
    <m/>
    <n v="1900"/>
    <n v="1"/>
    <n v="45906"/>
    <x v="4"/>
    <m/>
    <x v="3"/>
  </r>
  <r>
    <n v="46"/>
    <s v=" ORIENT MÜHENDİSLİK"/>
    <s v=" ORIENT MÜHENDİSLİK"/>
    <x v="32"/>
    <s v="2470108BX0032242"/>
    <n v="1"/>
    <x v="1"/>
    <m/>
    <m/>
    <n v="1900"/>
    <n v="1"/>
    <n v="45906"/>
    <x v="4"/>
    <m/>
    <x v="3"/>
  </r>
  <r>
    <n v="46"/>
    <s v=" ORIENT MÜHENDİSLİK"/>
    <s v=" ORIENT MÜHENDİSLİK"/>
    <x v="32"/>
    <s v="2470108BX0030645"/>
    <n v="1"/>
    <x v="1"/>
    <m/>
    <m/>
    <n v="1900"/>
    <n v="1"/>
    <n v="45906"/>
    <x v="4"/>
    <m/>
    <x v="3"/>
  </r>
  <r>
    <n v="46"/>
    <s v=" ORIENT MÜHENDİSLİK"/>
    <s v=" ORIENT MÜHENDİSLİK"/>
    <x v="32"/>
    <s v="2470108BX0036386"/>
    <n v="1"/>
    <x v="1"/>
    <m/>
    <m/>
    <n v="1900"/>
    <n v="1"/>
    <n v="45906"/>
    <x v="4"/>
    <m/>
    <x v="3"/>
  </r>
  <r>
    <n v="46"/>
    <s v=" ORIENT MÜHENDİSLİK"/>
    <s v=" ORIENT MÜHENDİSLİK"/>
    <x v="32"/>
    <s v="2480108BX0002563"/>
    <n v="1"/>
    <x v="1"/>
    <m/>
    <m/>
    <n v="1900"/>
    <n v="1"/>
    <n v="45906"/>
    <x v="4"/>
    <m/>
    <x v="3"/>
  </r>
  <r>
    <n v="46"/>
    <s v=" ORIENT MÜHENDİSLİK"/>
    <s v=" ORIENT MÜHENDİSLİK"/>
    <x v="32"/>
    <s v="2480108BX0002544"/>
    <n v="1"/>
    <x v="1"/>
    <m/>
    <m/>
    <n v="1900"/>
    <n v="1"/>
    <n v="45906"/>
    <x v="4"/>
    <m/>
    <x v="3"/>
  </r>
  <r>
    <n v="46"/>
    <s v=" ORIENT MÜHENDİSLİK"/>
    <s v=" ORIENT MÜHENDİSLİK"/>
    <x v="32"/>
    <s v="2480108BX0002341"/>
    <n v="1"/>
    <x v="1"/>
    <m/>
    <m/>
    <n v="1900"/>
    <n v="1"/>
    <n v="45906"/>
    <x v="4"/>
    <m/>
    <x v="3"/>
  </r>
  <r>
    <n v="46"/>
    <s v=" ORIENT MÜHENDİSLİK"/>
    <s v=" ORIENT MÜHENDİSLİK"/>
    <x v="32"/>
    <s v="2480108BX0002176"/>
    <n v="1"/>
    <x v="1"/>
    <m/>
    <m/>
    <n v="1900"/>
    <n v="1"/>
    <n v="45906"/>
    <x v="4"/>
    <m/>
    <x v="3"/>
  </r>
  <r>
    <n v="46"/>
    <s v=" ORIENT MÜHENDİSLİK"/>
    <s v=" ORIENT MÜHENDİSLİK"/>
    <x v="32"/>
    <s v="2480108BX0015909"/>
    <n v="1"/>
    <x v="1"/>
    <m/>
    <m/>
    <n v="1900"/>
    <n v="1"/>
    <n v="45906"/>
    <x v="4"/>
    <m/>
    <x v="3"/>
  </r>
  <r>
    <n v="46"/>
    <s v=" ORIENT MÜHENDİSLİK"/>
    <s v=" ORIENT MÜHENDİSLİK"/>
    <x v="32"/>
    <s v="2480108BX0012159"/>
    <n v="1"/>
    <x v="1"/>
    <m/>
    <m/>
    <n v="1900"/>
    <n v="1"/>
    <n v="45906"/>
    <x v="4"/>
    <m/>
    <x v="3"/>
  </r>
  <r>
    <n v="46"/>
    <s v=" ORIENT MÜHENDİSLİK"/>
    <s v=" ORIENT MÜHENDİSLİK"/>
    <x v="32"/>
    <s v="2470108BX0020155"/>
    <n v="1"/>
    <x v="1"/>
    <m/>
    <m/>
    <n v="1900"/>
    <n v="1"/>
    <n v="45906"/>
    <x v="4"/>
    <m/>
    <x v="3"/>
  </r>
  <r>
    <n v="46"/>
    <s v=" ORIENT MÜHENDİSLİK"/>
    <s v=" ORIENT MÜHENDİSLİK"/>
    <x v="32"/>
    <s v="2470108BX0019763"/>
    <n v="1"/>
    <x v="1"/>
    <m/>
    <m/>
    <n v="1900"/>
    <n v="1"/>
    <n v="45906"/>
    <x v="4"/>
    <m/>
    <x v="3"/>
  </r>
  <r>
    <n v="46"/>
    <s v=" ORIENT MÜHENDİSLİK"/>
    <s v=" ORIENT MÜHENDİSLİK"/>
    <x v="32"/>
    <s v="470108BX0019600"/>
    <n v="1"/>
    <x v="1"/>
    <m/>
    <m/>
    <n v="1900"/>
    <n v="1"/>
    <n v="45906"/>
    <x v="4"/>
    <m/>
    <x v="3"/>
  </r>
  <r>
    <n v="46"/>
    <s v=" ORIENT MÜHENDİSLİK"/>
    <s v=" ORIENT MÜHENDİSLİK"/>
    <x v="32"/>
    <s v="2470108BX0019591"/>
    <n v="1"/>
    <x v="1"/>
    <m/>
    <m/>
    <n v="1900"/>
    <n v="1"/>
    <n v="45906"/>
    <x v="4"/>
    <m/>
    <x v="3"/>
  </r>
  <r>
    <n v="46"/>
    <s v=" ORIENT MÜHENDİSLİK"/>
    <s v=" ORIENT MÜHENDİSLİK"/>
    <x v="32"/>
    <s v="2470108BX0018373"/>
    <n v="1"/>
    <x v="1"/>
    <m/>
    <m/>
    <n v="1900"/>
    <n v="1"/>
    <n v="45906"/>
    <x v="4"/>
    <m/>
    <x v="3"/>
  </r>
  <r>
    <n v="46"/>
    <s v=" ORIENT MÜHENDİSLİK"/>
    <s v=" ORIENT MÜHENDİSLİK"/>
    <x v="32"/>
    <s v="2470108BX0030508"/>
    <n v="1"/>
    <x v="1"/>
    <m/>
    <m/>
    <n v="1900"/>
    <n v="1"/>
    <n v="45906"/>
    <x v="4"/>
    <m/>
    <x v="3"/>
  </r>
  <r>
    <n v="46"/>
    <s v=" ORIENT MÜHENDİSLİK"/>
    <s v=" ORIENT MÜHENDİSLİK"/>
    <x v="32"/>
    <s v="2480108BX0006183"/>
    <n v="1"/>
    <x v="1"/>
    <m/>
    <m/>
    <n v="1900"/>
    <n v="1"/>
    <n v="45906"/>
    <x v="4"/>
    <m/>
    <x v="3"/>
  </r>
  <r>
    <n v="46"/>
    <s v=" ORIENT MÜHENDİSLİK"/>
    <s v=" ORIENT MÜHENDİSLİK"/>
    <x v="32"/>
    <s v="2480108BX0008209"/>
    <n v="1"/>
    <x v="1"/>
    <m/>
    <m/>
    <n v="1900"/>
    <n v="1"/>
    <n v="45906"/>
    <x v="4"/>
    <m/>
    <x v="3"/>
  </r>
  <r>
    <n v="46"/>
    <s v=" ORIENT MÜHENDİSLİK"/>
    <s v=" ORIENT MÜHENDİSLİK"/>
    <x v="32"/>
    <s v="2480108BX0008111"/>
    <n v="1"/>
    <x v="1"/>
    <m/>
    <m/>
    <n v="1900"/>
    <n v="1"/>
    <n v="45906"/>
    <x v="4"/>
    <m/>
    <x v="3"/>
  </r>
  <r>
    <n v="46"/>
    <s v=" ORIENT MÜHENDİSLİK"/>
    <s v=" ORIENT MÜHENDİSLİK"/>
    <x v="32"/>
    <s v="2480108BX0014019"/>
    <n v="1"/>
    <x v="1"/>
    <m/>
    <m/>
    <n v="1900"/>
    <n v="1"/>
    <n v="45906"/>
    <x v="4"/>
    <m/>
    <x v="3"/>
  </r>
  <r>
    <n v="46"/>
    <s v=" ORIENT MÜHENDİSLİK"/>
    <s v=" ORIENT MÜHENDİSLİK"/>
    <x v="32"/>
    <s v="2480108BX0015906"/>
    <n v="1"/>
    <x v="1"/>
    <m/>
    <m/>
    <n v="1900"/>
    <n v="1"/>
    <n v="45906"/>
    <x v="4"/>
    <m/>
    <x v="3"/>
  </r>
  <r>
    <n v="46"/>
    <s v=" ORIENT MÜHENDİSLİK"/>
    <s v=" ORIENT MÜHENDİSLİK"/>
    <x v="32"/>
    <s v="2480108BX0006180"/>
    <n v="1"/>
    <x v="1"/>
    <m/>
    <m/>
    <n v="1900"/>
    <n v="1"/>
    <n v="45906"/>
    <x v="4"/>
    <m/>
    <x v="3"/>
  </r>
  <r>
    <n v="46"/>
    <s v=" ORIENT MÜHENDİSLİK"/>
    <s v=" ORIENT MÜHENDİSLİK"/>
    <x v="32"/>
    <s v="2480108BX0014166"/>
    <n v="1"/>
    <x v="1"/>
    <m/>
    <m/>
    <n v="1900"/>
    <n v="1"/>
    <n v="45906"/>
    <x v="4"/>
    <m/>
    <x v="3"/>
  </r>
  <r>
    <n v="46"/>
    <s v=" ORIENT MÜHENDİSLİK"/>
    <s v=" ORIENT MÜHENDİSLİK"/>
    <x v="32"/>
    <s v="2480108BX0015320"/>
    <n v="1"/>
    <x v="1"/>
    <m/>
    <m/>
    <n v="1900"/>
    <n v="1"/>
    <n v="45906"/>
    <x v="4"/>
    <m/>
    <x v="3"/>
  </r>
  <r>
    <n v="46"/>
    <s v=" ORIENT MÜHENDİSLİK"/>
    <s v=" ORIENT MÜHENDİSLİK"/>
    <x v="32"/>
    <s v="2480108BX0011318"/>
    <n v="1"/>
    <x v="1"/>
    <m/>
    <m/>
    <n v="1900"/>
    <n v="1"/>
    <n v="45906"/>
    <x v="4"/>
    <m/>
    <x v="3"/>
  </r>
  <r>
    <n v="46"/>
    <s v=" ORIENT MÜHENDİSLİK"/>
    <s v=" ORIENT MÜHENDİSLİK"/>
    <x v="32"/>
    <s v="2480108BX0011068"/>
    <n v="1"/>
    <x v="1"/>
    <m/>
    <m/>
    <n v="1900"/>
    <n v="1"/>
    <n v="45906"/>
    <x v="4"/>
    <m/>
    <x v="3"/>
  </r>
  <r>
    <n v="46"/>
    <s v=" ORIENT MÜHENDİSLİK"/>
    <s v=" ORIENT MÜHENDİSLİK"/>
    <x v="32"/>
    <s v="2480108BX0011156"/>
    <n v="1"/>
    <x v="1"/>
    <m/>
    <m/>
    <n v="1900"/>
    <n v="1"/>
    <n v="45906"/>
    <x v="4"/>
    <m/>
    <x v="3"/>
  </r>
  <r>
    <n v="46"/>
    <s v=" ORIENT MÜHENDİSLİK"/>
    <s v=" ORIENT MÜHENDİSLİK"/>
    <x v="32"/>
    <s v="2480108BX0011323"/>
    <n v="1"/>
    <x v="1"/>
    <m/>
    <m/>
    <n v="1900"/>
    <n v="1"/>
    <n v="45906"/>
    <x v="4"/>
    <m/>
    <x v="3"/>
  </r>
  <r>
    <n v="46"/>
    <s v=" ORIENT MÜHENDİSLİK"/>
    <s v=" ORIENT MÜHENDİSLİK"/>
    <x v="32"/>
    <s v="2470108BX0034404"/>
    <n v="1"/>
    <x v="1"/>
    <m/>
    <m/>
    <n v="1900"/>
    <n v="1"/>
    <n v="45906"/>
    <x v="4"/>
    <m/>
    <x v="3"/>
  </r>
  <r>
    <n v="46"/>
    <s v=" ORIENT MÜHENDİSLİK"/>
    <s v=" ORIENT MÜHENDİSLİK"/>
    <x v="32"/>
    <s v="2480108BX0002183"/>
    <n v="1"/>
    <x v="1"/>
    <m/>
    <m/>
    <n v="1900"/>
    <n v="1"/>
    <n v="45906"/>
    <x v="4"/>
    <m/>
    <x v="3"/>
  </r>
  <r>
    <n v="46"/>
    <s v=" ORIENT MÜHENDİSLİK"/>
    <s v=" ORIENT MÜHENDİSLİK"/>
    <x v="32"/>
    <s v="2480108BX0002528"/>
    <n v="1"/>
    <x v="1"/>
    <m/>
    <m/>
    <n v="1900"/>
    <n v="1"/>
    <n v="45906"/>
    <x v="4"/>
    <m/>
    <x v="3"/>
  </r>
  <r>
    <n v="46"/>
    <s v=" ORIENT MÜHENDİSLİK"/>
    <s v=" ORIENT MÜHENDİSLİK"/>
    <x v="32"/>
    <s v="2480108BX0009990"/>
    <n v="1"/>
    <x v="1"/>
    <m/>
    <m/>
    <n v="1900"/>
    <n v="1"/>
    <n v="45906"/>
    <x v="4"/>
    <m/>
    <x v="3"/>
  </r>
  <r>
    <n v="46"/>
    <s v=" ORIENT MÜHENDİSLİK"/>
    <s v=" ORIENT MÜHENDİSLİK"/>
    <x v="32"/>
    <s v="2480108BX0009654"/>
    <n v="1"/>
    <x v="1"/>
    <m/>
    <m/>
    <n v="1900"/>
    <n v="1"/>
    <n v="45906"/>
    <x v="4"/>
    <m/>
    <x v="3"/>
  </r>
  <r>
    <n v="46"/>
    <s v=" ORIENT MÜHENDİSLİK"/>
    <s v=" ORIENT MÜHENDİSLİK"/>
    <x v="32"/>
    <s v="2480108BX0009173"/>
    <n v="1"/>
    <x v="1"/>
    <m/>
    <m/>
    <n v="1900"/>
    <n v="1"/>
    <n v="45906"/>
    <x v="4"/>
    <m/>
    <x v="3"/>
  </r>
  <r>
    <n v="46"/>
    <s v=" ORIENT MÜHENDİSLİK"/>
    <s v=" ORIENT MÜHENDİSLİK"/>
    <x v="32"/>
    <s v="2480108BX0010167"/>
    <n v="1"/>
    <x v="1"/>
    <m/>
    <m/>
    <n v="1900"/>
    <n v="1"/>
    <n v="45906"/>
    <x v="4"/>
    <m/>
    <x v="3"/>
  </r>
  <r>
    <n v="46"/>
    <s v=" ORIENT MÜHENDİSLİK"/>
    <s v=" ORIENT MÜHENDİSLİK"/>
    <x v="32"/>
    <s v="2480108BX0006611"/>
    <n v="1"/>
    <x v="1"/>
    <m/>
    <m/>
    <n v="1900"/>
    <n v="1"/>
    <n v="45906"/>
    <x v="4"/>
    <m/>
    <x v="3"/>
  </r>
  <r>
    <n v="47"/>
    <s v="GENERAL SOLAR"/>
    <s v="N/A"/>
    <x v="33"/>
    <s v="2370108BX0051878"/>
    <n v="1"/>
    <x v="1"/>
    <m/>
    <m/>
    <n v="1900"/>
    <n v="1"/>
    <n v="45918"/>
    <x v="4"/>
    <s v="Tamir"/>
    <x v="2"/>
  </r>
  <r>
    <n v="47"/>
    <s v="GENERAL SOLAR"/>
    <s v="N/A"/>
    <x v="33"/>
    <s v="2350108BX0033781"/>
    <n v="1"/>
    <x v="1"/>
    <m/>
    <m/>
    <n v="1900"/>
    <n v="1"/>
    <n v="45918"/>
    <x v="4"/>
    <s v="Tamir"/>
    <x v="2"/>
  </r>
  <r>
    <n v="47"/>
    <s v="GENERAL SOLAR"/>
    <s v="N/A"/>
    <x v="33"/>
    <s v="2380108BX0009223"/>
    <n v="1"/>
    <x v="1"/>
    <m/>
    <m/>
    <n v="1900"/>
    <n v="1"/>
    <n v="45918"/>
    <x v="4"/>
    <s v="Tamir"/>
    <x v="2"/>
  </r>
  <r>
    <n v="47"/>
    <s v="GENERAL SOLAR"/>
    <s v="N/A"/>
    <x v="33"/>
    <s v="2350108BX0033887"/>
    <n v="1"/>
    <x v="1"/>
    <m/>
    <m/>
    <n v="1900"/>
    <n v="1"/>
    <n v="45918"/>
    <x v="4"/>
    <s v="Tamir"/>
    <x v="2"/>
  </r>
  <r>
    <n v="47"/>
    <s v="GENERAL SOLAR"/>
    <s v="N/A"/>
    <x v="33"/>
    <s v="2340108BX0039910"/>
    <n v="1"/>
    <x v="1"/>
    <m/>
    <m/>
    <n v="1900"/>
    <n v="1"/>
    <n v="45918"/>
    <x v="4"/>
    <s v="Tamir"/>
    <x v="2"/>
  </r>
  <r>
    <n v="47"/>
    <s v="GENERAL SOLAR"/>
    <s v="N/A"/>
    <x v="33"/>
    <s v="2350108BX0048157"/>
    <n v="1"/>
    <x v="1"/>
    <m/>
    <m/>
    <n v="1900"/>
    <n v="1"/>
    <n v="45918"/>
    <x v="4"/>
    <s v="Tamir"/>
    <x v="2"/>
  </r>
  <r>
    <n v="47"/>
    <s v="GENERAL SOLAR"/>
    <s v="N/A"/>
    <x v="33"/>
    <s v="2350108BX0014563"/>
    <n v="1"/>
    <x v="1"/>
    <m/>
    <m/>
    <n v="1900"/>
    <n v="1"/>
    <n v="45918"/>
    <x v="4"/>
    <s v="Tamir"/>
    <x v="2"/>
  </r>
  <r>
    <n v="47"/>
    <s v="GENERAL SOLAR"/>
    <s v="N/A"/>
    <x v="33"/>
    <s v="2340108BX0029973"/>
    <n v="1"/>
    <x v="1"/>
    <m/>
    <m/>
    <n v="1900"/>
    <n v="1"/>
    <n v="45918"/>
    <x v="4"/>
    <s v="Tamir"/>
    <x v="2"/>
  </r>
  <r>
    <n v="47"/>
    <s v="GENERAL SOLAR"/>
    <s v="N/A"/>
    <x v="33"/>
    <s v="2350108BX0025807"/>
    <n v="1"/>
    <x v="1"/>
    <m/>
    <m/>
    <n v="1900"/>
    <n v="1"/>
    <n v="45918"/>
    <x v="4"/>
    <s v="Tamir"/>
    <x v="2"/>
  </r>
  <r>
    <n v="47"/>
    <s v="GENERAL SOLAR"/>
    <s v="N/A"/>
    <x v="33"/>
    <s v="2350108BX0006120"/>
    <n v="1"/>
    <x v="1"/>
    <m/>
    <m/>
    <n v="1900"/>
    <n v="1"/>
    <n v="45918"/>
    <x v="4"/>
    <s v="Tamir"/>
    <x v="2"/>
  </r>
  <r>
    <n v="47"/>
    <s v="GENERAL SOLAR"/>
    <s v="N/A"/>
    <x v="33"/>
    <s v="2360108BX0026138"/>
    <n v="1"/>
    <x v="1"/>
    <m/>
    <m/>
    <n v="1900"/>
    <n v="1"/>
    <n v="45918"/>
    <x v="4"/>
    <s v="Tamir"/>
    <x v="2"/>
  </r>
  <r>
    <n v="47"/>
    <s v="GENERAL SOLAR"/>
    <s v="N/A"/>
    <x v="33"/>
    <s v="2360108BX0026225"/>
    <n v="1"/>
    <x v="1"/>
    <m/>
    <m/>
    <n v="1900"/>
    <n v="1"/>
    <n v="45918"/>
    <x v="4"/>
    <s v="Tamir"/>
    <x v="2"/>
  </r>
  <r>
    <n v="47"/>
    <s v="GENERAL SOLAR"/>
    <s v="N/A"/>
    <x v="33"/>
    <s v="2350108BX0018515"/>
    <n v="1"/>
    <x v="1"/>
    <m/>
    <m/>
    <n v="1900"/>
    <n v="1"/>
    <n v="45918"/>
    <x v="4"/>
    <s v="Tamir"/>
    <x v="2"/>
  </r>
  <r>
    <n v="47"/>
    <s v="GENERAL SOLAR"/>
    <s v="N/A"/>
    <x v="33"/>
    <s v="2350108BX0016807"/>
    <n v="1"/>
    <x v="1"/>
    <m/>
    <m/>
    <n v="1900"/>
    <n v="1"/>
    <n v="45918"/>
    <x v="4"/>
    <s v="Tamir"/>
    <x v="2"/>
  </r>
  <r>
    <n v="47"/>
    <s v="GENERAL SOLAR"/>
    <s v="N/A"/>
    <x v="33"/>
    <s v="2340108BX0016210"/>
    <n v="1"/>
    <x v="1"/>
    <m/>
    <m/>
    <n v="1900"/>
    <n v="1"/>
    <n v="45918"/>
    <x v="4"/>
    <s v="Tamir"/>
    <x v="2"/>
  </r>
  <r>
    <n v="47"/>
    <s v="GENERAL SOLAR"/>
    <s v="N/A"/>
    <x v="33"/>
    <s v="2340108BX0017282"/>
    <n v="1"/>
    <x v="1"/>
    <m/>
    <m/>
    <n v="1900"/>
    <n v="1"/>
    <n v="45918"/>
    <x v="4"/>
    <s v="Tamir"/>
    <x v="2"/>
  </r>
  <r>
    <n v="47"/>
    <s v="GENERAL SOLAR"/>
    <s v="N/A"/>
    <x v="33"/>
    <s v="2360108BX0004275"/>
    <n v="1"/>
    <x v="1"/>
    <m/>
    <m/>
    <n v="1900"/>
    <n v="1"/>
    <n v="45918"/>
    <x v="4"/>
    <s v="Tamir"/>
    <x v="2"/>
  </r>
  <r>
    <n v="47"/>
    <s v="GENERAL SOLAR"/>
    <s v="N/A"/>
    <x v="33"/>
    <s v="2360108BX0004241"/>
    <n v="1"/>
    <x v="1"/>
    <m/>
    <m/>
    <n v="1900"/>
    <n v="1"/>
    <n v="45918"/>
    <x v="4"/>
    <s v="Tamir"/>
    <x v="2"/>
  </r>
  <r>
    <n v="47"/>
    <s v="GENERAL SOLAR"/>
    <s v="N/A"/>
    <x v="33"/>
    <s v="2360108BX0004236"/>
    <n v="1"/>
    <x v="1"/>
    <m/>
    <m/>
    <n v="1900"/>
    <n v="1"/>
    <n v="45918"/>
    <x v="4"/>
    <s v="Tamir"/>
    <x v="2"/>
  </r>
  <r>
    <n v="47"/>
    <s v="GENERAL SOLAR"/>
    <s v="N/A"/>
    <x v="33"/>
    <s v="2350108BX0038400"/>
    <n v="1"/>
    <x v="1"/>
    <m/>
    <m/>
    <n v="1900"/>
    <n v="1"/>
    <n v="45918"/>
    <x v="4"/>
    <s v="Tamir"/>
    <x v="2"/>
  </r>
  <r>
    <n v="47"/>
    <s v="GENERAL SOLAR"/>
    <s v="N/A"/>
    <x v="33"/>
    <s v="2340108BX0005442"/>
    <n v="1"/>
    <x v="1"/>
    <m/>
    <m/>
    <n v="1900"/>
    <n v="1"/>
    <n v="45918"/>
    <x v="4"/>
    <s v="Tamir"/>
    <x v="2"/>
  </r>
  <r>
    <n v="47"/>
    <s v="GENERAL SOLAR"/>
    <s v="N/A"/>
    <x v="33"/>
    <s v="2340108BX0005580"/>
    <n v="1"/>
    <x v="1"/>
    <m/>
    <m/>
    <n v="1900"/>
    <n v="1"/>
    <n v="45918"/>
    <x v="4"/>
    <s v="Tamir"/>
    <x v="2"/>
  </r>
  <r>
    <n v="47"/>
    <s v="GENERAL SOLAR"/>
    <s v="N/A"/>
    <x v="33"/>
    <s v="2340108BX0024660"/>
    <n v="1"/>
    <x v="1"/>
    <m/>
    <m/>
    <n v="1900"/>
    <n v="1"/>
    <n v="45918"/>
    <x v="4"/>
    <s v="Tamir"/>
    <x v="2"/>
  </r>
  <r>
    <n v="47"/>
    <s v="GENERAL SOLAR"/>
    <s v="N/A"/>
    <x v="33"/>
    <s v="2340108BX0024613"/>
    <n v="1"/>
    <x v="1"/>
    <m/>
    <m/>
    <n v="1900"/>
    <n v="1"/>
    <n v="45918"/>
    <x v="4"/>
    <s v="Tamir"/>
    <x v="2"/>
  </r>
  <r>
    <n v="47"/>
    <s v="GENERAL SOLAR"/>
    <s v="N/A"/>
    <x v="33"/>
    <s v="2340108BX0026855"/>
    <n v="1"/>
    <x v="1"/>
    <m/>
    <m/>
    <n v="1900"/>
    <n v="1"/>
    <n v="45918"/>
    <x v="4"/>
    <s v="Tamir"/>
    <x v="2"/>
  </r>
  <r>
    <n v="47"/>
    <s v="GENERAL SOLAR"/>
    <s v="N/A"/>
    <x v="33"/>
    <s v="2340108BX0020165"/>
    <n v="1"/>
    <x v="1"/>
    <m/>
    <m/>
    <n v="1900"/>
    <n v="1"/>
    <n v="45918"/>
    <x v="4"/>
    <s v="Tamir"/>
    <x v="2"/>
  </r>
  <r>
    <n v="47"/>
    <s v="GENERAL SOLAR"/>
    <s v="N/A"/>
    <x v="33"/>
    <s v="2340108BX0005811"/>
    <n v="1"/>
    <x v="1"/>
    <m/>
    <m/>
    <n v="1900"/>
    <n v="1"/>
    <n v="45918"/>
    <x v="4"/>
    <s v="Tamir"/>
    <x v="2"/>
  </r>
  <r>
    <n v="47"/>
    <s v="GENERAL SOLAR"/>
    <s v="N/A"/>
    <x v="33"/>
    <s v="2340108BX0006013"/>
    <n v="1"/>
    <x v="1"/>
    <m/>
    <m/>
    <n v="1900"/>
    <n v="1"/>
    <n v="45918"/>
    <x v="4"/>
    <s v="Tamir"/>
    <x v="2"/>
  </r>
  <r>
    <n v="47"/>
    <s v="GENERAL SOLAR"/>
    <s v="N/A"/>
    <x v="33"/>
    <s v="2340108BX0006160"/>
    <n v="1"/>
    <x v="1"/>
    <m/>
    <m/>
    <n v="1900"/>
    <n v="1"/>
    <n v="45918"/>
    <x v="4"/>
    <s v="Tamir"/>
    <x v="2"/>
  </r>
  <r>
    <n v="47"/>
    <s v="GENERAL SOLAR"/>
    <s v="N/A"/>
    <x v="33"/>
    <s v="2380108BX0013890"/>
    <n v="1"/>
    <x v="1"/>
    <m/>
    <m/>
    <n v="1900"/>
    <n v="1"/>
    <n v="45918"/>
    <x v="4"/>
    <s v="Tamir"/>
    <x v="2"/>
  </r>
  <r>
    <n v="47"/>
    <s v="GENERAL SOLAR"/>
    <s v="N/A"/>
    <x v="33"/>
    <s v="2380108BX0013902"/>
    <n v="1"/>
    <x v="1"/>
    <m/>
    <m/>
    <n v="1900"/>
    <n v="1"/>
    <n v="45918"/>
    <x v="4"/>
    <s v="Tamir"/>
    <x v="2"/>
  </r>
  <r>
    <n v="47"/>
    <s v="GENERAL SOLAR"/>
    <s v="N/A"/>
    <x v="33"/>
    <s v="2370108BX0050857"/>
    <n v="1"/>
    <x v="1"/>
    <m/>
    <m/>
    <n v="1900"/>
    <n v="1"/>
    <n v="45918"/>
    <x v="4"/>
    <s v="Tamir"/>
    <x v="2"/>
  </r>
  <r>
    <n v="47"/>
    <s v="GENERAL SOLAR"/>
    <s v="N/A"/>
    <x v="33"/>
    <s v="2370108BX0051880"/>
    <n v="1"/>
    <x v="1"/>
    <m/>
    <m/>
    <n v="1900"/>
    <n v="1"/>
    <n v="45918"/>
    <x v="24"/>
    <s v="Tamir"/>
    <x v="1"/>
  </r>
  <r>
    <n v="47"/>
    <s v="GENERAL SOLAR"/>
    <s v="N/A"/>
    <x v="33"/>
    <s v="2380108BX0014259"/>
    <n v="1"/>
    <x v="1"/>
    <m/>
    <m/>
    <n v="1900"/>
    <n v="1"/>
    <n v="45918"/>
    <x v="4"/>
    <s v="Tamir"/>
    <x v="2"/>
  </r>
  <r>
    <n v="47"/>
    <s v="GENERAL SOLAR"/>
    <s v="N/A"/>
    <x v="33"/>
    <s v="2370108BX0014269"/>
    <n v="1"/>
    <x v="1"/>
    <m/>
    <m/>
    <n v="1900"/>
    <n v="1"/>
    <n v="45918"/>
    <x v="24"/>
    <s v="Tamir"/>
    <x v="1"/>
  </r>
  <r>
    <n v="47"/>
    <s v="GENERAL SOLAR"/>
    <s v="N/A"/>
    <x v="33"/>
    <s v="2380108BX0014257"/>
    <n v="1"/>
    <x v="1"/>
    <m/>
    <m/>
    <n v="1900"/>
    <n v="1"/>
    <n v="45918"/>
    <x v="4"/>
    <s v="Tamir"/>
    <x v="2"/>
  </r>
  <r>
    <n v="47"/>
    <s v="GENERAL SOLAR"/>
    <s v="N/A"/>
    <x v="33"/>
    <s v="2360108DX0004064"/>
    <n v="1"/>
    <x v="1"/>
    <m/>
    <m/>
    <n v="1900"/>
    <n v="1"/>
    <n v="45918"/>
    <x v="4"/>
    <s v="Tamir"/>
    <x v="2"/>
  </r>
  <r>
    <n v="47"/>
    <s v="GENERAL SOLAR"/>
    <s v="N/A"/>
    <x v="33"/>
    <s v="2360108BX0003871"/>
    <n v="1"/>
    <x v="1"/>
    <m/>
    <m/>
    <n v="1900"/>
    <n v="1"/>
    <n v="45918"/>
    <x v="24"/>
    <s v="Tamir"/>
    <x v="1"/>
  </r>
  <r>
    <n v="47"/>
    <s v="GENERAL SOLAR"/>
    <s v="N/A"/>
    <x v="33"/>
    <s v="2360108BX0004185"/>
    <n v="1"/>
    <x v="1"/>
    <m/>
    <m/>
    <n v="1900"/>
    <n v="1"/>
    <n v="45918"/>
    <x v="4"/>
    <s v="Tamir"/>
    <x v="2"/>
  </r>
  <r>
    <n v="47"/>
    <s v="GENERAL SOLAR"/>
    <s v="N/A"/>
    <x v="33"/>
    <s v="2340108BX0011875"/>
    <n v="1"/>
    <x v="1"/>
    <m/>
    <m/>
    <n v="1900"/>
    <n v="1"/>
    <n v="45918"/>
    <x v="24"/>
    <s v="Tamir"/>
    <x v="1"/>
  </r>
  <r>
    <n v="47"/>
    <s v="GENERAL SOLAR"/>
    <s v="N/A"/>
    <x v="33"/>
    <s v="2340108BX0012378"/>
    <n v="1"/>
    <x v="1"/>
    <m/>
    <m/>
    <n v="1900"/>
    <n v="1"/>
    <n v="45918"/>
    <x v="4"/>
    <s v="Tamir"/>
    <x v="2"/>
  </r>
  <r>
    <n v="47"/>
    <s v="GENERAL SOLAR"/>
    <s v="N/A"/>
    <x v="33"/>
    <s v="2340108BX0010807"/>
    <n v="1"/>
    <x v="1"/>
    <m/>
    <m/>
    <n v="1900"/>
    <n v="1"/>
    <n v="45918"/>
    <x v="4"/>
    <s v="Tamir"/>
    <x v="2"/>
  </r>
  <r>
    <n v="47"/>
    <s v="GENERAL SOLAR"/>
    <s v="N/A"/>
    <x v="33"/>
    <s v="2340108BX0012389"/>
    <n v="1"/>
    <x v="1"/>
    <m/>
    <m/>
    <n v="1900"/>
    <n v="1"/>
    <n v="45918"/>
    <x v="24"/>
    <s v="Tamir"/>
    <x v="1"/>
  </r>
  <r>
    <n v="47"/>
    <s v="GENERAL SOLAR"/>
    <s v="N/A"/>
    <x v="33"/>
    <s v="2360108BX0020529"/>
    <n v="1"/>
    <x v="1"/>
    <m/>
    <m/>
    <n v="1900"/>
    <n v="1"/>
    <n v="45918"/>
    <x v="4"/>
    <s v="Tamir"/>
    <x v="2"/>
  </r>
  <r>
    <n v="47"/>
    <s v="GENERAL SOLAR"/>
    <s v="N/A"/>
    <x v="33"/>
    <s v="2360108BX0020444"/>
    <n v="1"/>
    <x v="1"/>
    <m/>
    <m/>
    <n v="1900"/>
    <n v="1"/>
    <n v="45918"/>
    <x v="4"/>
    <s v="Tamir"/>
    <x v="2"/>
  </r>
  <r>
    <n v="47"/>
    <s v="GENERAL SOLAR"/>
    <s v="N/A"/>
    <x v="33"/>
    <s v="2360108BX0019330"/>
    <n v="1"/>
    <x v="1"/>
    <m/>
    <m/>
    <n v="1900"/>
    <n v="1"/>
    <n v="45918"/>
    <x v="24"/>
    <s v="Tamir"/>
    <x v="1"/>
  </r>
  <r>
    <n v="47"/>
    <s v="GENERAL SOLAR"/>
    <s v="N/A"/>
    <x v="33"/>
    <s v="2360108BX0019852"/>
    <n v="1"/>
    <x v="1"/>
    <m/>
    <m/>
    <n v="1900"/>
    <n v="1"/>
    <n v="45918"/>
    <x v="4"/>
    <s v="Tamir"/>
    <x v="2"/>
  </r>
  <r>
    <n v="47"/>
    <s v="GENERAL SOLAR"/>
    <s v="N/A"/>
    <x v="33"/>
    <s v="2360108BX0019657"/>
    <n v="1"/>
    <x v="1"/>
    <m/>
    <m/>
    <n v="1900"/>
    <n v="1"/>
    <n v="45918"/>
    <x v="24"/>
    <s v="Tamir"/>
    <x v="1"/>
  </r>
  <r>
    <n v="47"/>
    <s v="GENERAL SOLAR"/>
    <s v="N/A"/>
    <x v="33"/>
    <s v="2340108BX0017040"/>
    <n v="1"/>
    <x v="1"/>
    <m/>
    <m/>
    <n v="1900"/>
    <n v="1"/>
    <n v="45918"/>
    <x v="24"/>
    <s v="Tamir"/>
    <x v="1"/>
  </r>
  <r>
    <n v="47"/>
    <s v="GENERAL SOLAR"/>
    <s v="N/A"/>
    <x v="33"/>
    <s v="2340108BX0016989"/>
    <n v="1"/>
    <x v="1"/>
    <m/>
    <m/>
    <n v="1900"/>
    <n v="1"/>
    <n v="45918"/>
    <x v="4"/>
    <s v="Tamir"/>
    <x v="2"/>
  </r>
  <r>
    <n v="47"/>
    <s v="GENERAL SOLAR"/>
    <s v="N/A"/>
    <x v="33"/>
    <s v="2360108BX0020450"/>
    <n v="1"/>
    <x v="1"/>
    <m/>
    <m/>
    <n v="1900"/>
    <n v="1"/>
    <n v="45918"/>
    <x v="4"/>
    <s v="Tamir"/>
    <x v="2"/>
  </r>
  <r>
    <n v="47"/>
    <s v="GENERAL SOLAR"/>
    <s v="N/A"/>
    <x v="33"/>
    <s v="2340108BX0016298"/>
    <n v="1"/>
    <x v="1"/>
    <m/>
    <m/>
    <n v="1900"/>
    <n v="1"/>
    <n v="45918"/>
    <x v="4"/>
    <s v="Tamir"/>
    <x v="3"/>
  </r>
  <r>
    <n v="48"/>
    <s v="ARAL TEKSTİL"/>
    <s v="N/A"/>
    <x v="34"/>
    <s v="2470107BW0023117"/>
    <n v="1"/>
    <x v="2"/>
    <m/>
    <m/>
    <n v="1900"/>
    <n v="1"/>
    <n v="45923"/>
    <x v="4"/>
    <s v="Tamir"/>
    <x v="2"/>
  </r>
  <r>
    <n v="48"/>
    <s v="ARAL TEKSTİL"/>
    <s v="N/A"/>
    <x v="34"/>
    <s v="2470107BW0016453"/>
    <n v="1"/>
    <x v="2"/>
    <m/>
    <m/>
    <n v="1900"/>
    <n v="1"/>
    <n v="45923"/>
    <x v="4"/>
    <s v="Tamir"/>
    <x v="2"/>
  </r>
  <r>
    <n v="48"/>
    <s v="ARAL TEKSTİL"/>
    <s v="N/A"/>
    <x v="34"/>
    <s v="2480107BW0011066"/>
    <n v="1"/>
    <x v="2"/>
    <m/>
    <m/>
    <n v="1900"/>
    <n v="1"/>
    <n v="45923"/>
    <x v="4"/>
    <s v="Tamir"/>
    <x v="2"/>
  </r>
  <r>
    <n v="48"/>
    <s v="ARAL TEKSTİL"/>
    <s v="N/A"/>
    <x v="34"/>
    <s v="2470107BW0002787"/>
    <n v="1"/>
    <x v="2"/>
    <m/>
    <m/>
    <n v="1900"/>
    <n v="1"/>
    <n v="45923"/>
    <x v="4"/>
    <s v="Tamir"/>
    <x v="2"/>
  </r>
  <r>
    <n v="48"/>
    <s v="ARAL TEKSTİL"/>
    <s v="N/A"/>
    <x v="34"/>
    <s v="2470107BW0011932"/>
    <n v="1"/>
    <x v="2"/>
    <m/>
    <m/>
    <n v="1900"/>
    <n v="1"/>
    <n v="45923"/>
    <x v="4"/>
    <s v="Tamir"/>
    <x v="2"/>
  </r>
  <r>
    <n v="48"/>
    <s v="ARAL TEKSTİL"/>
    <s v="N/A"/>
    <x v="34"/>
    <s v="2470107BW0006567"/>
    <n v="1"/>
    <x v="2"/>
    <m/>
    <m/>
    <n v="1900"/>
    <n v="1"/>
    <n v="45923"/>
    <x v="4"/>
    <s v="Tamir"/>
    <x v="2"/>
  </r>
  <r>
    <n v="48"/>
    <s v="ARAL TEKSTİL"/>
    <s v="N/A"/>
    <x v="34"/>
    <s v="2470107BW0003136"/>
    <n v="1"/>
    <x v="2"/>
    <m/>
    <m/>
    <n v="1900"/>
    <n v="1"/>
    <n v="45923"/>
    <x v="4"/>
    <s v="Tamir"/>
    <x v="2"/>
  </r>
  <r>
    <n v="48"/>
    <s v="ARAL TEKSTİL"/>
    <s v="N/A"/>
    <x v="34"/>
    <s v="2470107BW0003090"/>
    <n v="1"/>
    <x v="2"/>
    <m/>
    <m/>
    <n v="1900"/>
    <n v="1"/>
    <n v="45923"/>
    <x v="4"/>
    <s v="Tamir"/>
    <x v="2"/>
  </r>
  <r>
    <n v="48"/>
    <s v="ARAL TEKSTİL"/>
    <s v="N/A"/>
    <x v="34"/>
    <s v="2470107BW0006532"/>
    <n v="1"/>
    <x v="2"/>
    <m/>
    <m/>
    <n v="1900"/>
    <n v="1"/>
    <n v="45923"/>
    <x v="4"/>
    <s v="Tamir"/>
    <x v="2"/>
  </r>
  <r>
    <n v="48"/>
    <s v="ARAL TEKSTİL"/>
    <s v="N/A"/>
    <x v="34"/>
    <s v="2470107BW0002392"/>
    <n v="1"/>
    <x v="2"/>
    <m/>
    <m/>
    <n v="1900"/>
    <n v="1"/>
    <n v="45923"/>
    <x v="4"/>
    <s v="Tamir"/>
    <x v="2"/>
  </r>
  <r>
    <n v="48"/>
    <s v="ARAL TEKSTİL"/>
    <s v="N/A"/>
    <x v="34"/>
    <s v="2470107BW0003194"/>
    <n v="1"/>
    <x v="2"/>
    <m/>
    <m/>
    <n v="1900"/>
    <n v="1"/>
    <n v="45923"/>
    <x v="4"/>
    <s v="Tamir"/>
    <x v="2"/>
  </r>
  <r>
    <n v="48"/>
    <s v="ARAL TEKSTİL"/>
    <s v="N/A"/>
    <x v="34"/>
    <s v="2470107BW0003361"/>
    <n v="1"/>
    <x v="2"/>
    <m/>
    <m/>
    <n v="1900"/>
    <n v="1"/>
    <n v="45923"/>
    <x v="4"/>
    <s v="Tamir"/>
    <x v="2"/>
  </r>
  <r>
    <n v="48"/>
    <s v="ARAL TEKSTİL"/>
    <s v="N/A"/>
    <x v="34"/>
    <s v="2470107BW0007639"/>
    <n v="1"/>
    <x v="2"/>
    <m/>
    <m/>
    <n v="1900"/>
    <n v="1"/>
    <n v="45923"/>
    <x v="4"/>
    <s v="Tamir"/>
    <x v="2"/>
  </r>
  <r>
    <n v="48"/>
    <s v="ARAL TEKSTİL"/>
    <s v="N/A"/>
    <x v="34"/>
    <s v="2470107BW0003513"/>
    <n v="1"/>
    <x v="2"/>
    <m/>
    <m/>
    <n v="1900"/>
    <n v="1"/>
    <n v="45923"/>
    <x v="4"/>
    <s v="Tamir"/>
    <x v="2"/>
  </r>
  <r>
    <n v="48"/>
    <s v="ARAL TEKSTİL"/>
    <s v="N/A"/>
    <x v="34"/>
    <s v="2470107BW0001996"/>
    <n v="1"/>
    <x v="2"/>
    <m/>
    <m/>
    <n v="1900"/>
    <n v="1"/>
    <n v="45923"/>
    <x v="4"/>
    <s v="Tamir"/>
    <x v="2"/>
  </r>
  <r>
    <n v="48"/>
    <s v="ARAL TEKSTİL"/>
    <s v="N/A"/>
    <x v="34"/>
    <s v="2470107BW0002380"/>
    <n v="1"/>
    <x v="2"/>
    <m/>
    <m/>
    <n v="1900"/>
    <n v="1"/>
    <n v="45923"/>
    <x v="4"/>
    <s v="Tamir"/>
    <x v="2"/>
  </r>
  <r>
    <n v="48"/>
    <s v="ARAL TEKSTİL"/>
    <s v="N/A"/>
    <x v="34"/>
    <s v="2470107BW0004897"/>
    <n v="1"/>
    <x v="2"/>
    <m/>
    <m/>
    <n v="1900"/>
    <n v="1"/>
    <n v="45923"/>
    <x v="4"/>
    <s v="Tamir"/>
    <x v="2"/>
  </r>
  <r>
    <n v="48"/>
    <s v="ARAL TEKSTİL"/>
    <s v="N/A"/>
    <x v="34"/>
    <s v="2480107BW0007056"/>
    <n v="1"/>
    <x v="2"/>
    <m/>
    <m/>
    <n v="1900"/>
    <n v="1"/>
    <n v="45923"/>
    <x v="4"/>
    <s v="Tamir"/>
    <x v="2"/>
  </r>
  <r>
    <n v="48"/>
    <s v="ARAL TEKSTİL"/>
    <s v="N/A"/>
    <x v="34"/>
    <s v="2480107BW0025975"/>
    <n v="1"/>
    <x v="2"/>
    <m/>
    <m/>
    <n v="1900"/>
    <n v="1"/>
    <n v="45923"/>
    <x v="4"/>
    <s v="Tamir"/>
    <x v="2"/>
  </r>
  <r>
    <n v="48"/>
    <s v="ARAL TEKSTİL"/>
    <s v="N/A"/>
    <x v="34"/>
    <s v="2470107BW0003349"/>
    <n v="1"/>
    <x v="2"/>
    <m/>
    <m/>
    <n v="1900"/>
    <n v="1"/>
    <n v="45923"/>
    <x v="4"/>
    <s v="Tamir"/>
    <x v="2"/>
  </r>
  <r>
    <n v="48"/>
    <s v="ARAL TEKSTİL"/>
    <s v="N/A"/>
    <x v="34"/>
    <s v="2470107BW0002917"/>
    <n v="1"/>
    <x v="2"/>
    <m/>
    <m/>
    <n v="1900"/>
    <n v="1"/>
    <n v="45923"/>
    <x v="4"/>
    <s v="Tamir"/>
    <x v="2"/>
  </r>
  <r>
    <n v="48"/>
    <s v="ARAL TEKSTİL"/>
    <s v="N/A"/>
    <x v="34"/>
    <s v="2470107BW0003578"/>
    <n v="1"/>
    <x v="2"/>
    <m/>
    <m/>
    <n v="1900"/>
    <n v="1"/>
    <n v="45923"/>
    <x v="4"/>
    <s v="Tamir"/>
    <x v="2"/>
  </r>
  <r>
    <n v="48"/>
    <s v="ARAL TEKSTİL"/>
    <s v="N/A"/>
    <x v="34"/>
    <s v="2470107BW0003573"/>
    <n v="1"/>
    <x v="2"/>
    <m/>
    <m/>
    <n v="1900"/>
    <n v="1"/>
    <n v="45923"/>
    <x v="4"/>
    <s v="Tamir"/>
    <x v="2"/>
  </r>
  <r>
    <n v="48"/>
    <s v="ARAL TEKSTİL"/>
    <s v="N/A"/>
    <x v="34"/>
    <s v="2470107BW0003576"/>
    <n v="1"/>
    <x v="2"/>
    <m/>
    <m/>
    <n v="1900"/>
    <n v="1"/>
    <n v="45923"/>
    <x v="4"/>
    <s v="Tamir"/>
    <x v="2"/>
  </r>
  <r>
    <n v="48"/>
    <s v="ARAL TEKSTİL"/>
    <s v="N/A"/>
    <x v="34"/>
    <s v="2470107BW0002780"/>
    <n v="1"/>
    <x v="2"/>
    <m/>
    <m/>
    <n v="1900"/>
    <n v="1"/>
    <n v="45923"/>
    <x v="4"/>
    <s v="Tamir"/>
    <x v="2"/>
  </r>
  <r>
    <n v="48"/>
    <s v="ARAL TEKSTİL"/>
    <s v="N/A"/>
    <x v="34"/>
    <s v="2470107BW0003120"/>
    <n v="1"/>
    <x v="2"/>
    <m/>
    <m/>
    <n v="1900"/>
    <n v="1"/>
    <n v="45923"/>
    <x v="4"/>
    <s v="Tamir"/>
    <x v="2"/>
  </r>
  <r>
    <n v="48"/>
    <s v="ARAL TEKSTİL"/>
    <s v="N/A"/>
    <x v="34"/>
    <s v="2470107BW0005144"/>
    <n v="1"/>
    <x v="2"/>
    <m/>
    <m/>
    <n v="1900"/>
    <n v="1"/>
    <n v="45923"/>
    <x v="4"/>
    <s v="Tamir"/>
    <x v="2"/>
  </r>
  <r>
    <n v="48"/>
    <s v="ARAL TEKSTİL"/>
    <s v="N/A"/>
    <x v="34"/>
    <s v="2460107BW0010271"/>
    <n v="1"/>
    <x v="2"/>
    <m/>
    <m/>
    <n v="1900"/>
    <n v="1"/>
    <n v="45923"/>
    <x v="4"/>
    <s v="Tamir"/>
    <x v="2"/>
  </r>
  <r>
    <n v="48"/>
    <s v="ARAL TEKSTİL"/>
    <s v="N/A"/>
    <x v="34"/>
    <s v="2470107BW0003150"/>
    <n v="1"/>
    <x v="2"/>
    <m/>
    <m/>
    <n v="1900"/>
    <n v="1"/>
    <n v="45923"/>
    <x v="4"/>
    <s v="Tamir"/>
    <x v="2"/>
  </r>
  <r>
    <n v="48"/>
    <s v="ARAL TEKSTİL"/>
    <s v="N/A"/>
    <x v="34"/>
    <s v="2470107BW0003315"/>
    <n v="1"/>
    <x v="2"/>
    <m/>
    <m/>
    <n v="1900"/>
    <n v="1"/>
    <n v="45923"/>
    <x v="4"/>
    <s v="Tamir"/>
    <x v="2"/>
  </r>
  <r>
    <n v="48"/>
    <s v="ARAL TEKSTİL"/>
    <s v="N/A"/>
    <x v="34"/>
    <s v="2470107BW0003299"/>
    <n v="1"/>
    <x v="2"/>
    <m/>
    <m/>
    <n v="1900"/>
    <n v="1"/>
    <n v="45923"/>
    <x v="4"/>
    <s v="Tamir"/>
    <x v="2"/>
  </r>
  <r>
    <n v="48"/>
    <s v="ARAL TEKSTİL"/>
    <s v="N/A"/>
    <x v="34"/>
    <s v="2470107BW0003309"/>
    <n v="1"/>
    <x v="2"/>
    <m/>
    <m/>
    <n v="1900"/>
    <n v="1"/>
    <n v="45923"/>
    <x v="4"/>
    <s v="Tamir"/>
    <x v="2"/>
  </r>
  <r>
    <n v="48"/>
    <s v="ARAL TEKSTİL"/>
    <s v="N/A"/>
    <x v="34"/>
    <s v="2470107BW0003260"/>
    <n v="1"/>
    <x v="2"/>
    <m/>
    <m/>
    <n v="1900"/>
    <n v="1"/>
    <n v="45923"/>
    <x v="4"/>
    <s v="Tamir"/>
    <x v="2"/>
  </r>
  <r>
    <n v="48"/>
    <s v="ARAL TEKSTİL"/>
    <s v="N/A"/>
    <x v="34"/>
    <s v="2470107BW0003249"/>
    <n v="1"/>
    <x v="2"/>
    <m/>
    <m/>
    <n v="1900"/>
    <n v="1"/>
    <n v="45923"/>
    <x v="4"/>
    <s v="Tamir"/>
    <x v="2"/>
  </r>
  <r>
    <n v="48"/>
    <s v="ARAL TEKSTİL"/>
    <s v="N/A"/>
    <x v="34"/>
    <s v="2470107BW0003320"/>
    <n v="1"/>
    <x v="2"/>
    <m/>
    <m/>
    <n v="1900"/>
    <n v="1"/>
    <n v="45923"/>
    <x v="4"/>
    <s v="Tamir"/>
    <x v="2"/>
  </r>
  <r>
    <n v="48"/>
    <s v="ARAL TEKSTİL"/>
    <s v="N/A"/>
    <x v="34"/>
    <s v="2470107BW0003172"/>
    <n v="1"/>
    <x v="2"/>
    <m/>
    <m/>
    <n v="1900"/>
    <n v="1"/>
    <n v="45923"/>
    <x v="4"/>
    <s v="Tamir"/>
    <x v="2"/>
  </r>
  <r>
    <n v="48"/>
    <s v="ARAL TEKSTİL"/>
    <s v="N/A"/>
    <x v="34"/>
    <s v="2470107BW0003334"/>
    <n v="1"/>
    <x v="2"/>
    <m/>
    <m/>
    <n v="1900"/>
    <n v="1"/>
    <n v="45923"/>
    <x v="4"/>
    <s v="Tamir"/>
    <x v="2"/>
  </r>
  <r>
    <n v="48"/>
    <s v="ARAL TEKSTİL"/>
    <s v="N/A"/>
    <x v="34"/>
    <s v="2470107BW0003269"/>
    <n v="1"/>
    <x v="2"/>
    <m/>
    <m/>
    <n v="1900"/>
    <n v="1"/>
    <n v="45923"/>
    <x v="4"/>
    <s v="Tamir"/>
    <x v="2"/>
  </r>
  <r>
    <n v="48"/>
    <s v="ARAL TEKSTİL"/>
    <s v="N/A"/>
    <x v="34"/>
    <s v="2470107BW0003333"/>
    <n v="1"/>
    <x v="2"/>
    <m/>
    <m/>
    <n v="1900"/>
    <n v="1"/>
    <n v="45923"/>
    <x v="4"/>
    <s v="Tamir"/>
    <x v="2"/>
  </r>
  <r>
    <n v="48"/>
    <s v="ARAL TEKSTİL"/>
    <s v="N/A"/>
    <x v="34"/>
    <s v="2470107BW0003395"/>
    <n v="1"/>
    <x v="2"/>
    <m/>
    <m/>
    <n v="1900"/>
    <n v="1"/>
    <n v="45923"/>
    <x v="4"/>
    <s v="Tamir"/>
    <x v="2"/>
  </r>
  <r>
    <n v="48"/>
    <s v="ARAL TEKSTİL"/>
    <s v="N/A"/>
    <x v="34"/>
    <s v="2470107BW0008720"/>
    <n v="1"/>
    <x v="2"/>
    <m/>
    <m/>
    <n v="1900"/>
    <n v="1"/>
    <n v="45923"/>
    <x v="4"/>
    <s v="Tamir"/>
    <x v="2"/>
  </r>
  <r>
    <n v="48"/>
    <s v="ARAL TEKSTİL"/>
    <s v="N/A"/>
    <x v="34"/>
    <s v="2470107BW0003276"/>
    <n v="1"/>
    <x v="2"/>
    <m/>
    <m/>
    <n v="1900"/>
    <n v="1"/>
    <n v="45923"/>
    <x v="4"/>
    <s v="Tamir"/>
    <x v="2"/>
  </r>
  <r>
    <n v="48"/>
    <s v="ARAL TEKSTİL"/>
    <s v="N/A"/>
    <x v="34"/>
    <s v="2470107BW0003295"/>
    <n v="1"/>
    <x v="2"/>
    <m/>
    <m/>
    <n v="1900"/>
    <n v="1"/>
    <n v="45923"/>
    <x v="4"/>
    <s v="Tamir"/>
    <x v="2"/>
  </r>
  <r>
    <n v="48"/>
    <s v="ARAL TEKSTİL"/>
    <s v="N/A"/>
    <x v="34"/>
    <s v="2470107BW0003297"/>
    <n v="1"/>
    <x v="2"/>
    <m/>
    <m/>
    <n v="1900"/>
    <n v="1"/>
    <n v="45923"/>
    <x v="4"/>
    <s v="Tamir"/>
    <x v="2"/>
  </r>
  <r>
    <n v="48"/>
    <s v="ARAL TEKSTİL"/>
    <s v="N/A"/>
    <x v="34"/>
    <s v="2470107BW0002599"/>
    <n v="1"/>
    <x v="2"/>
    <m/>
    <m/>
    <n v="1900"/>
    <n v="1"/>
    <n v="45923"/>
    <x v="4"/>
    <s v="Tamir"/>
    <x v="2"/>
  </r>
  <r>
    <n v="48"/>
    <s v="ARAL TEKSTİL"/>
    <s v="N/A"/>
    <x v="34"/>
    <s v="2470107BW0003693"/>
    <n v="1"/>
    <x v="2"/>
    <m/>
    <m/>
    <n v="1900"/>
    <n v="1"/>
    <n v="45923"/>
    <x v="4"/>
    <s v="Tamir"/>
    <x v="2"/>
  </r>
  <r>
    <n v="48"/>
    <s v="ARAL TEKSTİL"/>
    <s v="N/A"/>
    <x v="34"/>
    <s v="2470107BW0003359"/>
    <n v="1"/>
    <x v="2"/>
    <m/>
    <m/>
    <n v="1900"/>
    <n v="1"/>
    <n v="45923"/>
    <x v="4"/>
    <s v="Tamir"/>
    <x v="2"/>
  </r>
  <r>
    <n v="48"/>
    <s v="ARAL TEKSTİL"/>
    <s v="N/A"/>
    <x v="34"/>
    <s v="2470107BW0003387"/>
    <n v="1"/>
    <x v="2"/>
    <m/>
    <m/>
    <n v="1900"/>
    <n v="1"/>
    <n v="45923"/>
    <x v="4"/>
    <s v="Tamir"/>
    <x v="2"/>
  </r>
  <r>
    <n v="48"/>
    <s v="ARAL TEKSTİL"/>
    <s v="N/A"/>
    <x v="34"/>
    <s v="2470107BW0003400"/>
    <n v="1"/>
    <x v="2"/>
    <m/>
    <m/>
    <n v="1900"/>
    <n v="1"/>
    <n v="45923"/>
    <x v="4"/>
    <s v="Tamir"/>
    <x v="2"/>
  </r>
  <r>
    <n v="48"/>
    <s v="ARAL TEKSTİL"/>
    <s v="N/A"/>
    <x v="34"/>
    <s v="2470107BW0002538"/>
    <n v="1"/>
    <x v="2"/>
    <m/>
    <m/>
    <n v="1900"/>
    <n v="1"/>
    <n v="45923"/>
    <x v="4"/>
    <s v="Tamir"/>
    <x v="2"/>
  </r>
  <r>
    <n v="48"/>
    <s v="ARAL TEKSTİL"/>
    <s v="N/A"/>
    <x v="34"/>
    <s v="2470107BW0001994"/>
    <n v="1"/>
    <x v="2"/>
    <m/>
    <m/>
    <n v="1900"/>
    <n v="1"/>
    <n v="45923"/>
    <x v="4"/>
    <s v="Tamir"/>
    <x v="2"/>
  </r>
  <r>
    <n v="48"/>
    <s v="ARAL TEKSTİL"/>
    <s v="N/A"/>
    <x v="34"/>
    <s v="2460107BW0015356"/>
    <n v="1"/>
    <x v="2"/>
    <m/>
    <m/>
    <n v="1900"/>
    <n v="1"/>
    <n v="45923"/>
    <x v="4"/>
    <s v="Tamir"/>
    <x v="2"/>
  </r>
  <r>
    <n v="48"/>
    <s v="ARAL TEKSTİL"/>
    <s v="N/A"/>
    <x v="34"/>
    <s v="2470107BW0003033"/>
    <n v="1"/>
    <x v="2"/>
    <m/>
    <m/>
    <n v="1900"/>
    <n v="1"/>
    <n v="45923"/>
    <x v="4"/>
    <s v="Tamir"/>
    <x v="2"/>
  </r>
  <r>
    <n v="48"/>
    <s v="ARAL TEKSTİL"/>
    <s v="N/A"/>
    <x v="34"/>
    <s v="2470107BW0003494"/>
    <n v="1"/>
    <x v="2"/>
    <m/>
    <m/>
    <n v="1900"/>
    <n v="1"/>
    <n v="45923"/>
    <x v="4"/>
    <s v="Tamir"/>
    <x v="2"/>
  </r>
  <r>
    <n v="48"/>
    <s v="ARAL TEKSTİL"/>
    <s v="N/A"/>
    <x v="34"/>
    <s v="2470107BW0003406"/>
    <n v="1"/>
    <x v="2"/>
    <m/>
    <m/>
    <n v="1900"/>
    <n v="1"/>
    <n v="45923"/>
    <x v="4"/>
    <s v="Tamir"/>
    <x v="2"/>
  </r>
  <r>
    <n v="48"/>
    <s v="ARAL TEKSTİL"/>
    <s v="N/A"/>
    <x v="34"/>
    <s v="2470107BW0002564"/>
    <n v="1"/>
    <x v="2"/>
    <m/>
    <m/>
    <n v="1900"/>
    <n v="1"/>
    <n v="45923"/>
    <x v="4"/>
    <s v="Tamir"/>
    <x v="2"/>
  </r>
  <r>
    <n v="48"/>
    <s v="ARAL TEKSTİL"/>
    <s v="N/A"/>
    <x v="34"/>
    <s v="2470107BW0003318"/>
    <n v="1"/>
    <x v="2"/>
    <m/>
    <m/>
    <n v="1900"/>
    <n v="1"/>
    <n v="45923"/>
    <x v="4"/>
    <s v="Tamir"/>
    <x v="2"/>
  </r>
  <r>
    <n v="48"/>
    <s v="ARAL TEKSTİL"/>
    <s v="N/A"/>
    <x v="34"/>
    <s v="2470107BW0003365"/>
    <n v="1"/>
    <x v="2"/>
    <m/>
    <m/>
    <n v="1900"/>
    <n v="1"/>
    <n v="45923"/>
    <x v="4"/>
    <s v="Tamir"/>
    <x v="2"/>
  </r>
  <r>
    <n v="48"/>
    <s v="ARAL TEKSTİL"/>
    <s v="N/A"/>
    <x v="34"/>
    <s v="2470107BW0003248"/>
    <n v="1"/>
    <x v="2"/>
    <m/>
    <m/>
    <n v="1900"/>
    <n v="1"/>
    <n v="45923"/>
    <x v="4"/>
    <s v="Tamir"/>
    <x v="2"/>
  </r>
  <r>
    <n v="48"/>
    <s v="ARAL TEKSTİL"/>
    <s v="N/A"/>
    <x v="34"/>
    <s v="2470107BW0003348"/>
    <n v="1"/>
    <x v="2"/>
    <m/>
    <m/>
    <n v="1900"/>
    <n v="1"/>
    <n v="45923"/>
    <x v="4"/>
    <s v="Tamir"/>
    <x v="2"/>
  </r>
  <r>
    <n v="49"/>
    <s v="INSIGHT ENERJİ"/>
    <s v="N/A"/>
    <x v="35"/>
    <s v="AAAA"/>
    <n v="1"/>
    <x v="2"/>
    <s v="MAVİÇAM"/>
    <m/>
    <m/>
    <m/>
    <m/>
    <x v="25"/>
    <s v="Değişim"/>
    <x v="2"/>
  </r>
  <r>
    <n v="49"/>
    <s v="INSIGHT ENERJİ"/>
    <s v="N/A"/>
    <x v="35"/>
    <s v="AAAA"/>
    <n v="1"/>
    <x v="2"/>
    <s v="MAVİÇAM"/>
    <m/>
    <m/>
    <m/>
    <m/>
    <x v="25"/>
    <s v="Değişim"/>
    <x v="2"/>
  </r>
  <r>
    <n v="49"/>
    <s v="INSIGHT ENERJİ"/>
    <s v="N/A"/>
    <x v="35"/>
    <s v="AAAA"/>
    <n v="1"/>
    <x v="2"/>
    <s v="MAVİÇAM"/>
    <m/>
    <m/>
    <m/>
    <m/>
    <x v="25"/>
    <s v="Değişim"/>
    <x v="2"/>
  </r>
  <r>
    <n v="49"/>
    <s v="INSIGHT ENERJİ"/>
    <s v="N/A"/>
    <x v="35"/>
    <s v="AAAA"/>
    <n v="1"/>
    <x v="2"/>
    <s v="MAVİÇAM"/>
    <m/>
    <m/>
    <m/>
    <m/>
    <x v="25"/>
    <s v="Değişim"/>
    <x v="2"/>
  </r>
  <r>
    <n v="49"/>
    <s v="INSIGHT ENERJİ"/>
    <s v="N/A"/>
    <x v="35"/>
    <s v="AAAA"/>
    <n v="1"/>
    <x v="2"/>
    <s v="MAVİÇAM"/>
    <m/>
    <m/>
    <m/>
    <m/>
    <x v="25"/>
    <s v="Değişim"/>
    <x v="2"/>
  </r>
  <r>
    <n v="49"/>
    <s v="INSIGHT ENERJİ"/>
    <s v="N/A"/>
    <x v="35"/>
    <s v="AAAA"/>
    <n v="1"/>
    <x v="2"/>
    <s v="MAVİÇAM"/>
    <m/>
    <m/>
    <m/>
    <m/>
    <x v="25"/>
    <s v="Değişim"/>
    <x v="2"/>
  </r>
  <r>
    <n v="49"/>
    <s v="INSIGHT ENERJİ"/>
    <s v="N/A"/>
    <x v="35"/>
    <s v="AAAA"/>
    <n v="1"/>
    <x v="2"/>
    <s v="MAVİÇAM"/>
    <m/>
    <m/>
    <m/>
    <m/>
    <x v="25"/>
    <s v="Değişim"/>
    <x v="2"/>
  </r>
  <r>
    <n v="49"/>
    <s v="INSIGHT ENERJİ"/>
    <s v="N/A"/>
    <x v="35"/>
    <s v="AAAA"/>
    <n v="1"/>
    <x v="2"/>
    <s v="MAVİÇAM"/>
    <m/>
    <m/>
    <m/>
    <m/>
    <x v="25"/>
    <s v="Değişim"/>
    <x v="2"/>
  </r>
  <r>
    <n v="49"/>
    <s v="INSIGHT ENERJİ"/>
    <s v="N/A"/>
    <x v="35"/>
    <s v="AAAA"/>
    <n v="1"/>
    <x v="2"/>
    <s v="MAVİÇAM"/>
    <m/>
    <m/>
    <m/>
    <m/>
    <x v="25"/>
    <s v="Değişim"/>
    <x v="2"/>
  </r>
  <r>
    <n v="49"/>
    <s v="INSIGHT ENERJİ"/>
    <s v="N/A"/>
    <x v="35"/>
    <s v="AAAA"/>
    <n v="1"/>
    <x v="2"/>
    <s v="MAVİÇAM"/>
    <m/>
    <m/>
    <m/>
    <m/>
    <x v="25"/>
    <s v="Değişim"/>
    <x v="2"/>
  </r>
  <r>
    <n v="49"/>
    <s v="INSIGHT ENERJİ"/>
    <s v="N/A"/>
    <x v="35"/>
    <s v="AAAA"/>
    <n v="1"/>
    <x v="2"/>
    <s v="MAVİÇAM"/>
    <m/>
    <m/>
    <m/>
    <m/>
    <x v="25"/>
    <s v="Değişim"/>
    <x v="2"/>
  </r>
  <r>
    <n v="49"/>
    <s v="INSIGHT ENERJİ"/>
    <s v="N/A"/>
    <x v="35"/>
    <s v="AAAA"/>
    <n v="1"/>
    <x v="2"/>
    <s v="MAVİÇAM"/>
    <m/>
    <m/>
    <m/>
    <m/>
    <x v="25"/>
    <s v="Değişim"/>
    <x v="2"/>
  </r>
  <r>
    <n v="49"/>
    <s v="INSIGHT ENERJİ"/>
    <s v="N/A"/>
    <x v="35"/>
    <s v="AAAA"/>
    <n v="1"/>
    <x v="2"/>
    <s v="MAVİÇAM"/>
    <m/>
    <m/>
    <m/>
    <m/>
    <x v="25"/>
    <s v="Değişim"/>
    <x v="2"/>
  </r>
  <r>
    <n v="49"/>
    <s v="INSIGHT ENERJİ"/>
    <s v="N/A"/>
    <x v="35"/>
    <s v="AAAA"/>
    <n v="1"/>
    <x v="2"/>
    <s v="MAVİÇAM"/>
    <m/>
    <m/>
    <m/>
    <m/>
    <x v="25"/>
    <s v="Değişim"/>
    <x v="2"/>
  </r>
  <r>
    <n v="49"/>
    <s v="INSIGHT ENERJİ"/>
    <s v="N/A"/>
    <x v="35"/>
    <s v="AAAA"/>
    <n v="1"/>
    <x v="2"/>
    <s v="MAVİÇAM"/>
    <m/>
    <m/>
    <m/>
    <m/>
    <x v="25"/>
    <s v="Değişim"/>
    <x v="2"/>
  </r>
  <r>
    <n v="49"/>
    <s v="INSIGHT ENERJİ"/>
    <s v="N/A"/>
    <x v="35"/>
    <s v="AAAA"/>
    <n v="1"/>
    <x v="2"/>
    <s v="MAVİÇAM"/>
    <m/>
    <m/>
    <m/>
    <m/>
    <x v="25"/>
    <s v="Değişim"/>
    <x v="2"/>
  </r>
  <r>
    <n v="49"/>
    <s v="INSIGHT ENERJİ"/>
    <s v="N/A"/>
    <x v="35"/>
    <s v="AAAA"/>
    <n v="1"/>
    <x v="2"/>
    <s v="MAVİÇAM"/>
    <m/>
    <m/>
    <m/>
    <m/>
    <x v="25"/>
    <s v="Değişim"/>
    <x v="2"/>
  </r>
  <r>
    <n v="49"/>
    <s v="INSIGHT ENERJİ"/>
    <s v="N/A"/>
    <x v="35"/>
    <s v="AAAA"/>
    <n v="1"/>
    <x v="2"/>
    <s v="MAVİÇAM"/>
    <m/>
    <m/>
    <m/>
    <m/>
    <x v="25"/>
    <s v="Değişim"/>
    <x v="2"/>
  </r>
  <r>
    <n v="49"/>
    <s v="INSIGHT ENERJİ"/>
    <s v="N/A"/>
    <x v="35"/>
    <s v="AAAA"/>
    <n v="1"/>
    <x v="2"/>
    <s v="MAVİÇAM"/>
    <m/>
    <m/>
    <m/>
    <m/>
    <x v="25"/>
    <s v="Değişim"/>
    <x v="2"/>
  </r>
  <r>
    <n v="49"/>
    <s v="INSIGHT ENERJİ"/>
    <s v="N/A"/>
    <x v="35"/>
    <s v="AAAA"/>
    <n v="1"/>
    <x v="2"/>
    <s v="MAVİÇAM"/>
    <m/>
    <m/>
    <m/>
    <m/>
    <x v="25"/>
    <s v="Değişim"/>
    <x v="2"/>
  </r>
  <r>
    <n v="49"/>
    <s v="INSIGHT ENERJİ"/>
    <s v="N/A"/>
    <x v="35"/>
    <s v="AAAA"/>
    <n v="1"/>
    <x v="2"/>
    <s v="MAVİÇAM"/>
    <m/>
    <m/>
    <m/>
    <m/>
    <x v="25"/>
    <s v="Değişim"/>
    <x v="2"/>
  </r>
  <r>
    <n v="49"/>
    <s v="INSIGHT ENERJİ"/>
    <s v="N/A"/>
    <x v="35"/>
    <s v="AAAA"/>
    <n v="1"/>
    <x v="2"/>
    <s v="MAVİÇAM"/>
    <m/>
    <m/>
    <m/>
    <m/>
    <x v="25"/>
    <s v="Değişim"/>
    <x v="2"/>
  </r>
  <r>
    <n v="49"/>
    <s v="INSIGHT ENERJİ"/>
    <s v="N/A"/>
    <x v="35"/>
    <s v="AAAA"/>
    <n v="1"/>
    <x v="2"/>
    <s v="MAVİÇAM"/>
    <m/>
    <m/>
    <m/>
    <m/>
    <x v="25"/>
    <s v="Değişim"/>
    <x v="2"/>
  </r>
  <r>
    <n v="49"/>
    <s v="INSIGHT ENERJİ"/>
    <s v="N/A"/>
    <x v="35"/>
    <s v="AAAA"/>
    <n v="1"/>
    <x v="2"/>
    <s v="MAVİÇAM"/>
    <m/>
    <m/>
    <m/>
    <m/>
    <x v="25"/>
    <s v="Değişim"/>
    <x v="2"/>
  </r>
  <r>
    <n v="49"/>
    <s v="INSIGHT ENERJİ"/>
    <s v="N/A"/>
    <x v="35"/>
    <s v="AAAA"/>
    <n v="1"/>
    <x v="2"/>
    <s v="MAVİÇAM"/>
    <m/>
    <m/>
    <m/>
    <m/>
    <x v="25"/>
    <s v="Değişim"/>
    <x v="2"/>
  </r>
  <r>
    <n v="49"/>
    <s v="INSIGHT ENERJİ"/>
    <s v="N/A"/>
    <x v="35"/>
    <s v="AAAA"/>
    <n v="1"/>
    <x v="2"/>
    <s v="MAVİÇAM"/>
    <m/>
    <m/>
    <m/>
    <m/>
    <x v="25"/>
    <s v="Değişim"/>
    <x v="2"/>
  </r>
  <r>
    <n v="49"/>
    <s v="INSIGHT ENERJİ"/>
    <s v="N/A"/>
    <x v="35"/>
    <s v="AAAA"/>
    <n v="1"/>
    <x v="2"/>
    <s v="MAVİÇAM"/>
    <m/>
    <m/>
    <m/>
    <m/>
    <x v="25"/>
    <s v="Değişim"/>
    <x v="2"/>
  </r>
  <r>
    <n v="49"/>
    <s v="INSIGHT ENERJİ"/>
    <s v="N/A"/>
    <x v="35"/>
    <s v="AAAA"/>
    <n v="1"/>
    <x v="2"/>
    <s v="MAVİÇAM"/>
    <m/>
    <m/>
    <m/>
    <m/>
    <x v="25"/>
    <s v="Değişim"/>
    <x v="2"/>
  </r>
  <r>
    <n v="49"/>
    <s v="INSIGHT ENERJİ"/>
    <s v="N/A"/>
    <x v="35"/>
    <s v="AAAA"/>
    <n v="1"/>
    <x v="2"/>
    <s v="MAVİÇAM"/>
    <m/>
    <m/>
    <m/>
    <m/>
    <x v="25"/>
    <s v="Değişim"/>
    <x v="2"/>
  </r>
  <r>
    <n v="49"/>
    <s v="INSIGHT ENERJİ"/>
    <s v="N/A"/>
    <x v="35"/>
    <s v="AAAA"/>
    <n v="1"/>
    <x v="2"/>
    <s v="MAVİÇAM"/>
    <m/>
    <m/>
    <m/>
    <m/>
    <x v="25"/>
    <s v="Değişim"/>
    <x v="2"/>
  </r>
  <r>
    <n v="49"/>
    <s v="INSIGHT ENERJİ"/>
    <s v="N/A"/>
    <x v="35"/>
    <s v="AAAA"/>
    <n v="1"/>
    <x v="2"/>
    <s v="MAVİÇAM"/>
    <m/>
    <m/>
    <m/>
    <m/>
    <x v="25"/>
    <s v="Değişim"/>
    <x v="2"/>
  </r>
  <r>
    <n v="49"/>
    <s v="INSIGHT ENERJİ"/>
    <s v="N/A"/>
    <x v="35"/>
    <s v="AAAA"/>
    <n v="1"/>
    <x v="2"/>
    <s v="MAVİÇAM"/>
    <m/>
    <m/>
    <m/>
    <m/>
    <x v="25"/>
    <s v="Değişim"/>
    <x v="2"/>
  </r>
  <r>
    <n v="49"/>
    <s v="INSIGHT ENERJİ"/>
    <s v="N/A"/>
    <x v="35"/>
    <s v="AAAA"/>
    <n v="1"/>
    <x v="2"/>
    <s v="MAVİÇAM"/>
    <m/>
    <m/>
    <m/>
    <m/>
    <x v="25"/>
    <s v="Değişim"/>
    <x v="2"/>
  </r>
  <r>
    <n v="49"/>
    <s v="INSIGHT ENERJİ"/>
    <s v="N/A"/>
    <x v="35"/>
    <s v="AAAA"/>
    <n v="1"/>
    <x v="2"/>
    <s v="MAVİÇAM"/>
    <m/>
    <m/>
    <m/>
    <m/>
    <x v="25"/>
    <s v="Değişim"/>
    <x v="2"/>
  </r>
  <r>
    <n v="49"/>
    <s v="INSIGHT ENERJİ"/>
    <s v="N/A"/>
    <x v="35"/>
    <s v="AAAA"/>
    <n v="1"/>
    <x v="2"/>
    <s v="MAVİÇAM"/>
    <m/>
    <m/>
    <m/>
    <m/>
    <x v="25"/>
    <s v="Değişim"/>
    <x v="2"/>
  </r>
  <r>
    <n v="49"/>
    <s v="INSIGHT ENERJİ"/>
    <s v="N/A"/>
    <x v="35"/>
    <s v="AAAA"/>
    <n v="1"/>
    <x v="2"/>
    <s v="MAVİÇAM"/>
    <m/>
    <m/>
    <m/>
    <m/>
    <x v="25"/>
    <s v="Değişim"/>
    <x v="2"/>
  </r>
  <r>
    <n v="49"/>
    <s v="INSIGHT ENERJİ"/>
    <s v="N/A"/>
    <x v="35"/>
    <s v="AAAA"/>
    <n v="1"/>
    <x v="2"/>
    <s v="MAVİÇAM"/>
    <m/>
    <m/>
    <m/>
    <m/>
    <x v="25"/>
    <s v="Değişim"/>
    <x v="2"/>
  </r>
  <r>
    <n v="49"/>
    <s v="INSIGHT ENERJİ"/>
    <s v="N/A"/>
    <x v="35"/>
    <s v="AAAA"/>
    <n v="1"/>
    <x v="2"/>
    <s v="MAVİÇAM"/>
    <m/>
    <m/>
    <m/>
    <m/>
    <x v="25"/>
    <s v="Değişim"/>
    <x v="2"/>
  </r>
  <r>
    <n v="49"/>
    <s v="INSIGHT ENERJİ"/>
    <s v="N/A"/>
    <x v="35"/>
    <s v="AAAA"/>
    <n v="1"/>
    <x v="2"/>
    <s v="MAVİÇAM"/>
    <m/>
    <m/>
    <m/>
    <m/>
    <x v="25"/>
    <s v="Değişim"/>
    <x v="2"/>
  </r>
  <r>
    <n v="49"/>
    <s v="INSIGHT ENERJİ"/>
    <s v="N/A"/>
    <x v="35"/>
    <s v="AAAA"/>
    <n v="1"/>
    <x v="2"/>
    <s v="MAVİÇAM"/>
    <m/>
    <m/>
    <m/>
    <m/>
    <x v="25"/>
    <s v="Değişim"/>
    <x v="2"/>
  </r>
  <r>
    <n v="49"/>
    <s v="INSIGHT ENERJİ"/>
    <s v="N/A"/>
    <x v="35"/>
    <s v="AAAA"/>
    <n v="1"/>
    <x v="2"/>
    <s v="MAVİÇAM"/>
    <m/>
    <m/>
    <m/>
    <m/>
    <x v="25"/>
    <s v="Değişim"/>
    <x v="2"/>
  </r>
  <r>
    <n v="49"/>
    <s v="INSIGHT ENERJİ"/>
    <s v="N/A"/>
    <x v="35"/>
    <s v="AAAA"/>
    <n v="1"/>
    <x v="2"/>
    <s v="MAVİÇAM"/>
    <m/>
    <m/>
    <m/>
    <m/>
    <x v="25"/>
    <s v="Değişim"/>
    <x v="2"/>
  </r>
  <r>
    <n v="49"/>
    <s v="INSIGHT ENERJİ"/>
    <s v="N/A"/>
    <x v="35"/>
    <s v="AAAA"/>
    <n v="1"/>
    <x v="2"/>
    <s v="MAVİÇAM"/>
    <m/>
    <m/>
    <m/>
    <m/>
    <x v="25"/>
    <s v="Değişim"/>
    <x v="2"/>
  </r>
  <r>
    <n v="49"/>
    <s v="INSIGHT ENERJİ"/>
    <s v="N/A"/>
    <x v="35"/>
    <s v="AAAA"/>
    <n v="1"/>
    <x v="2"/>
    <s v="MAVİÇAM"/>
    <m/>
    <m/>
    <m/>
    <m/>
    <x v="25"/>
    <s v="Değişim"/>
    <x v="2"/>
  </r>
  <r>
    <n v="49"/>
    <s v="INSIGHT ENERJİ"/>
    <s v="N/A"/>
    <x v="35"/>
    <s v="AAAA"/>
    <n v="1"/>
    <x v="2"/>
    <s v="MAVİÇAM"/>
    <m/>
    <m/>
    <m/>
    <m/>
    <x v="25"/>
    <s v="Değişim"/>
    <x v="2"/>
  </r>
  <r>
    <n v="49"/>
    <s v="INSIGHT ENERJİ"/>
    <s v="N/A"/>
    <x v="35"/>
    <s v="AAAA"/>
    <n v="1"/>
    <x v="2"/>
    <s v="MAVİÇAM"/>
    <m/>
    <m/>
    <m/>
    <m/>
    <x v="25"/>
    <s v="Değişim"/>
    <x v="2"/>
  </r>
  <r>
    <n v="49"/>
    <s v="INSIGHT ENERJİ"/>
    <s v="N/A"/>
    <x v="35"/>
    <s v="AAAA"/>
    <n v="1"/>
    <x v="2"/>
    <s v="MAVİÇAM"/>
    <m/>
    <m/>
    <m/>
    <m/>
    <x v="25"/>
    <s v="Değişim"/>
    <x v="2"/>
  </r>
  <r>
    <n v="49"/>
    <s v="INSIGHT ENERJİ"/>
    <s v="N/A"/>
    <x v="35"/>
    <s v="AAAA"/>
    <n v="1"/>
    <x v="2"/>
    <s v="MAVİÇAM"/>
    <m/>
    <m/>
    <m/>
    <m/>
    <x v="25"/>
    <s v="Değişim"/>
    <x v="2"/>
  </r>
  <r>
    <n v="49"/>
    <s v="INSIGHT ENERJİ"/>
    <s v="N/A"/>
    <x v="35"/>
    <s v="AAAA"/>
    <n v="1"/>
    <x v="2"/>
    <s v="MAVİÇAM"/>
    <m/>
    <m/>
    <m/>
    <m/>
    <x v="25"/>
    <s v="Değişim"/>
    <x v="2"/>
  </r>
  <r>
    <n v="49"/>
    <s v="INSIGHT ENERJİ"/>
    <s v="N/A"/>
    <x v="35"/>
    <s v="AAAA"/>
    <n v="1"/>
    <x v="2"/>
    <s v="MAVİÇAM"/>
    <m/>
    <m/>
    <m/>
    <m/>
    <x v="25"/>
    <s v="Değişim"/>
    <x v="2"/>
  </r>
  <r>
    <n v="49"/>
    <s v="INSIGHT ENERJİ"/>
    <s v="N/A"/>
    <x v="35"/>
    <s v="AAAA"/>
    <n v="1"/>
    <x v="2"/>
    <s v="MAVİÇAM"/>
    <m/>
    <m/>
    <m/>
    <m/>
    <x v="25"/>
    <s v="Değişim"/>
    <x v="2"/>
  </r>
  <r>
    <n v="49"/>
    <s v="INSIGHT ENERJİ"/>
    <s v="N/A"/>
    <x v="35"/>
    <s v="AAAA"/>
    <n v="1"/>
    <x v="2"/>
    <s v="MAVİÇAM"/>
    <m/>
    <m/>
    <m/>
    <m/>
    <x v="25"/>
    <s v="Değişim"/>
    <x v="2"/>
  </r>
  <r>
    <n v="49"/>
    <s v="INSIGHT ENERJİ"/>
    <s v="N/A"/>
    <x v="35"/>
    <s v="AAAA"/>
    <n v="1"/>
    <x v="2"/>
    <s v="MAVİÇAM"/>
    <m/>
    <m/>
    <m/>
    <m/>
    <x v="25"/>
    <s v="Değişim"/>
    <x v="2"/>
  </r>
  <r>
    <n v="49"/>
    <s v="INSIGHT ENERJİ"/>
    <s v="N/A"/>
    <x v="35"/>
    <s v="AAAA"/>
    <n v="1"/>
    <x v="2"/>
    <s v="MAVİÇAM"/>
    <m/>
    <m/>
    <m/>
    <m/>
    <x v="25"/>
    <s v="Değişim"/>
    <x v="2"/>
  </r>
  <r>
    <n v="49"/>
    <s v="INSIGHT ENERJİ"/>
    <s v="N/A"/>
    <x v="35"/>
    <s v="AAAA"/>
    <n v="1"/>
    <x v="2"/>
    <s v="MAVİÇAM"/>
    <m/>
    <m/>
    <m/>
    <m/>
    <x v="25"/>
    <s v="Değişim"/>
    <x v="2"/>
  </r>
  <r>
    <n v="49"/>
    <s v="INSIGHT ENERJİ"/>
    <s v="N/A"/>
    <x v="35"/>
    <s v="AAAA"/>
    <n v="1"/>
    <x v="2"/>
    <s v="MAVİÇAM"/>
    <m/>
    <m/>
    <m/>
    <m/>
    <x v="25"/>
    <s v="Değişim"/>
    <x v="2"/>
  </r>
  <r>
    <n v="49"/>
    <s v="INSIGHT ENERJİ"/>
    <s v="N/A"/>
    <x v="35"/>
    <s v="AAAA"/>
    <n v="1"/>
    <x v="2"/>
    <s v="MAVİÇAM"/>
    <m/>
    <m/>
    <m/>
    <m/>
    <x v="25"/>
    <s v="Değişim"/>
    <x v="2"/>
  </r>
  <r>
    <n v="49"/>
    <s v="INSIGHT ENERJİ"/>
    <s v="N/A"/>
    <x v="35"/>
    <s v="AAAA"/>
    <n v="1"/>
    <x v="2"/>
    <s v="MAVİÇAM"/>
    <m/>
    <m/>
    <m/>
    <m/>
    <x v="25"/>
    <s v="Değişim"/>
    <x v="2"/>
  </r>
  <r>
    <n v="49"/>
    <s v="INSIGHT ENERJİ"/>
    <s v="N/A"/>
    <x v="35"/>
    <s v="AAAA"/>
    <n v="1"/>
    <x v="2"/>
    <s v="MAVİÇAM"/>
    <m/>
    <m/>
    <m/>
    <m/>
    <x v="25"/>
    <s v="Değişim"/>
    <x v="2"/>
  </r>
  <r>
    <n v="49"/>
    <s v="INSIGHT ENERJİ"/>
    <s v="N/A"/>
    <x v="35"/>
    <s v="AAAA"/>
    <n v="1"/>
    <x v="2"/>
    <s v="MAVİÇAM"/>
    <m/>
    <m/>
    <m/>
    <m/>
    <x v="25"/>
    <s v="Değişim"/>
    <x v="2"/>
  </r>
  <r>
    <n v="49"/>
    <s v="INSIGHT ENERJİ"/>
    <s v="N/A"/>
    <x v="35"/>
    <s v="AAAA"/>
    <n v="1"/>
    <x v="2"/>
    <s v="MAVİÇAM"/>
    <m/>
    <m/>
    <m/>
    <m/>
    <x v="25"/>
    <s v="Değişim"/>
    <x v="2"/>
  </r>
  <r>
    <n v="49"/>
    <s v="INSIGHT ENERJİ"/>
    <s v="N/A"/>
    <x v="35"/>
    <s v="AAAA"/>
    <n v="1"/>
    <x v="2"/>
    <s v="MAVİÇAM"/>
    <m/>
    <m/>
    <m/>
    <m/>
    <x v="25"/>
    <s v="Değişim"/>
    <x v="2"/>
  </r>
  <r>
    <n v="49"/>
    <s v="INSIGHT ENERJİ"/>
    <s v="N/A"/>
    <x v="35"/>
    <s v="AAAA"/>
    <n v="1"/>
    <x v="2"/>
    <s v="MAVİÇAM"/>
    <m/>
    <m/>
    <m/>
    <m/>
    <x v="25"/>
    <s v="Değişim"/>
    <x v="2"/>
  </r>
  <r>
    <n v="49"/>
    <s v="INSIGHT ENERJİ"/>
    <s v="N/A"/>
    <x v="35"/>
    <s v="AAAA"/>
    <n v="1"/>
    <x v="2"/>
    <s v="MAVİÇAM"/>
    <m/>
    <m/>
    <m/>
    <m/>
    <x v="25"/>
    <s v="Değişim"/>
    <x v="2"/>
  </r>
  <r>
    <n v="49"/>
    <s v="INSIGHT ENERJİ"/>
    <s v="N/A"/>
    <x v="35"/>
    <s v="AAAA"/>
    <n v="1"/>
    <x v="2"/>
    <s v="MAVİÇAM"/>
    <m/>
    <m/>
    <m/>
    <m/>
    <x v="25"/>
    <s v="Değişim"/>
    <x v="2"/>
  </r>
  <r>
    <n v="49"/>
    <s v="INSIGHT ENERJİ"/>
    <s v="N/A"/>
    <x v="35"/>
    <s v="AAAA"/>
    <n v="1"/>
    <x v="2"/>
    <s v="MAVİÇAM"/>
    <m/>
    <m/>
    <m/>
    <m/>
    <x v="25"/>
    <s v="Değişim"/>
    <x v="2"/>
  </r>
  <r>
    <n v="49"/>
    <s v="INSIGHT ENERJİ"/>
    <s v="N/A"/>
    <x v="35"/>
    <s v="AAAA"/>
    <n v="1"/>
    <x v="2"/>
    <s v="MAVİÇAM"/>
    <m/>
    <m/>
    <m/>
    <m/>
    <x v="25"/>
    <s v="Değişim"/>
    <x v="2"/>
  </r>
  <r>
    <n v="49"/>
    <s v="INSIGHT ENERJİ"/>
    <s v="N/A"/>
    <x v="35"/>
    <s v="AAAA"/>
    <n v="1"/>
    <x v="2"/>
    <s v="MAVİÇAM"/>
    <m/>
    <m/>
    <m/>
    <m/>
    <x v="25"/>
    <s v="Değişim"/>
    <x v="2"/>
  </r>
  <r>
    <n v="49"/>
    <s v="INSIGHT ENERJİ"/>
    <s v="N/A"/>
    <x v="35"/>
    <s v="AAAA"/>
    <n v="1"/>
    <x v="2"/>
    <s v="MAVİÇAM"/>
    <m/>
    <m/>
    <m/>
    <m/>
    <x v="25"/>
    <s v="Değişim"/>
    <x v="2"/>
  </r>
  <r>
    <n v="49"/>
    <s v="INSIGHT ENERJİ"/>
    <s v="N/A"/>
    <x v="35"/>
    <s v="AAAA"/>
    <n v="1"/>
    <x v="2"/>
    <s v="MAVİÇAM"/>
    <m/>
    <m/>
    <m/>
    <m/>
    <x v="25"/>
    <s v="Değişim"/>
    <x v="2"/>
  </r>
  <r>
    <n v="49"/>
    <s v="INSIGHT ENERJİ"/>
    <s v="N/A"/>
    <x v="35"/>
    <s v="AAAA"/>
    <n v="1"/>
    <x v="2"/>
    <s v="MAVİÇAM"/>
    <m/>
    <m/>
    <m/>
    <m/>
    <x v="25"/>
    <s v="Değişim"/>
    <x v="2"/>
  </r>
  <r>
    <n v="49"/>
    <s v="INSIGHT ENERJİ"/>
    <s v="N/A"/>
    <x v="35"/>
    <s v="AAAA"/>
    <n v="1"/>
    <x v="2"/>
    <s v="MAVİÇAM"/>
    <m/>
    <m/>
    <m/>
    <m/>
    <x v="25"/>
    <s v="Değişim"/>
    <x v="2"/>
  </r>
  <r>
    <n v="50"/>
    <s v="SOLARAPEX"/>
    <s v="YEŞİLYURT"/>
    <x v="36"/>
    <s v="2360108BX0009489"/>
    <n v="1"/>
    <x v="1"/>
    <s v="JASOLAR"/>
    <m/>
    <n v="1900"/>
    <n v="1"/>
    <n v="45929"/>
    <x v="4"/>
    <s v="Tamir"/>
    <x v="3"/>
  </r>
  <r>
    <n v="50"/>
    <s v="SOLARAPEX"/>
    <s v="YEŞİLYURT"/>
    <x v="36"/>
    <s v="2360108BX0017202"/>
    <n v="1"/>
    <x v="1"/>
    <s v="JASOLAR"/>
    <m/>
    <n v="1900"/>
    <n v="1"/>
    <n v="45929"/>
    <x v="4"/>
    <s v="Tamir"/>
    <x v="3"/>
  </r>
  <r>
    <n v="50"/>
    <s v="SOLARAPEX"/>
    <s v="YEŞİLYURT"/>
    <x v="36"/>
    <s v="2360108BX0007629"/>
    <n v="1"/>
    <x v="1"/>
    <s v="JASOLAR"/>
    <m/>
    <n v="1900"/>
    <n v="1"/>
    <n v="45929"/>
    <x v="4"/>
    <s v="Tamir"/>
    <x v="3"/>
  </r>
  <r>
    <n v="50"/>
    <s v="SOLARAPEX"/>
    <s v="YEŞİLYURT"/>
    <x v="36"/>
    <s v="2360108BX0006290"/>
    <n v="1"/>
    <x v="1"/>
    <s v="JASOLAR"/>
    <m/>
    <n v="1900"/>
    <n v="1"/>
    <n v="45929"/>
    <x v="4"/>
    <s v="Tamir"/>
    <x v="3"/>
  </r>
  <r>
    <n v="50"/>
    <s v="SOLARAPEX"/>
    <s v="YEŞİLYURT"/>
    <x v="36"/>
    <s v="2360108BX0004068"/>
    <n v="1"/>
    <x v="1"/>
    <s v="JASOLAR"/>
    <m/>
    <n v="1900"/>
    <n v="1"/>
    <n v="45929"/>
    <x v="4"/>
    <s v="Tamir"/>
    <x v="3"/>
  </r>
  <r>
    <n v="50"/>
    <s v="SOLARAPEX"/>
    <s v="YEŞİLYURT"/>
    <x v="36"/>
    <s v="2380108BX0032170"/>
    <n v="1"/>
    <x v="1"/>
    <s v="JASOLAR"/>
    <m/>
    <n v="1900"/>
    <n v="1"/>
    <n v="45929"/>
    <x v="4"/>
    <s v="Tamir"/>
    <x v="3"/>
  </r>
  <r>
    <n v="50"/>
    <s v="SOLARAPEX"/>
    <s v="YEŞİLYURT"/>
    <x v="36"/>
    <s v="2370108BX0026497"/>
    <n v="1"/>
    <x v="1"/>
    <s v="JASOLAR"/>
    <m/>
    <n v="1900"/>
    <n v="1"/>
    <n v="45929"/>
    <x v="4"/>
    <s v="Tamir"/>
    <x v="3"/>
  </r>
  <r>
    <n v="50"/>
    <s v="SOLARAPEX"/>
    <s v="YEŞİLYURT"/>
    <x v="36"/>
    <s v="2380108BX0048543"/>
    <n v="1"/>
    <x v="1"/>
    <s v="JASOLAR"/>
    <m/>
    <n v="1900"/>
    <n v="1"/>
    <n v="45929"/>
    <x v="4"/>
    <s v="Tamir"/>
    <x v="3"/>
  </r>
  <r>
    <n v="50"/>
    <s v="SOLARAPEX"/>
    <s v="YEŞİLYURT"/>
    <x v="36"/>
    <s v="2380108BX0042101"/>
    <n v="1"/>
    <x v="1"/>
    <s v="JASOLAR"/>
    <m/>
    <n v="1900"/>
    <n v="1"/>
    <n v="45929"/>
    <x v="4"/>
    <s v="Tamir"/>
    <x v="3"/>
  </r>
  <r>
    <n v="50"/>
    <s v="SOLARAPEX"/>
    <s v="YEŞİLYURT"/>
    <x v="36"/>
    <s v="2370108BX0025923"/>
    <n v="1"/>
    <x v="1"/>
    <s v="JASOLAR"/>
    <m/>
    <n v="1900"/>
    <n v="1"/>
    <n v="45929"/>
    <x v="4"/>
    <s v="Tamir"/>
    <x v="3"/>
  </r>
  <r>
    <n v="50"/>
    <s v="SOLARAPEX"/>
    <s v="YEŞİLYURT"/>
    <x v="36"/>
    <s v="2340108BX0005693"/>
    <n v="1"/>
    <x v="1"/>
    <s v="JASOLAR"/>
    <m/>
    <n v="1900"/>
    <n v="1"/>
    <n v="45929"/>
    <x v="4"/>
    <s v="Tamir"/>
    <x v="3"/>
  </r>
  <r>
    <n v="50"/>
    <s v="SOLARAPEX"/>
    <s v="YEŞİLYURT"/>
    <x v="36"/>
    <s v="2340108BX0030379"/>
    <n v="1"/>
    <x v="1"/>
    <s v="JASOLAR"/>
    <m/>
    <n v="1900"/>
    <n v="1"/>
    <n v="45929"/>
    <x v="4"/>
    <s v="Tamir"/>
    <x v="3"/>
  </r>
  <r>
    <n v="50"/>
    <s v="SOLARAPEX"/>
    <s v="YEŞİLYURT"/>
    <x v="36"/>
    <s v="2340108BX0007754"/>
    <n v="1"/>
    <x v="1"/>
    <s v="JASOLAR"/>
    <m/>
    <n v="1900"/>
    <n v="1"/>
    <n v="45929"/>
    <x v="4"/>
    <s v="Tamir"/>
    <x v="3"/>
  </r>
  <r>
    <n v="50"/>
    <s v="SOLARAPEX"/>
    <s v="YEŞİLYURT"/>
    <x v="36"/>
    <s v="2340108BX0016791"/>
    <n v="1"/>
    <x v="1"/>
    <s v="JASOLAR"/>
    <m/>
    <n v="1900"/>
    <n v="1"/>
    <n v="45929"/>
    <x v="4"/>
    <s v="Tamir"/>
    <x v="3"/>
  </r>
  <r>
    <n v="50"/>
    <s v="SOLARAPEX"/>
    <s v="YEŞİLYURT"/>
    <x v="36"/>
    <s v="2340108BW0008673"/>
    <n v="1"/>
    <x v="1"/>
    <s v="JASOLAR"/>
    <m/>
    <n v="1900"/>
    <n v="1"/>
    <n v="45929"/>
    <x v="4"/>
    <s v="Tamir"/>
    <x v="3"/>
  </r>
  <r>
    <n v="50"/>
    <s v="SOLARAPEX"/>
    <s v="YEŞİLYURT"/>
    <x v="36"/>
    <s v="2390108BX0034566"/>
    <n v="1"/>
    <x v="1"/>
    <s v="JASOLAR"/>
    <m/>
    <n v="1900"/>
    <n v="1"/>
    <n v="45929"/>
    <x v="4"/>
    <s v="Tamir"/>
    <x v="3"/>
  </r>
  <r>
    <n v="50"/>
    <s v="SOLARAPEX"/>
    <s v="YEŞİLYURT"/>
    <x v="36"/>
    <s v="23A0108BX0003281"/>
    <n v="1"/>
    <x v="1"/>
    <s v="JASOLAR"/>
    <m/>
    <n v="1900"/>
    <n v="1"/>
    <n v="45929"/>
    <x v="4"/>
    <s v="Tamir"/>
    <x v="3"/>
  </r>
  <r>
    <n v="51"/>
    <s v="GENERAL SOLAR"/>
    <s v="PREDO GES "/>
    <x v="37"/>
    <s v="2340108BX0024728"/>
    <n v="1"/>
    <x v="1"/>
    <m/>
    <m/>
    <m/>
    <m/>
    <n v="45930"/>
    <x v="4"/>
    <s v="Tamir"/>
    <x v="2"/>
  </r>
  <r>
    <n v="51"/>
    <s v="GENERAL SOLAR"/>
    <s v="PREDO GES "/>
    <x v="37"/>
    <s v="2340108BX0022491"/>
    <n v="1"/>
    <x v="1"/>
    <m/>
    <m/>
    <m/>
    <m/>
    <n v="45930"/>
    <x v="4"/>
    <s v="Tamir"/>
    <x v="2"/>
  </r>
  <r>
    <n v="51"/>
    <s v="GENERAL SOLAR"/>
    <s v="PREDO GES "/>
    <x v="37"/>
    <s v="2340108BX0024541"/>
    <n v="1"/>
    <x v="1"/>
    <m/>
    <m/>
    <m/>
    <m/>
    <n v="45930"/>
    <x v="4"/>
    <s v="Tamir"/>
    <x v="2"/>
  </r>
  <r>
    <n v="51"/>
    <s v="GENERAL SOLAR"/>
    <s v="PREDO GES "/>
    <x v="37"/>
    <s v="2340108BX0023094"/>
    <n v="1"/>
    <x v="1"/>
    <m/>
    <m/>
    <m/>
    <m/>
    <n v="45930"/>
    <x v="4"/>
    <s v="Tamir"/>
    <x v="2"/>
  </r>
  <r>
    <n v="51"/>
    <s v="GENERAL SOLAR"/>
    <s v="PREDO GES "/>
    <x v="37"/>
    <s v="2330108BX0003186"/>
    <n v="1"/>
    <x v="1"/>
    <m/>
    <m/>
    <m/>
    <m/>
    <n v="45930"/>
    <x v="4"/>
    <s v="Tamir"/>
    <x v="2"/>
  </r>
  <r>
    <n v="51"/>
    <s v="GENERAL SOLAR"/>
    <s v="PREDO GES "/>
    <x v="37"/>
    <s v="2340108MC1025449"/>
    <n v="1"/>
    <x v="2"/>
    <m/>
    <m/>
    <m/>
    <m/>
    <n v="45930"/>
    <x v="4"/>
    <s v="Tamir"/>
    <x v="2"/>
  </r>
  <r>
    <n v="52"/>
    <s v="ÇAĞATAY ELEKTRİK"/>
    <s v="N/A"/>
    <x v="35"/>
    <s v="AAAA"/>
    <n v="1"/>
    <x v="2"/>
    <m/>
    <m/>
    <m/>
    <m/>
    <m/>
    <x v="25"/>
    <s v="Değişim"/>
    <x v="2"/>
  </r>
  <r>
    <n v="52"/>
    <s v="ÇAĞATAY ELEKTRİK"/>
    <s v="N/A"/>
    <x v="35"/>
    <s v="AAAA"/>
    <n v="1"/>
    <x v="2"/>
    <m/>
    <m/>
    <m/>
    <m/>
    <m/>
    <x v="25"/>
    <s v="Değişim"/>
    <x v="2"/>
  </r>
  <r>
    <n v="52"/>
    <s v="ÇAĞATAY ELEKTRİK"/>
    <s v="N/A"/>
    <x v="35"/>
    <s v="AAAA"/>
    <n v="1"/>
    <x v="2"/>
    <m/>
    <m/>
    <m/>
    <m/>
    <m/>
    <x v="25"/>
    <s v="Değişim"/>
    <x v="2"/>
  </r>
  <r>
    <n v="52"/>
    <s v="ÇAĞATAY ELEKTRİK"/>
    <s v="N/A"/>
    <x v="35"/>
    <s v="AAAA"/>
    <n v="1"/>
    <x v="2"/>
    <m/>
    <m/>
    <m/>
    <m/>
    <m/>
    <x v="25"/>
    <s v="Değişim"/>
    <x v="2"/>
  </r>
  <r>
    <n v="52"/>
    <s v="ÇAĞATAY ELEKTRİK"/>
    <s v="N/A"/>
    <x v="35"/>
    <s v="AAAA"/>
    <n v="1"/>
    <x v="2"/>
    <m/>
    <m/>
    <m/>
    <m/>
    <m/>
    <x v="25"/>
    <s v="Değişim"/>
    <x v="2"/>
  </r>
  <r>
    <n v="52"/>
    <s v="ÇAĞATAY ELEKTRİK"/>
    <s v="N/A"/>
    <x v="35"/>
    <s v="AAAA"/>
    <n v="1"/>
    <x v="2"/>
    <m/>
    <m/>
    <m/>
    <m/>
    <m/>
    <x v="25"/>
    <s v="Değişim"/>
    <x v="2"/>
  </r>
  <r>
    <n v="52"/>
    <s v="ÇAĞATAY ELEKTRİK"/>
    <s v="N/A"/>
    <x v="35"/>
    <s v="AAAA"/>
    <n v="1"/>
    <x v="2"/>
    <m/>
    <m/>
    <m/>
    <m/>
    <m/>
    <x v="25"/>
    <s v="Değişim"/>
    <x v="2"/>
  </r>
  <r>
    <n v="52"/>
    <s v="ÇAĞATAY ELEKTRİK"/>
    <s v="N/A"/>
    <x v="35"/>
    <s v="AAAA"/>
    <n v="1"/>
    <x v="2"/>
    <m/>
    <m/>
    <m/>
    <m/>
    <m/>
    <x v="25"/>
    <s v="Değişim"/>
    <x v="2"/>
  </r>
  <r>
    <n v="52"/>
    <s v="ÇAĞATAY ELEKTRİK"/>
    <s v="N/A"/>
    <x v="35"/>
    <s v="AAAA"/>
    <n v="1"/>
    <x v="2"/>
    <m/>
    <m/>
    <m/>
    <m/>
    <m/>
    <x v="25"/>
    <s v="Değişim"/>
    <x v="2"/>
  </r>
  <r>
    <n v="52"/>
    <s v="ÇAĞATAY ELEKTRİK"/>
    <s v="N/A"/>
    <x v="35"/>
    <s v="AAAA"/>
    <n v="1"/>
    <x v="2"/>
    <m/>
    <m/>
    <m/>
    <m/>
    <m/>
    <x v="25"/>
    <s v="Değişim"/>
    <x v="2"/>
  </r>
  <r>
    <n v="52"/>
    <s v="ÇAĞATAY ELEKTRİK"/>
    <s v="N/A"/>
    <x v="35"/>
    <s v="AAAA"/>
    <n v="1"/>
    <x v="2"/>
    <m/>
    <m/>
    <m/>
    <m/>
    <m/>
    <x v="25"/>
    <s v="Değişim"/>
    <x v="2"/>
  </r>
  <r>
    <n v="52"/>
    <s v="ÇAĞATAY ELEKTRİK"/>
    <s v="N/A"/>
    <x v="35"/>
    <s v="AAAA"/>
    <n v="1"/>
    <x v="2"/>
    <m/>
    <m/>
    <m/>
    <m/>
    <m/>
    <x v="25"/>
    <s v="Değişim"/>
    <x v="2"/>
  </r>
  <r>
    <n v="52"/>
    <s v="ÇAĞATAY ELEKTRİK"/>
    <s v="N/A"/>
    <x v="35"/>
    <s v="AAAA"/>
    <n v="1"/>
    <x v="2"/>
    <m/>
    <m/>
    <m/>
    <m/>
    <m/>
    <x v="25"/>
    <s v="Değişim"/>
    <x v="2"/>
  </r>
  <r>
    <n v="52"/>
    <s v="ÇAĞATAY ELEKTRİK"/>
    <s v="N/A"/>
    <x v="35"/>
    <s v="AAAA"/>
    <n v="1"/>
    <x v="2"/>
    <m/>
    <m/>
    <m/>
    <m/>
    <m/>
    <x v="25"/>
    <s v="Değişim"/>
    <x v="2"/>
  </r>
  <r>
    <n v="52"/>
    <s v="ÇAĞATAY ELEKTRİK"/>
    <s v="N/A"/>
    <x v="35"/>
    <s v="AAAA"/>
    <n v="1"/>
    <x v="2"/>
    <m/>
    <m/>
    <m/>
    <m/>
    <m/>
    <x v="25"/>
    <s v="Değişim"/>
    <x v="2"/>
  </r>
  <r>
    <n v="52"/>
    <s v="ÇAĞATAY ELEKTRİK"/>
    <s v="N/A"/>
    <x v="35"/>
    <s v="AAAA"/>
    <n v="1"/>
    <x v="2"/>
    <m/>
    <m/>
    <m/>
    <m/>
    <m/>
    <x v="25"/>
    <s v="Değişim"/>
    <x v="2"/>
  </r>
  <r>
    <n v="52"/>
    <s v="ÇAĞATAY ELEKTRİK"/>
    <s v="N/A"/>
    <x v="35"/>
    <s v="AAAA"/>
    <n v="1"/>
    <x v="2"/>
    <m/>
    <m/>
    <m/>
    <m/>
    <m/>
    <x v="25"/>
    <s v="Değişim"/>
    <x v="2"/>
  </r>
  <r>
    <n v="52"/>
    <s v="ÇAĞATAY ELEKTRİK"/>
    <s v="N/A"/>
    <x v="35"/>
    <s v="AAAA"/>
    <n v="1"/>
    <x v="2"/>
    <m/>
    <m/>
    <m/>
    <m/>
    <m/>
    <x v="25"/>
    <s v="Değişim"/>
    <x v="2"/>
  </r>
  <r>
    <n v="52"/>
    <s v="ÇAĞATAY ELEKTRİK"/>
    <s v="N/A"/>
    <x v="35"/>
    <s v="AAAA"/>
    <n v="1"/>
    <x v="2"/>
    <m/>
    <m/>
    <m/>
    <m/>
    <m/>
    <x v="25"/>
    <s v="Değişim"/>
    <x v="2"/>
  </r>
  <r>
    <n v="52"/>
    <s v="ÇAĞATAY ELEKTRİK"/>
    <s v="N/A"/>
    <x v="35"/>
    <s v="AAAA"/>
    <n v="1"/>
    <x v="2"/>
    <m/>
    <m/>
    <m/>
    <m/>
    <m/>
    <x v="25"/>
    <s v="Değişim"/>
    <x v="2"/>
  </r>
  <r>
    <n v="52"/>
    <s v="ÇAĞATAY ELEKTRİK"/>
    <s v="N/A"/>
    <x v="35"/>
    <s v="AAAA"/>
    <n v="1"/>
    <x v="2"/>
    <m/>
    <m/>
    <m/>
    <m/>
    <m/>
    <x v="25"/>
    <s v="Değişim"/>
    <x v="2"/>
  </r>
  <r>
    <n v="52"/>
    <s v="ÇAĞATAY ELEKTRİK"/>
    <s v="N/A"/>
    <x v="35"/>
    <s v="AAAA"/>
    <n v="1"/>
    <x v="2"/>
    <m/>
    <m/>
    <m/>
    <m/>
    <m/>
    <x v="25"/>
    <s v="Değişim"/>
    <x v="2"/>
  </r>
  <r>
    <n v="52"/>
    <s v="ÇAĞATAY ELEKTRİK"/>
    <s v="N/A"/>
    <x v="35"/>
    <s v="AAAA"/>
    <n v="1"/>
    <x v="2"/>
    <m/>
    <m/>
    <m/>
    <m/>
    <m/>
    <x v="25"/>
    <s v="Değişim"/>
    <x v="2"/>
  </r>
  <r>
    <n v="52"/>
    <s v="ÇAĞATAY ELEKTRİK"/>
    <s v="N/A"/>
    <x v="35"/>
    <s v="AAAA"/>
    <n v="1"/>
    <x v="2"/>
    <m/>
    <m/>
    <m/>
    <m/>
    <m/>
    <x v="25"/>
    <s v="Değişim"/>
    <x v="2"/>
  </r>
  <r>
    <n v="52"/>
    <s v="ÇAĞATAY ELEKTRİK"/>
    <s v="N/A"/>
    <x v="35"/>
    <s v="AAAA"/>
    <n v="1"/>
    <x v="2"/>
    <m/>
    <m/>
    <m/>
    <m/>
    <m/>
    <x v="25"/>
    <s v="Değişim"/>
    <x v="2"/>
  </r>
  <r>
    <n v="52"/>
    <s v="ÇAĞATAY ELEKTRİK"/>
    <s v="N/A"/>
    <x v="35"/>
    <s v="AAAA"/>
    <n v="1"/>
    <x v="2"/>
    <m/>
    <m/>
    <m/>
    <m/>
    <m/>
    <x v="25"/>
    <s v="Değişim"/>
    <x v="2"/>
  </r>
  <r>
    <n v="52"/>
    <s v="ÇAĞATAY ELEKTRİK"/>
    <s v="N/A"/>
    <x v="35"/>
    <s v="AAAA"/>
    <n v="1"/>
    <x v="2"/>
    <m/>
    <m/>
    <m/>
    <m/>
    <m/>
    <x v="25"/>
    <s v="Değişim"/>
    <x v="2"/>
  </r>
  <r>
    <n v="52"/>
    <s v="ÇAĞATAY ELEKTRİK"/>
    <s v="N/A"/>
    <x v="35"/>
    <s v="AAAA"/>
    <n v="1"/>
    <x v="2"/>
    <m/>
    <m/>
    <m/>
    <m/>
    <m/>
    <x v="25"/>
    <s v="Değişim"/>
    <x v="2"/>
  </r>
  <r>
    <n v="52"/>
    <s v="ÇAĞATAY ELEKTRİK"/>
    <s v="N/A"/>
    <x v="35"/>
    <s v="AAAA"/>
    <n v="1"/>
    <x v="2"/>
    <m/>
    <m/>
    <m/>
    <m/>
    <m/>
    <x v="25"/>
    <s v="Değişim"/>
    <x v="2"/>
  </r>
  <r>
    <n v="52"/>
    <s v="ÇAĞATAY ELEKTRİK"/>
    <s v="N/A"/>
    <x v="35"/>
    <s v="AAAA"/>
    <n v="1"/>
    <x v="2"/>
    <m/>
    <m/>
    <m/>
    <m/>
    <m/>
    <x v="25"/>
    <s v="Değişim"/>
    <x v="2"/>
  </r>
  <r>
    <n v="52"/>
    <s v="ÇAĞATAY ELEKTRİK"/>
    <s v="N/A"/>
    <x v="35"/>
    <s v="AAAA"/>
    <n v="1"/>
    <x v="2"/>
    <m/>
    <m/>
    <m/>
    <m/>
    <m/>
    <x v="25"/>
    <s v="Değişim"/>
    <x v="2"/>
  </r>
  <r>
    <n v="52"/>
    <s v="ÇAĞATAY ELEKTRİK"/>
    <s v="N/A"/>
    <x v="35"/>
    <s v="AAAA"/>
    <n v="1"/>
    <x v="2"/>
    <m/>
    <m/>
    <m/>
    <m/>
    <m/>
    <x v="25"/>
    <s v="Değişim"/>
    <x v="2"/>
  </r>
  <r>
    <n v="52"/>
    <s v="ÇAĞATAY ELEKTRİK"/>
    <s v="N/A"/>
    <x v="35"/>
    <s v="AAAA"/>
    <n v="1"/>
    <x v="2"/>
    <m/>
    <m/>
    <m/>
    <m/>
    <m/>
    <x v="25"/>
    <s v="Değişim"/>
    <x v="2"/>
  </r>
  <r>
    <n v="52"/>
    <s v="ÇAĞATAY ELEKTRİK"/>
    <s v="N/A"/>
    <x v="35"/>
    <s v="AAAA"/>
    <n v="1"/>
    <x v="2"/>
    <m/>
    <m/>
    <m/>
    <m/>
    <m/>
    <x v="25"/>
    <s v="Değişim"/>
    <x v="2"/>
  </r>
  <r>
    <n v="52"/>
    <s v="ÇAĞATAY ELEKTRİK"/>
    <s v="N/A"/>
    <x v="35"/>
    <s v="AAAA"/>
    <n v="1"/>
    <x v="2"/>
    <m/>
    <m/>
    <m/>
    <m/>
    <m/>
    <x v="25"/>
    <s v="Değişim"/>
    <x v="2"/>
  </r>
  <r>
    <n v="52"/>
    <s v="ÇAĞATAY ELEKTRİK"/>
    <s v="N/A"/>
    <x v="35"/>
    <s v="AAAA"/>
    <n v="1"/>
    <x v="2"/>
    <m/>
    <m/>
    <m/>
    <m/>
    <m/>
    <x v="25"/>
    <s v="Değişim"/>
    <x v="2"/>
  </r>
  <r>
    <n v="53"/>
    <s v="GERİLİM ENERJİ"/>
    <s v="ÖZCIVATA GES"/>
    <x v="38"/>
    <m/>
    <n v="1"/>
    <x v="1"/>
    <m/>
    <m/>
    <m/>
    <m/>
    <m/>
    <x v="25"/>
    <s v="Değişim"/>
    <x v="2"/>
  </r>
  <r>
    <n v="53"/>
    <s v="GERİLİM ENERJİ"/>
    <s v="ÖZCIVATA GES"/>
    <x v="38"/>
    <m/>
    <n v="1"/>
    <x v="1"/>
    <m/>
    <m/>
    <m/>
    <m/>
    <m/>
    <x v="25"/>
    <s v="Değişim"/>
    <x v="2"/>
  </r>
  <r>
    <n v="53"/>
    <s v="GERİLİM ENERJİ"/>
    <s v="ÖZCIVATA GES"/>
    <x v="38"/>
    <m/>
    <n v="1"/>
    <x v="1"/>
    <m/>
    <m/>
    <m/>
    <m/>
    <m/>
    <x v="25"/>
    <s v="Değişim"/>
    <x v="2"/>
  </r>
  <r>
    <n v="53"/>
    <s v="GERİLİM ENERJİ"/>
    <s v="ÖZCIVATA GES"/>
    <x v="38"/>
    <m/>
    <n v="1"/>
    <x v="1"/>
    <m/>
    <m/>
    <m/>
    <m/>
    <m/>
    <x v="25"/>
    <s v="Değişim"/>
    <x v="2"/>
  </r>
  <r>
    <n v="53"/>
    <s v="GERİLİM ENERJİ"/>
    <s v="ÖZCIVATA GES"/>
    <x v="38"/>
    <m/>
    <n v="1"/>
    <x v="1"/>
    <m/>
    <m/>
    <m/>
    <m/>
    <m/>
    <x v="25"/>
    <s v="Değişim"/>
    <x v="2"/>
  </r>
  <r>
    <n v="53"/>
    <s v="GERİLİM ENERJİ"/>
    <s v="ÖZCIVATA GES"/>
    <x v="38"/>
    <m/>
    <n v="1"/>
    <x v="1"/>
    <m/>
    <m/>
    <m/>
    <m/>
    <m/>
    <x v="25"/>
    <s v="Değişim"/>
    <x v="2"/>
  </r>
  <r>
    <n v="53"/>
    <s v="GERİLİM ENERJİ"/>
    <s v="ÖZCIVATA GES"/>
    <x v="38"/>
    <m/>
    <n v="1"/>
    <x v="1"/>
    <m/>
    <m/>
    <m/>
    <m/>
    <m/>
    <x v="25"/>
    <s v="Değişim"/>
    <x v="2"/>
  </r>
  <r>
    <n v="53"/>
    <s v="GERİLİM ENERJİ"/>
    <s v="ÖZCIVATA GES"/>
    <x v="38"/>
    <m/>
    <n v="1"/>
    <x v="1"/>
    <m/>
    <m/>
    <m/>
    <m/>
    <m/>
    <x v="25"/>
    <s v="Değişim"/>
    <x v="2"/>
  </r>
  <r>
    <n v="53"/>
    <s v="GERİLİM ENERJİ"/>
    <s v="ÖZCIVATA GES"/>
    <x v="38"/>
    <m/>
    <n v="1"/>
    <x v="1"/>
    <m/>
    <m/>
    <m/>
    <m/>
    <m/>
    <x v="25"/>
    <s v="Değişim"/>
    <x v="2"/>
  </r>
  <r>
    <n v="53"/>
    <s v="GERİLİM ENERJİ"/>
    <s v="ÖZCIVATA GES"/>
    <x v="38"/>
    <m/>
    <n v="1"/>
    <x v="1"/>
    <m/>
    <m/>
    <m/>
    <m/>
    <m/>
    <x v="25"/>
    <s v="Değişim"/>
    <x v="2"/>
  </r>
  <r>
    <n v="53"/>
    <s v="GERİLİM ENERJİ"/>
    <s v="ÖZCIVATA GES"/>
    <x v="38"/>
    <m/>
    <n v="1"/>
    <x v="1"/>
    <m/>
    <m/>
    <m/>
    <m/>
    <m/>
    <x v="25"/>
    <s v="Değişim"/>
    <x v="2"/>
  </r>
  <r>
    <n v="53"/>
    <s v="GERİLİM ENERJİ"/>
    <s v="ÖZCIVATA GES"/>
    <x v="38"/>
    <m/>
    <n v="1"/>
    <x v="1"/>
    <m/>
    <m/>
    <m/>
    <m/>
    <m/>
    <x v="25"/>
    <s v="Değişim"/>
    <x v="2"/>
  </r>
  <r>
    <n v="53"/>
    <s v="GERİLİM ENERJİ"/>
    <s v="ÖZCIVATA GES"/>
    <x v="38"/>
    <m/>
    <n v="1"/>
    <x v="1"/>
    <m/>
    <m/>
    <m/>
    <m/>
    <m/>
    <x v="25"/>
    <s v="Değişim"/>
    <x v="2"/>
  </r>
  <r>
    <n v="53"/>
    <s v="GERİLİM ENERJİ"/>
    <s v="ÖZCIVATA GES"/>
    <x v="38"/>
    <m/>
    <n v="1"/>
    <x v="1"/>
    <m/>
    <m/>
    <m/>
    <m/>
    <m/>
    <x v="25"/>
    <s v="Değişim"/>
    <x v="2"/>
  </r>
  <r>
    <n v="53"/>
    <s v="GERİLİM ENERJİ"/>
    <s v="ÖZCIVATA GES"/>
    <x v="38"/>
    <m/>
    <n v="1"/>
    <x v="1"/>
    <m/>
    <m/>
    <m/>
    <m/>
    <m/>
    <x v="25"/>
    <s v="Değişim"/>
    <x v="2"/>
  </r>
  <r>
    <n v="53"/>
    <s v="GERİLİM ENERJİ"/>
    <s v="ÖZCIVATA GES"/>
    <x v="38"/>
    <m/>
    <n v="1"/>
    <x v="1"/>
    <m/>
    <m/>
    <m/>
    <m/>
    <m/>
    <x v="25"/>
    <s v="Değişim"/>
    <x v="2"/>
  </r>
  <r>
    <n v="53"/>
    <s v="GERİLİM ENERJİ"/>
    <s v="ÖZCIVATA GES"/>
    <x v="38"/>
    <m/>
    <n v="1"/>
    <x v="1"/>
    <m/>
    <m/>
    <m/>
    <m/>
    <m/>
    <x v="25"/>
    <s v="Değişim"/>
    <x v="2"/>
  </r>
  <r>
    <n v="53"/>
    <s v="GERİLİM ENERJİ"/>
    <s v="ÖZCIVATA GES"/>
    <x v="38"/>
    <m/>
    <n v="1"/>
    <x v="1"/>
    <m/>
    <m/>
    <m/>
    <m/>
    <m/>
    <x v="25"/>
    <s v="Değişim"/>
    <x v="2"/>
  </r>
  <r>
    <n v="53"/>
    <s v="GERİLİM ENERJİ"/>
    <s v="ÖZCIVATA GES"/>
    <x v="38"/>
    <m/>
    <n v="1"/>
    <x v="1"/>
    <m/>
    <m/>
    <m/>
    <m/>
    <m/>
    <x v="25"/>
    <s v="Değişim"/>
    <x v="2"/>
  </r>
  <r>
    <n v="53"/>
    <s v="GERİLİM ENERJİ"/>
    <s v="ÖZCIVATA GES"/>
    <x v="38"/>
    <m/>
    <n v="1"/>
    <x v="1"/>
    <m/>
    <m/>
    <m/>
    <m/>
    <m/>
    <x v="25"/>
    <s v="Değişim"/>
    <x v="2"/>
  </r>
  <r>
    <n v="53"/>
    <s v="GERİLİM ENERJİ"/>
    <s v="ÖZCIVATA GES"/>
    <x v="38"/>
    <m/>
    <n v="1"/>
    <x v="1"/>
    <m/>
    <m/>
    <m/>
    <m/>
    <m/>
    <x v="25"/>
    <s v="Değişim"/>
    <x v="2"/>
  </r>
  <r>
    <n v="53"/>
    <s v="GERİLİM ENERJİ"/>
    <s v="ÖZCIVATA GES"/>
    <x v="38"/>
    <m/>
    <n v="1"/>
    <x v="1"/>
    <m/>
    <m/>
    <m/>
    <m/>
    <m/>
    <x v="25"/>
    <s v="Değişim"/>
    <x v="2"/>
  </r>
  <r>
    <n v="53"/>
    <s v="GERİLİM ENERJİ"/>
    <s v="ÖZCIVATA GES"/>
    <x v="38"/>
    <m/>
    <n v="1"/>
    <x v="1"/>
    <m/>
    <m/>
    <m/>
    <m/>
    <m/>
    <x v="25"/>
    <s v="Değişim"/>
    <x v="2"/>
  </r>
  <r>
    <n v="53"/>
    <s v="GERİLİM ENERJİ"/>
    <s v="ÖZCIVATA GES"/>
    <x v="38"/>
    <m/>
    <n v="1"/>
    <x v="1"/>
    <m/>
    <m/>
    <m/>
    <m/>
    <m/>
    <x v="25"/>
    <s v="Değişim"/>
    <x v="2"/>
  </r>
  <r>
    <n v="53"/>
    <s v="GERİLİM ENERJİ"/>
    <s v="ÖZCIVATA GES"/>
    <x v="38"/>
    <m/>
    <n v="1"/>
    <x v="1"/>
    <m/>
    <m/>
    <m/>
    <m/>
    <m/>
    <x v="25"/>
    <s v="Değişim"/>
    <x v="2"/>
  </r>
  <r>
    <n v="53"/>
    <s v="GERİLİM ENERJİ"/>
    <s v="ÖZCIVATA GES"/>
    <x v="38"/>
    <m/>
    <n v="1"/>
    <x v="1"/>
    <m/>
    <m/>
    <m/>
    <m/>
    <m/>
    <x v="25"/>
    <s v="Değişim"/>
    <x v="2"/>
  </r>
  <r>
    <n v="53"/>
    <s v="GERİLİM ENERJİ"/>
    <s v="ÖZCIVATA GES"/>
    <x v="38"/>
    <m/>
    <n v="1"/>
    <x v="1"/>
    <m/>
    <m/>
    <m/>
    <m/>
    <m/>
    <x v="25"/>
    <s v="Değişim"/>
    <x v="2"/>
  </r>
  <r>
    <n v="53"/>
    <s v="GERİLİM ENERJİ"/>
    <s v="ÖZCIVATA GES"/>
    <x v="38"/>
    <m/>
    <n v="1"/>
    <x v="1"/>
    <m/>
    <m/>
    <m/>
    <m/>
    <m/>
    <x v="25"/>
    <s v="Değişim"/>
    <x v="2"/>
  </r>
  <r>
    <n v="53"/>
    <s v="GERİLİM ENERJİ"/>
    <s v="ÖZCIVATA GES"/>
    <x v="38"/>
    <m/>
    <n v="1"/>
    <x v="1"/>
    <m/>
    <m/>
    <m/>
    <m/>
    <m/>
    <x v="25"/>
    <s v="Değişim"/>
    <x v="2"/>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r>
    <m/>
    <m/>
    <m/>
    <x v="39"/>
    <m/>
    <m/>
    <x v="0"/>
    <m/>
    <m/>
    <m/>
    <m/>
    <m/>
    <x v="26"/>
    <m/>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65">
  <r>
    <n v="2501"/>
    <x v="0"/>
    <s v="GÜRALSERAMİK"/>
    <d v="2025-01-21T00:00:00"/>
    <s v="2490108MC2016345"/>
    <n v="1"/>
    <s v="HSA-2"/>
    <m/>
    <d v="2024-09-01T00:00:00"/>
    <n v="2024"/>
    <n v="9"/>
    <n v="142"/>
    <x v="0"/>
    <x v="0"/>
    <x v="0"/>
    <x v="0"/>
  </r>
  <r>
    <n v="2501"/>
    <x v="0"/>
    <s v="GÜRALSERAMİK"/>
    <d v="2025-01-21T00:00:00"/>
    <s v="2490108MC2021386"/>
    <n v="1"/>
    <s v="HSA-2"/>
    <m/>
    <d v="2024-09-01T00:00:00"/>
    <n v="2024"/>
    <n v="9"/>
    <n v="142"/>
    <x v="0"/>
    <x v="0"/>
    <x v="0"/>
    <x v="0"/>
  </r>
  <r>
    <n v="2501"/>
    <x v="0"/>
    <s v="GÜRALSERAMİK"/>
    <d v="2025-01-21T00:00:00"/>
    <s v="2490108MC2005647"/>
    <n v="1"/>
    <s v="HSA-2"/>
    <m/>
    <d v="2024-09-01T00:00:00"/>
    <n v="2024"/>
    <n v="9"/>
    <n v="142"/>
    <x v="0"/>
    <x v="0"/>
    <x v="0"/>
    <x v="0"/>
  </r>
  <r>
    <n v="2501"/>
    <x v="0"/>
    <s v="GÜRALSERAMİK"/>
    <d v="2025-01-21T00:00:00"/>
    <s v="2490108MC2004636"/>
    <n v="1"/>
    <s v="HSA-2"/>
    <m/>
    <d v="2024-09-01T00:00:00"/>
    <n v="2024"/>
    <n v="9"/>
    <n v="142"/>
    <x v="1"/>
    <x v="0"/>
    <x v="0"/>
    <x v="0"/>
  </r>
  <r>
    <n v="2501"/>
    <x v="0"/>
    <s v="GÜRALSERAMİK"/>
    <d v="2025-01-21T00:00:00"/>
    <s v="2490108MC2004749"/>
    <n v="1"/>
    <s v="HSA-2"/>
    <m/>
    <d v="2024-09-01T00:00:00"/>
    <n v="2024"/>
    <n v="9"/>
    <n v="142"/>
    <x v="1"/>
    <x v="0"/>
    <x v="0"/>
    <x v="0"/>
  </r>
  <r>
    <n v="2501"/>
    <x v="0"/>
    <s v="GÜRALSERAMİK"/>
    <d v="2025-01-21T00:00:00"/>
    <s v="2490108MC2003126"/>
    <n v="1"/>
    <s v="HSA-2"/>
    <m/>
    <d v="2024-09-01T00:00:00"/>
    <n v="2024"/>
    <n v="9"/>
    <n v="142"/>
    <x v="0"/>
    <x v="0"/>
    <x v="0"/>
    <x v="0"/>
  </r>
  <r>
    <n v="2501"/>
    <x v="0"/>
    <s v="GÜRALSERAMİK"/>
    <d v="2025-01-21T00:00:00"/>
    <s v="2490108MC2019829"/>
    <n v="1"/>
    <s v="HSA-2"/>
    <m/>
    <d v="2024-09-01T00:00:00"/>
    <n v="2024"/>
    <n v="9"/>
    <n v="142"/>
    <x v="1"/>
    <x v="0"/>
    <x v="0"/>
    <x v="0"/>
  </r>
  <r>
    <n v="2501"/>
    <x v="0"/>
    <s v="GÜRALSERAMİK"/>
    <d v="2025-01-21T00:00:00"/>
    <s v="2490108MC2019421"/>
    <n v="1"/>
    <s v="HSA-2"/>
    <m/>
    <d v="2024-09-01T00:00:00"/>
    <n v="2024"/>
    <n v="9"/>
    <n v="142"/>
    <x v="0"/>
    <x v="0"/>
    <x v="0"/>
    <x v="0"/>
  </r>
  <r>
    <n v="2501"/>
    <x v="0"/>
    <s v="GÜRALSERAMİK"/>
    <d v="2025-01-21T00:00:00"/>
    <s v="2490108MC2019180"/>
    <n v="1"/>
    <s v="HSA-2"/>
    <m/>
    <d v="2024-09-01T00:00:00"/>
    <n v="2024"/>
    <n v="9"/>
    <n v="142"/>
    <x v="0"/>
    <x v="0"/>
    <x v="0"/>
    <x v="0"/>
  </r>
  <r>
    <n v="2502"/>
    <x v="1"/>
    <s v="JANTSA"/>
    <d v="2025-01-29T00:00:00"/>
    <s v="HSA1122020400297"/>
    <n v="1"/>
    <s v="HSA-1"/>
    <m/>
    <d v="2021-11-01T00:00:00"/>
    <n v="2021"/>
    <n v="11"/>
    <n v="1185"/>
    <x v="2"/>
    <x v="1"/>
    <x v="0"/>
    <x v="0"/>
  </r>
  <r>
    <n v="2502"/>
    <x v="1"/>
    <s v="JANTSA"/>
    <d v="2025-01-29T00:00:00"/>
    <s v="HSA1122020100500"/>
    <n v="1"/>
    <s v="HSA-1"/>
    <m/>
    <d v="2021-11-01T00:00:00"/>
    <n v="2021"/>
    <n v="11"/>
    <n v="1185"/>
    <x v="2"/>
    <x v="1"/>
    <x v="0"/>
    <x v="0"/>
  </r>
  <r>
    <n v="2502"/>
    <x v="1"/>
    <s v="JANTSA"/>
    <d v="2025-01-29T00:00:00"/>
    <s v="HSA1122011900909"/>
    <n v="1"/>
    <s v="HSA-1"/>
    <m/>
    <d v="2021-11-01T00:00:00"/>
    <n v="2021"/>
    <n v="11"/>
    <n v="1185"/>
    <x v="2"/>
    <x v="1"/>
    <x v="0"/>
    <x v="0"/>
  </r>
  <r>
    <n v="2502"/>
    <x v="1"/>
    <s v="JANTSA"/>
    <d v="2025-01-29T00:00:00"/>
    <s v="HSA1122020200504"/>
    <n v="1"/>
    <s v="HSA-1"/>
    <m/>
    <d v="2021-11-01T00:00:00"/>
    <n v="2021"/>
    <n v="11"/>
    <n v="1185"/>
    <x v="2"/>
    <x v="1"/>
    <x v="0"/>
    <x v="0"/>
  </r>
  <r>
    <n v="2502"/>
    <x v="1"/>
    <s v="JANTSA"/>
    <d v="2025-01-29T00:00:00"/>
    <s v="HSA1122012700437"/>
    <n v="1"/>
    <s v="HSA-1"/>
    <m/>
    <d v="2021-11-01T00:00:00"/>
    <n v="2021"/>
    <n v="11"/>
    <n v="1185"/>
    <x v="2"/>
    <x v="1"/>
    <x v="0"/>
    <x v="0"/>
  </r>
  <r>
    <n v="2502"/>
    <x v="1"/>
    <s v="JANTSA"/>
    <d v="2025-01-29T00:00:00"/>
    <s v="HSA1122020200579"/>
    <n v="1"/>
    <s v="HSA-1"/>
    <m/>
    <d v="2021-11-01T00:00:00"/>
    <n v="2021"/>
    <n v="11"/>
    <n v="1185"/>
    <x v="2"/>
    <x v="1"/>
    <x v="0"/>
    <x v="0"/>
  </r>
  <r>
    <n v="2502"/>
    <x v="1"/>
    <s v="JANTSA"/>
    <d v="2025-01-29T00:00:00"/>
    <s v="HSA1122012900108"/>
    <n v="1"/>
    <s v="HSA-1"/>
    <m/>
    <d v="2021-11-01T00:00:00"/>
    <n v="2021"/>
    <n v="11"/>
    <n v="1185"/>
    <x v="2"/>
    <x v="1"/>
    <x v="0"/>
    <x v="0"/>
  </r>
  <r>
    <n v="2502"/>
    <x v="1"/>
    <s v="JANTSA"/>
    <d v="2025-01-29T00:00:00"/>
    <s v="HSA1121083100123"/>
    <n v="1"/>
    <s v="HSA-1"/>
    <m/>
    <d v="2021-11-01T00:00:00"/>
    <n v="2021"/>
    <n v="11"/>
    <n v="1185"/>
    <x v="2"/>
    <x v="1"/>
    <x v="0"/>
    <x v="0"/>
  </r>
  <r>
    <n v="2502"/>
    <x v="1"/>
    <s v="JANTSA"/>
    <d v="2025-01-29T00:00:00"/>
    <s v="HSA1122011900611"/>
    <n v="1"/>
    <s v="HSA-1"/>
    <m/>
    <d v="2021-11-01T00:00:00"/>
    <n v="2021"/>
    <n v="11"/>
    <n v="1185"/>
    <x v="2"/>
    <x v="1"/>
    <x v="0"/>
    <x v="0"/>
  </r>
  <r>
    <n v="2502"/>
    <x v="1"/>
    <s v="JANTSA"/>
    <d v="2025-01-29T00:00:00"/>
    <s v="HSA1122020400057"/>
    <n v="1"/>
    <s v="HSA-1"/>
    <m/>
    <d v="2021-11-01T00:00:00"/>
    <n v="2021"/>
    <n v="11"/>
    <n v="1185"/>
    <x v="2"/>
    <x v="1"/>
    <x v="0"/>
    <x v="0"/>
  </r>
  <r>
    <n v="2502"/>
    <x v="1"/>
    <s v="JANTSA"/>
    <d v="2025-01-29T00:00:00"/>
    <s v="HSA1122012700615"/>
    <n v="1"/>
    <s v="HSA-1"/>
    <m/>
    <d v="2021-11-01T00:00:00"/>
    <n v="2021"/>
    <n v="11"/>
    <n v="1185"/>
    <x v="2"/>
    <x v="0"/>
    <x v="0"/>
    <x v="0"/>
  </r>
  <r>
    <n v="2502"/>
    <x v="1"/>
    <s v="JANTSA"/>
    <d v="2025-01-29T00:00:00"/>
    <s v="HSA1122020400105"/>
    <n v="1"/>
    <s v="HSA-1"/>
    <m/>
    <d v="2021-11-01T00:00:00"/>
    <n v="2021"/>
    <n v="11"/>
    <n v="1185"/>
    <x v="2"/>
    <x v="0"/>
    <x v="0"/>
    <x v="0"/>
  </r>
  <r>
    <n v="2502"/>
    <x v="1"/>
    <s v="JANTSA"/>
    <d v="2025-01-29T00:00:00"/>
    <s v="HSA1122012800440"/>
    <n v="1"/>
    <s v="HSA-1"/>
    <m/>
    <d v="2021-11-01T00:00:00"/>
    <n v="2021"/>
    <n v="11"/>
    <n v="1185"/>
    <x v="2"/>
    <x v="1"/>
    <x v="0"/>
    <x v="0"/>
  </r>
  <r>
    <n v="2502"/>
    <x v="1"/>
    <s v="JANTSA"/>
    <d v="2025-01-29T00:00:00"/>
    <s v="HSA1122020300559"/>
    <n v="1"/>
    <s v="HSA-1"/>
    <m/>
    <d v="2021-11-01T00:00:00"/>
    <n v="2021"/>
    <n v="11"/>
    <n v="1185"/>
    <x v="2"/>
    <x v="1"/>
    <x v="0"/>
    <x v="0"/>
  </r>
  <r>
    <n v="2502"/>
    <x v="1"/>
    <s v="JANTSA"/>
    <d v="2025-01-29T00:00:00"/>
    <s v="HSA1122020400474"/>
    <n v="1"/>
    <s v="HSA-1"/>
    <m/>
    <d v="2021-11-01T00:00:00"/>
    <n v="2021"/>
    <n v="11"/>
    <n v="1185"/>
    <x v="2"/>
    <x v="1"/>
    <x v="0"/>
    <x v="0"/>
  </r>
  <r>
    <n v="2502"/>
    <x v="1"/>
    <s v="JANTSA"/>
    <d v="2025-01-29T00:00:00"/>
    <s v="HSA1122012900866"/>
    <n v="1"/>
    <s v="HSA-1"/>
    <m/>
    <d v="2021-11-01T00:00:00"/>
    <n v="2021"/>
    <n v="11"/>
    <n v="1185"/>
    <x v="2"/>
    <x v="1"/>
    <x v="0"/>
    <x v="0"/>
  </r>
  <r>
    <n v="2502"/>
    <x v="1"/>
    <s v="JANTSA"/>
    <d v="2025-01-29T00:00:00"/>
    <s v="HSA1122020400019"/>
    <n v="1"/>
    <s v="HSA-1"/>
    <m/>
    <d v="2021-11-01T00:00:00"/>
    <n v="2021"/>
    <n v="11"/>
    <n v="1185"/>
    <x v="2"/>
    <x v="1"/>
    <x v="0"/>
    <x v="0"/>
  </r>
  <r>
    <n v="2502"/>
    <x v="1"/>
    <s v="JANTSA"/>
    <d v="2025-01-29T00:00:00"/>
    <s v="HSA1122020200864"/>
    <n v="1"/>
    <s v="HSA-1"/>
    <m/>
    <d v="2021-11-01T00:00:00"/>
    <n v="2021"/>
    <n v="11"/>
    <n v="1185"/>
    <x v="2"/>
    <x v="1"/>
    <x v="0"/>
    <x v="0"/>
  </r>
  <r>
    <n v="2502"/>
    <x v="1"/>
    <s v="JANTSA"/>
    <d v="2025-01-29T00:00:00"/>
    <s v="HSA1122012800828"/>
    <n v="1"/>
    <s v="HSA-1"/>
    <m/>
    <d v="2021-11-01T00:00:00"/>
    <n v="2021"/>
    <n v="11"/>
    <n v="1185"/>
    <x v="2"/>
    <x v="1"/>
    <x v="0"/>
    <x v="0"/>
  </r>
  <r>
    <n v="2503"/>
    <x v="1"/>
    <s v="JANTSA-HADDEHANE"/>
    <d v="2025-01-29T00:00:00"/>
    <s v="2320108MC2010500"/>
    <n v="1"/>
    <s v="HSA-2"/>
    <m/>
    <d v="2023-02-01T00:00:00"/>
    <n v="2023"/>
    <n v="2"/>
    <n v="728"/>
    <x v="2"/>
    <x v="1"/>
    <x v="0"/>
    <x v="0"/>
  </r>
  <r>
    <n v="2503"/>
    <x v="1"/>
    <s v="JANTSA-HADDEHANE"/>
    <d v="2025-01-29T00:00:00"/>
    <s v="2320108MC2012795"/>
    <n v="1"/>
    <s v="HSA-2"/>
    <m/>
    <d v="2023-02-01T00:00:00"/>
    <n v="2023"/>
    <n v="2"/>
    <n v="728"/>
    <x v="2"/>
    <x v="1"/>
    <x v="0"/>
    <x v="0"/>
  </r>
  <r>
    <n v="2503"/>
    <x v="1"/>
    <s v="JANTSA-HADDEHANE"/>
    <d v="2025-01-29T00:00:00"/>
    <s v="2320108MC2012647"/>
    <n v="1"/>
    <s v="HSA-2"/>
    <m/>
    <d v="2023-02-01T00:00:00"/>
    <n v="2023"/>
    <n v="2"/>
    <n v="728"/>
    <x v="2"/>
    <x v="1"/>
    <x v="0"/>
    <x v="0"/>
  </r>
  <r>
    <n v="2503"/>
    <x v="1"/>
    <s v="JANTSA-HADDEHANE"/>
    <d v="2025-01-29T00:00:00"/>
    <s v="2320108MC2012329"/>
    <n v="1"/>
    <s v="HSA-2"/>
    <m/>
    <d v="2023-02-01T00:00:00"/>
    <n v="2023"/>
    <n v="2"/>
    <n v="728"/>
    <x v="2"/>
    <x v="1"/>
    <x v="0"/>
    <x v="0"/>
  </r>
  <r>
    <n v="2503"/>
    <x v="1"/>
    <s v="JANTSA-HADDEHANE"/>
    <d v="2025-01-29T00:00:00"/>
    <s v="2320108MC2011805"/>
    <n v="1"/>
    <s v="HSA-2"/>
    <m/>
    <d v="2023-02-01T00:00:00"/>
    <n v="2023"/>
    <n v="2"/>
    <n v="728"/>
    <x v="2"/>
    <x v="1"/>
    <x v="0"/>
    <x v="0"/>
  </r>
  <r>
    <n v="2503"/>
    <x v="1"/>
    <s v="JANTSA-HADDEHANE"/>
    <d v="2025-01-29T00:00:00"/>
    <s v="2320108MC2012482"/>
    <n v="1"/>
    <s v="HSA-2"/>
    <m/>
    <d v="2023-02-01T00:00:00"/>
    <n v="2023"/>
    <n v="2"/>
    <n v="728"/>
    <x v="2"/>
    <x v="1"/>
    <x v="0"/>
    <x v="0"/>
  </r>
  <r>
    <n v="2503"/>
    <x v="1"/>
    <s v="JANTSA-HADDEHANE"/>
    <d v="2025-01-29T00:00:00"/>
    <s v="2320108MC2012408"/>
    <n v="1"/>
    <s v="HSA-2"/>
    <m/>
    <d v="2023-02-01T00:00:00"/>
    <n v="2023"/>
    <n v="2"/>
    <n v="728"/>
    <x v="2"/>
    <x v="1"/>
    <x v="0"/>
    <x v="0"/>
  </r>
  <r>
    <n v="2503"/>
    <x v="1"/>
    <s v="JANTSA-HADDEHANE"/>
    <d v="2025-01-29T00:00:00"/>
    <s v="2320108MC2012620"/>
    <n v="1"/>
    <s v="HSA-2"/>
    <m/>
    <d v="2023-02-01T00:00:00"/>
    <n v="2023"/>
    <n v="2"/>
    <n v="728"/>
    <x v="2"/>
    <x v="1"/>
    <x v="0"/>
    <x v="0"/>
  </r>
  <r>
    <n v="2503"/>
    <x v="1"/>
    <s v="JANTSA-HADDEHANE"/>
    <d v="2025-01-29T00:00:00"/>
    <s v="2320108MC2012798"/>
    <n v="1"/>
    <s v="HSA-2"/>
    <m/>
    <d v="2023-02-01T00:00:00"/>
    <n v="2023"/>
    <n v="2"/>
    <n v="728"/>
    <x v="2"/>
    <x v="1"/>
    <x v="0"/>
    <x v="0"/>
  </r>
  <r>
    <n v="2503"/>
    <x v="1"/>
    <s v="JANTSA-HADDEHANE"/>
    <d v="2025-01-29T00:00:00"/>
    <s v="2320108MC2012417"/>
    <n v="1"/>
    <s v="HSA-2"/>
    <m/>
    <d v="2023-02-01T00:00:00"/>
    <n v="2023"/>
    <n v="2"/>
    <n v="728"/>
    <x v="2"/>
    <x v="1"/>
    <x v="0"/>
    <x v="0"/>
  </r>
  <r>
    <n v="2503"/>
    <x v="1"/>
    <s v="JANTSA-HADDEHANE"/>
    <d v="2025-01-29T00:00:00"/>
    <s v="2320108MC2013065"/>
    <n v="1"/>
    <s v="HSA-2"/>
    <m/>
    <d v="2023-02-01T00:00:00"/>
    <n v="2023"/>
    <n v="2"/>
    <n v="728"/>
    <x v="2"/>
    <x v="1"/>
    <x v="0"/>
    <x v="0"/>
  </r>
  <r>
    <n v="2504"/>
    <x v="1"/>
    <s v="JANTSA-ORTAKLAR"/>
    <d v="2025-01-29T00:00:00"/>
    <s v="2310108MC2016899"/>
    <n v="1"/>
    <s v="HSA-2"/>
    <m/>
    <d v="2023-01-01T00:00:00"/>
    <n v="2023"/>
    <n v="1"/>
    <n v="759"/>
    <x v="2"/>
    <x v="1"/>
    <x v="0"/>
    <x v="0"/>
  </r>
  <r>
    <n v="2504"/>
    <x v="1"/>
    <s v="JANTSA-ORTAKLAR"/>
    <d v="2025-01-29T00:00:00"/>
    <s v="2310108MC2009246"/>
    <n v="1"/>
    <s v="HSA-2"/>
    <m/>
    <d v="2023-01-01T00:00:00"/>
    <n v="2023"/>
    <n v="1"/>
    <n v="759"/>
    <x v="2"/>
    <x v="1"/>
    <x v="0"/>
    <x v="0"/>
  </r>
  <r>
    <n v="2504"/>
    <x v="1"/>
    <s v="JANTSA-ORTAKLAR"/>
    <d v="2025-01-29T00:00:00"/>
    <s v="2310108MC2010330"/>
    <n v="1"/>
    <s v="HSA-2"/>
    <m/>
    <d v="2023-01-01T00:00:00"/>
    <n v="2023"/>
    <n v="1"/>
    <n v="759"/>
    <x v="2"/>
    <x v="0"/>
    <x v="0"/>
    <x v="0"/>
  </r>
  <r>
    <n v="2504"/>
    <x v="1"/>
    <s v="JANTSA-ORTAKLAR"/>
    <d v="2025-01-29T00:00:00"/>
    <s v="2320108MC2012554"/>
    <n v="1"/>
    <s v="HSA-2"/>
    <m/>
    <d v="2023-02-01T00:00:00"/>
    <n v="2023"/>
    <n v="2"/>
    <n v="728"/>
    <x v="2"/>
    <x v="1"/>
    <x v="0"/>
    <x v="0"/>
  </r>
  <r>
    <n v="2504"/>
    <x v="1"/>
    <s v="JANTSA-ORTAKLAR"/>
    <d v="2025-01-29T00:00:00"/>
    <s v="2320108MC2011577"/>
    <n v="1"/>
    <s v="HSA-2"/>
    <m/>
    <d v="2023-02-01T00:00:00"/>
    <n v="2023"/>
    <n v="2"/>
    <n v="728"/>
    <x v="2"/>
    <x v="1"/>
    <x v="0"/>
    <x v="0"/>
  </r>
  <r>
    <n v="2504"/>
    <x v="1"/>
    <s v="JANTSA-ORTAKLAR"/>
    <d v="2025-01-29T00:00:00"/>
    <s v="2320108MC2012977"/>
    <n v="1"/>
    <s v="HSA-2"/>
    <m/>
    <d v="2023-02-01T00:00:00"/>
    <n v="2023"/>
    <n v="2"/>
    <n v="728"/>
    <x v="2"/>
    <x v="1"/>
    <x v="0"/>
    <x v="0"/>
  </r>
  <r>
    <n v="2504"/>
    <x v="1"/>
    <s v="JANTSA-ORTAKLAR"/>
    <d v="2025-01-29T00:00:00"/>
    <s v="2320108MC2012272"/>
    <n v="1"/>
    <s v="HSA-2"/>
    <m/>
    <d v="2023-02-01T00:00:00"/>
    <n v="2023"/>
    <n v="2"/>
    <n v="728"/>
    <x v="2"/>
    <x v="1"/>
    <x v="0"/>
    <x v="0"/>
  </r>
  <r>
    <n v="2505"/>
    <x v="1"/>
    <s v="PMI"/>
    <d v="2025-01-29T00:00:00"/>
    <s v="2390108BX0025745"/>
    <n v="1"/>
    <s v="HSA-2"/>
    <m/>
    <d v="2024-09-01T00:00:00"/>
    <n v="2024"/>
    <n v="9"/>
    <n v="150"/>
    <x v="2"/>
    <x v="0"/>
    <x v="0"/>
    <x v="0"/>
  </r>
  <r>
    <n v="2505"/>
    <x v="1"/>
    <s v="PMI"/>
    <d v="2025-01-29T00:00:00"/>
    <s v="2320108MC2020259"/>
    <n v="1"/>
    <s v="HSA-2"/>
    <m/>
    <d v="2023-02-01T00:00:00"/>
    <n v="2023"/>
    <n v="2"/>
    <n v="728"/>
    <x v="2"/>
    <x v="1"/>
    <x v="0"/>
    <x v="0"/>
  </r>
  <r>
    <n v="2505"/>
    <x v="1"/>
    <s v="PMI"/>
    <d v="2025-01-29T00:00:00"/>
    <s v="2320108MC2020309"/>
    <n v="1"/>
    <s v="HSA-2"/>
    <m/>
    <d v="2023-02-01T00:00:00"/>
    <n v="2023"/>
    <n v="2"/>
    <n v="728"/>
    <x v="2"/>
    <x v="1"/>
    <x v="0"/>
    <x v="0"/>
  </r>
  <r>
    <n v="2506"/>
    <x v="1"/>
    <s v="ARNES"/>
    <d v="2025-02-04T00:00:00"/>
    <s v="HSA1122020500313"/>
    <n v="1"/>
    <s v="HSA-1"/>
    <m/>
    <d v="2021-11-01T00:00:00"/>
    <n v="2021"/>
    <n v="11"/>
    <n v="1191"/>
    <x v="2"/>
    <x v="2"/>
    <x v="1"/>
    <x v="1"/>
  </r>
  <r>
    <n v="2506"/>
    <x v="1"/>
    <s v="ARNES"/>
    <d v="2025-02-04T00:00:00"/>
    <s v="2240108BW0019160"/>
    <n v="1"/>
    <s v="HSA-1"/>
    <m/>
    <d v="2022-04-01T00:00:00"/>
    <n v="2022"/>
    <n v="4"/>
    <n v="1040"/>
    <x v="2"/>
    <x v="2"/>
    <x v="1"/>
    <x v="1"/>
  </r>
  <r>
    <n v="2506"/>
    <x v="1"/>
    <s v="ARNES"/>
    <d v="2025-02-04T00:00:00"/>
    <s v="HSA1122020500082"/>
    <n v="1"/>
    <s v="HSA-1"/>
    <m/>
    <d v="2021-11-01T00:00:00"/>
    <n v="2021"/>
    <n v="11"/>
    <n v="1191"/>
    <x v="2"/>
    <x v="2"/>
    <x v="1"/>
    <x v="1"/>
  </r>
  <r>
    <n v="2507"/>
    <x v="1"/>
    <s v="MAYTEKS"/>
    <d v="2025-02-04T00:00:00"/>
    <s v="2350108BXD009285"/>
    <n v="1"/>
    <s v="HSA-2"/>
    <m/>
    <d v="2023-05-01T00:00:00"/>
    <n v="2023"/>
    <n v="5"/>
    <n v="645"/>
    <x v="2"/>
    <x v="1"/>
    <x v="0"/>
    <x v="1"/>
  </r>
  <r>
    <n v="2507"/>
    <x v="1"/>
    <s v="MAYTEKS"/>
    <d v="2025-02-04T00:00:00"/>
    <s v="2340108BXD030775"/>
    <n v="1"/>
    <s v="HSA-2"/>
    <m/>
    <d v="2023-04-01T00:00:00"/>
    <n v="2023"/>
    <n v="4"/>
    <n v="675"/>
    <x v="2"/>
    <x v="1"/>
    <x v="0"/>
    <x v="1"/>
  </r>
  <r>
    <n v="2508"/>
    <x v="2"/>
    <s v="MELİKETEKSTİL"/>
    <d v="2025-01-28T00:00:00"/>
    <s v="2330108BW0021986"/>
    <n v="1"/>
    <s v="HSA-1"/>
    <m/>
    <d v="2023-03-01T00:00:00"/>
    <n v="2023"/>
    <n v="3"/>
    <n v="699"/>
    <x v="3"/>
    <x v="2"/>
    <x v="1"/>
    <x v="0"/>
  </r>
  <r>
    <n v="2509"/>
    <x v="3"/>
    <s v="LİMAK"/>
    <d v="2025-02-26T00:00:00"/>
    <s v="E3FXT425A219990037902616"/>
    <n v="1"/>
    <s v="HSA-2"/>
    <m/>
    <d v="2025-01-01T00:00:00"/>
    <n v="2025"/>
    <n v="1"/>
    <n v="56"/>
    <x v="4"/>
    <x v="2"/>
    <x v="0"/>
    <x v="1"/>
  </r>
  <r>
    <n v="2510"/>
    <x v="3"/>
    <s v="LİMAK"/>
    <d v="2025-03-13T00:00:00"/>
    <s v="E3FXT425A22999"/>
    <n v="1"/>
    <s v="HSA-2"/>
    <m/>
    <d v="2025-01-01T00:00:00"/>
    <n v="2025"/>
    <n v="1"/>
    <n v="71"/>
    <x v="5"/>
    <x v="2"/>
    <x v="0"/>
    <x v="2"/>
  </r>
  <r>
    <n v="2510"/>
    <x v="3"/>
    <s v="LİMAK"/>
    <d v="2025-03-13T00:00:00"/>
    <s v="E3FXT425A22999"/>
    <n v="1"/>
    <s v="HSA-2"/>
    <m/>
    <d v="2025-01-01T00:00:00"/>
    <n v="2025"/>
    <n v="1"/>
    <n v="71"/>
    <x v="5"/>
    <x v="2"/>
    <x v="0"/>
    <x v="2"/>
  </r>
  <r>
    <n v="2510"/>
    <x v="3"/>
    <s v="LİMAK"/>
    <d v="2025-03-13T00:00:00"/>
    <s v="E3FXT425A22999"/>
    <n v="1"/>
    <s v="HSA-2"/>
    <m/>
    <d v="2025-01-01T00:00:00"/>
    <n v="2025"/>
    <n v="1"/>
    <n v="71"/>
    <x v="5"/>
    <x v="2"/>
    <x v="0"/>
    <x v="2"/>
  </r>
  <r>
    <n v="2510"/>
    <x v="3"/>
    <s v="LİMAK"/>
    <d v="2025-03-13T00:00:00"/>
    <s v="E3FXT425A22999"/>
    <n v="1"/>
    <s v="HSA-2"/>
    <m/>
    <d v="2025-01-01T00:00:00"/>
    <n v="2025"/>
    <n v="1"/>
    <n v="71"/>
    <x v="5"/>
    <x v="2"/>
    <x v="0"/>
    <x v="2"/>
  </r>
  <r>
    <n v="2511"/>
    <x v="4"/>
    <s v="IDAMARMERMER"/>
    <d v="2025-03-21T00:00:00"/>
    <s v="2450308MC1023912"/>
    <n v="1"/>
    <s v="HSA-1"/>
    <m/>
    <d v="2024-05-01T00:00:00"/>
    <n v="2024"/>
    <n v="5"/>
    <n v="324"/>
    <x v="1"/>
    <x v="2"/>
    <x v="0"/>
    <x v="2"/>
  </r>
  <r>
    <n v="2511"/>
    <x v="4"/>
    <s v="IDAMARMERMER"/>
    <d v="2025-03-21T00:00:00"/>
    <s v="2450308MC1020363"/>
    <n v="1"/>
    <s v="HSA-1"/>
    <m/>
    <d v="2024-05-01T00:00:00"/>
    <n v="2024"/>
    <n v="5"/>
    <n v="324"/>
    <x v="1"/>
    <x v="2"/>
    <x v="0"/>
    <x v="2"/>
  </r>
  <r>
    <n v="2512"/>
    <x v="0"/>
    <s v="GÜRALSERAMİK"/>
    <d v="2025-04-03T00:00:00"/>
    <s v="2490108MC2022367"/>
    <n v="1"/>
    <s v="HSA-2"/>
    <m/>
    <d v="2024-09-01T00:00:00"/>
    <n v="2024"/>
    <n v="9"/>
    <n v="214"/>
    <x v="2"/>
    <x v="1"/>
    <x v="0"/>
    <x v="3"/>
  </r>
  <r>
    <n v="2512"/>
    <x v="0"/>
    <s v="GÜRALSERAMİK"/>
    <d v="2025-04-03T00:00:00"/>
    <s v="2490108MC2017322"/>
    <n v="1"/>
    <s v="HSA-2"/>
    <m/>
    <d v="2024-09-01T00:00:00"/>
    <n v="2024"/>
    <n v="9"/>
    <n v="214"/>
    <x v="2"/>
    <x v="1"/>
    <x v="0"/>
    <x v="3"/>
  </r>
  <r>
    <n v="2512"/>
    <x v="0"/>
    <s v="GÜRALSERAMİK"/>
    <d v="2025-04-03T00:00:00"/>
    <s v="2490108MC2022358"/>
    <n v="1"/>
    <s v="HSA-2"/>
    <m/>
    <d v="2024-09-01T00:00:00"/>
    <n v="2024"/>
    <n v="9"/>
    <n v="214"/>
    <x v="2"/>
    <x v="1"/>
    <x v="0"/>
    <x v="3"/>
  </r>
  <r>
    <n v="2512"/>
    <x v="0"/>
    <s v="GÜRALSERAMİK"/>
    <d v="2025-04-03T00:00:00"/>
    <s v="2490108MC2012706"/>
    <n v="1"/>
    <s v="HSA-2"/>
    <m/>
    <d v="2024-09-01T00:00:00"/>
    <n v="2024"/>
    <n v="9"/>
    <n v="214"/>
    <x v="2"/>
    <x v="1"/>
    <x v="0"/>
    <x v="3"/>
  </r>
  <r>
    <n v="2512"/>
    <x v="0"/>
    <s v="GÜRALSERAMİK"/>
    <d v="2025-04-03T00:00:00"/>
    <s v="2490108MC2020108"/>
    <n v="1"/>
    <s v="HSA-2"/>
    <m/>
    <d v="2024-09-01T00:00:00"/>
    <n v="2024"/>
    <n v="9"/>
    <n v="214"/>
    <x v="2"/>
    <x v="1"/>
    <x v="0"/>
    <x v="3"/>
  </r>
  <r>
    <n v="2512"/>
    <x v="0"/>
    <s v="GÜRALSERAMİK"/>
    <d v="2025-04-03T00:00:00"/>
    <s v="2490108MC2002082"/>
    <n v="1"/>
    <s v="HSA-2"/>
    <m/>
    <d v="2024-09-01T00:00:00"/>
    <n v="2024"/>
    <n v="9"/>
    <n v="214"/>
    <x v="2"/>
    <x v="1"/>
    <x v="0"/>
    <x v="3"/>
  </r>
  <r>
    <n v="2512"/>
    <x v="0"/>
    <s v="GÜRALSERAMİK"/>
    <d v="2025-04-03T00:00:00"/>
    <s v="2490108MC2010651"/>
    <n v="1"/>
    <s v="HSA-2"/>
    <m/>
    <d v="2024-09-01T00:00:00"/>
    <n v="2024"/>
    <n v="9"/>
    <n v="214"/>
    <x v="2"/>
    <x v="1"/>
    <x v="0"/>
    <x v="3"/>
  </r>
  <r>
    <n v="2512"/>
    <x v="0"/>
    <s v="GÜRALSERAMİK"/>
    <d v="2025-04-03T00:00:00"/>
    <s v="2490108MC2007180"/>
    <n v="1"/>
    <s v="HSA-2"/>
    <m/>
    <d v="2024-09-01T00:00:00"/>
    <n v="2024"/>
    <n v="9"/>
    <n v="214"/>
    <x v="2"/>
    <x v="1"/>
    <x v="0"/>
    <x v="3"/>
  </r>
  <r>
    <n v="2512"/>
    <x v="0"/>
    <s v="GÜRALSERAMİK"/>
    <d v="2025-04-03T00:00:00"/>
    <s v="2490108MC2017832"/>
    <n v="1"/>
    <s v="HSA-2"/>
    <m/>
    <d v="2024-09-01T00:00:00"/>
    <n v="2024"/>
    <n v="9"/>
    <n v="214"/>
    <x v="2"/>
    <x v="1"/>
    <x v="0"/>
    <x v="3"/>
  </r>
  <r>
    <n v="2512"/>
    <x v="0"/>
    <s v="GÜRALSERAMİK"/>
    <d v="2025-04-03T00:00:00"/>
    <s v="2490108MC2006709"/>
    <n v="1"/>
    <s v="HSA-2"/>
    <m/>
    <d v="2024-09-01T00:00:00"/>
    <n v="2024"/>
    <n v="9"/>
    <n v="214"/>
    <x v="2"/>
    <x v="1"/>
    <x v="0"/>
    <x v="3"/>
  </r>
  <r>
    <n v="2512"/>
    <x v="0"/>
    <s v="GÜRALSERAMİK"/>
    <d v="2025-04-03T00:00:00"/>
    <s v="2490108MC2006770"/>
    <n v="1"/>
    <s v="HSA-2"/>
    <m/>
    <d v="2024-09-01T00:00:00"/>
    <n v="2024"/>
    <n v="9"/>
    <n v="214"/>
    <x v="2"/>
    <x v="1"/>
    <x v="0"/>
    <x v="3"/>
  </r>
  <r>
    <n v="2513"/>
    <x v="5"/>
    <s v="YEŞİLYURT"/>
    <d v="2025-04-04T00:00:00"/>
    <s v="2520107BW0036999"/>
    <n v="1"/>
    <s v="HSA-1"/>
    <m/>
    <d v="2025-02-01T00:00:00"/>
    <n v="2025"/>
    <n v="2"/>
    <n v="62"/>
    <x v="6"/>
    <x v="2"/>
    <x v="0"/>
    <x v="3"/>
  </r>
  <r>
    <n v="2513"/>
    <x v="5"/>
    <s v="YEŞİLYURT"/>
    <d v="2025-04-04T00:00:00"/>
    <s v="2530108BW0003978"/>
    <n v="1"/>
    <s v="HSA-1"/>
    <m/>
    <d v="2025-02-01T00:00:00"/>
    <n v="2025"/>
    <n v="2"/>
    <n v="62"/>
    <x v="6"/>
    <x v="2"/>
    <x v="0"/>
    <x v="3"/>
  </r>
  <r>
    <n v="2514"/>
    <x v="6"/>
    <s v="ABCSOLAR"/>
    <d v="2025-04-08T00:00:00"/>
    <s v="2510107BW0034660"/>
    <n v="1"/>
    <s v="HSA-1"/>
    <m/>
    <m/>
    <n v="1900"/>
    <n v="1"/>
    <n v="45755"/>
    <x v="6"/>
    <x v="2"/>
    <x v="0"/>
    <x v="3"/>
  </r>
  <r>
    <n v="2514"/>
    <x v="6"/>
    <s v="ABCSOLAR"/>
    <d v="2025-04-08T00:00:00"/>
    <s v="2510107BW0037356"/>
    <n v="1"/>
    <s v="HSA-1"/>
    <m/>
    <m/>
    <n v="1900"/>
    <n v="1"/>
    <n v="45755"/>
    <x v="6"/>
    <x v="2"/>
    <x v="0"/>
    <x v="3"/>
  </r>
  <r>
    <n v="2514"/>
    <x v="6"/>
    <s v="ABCSOLAR"/>
    <d v="2025-04-08T00:00:00"/>
    <s v="2510107BW0038320"/>
    <n v="1"/>
    <s v="HSA-1"/>
    <m/>
    <m/>
    <n v="1900"/>
    <n v="1"/>
    <n v="45755"/>
    <x v="6"/>
    <x v="2"/>
    <x v="0"/>
    <x v="3"/>
  </r>
  <r>
    <n v="2514"/>
    <x v="6"/>
    <s v="ABCSOLAR"/>
    <d v="2025-04-08T00:00:00"/>
    <s v="2510107BW0038404"/>
    <n v="1"/>
    <s v="HSA-1"/>
    <m/>
    <m/>
    <n v="1900"/>
    <n v="1"/>
    <n v="45755"/>
    <x v="6"/>
    <x v="2"/>
    <x v="0"/>
    <x v="3"/>
  </r>
  <r>
    <n v="2514"/>
    <x v="6"/>
    <s v="ABCSOLAR"/>
    <d v="2025-04-08T00:00:00"/>
    <s v="2510107BW0038097"/>
    <n v="1"/>
    <s v="HSA-1"/>
    <m/>
    <m/>
    <n v="1900"/>
    <n v="1"/>
    <n v="45755"/>
    <x v="6"/>
    <x v="2"/>
    <x v="0"/>
    <x v="3"/>
  </r>
  <r>
    <n v="2514"/>
    <x v="6"/>
    <s v="ABCSOLAR"/>
    <d v="2025-04-08T00:00:00"/>
    <s v="2510107BW0037184"/>
    <n v="1"/>
    <s v="HSA-1"/>
    <m/>
    <m/>
    <n v="1900"/>
    <n v="1"/>
    <n v="45755"/>
    <x v="6"/>
    <x v="2"/>
    <x v="0"/>
    <x v="3"/>
  </r>
  <r>
    <n v="2514"/>
    <x v="6"/>
    <s v="ABCSOLAR"/>
    <d v="2025-04-08T00:00:00"/>
    <s v="2510107BW0037220"/>
    <n v="1"/>
    <s v="HSA-1"/>
    <m/>
    <m/>
    <n v="1900"/>
    <n v="1"/>
    <n v="45755"/>
    <x v="6"/>
    <x v="2"/>
    <x v="0"/>
    <x v="3"/>
  </r>
  <r>
    <n v="2514"/>
    <x v="6"/>
    <s v="ABCSOLAR"/>
    <d v="2025-04-08T00:00:00"/>
    <s v="2510107BW0034800"/>
    <n v="1"/>
    <s v="HSA-1"/>
    <m/>
    <m/>
    <n v="1900"/>
    <n v="1"/>
    <n v="45755"/>
    <x v="6"/>
    <x v="2"/>
    <x v="0"/>
    <x v="3"/>
  </r>
  <r>
    <n v="2514"/>
    <x v="6"/>
    <s v="ABCSOLAR"/>
    <d v="2025-04-08T00:00:00"/>
    <s v="2510107BW0034672"/>
    <n v="1"/>
    <s v="HSA-1"/>
    <m/>
    <m/>
    <n v="1900"/>
    <n v="1"/>
    <n v="45755"/>
    <x v="6"/>
    <x v="2"/>
    <x v="0"/>
    <x v="3"/>
  </r>
  <r>
    <n v="2515"/>
    <x v="7"/>
    <s v="CIZMELIGIDA"/>
    <d v="2025-04-18T00:00:00"/>
    <s v="2510307MC1000617"/>
    <n v="1"/>
    <s v="HSA-1"/>
    <m/>
    <d v="2025-02-01T00:00:00"/>
    <n v="2025"/>
    <n v="2"/>
    <n v="76"/>
    <x v="2"/>
    <x v="2"/>
    <x v="0"/>
    <x v="3"/>
  </r>
  <r>
    <n v="2515"/>
    <x v="7"/>
    <s v="CIZMELIGIDA"/>
    <d v="2025-04-18T00:00:00"/>
    <s v="2510307MC1005245"/>
    <n v="1"/>
    <s v="HSA-1"/>
    <m/>
    <d v="2025-02-01T00:00:00"/>
    <n v="2025"/>
    <n v="2"/>
    <n v="76"/>
    <x v="2"/>
    <x v="2"/>
    <x v="0"/>
    <x v="3"/>
  </r>
  <r>
    <n v="2515"/>
    <x v="7"/>
    <s v="CIZMELIGIDA"/>
    <d v="2025-04-18T00:00:00"/>
    <s v="2510307MC1003820"/>
    <n v="1"/>
    <s v="HSA-1"/>
    <m/>
    <d v="2025-02-01T00:00:00"/>
    <n v="2025"/>
    <n v="2"/>
    <n v="76"/>
    <x v="2"/>
    <x v="2"/>
    <x v="0"/>
    <x v="3"/>
  </r>
  <r>
    <n v="2515"/>
    <x v="7"/>
    <s v="CIZMELIGIDA"/>
    <d v="2025-04-18T00:00:00"/>
    <s v="2510307MC1003705"/>
    <n v="1"/>
    <s v="HSA-1"/>
    <m/>
    <d v="2025-02-01T00:00:00"/>
    <n v="2025"/>
    <n v="2"/>
    <n v="76"/>
    <x v="2"/>
    <x v="2"/>
    <x v="0"/>
    <x v="3"/>
  </r>
  <r>
    <n v="2515"/>
    <x v="7"/>
    <s v="CIZMELIGIDA"/>
    <d v="2025-04-18T00:00:00"/>
    <s v="2510107BW0031752"/>
    <n v="1"/>
    <s v="HSA-1"/>
    <m/>
    <d v="2025-02-01T00:00:00"/>
    <n v="2025"/>
    <n v="2"/>
    <n v="76"/>
    <x v="2"/>
    <x v="2"/>
    <x v="0"/>
    <x v="3"/>
  </r>
  <r>
    <n v="2515"/>
    <x v="7"/>
    <s v="CIZMELIGIDA"/>
    <d v="2025-04-18T00:00:00"/>
    <s v="2510107BW0031776"/>
    <n v="1"/>
    <s v="HSA-1"/>
    <m/>
    <d v="2025-02-01T00:00:00"/>
    <n v="2025"/>
    <n v="2"/>
    <n v="76"/>
    <x v="2"/>
    <x v="2"/>
    <x v="0"/>
    <x v="3"/>
  </r>
  <r>
    <n v="2515"/>
    <x v="7"/>
    <s v="CIZMELIGIDA"/>
    <d v="2025-04-18T00:00:00"/>
    <s v="2510307MC1000802"/>
    <n v="1"/>
    <s v="HSA-1"/>
    <m/>
    <d v="2025-02-01T00:00:00"/>
    <n v="2025"/>
    <n v="2"/>
    <n v="76"/>
    <x v="2"/>
    <x v="2"/>
    <x v="0"/>
    <x v="3"/>
  </r>
  <r>
    <n v="2515"/>
    <x v="7"/>
    <s v="CIZMELIGIDA"/>
    <d v="2025-04-18T00:00:00"/>
    <s v="2510107BW0031206"/>
    <n v="1"/>
    <s v="HSA-1"/>
    <m/>
    <d v="2025-02-01T00:00:00"/>
    <n v="2025"/>
    <n v="2"/>
    <n v="76"/>
    <x v="2"/>
    <x v="2"/>
    <x v="0"/>
    <x v="3"/>
  </r>
  <r>
    <n v="2515"/>
    <x v="7"/>
    <s v="CIZMELIGIDA"/>
    <d v="2025-04-18T00:00:00"/>
    <s v="2510307MC1000857"/>
    <n v="1"/>
    <s v="HSA-1"/>
    <m/>
    <d v="2025-02-01T00:00:00"/>
    <n v="2025"/>
    <n v="2"/>
    <n v="76"/>
    <x v="2"/>
    <x v="2"/>
    <x v="0"/>
    <x v="3"/>
  </r>
  <r>
    <n v="2515"/>
    <x v="7"/>
    <s v="CIZMELIGIDA"/>
    <d v="2025-04-18T00:00:00"/>
    <s v="2510307MC1001642"/>
    <n v="1"/>
    <s v="HSA-1"/>
    <m/>
    <d v="2025-02-01T00:00:00"/>
    <n v="2025"/>
    <n v="2"/>
    <n v="76"/>
    <x v="2"/>
    <x v="2"/>
    <x v="0"/>
    <x v="3"/>
  </r>
  <r>
    <n v="2515"/>
    <x v="7"/>
    <s v="CIZMELIGIDA"/>
    <d v="2025-04-18T00:00:00"/>
    <s v="2510307MC1000074"/>
    <n v="1"/>
    <s v="HSA-1"/>
    <m/>
    <d v="2025-02-01T00:00:00"/>
    <n v="2025"/>
    <n v="2"/>
    <n v="76"/>
    <x v="2"/>
    <x v="2"/>
    <x v="0"/>
    <x v="3"/>
  </r>
  <r>
    <n v="2515"/>
    <x v="7"/>
    <s v="CIZMELIGIDA"/>
    <d v="2025-04-18T00:00:00"/>
    <s v="2510307MC1004564"/>
    <n v="1"/>
    <s v="HSA-1"/>
    <m/>
    <d v="2025-02-01T00:00:00"/>
    <n v="2025"/>
    <n v="2"/>
    <n v="76"/>
    <x v="2"/>
    <x v="2"/>
    <x v="0"/>
    <x v="3"/>
  </r>
  <r>
    <n v="2515"/>
    <x v="7"/>
    <s v="CIZMELIGIDA"/>
    <d v="2025-04-18T00:00:00"/>
    <s v="2510307MC1004611"/>
    <n v="1"/>
    <s v="HSA-1"/>
    <m/>
    <d v="2025-02-01T00:00:00"/>
    <n v="2025"/>
    <n v="2"/>
    <n v="76"/>
    <x v="2"/>
    <x v="2"/>
    <x v="0"/>
    <x v="3"/>
  </r>
  <r>
    <n v="2515"/>
    <x v="7"/>
    <s v="CIZMELIGIDA"/>
    <d v="2025-04-18T00:00:00"/>
    <s v="2510307MC1002349"/>
    <n v="1"/>
    <s v="HSA-1"/>
    <m/>
    <d v="2025-02-01T00:00:00"/>
    <n v="2025"/>
    <n v="2"/>
    <n v="76"/>
    <x v="2"/>
    <x v="2"/>
    <x v="0"/>
    <x v="3"/>
  </r>
  <r>
    <n v="2515"/>
    <x v="7"/>
    <s v="CIZMELIGIDA"/>
    <d v="2025-04-18T00:00:00"/>
    <s v="2510107BW0031963"/>
    <n v="1"/>
    <s v="HSA-1"/>
    <m/>
    <d v="2025-02-01T00:00:00"/>
    <n v="2025"/>
    <n v="2"/>
    <n v="76"/>
    <x v="2"/>
    <x v="2"/>
    <x v="0"/>
    <x v="3"/>
  </r>
  <r>
    <n v="2515"/>
    <x v="7"/>
    <s v="CIZMELIGIDA"/>
    <d v="2025-04-18T00:00:00"/>
    <s v="2510107BW0031842"/>
    <n v="1"/>
    <s v="HSA-1"/>
    <m/>
    <d v="2025-02-01T00:00:00"/>
    <n v="2025"/>
    <n v="2"/>
    <n v="76"/>
    <x v="2"/>
    <x v="2"/>
    <x v="0"/>
    <x v="3"/>
  </r>
  <r>
    <n v="2516"/>
    <x v="8"/>
    <s v="ERTEKNİKSULAMA"/>
    <d v="2025-04-24T00:00:00"/>
    <s v="24A0107BW0037591"/>
    <n v="1"/>
    <s v="HSA-1"/>
    <m/>
    <d v="2024-10-01T00:00:00"/>
    <n v="2024"/>
    <n v="10"/>
    <n v="205"/>
    <x v="6"/>
    <x v="2"/>
    <x v="0"/>
    <x v="3"/>
  </r>
  <r>
    <n v="2516"/>
    <x v="8"/>
    <s v="ERTEKNİKSULAMA"/>
    <d v="2025-04-24T00:00:00"/>
    <s v="24A0107BW0023879"/>
    <n v="1"/>
    <s v="HSA-1"/>
    <m/>
    <d v="2024-10-01T00:00:00"/>
    <n v="2024"/>
    <n v="10"/>
    <n v="205"/>
    <x v="6"/>
    <x v="2"/>
    <x v="0"/>
    <x v="3"/>
  </r>
  <r>
    <n v="2516"/>
    <x v="8"/>
    <s v="ERTEKNİKSULAMA"/>
    <d v="2025-04-24T00:00:00"/>
    <s v="24A0107BW0036754"/>
    <n v="1"/>
    <s v="HSA-1"/>
    <m/>
    <d v="2024-10-01T00:00:00"/>
    <n v="2024"/>
    <n v="10"/>
    <n v="205"/>
    <x v="6"/>
    <x v="2"/>
    <x v="0"/>
    <x v="3"/>
  </r>
  <r>
    <n v="2516"/>
    <x v="8"/>
    <s v="ERTEKNİKSULAMA"/>
    <d v="2025-04-24T00:00:00"/>
    <s v="24A0107BW0038553"/>
    <n v="1"/>
    <s v="HSA-1"/>
    <m/>
    <d v="2024-10-01T00:00:00"/>
    <n v="2024"/>
    <n v="10"/>
    <n v="205"/>
    <x v="6"/>
    <x v="2"/>
    <x v="0"/>
    <x v="3"/>
  </r>
  <r>
    <n v="2516"/>
    <x v="8"/>
    <s v="ERTEKNİKSULAMA"/>
    <d v="2025-04-24T00:00:00"/>
    <s v="24A0107BW0038688"/>
    <n v="1"/>
    <s v="HSA-1"/>
    <m/>
    <d v="2024-10-01T00:00:00"/>
    <n v="2024"/>
    <n v="10"/>
    <n v="205"/>
    <x v="6"/>
    <x v="2"/>
    <x v="0"/>
    <x v="3"/>
  </r>
  <r>
    <n v="2516"/>
    <x v="8"/>
    <s v="ERTEKNİKSULAMA"/>
    <d v="2025-04-24T00:00:00"/>
    <s v="24A0107BW0040704"/>
    <n v="1"/>
    <s v="HSA-1"/>
    <m/>
    <d v="2024-10-01T00:00:00"/>
    <n v="2024"/>
    <n v="10"/>
    <n v="205"/>
    <x v="6"/>
    <x v="2"/>
    <x v="0"/>
    <x v="3"/>
  </r>
  <r>
    <n v="2516"/>
    <x v="8"/>
    <s v="ERTEKNİKSULAMA"/>
    <d v="2025-04-24T00:00:00"/>
    <s v="24A0107BW0044245"/>
    <n v="1"/>
    <s v="HSA-1"/>
    <m/>
    <d v="2024-10-01T00:00:00"/>
    <n v="2024"/>
    <n v="10"/>
    <n v="205"/>
    <x v="6"/>
    <x v="2"/>
    <x v="0"/>
    <x v="3"/>
  </r>
  <r>
    <n v="2516"/>
    <x v="8"/>
    <s v="ERTEKNİKSULAMA"/>
    <d v="2025-04-24T00:00:00"/>
    <s v="24A0107BW0046355"/>
    <n v="1"/>
    <s v="HSA-1"/>
    <m/>
    <d v="2024-10-01T00:00:00"/>
    <n v="2024"/>
    <n v="10"/>
    <n v="205"/>
    <x v="6"/>
    <x v="2"/>
    <x v="0"/>
    <x v="3"/>
  </r>
  <r>
    <n v="2516"/>
    <x v="8"/>
    <s v="ERTEKNİKSULAMA"/>
    <d v="2025-04-24T00:00:00"/>
    <s v="24A0107BW0044666"/>
    <n v="1"/>
    <s v="HSA-1"/>
    <m/>
    <d v="2024-10-01T00:00:00"/>
    <n v="2024"/>
    <n v="10"/>
    <n v="205"/>
    <x v="6"/>
    <x v="2"/>
    <x v="0"/>
    <x v="3"/>
  </r>
  <r>
    <n v="2516"/>
    <x v="8"/>
    <s v="ERTEKNİKSULAMA"/>
    <d v="2025-04-24T00:00:00"/>
    <s v="24A0107BW0044698"/>
    <n v="1"/>
    <s v="HSA-1"/>
    <m/>
    <d v="2024-10-01T00:00:00"/>
    <n v="2024"/>
    <n v="10"/>
    <n v="205"/>
    <x v="6"/>
    <x v="2"/>
    <x v="0"/>
    <x v="3"/>
  </r>
  <r>
    <n v="2516"/>
    <x v="8"/>
    <s v="ERTEKNİKSULAMA"/>
    <d v="2025-04-24T00:00:00"/>
    <s v="24A0107BW0046508"/>
    <n v="1"/>
    <s v="HSA-1"/>
    <m/>
    <d v="2024-10-01T00:00:00"/>
    <n v="2024"/>
    <n v="10"/>
    <n v="205"/>
    <x v="6"/>
    <x v="2"/>
    <x v="0"/>
    <x v="3"/>
  </r>
  <r>
    <n v="2516"/>
    <x v="8"/>
    <s v="ERTEKNİKSULAMA"/>
    <d v="2025-04-24T00:00:00"/>
    <s v="24A0107BW0046588"/>
    <n v="1"/>
    <s v="HSA-1"/>
    <m/>
    <d v="2024-10-01T00:00:00"/>
    <n v="2024"/>
    <n v="10"/>
    <n v="205"/>
    <x v="6"/>
    <x v="2"/>
    <x v="0"/>
    <x v="3"/>
  </r>
  <r>
    <n v="2516"/>
    <x v="8"/>
    <s v="ERTEKNİKSULAMA"/>
    <d v="2025-04-24T00:00:00"/>
    <s v="24A0107BW0046790"/>
    <n v="1"/>
    <s v="HSA-1"/>
    <m/>
    <d v="2024-10-01T00:00:00"/>
    <n v="2024"/>
    <n v="10"/>
    <n v="205"/>
    <x v="6"/>
    <x v="2"/>
    <x v="0"/>
    <x v="3"/>
  </r>
  <r>
    <n v="2516"/>
    <x v="8"/>
    <s v="ERTEKNİKSULAMA"/>
    <d v="2025-04-24T00:00:00"/>
    <s v="24A0107BW0047635"/>
    <n v="1"/>
    <s v="HSA-1"/>
    <m/>
    <d v="2024-10-01T00:00:00"/>
    <n v="2024"/>
    <n v="10"/>
    <n v="205"/>
    <x v="6"/>
    <x v="2"/>
    <x v="0"/>
    <x v="3"/>
  </r>
  <r>
    <n v="2516"/>
    <x v="8"/>
    <s v="ERTEKNİKSULAMA"/>
    <d v="2025-04-24T00:00:00"/>
    <s v="24A0107BW0047745"/>
    <n v="1"/>
    <s v="HSA-1"/>
    <m/>
    <d v="2024-10-01T00:00:00"/>
    <n v="2024"/>
    <n v="10"/>
    <n v="205"/>
    <x v="6"/>
    <x v="2"/>
    <x v="0"/>
    <x v="3"/>
  </r>
  <r>
    <n v="2516"/>
    <x v="8"/>
    <s v="ERTEKNİKSULAMA"/>
    <d v="2025-04-24T00:00:00"/>
    <s v="24A0107BW0047827"/>
    <n v="1"/>
    <s v="HSA-1"/>
    <m/>
    <d v="2024-10-01T00:00:00"/>
    <n v="2024"/>
    <n v="10"/>
    <n v="205"/>
    <x v="6"/>
    <x v="2"/>
    <x v="0"/>
    <x v="3"/>
  </r>
  <r>
    <n v="2516"/>
    <x v="8"/>
    <s v="ERTEKNİKSULAMA"/>
    <d v="2025-04-24T00:00:00"/>
    <s v="24A0107BW0047849"/>
    <n v="1"/>
    <s v="HSA-1"/>
    <m/>
    <d v="2024-10-01T00:00:00"/>
    <n v="2024"/>
    <n v="10"/>
    <n v="205"/>
    <x v="6"/>
    <x v="2"/>
    <x v="0"/>
    <x v="3"/>
  </r>
  <r>
    <n v="2516"/>
    <x v="8"/>
    <s v="ERTEKNİKSULAMA"/>
    <d v="2025-04-24T00:00:00"/>
    <s v="24A0107BW0048141"/>
    <n v="1"/>
    <s v="HSA-1"/>
    <m/>
    <d v="2024-10-01T00:00:00"/>
    <n v="2024"/>
    <n v="10"/>
    <n v="205"/>
    <x v="6"/>
    <x v="2"/>
    <x v="0"/>
    <x v="3"/>
  </r>
  <r>
    <n v="2516"/>
    <x v="8"/>
    <s v="ERTEKNİKSULAMA"/>
    <d v="2025-04-24T00:00:00"/>
    <s v="24A0107BW0048142"/>
    <n v="1"/>
    <s v="HSA-1"/>
    <m/>
    <d v="2024-10-01T00:00:00"/>
    <n v="2024"/>
    <n v="10"/>
    <n v="205"/>
    <x v="6"/>
    <x v="2"/>
    <x v="0"/>
    <x v="3"/>
  </r>
  <r>
    <n v="2516"/>
    <x v="8"/>
    <s v="ERTEKNİKSULAMA"/>
    <d v="2025-04-24T00:00:00"/>
    <s v="24A0107BW0048167"/>
    <n v="1"/>
    <s v="HSA-1"/>
    <m/>
    <d v="2024-10-01T00:00:00"/>
    <n v="2024"/>
    <n v="10"/>
    <n v="205"/>
    <x v="6"/>
    <x v="2"/>
    <x v="0"/>
    <x v="3"/>
  </r>
  <r>
    <n v="2516"/>
    <x v="8"/>
    <s v="ERTEKNİKSULAMA"/>
    <d v="2025-04-24T00:00:00"/>
    <s v="24A0107BW0048255"/>
    <n v="1"/>
    <s v="HSA-1"/>
    <m/>
    <d v="2024-10-01T00:00:00"/>
    <n v="2024"/>
    <n v="10"/>
    <n v="205"/>
    <x v="6"/>
    <x v="2"/>
    <x v="0"/>
    <x v="3"/>
  </r>
  <r>
    <n v="2516"/>
    <x v="8"/>
    <s v="ERTEKNİKSULAMA"/>
    <d v="2025-04-24T00:00:00"/>
    <s v="24A0107BW0048372"/>
    <n v="1"/>
    <s v="HSA-1"/>
    <m/>
    <d v="2024-10-01T00:00:00"/>
    <n v="2024"/>
    <n v="10"/>
    <n v="205"/>
    <x v="6"/>
    <x v="2"/>
    <x v="0"/>
    <x v="3"/>
  </r>
  <r>
    <n v="2516"/>
    <x v="8"/>
    <s v="ERTEKNİKSULAMA"/>
    <d v="2025-04-24T00:00:00"/>
    <s v="24A0107BW0048429"/>
    <n v="1"/>
    <s v="HSA-1"/>
    <m/>
    <d v="2024-10-01T00:00:00"/>
    <n v="2024"/>
    <n v="10"/>
    <n v="205"/>
    <x v="6"/>
    <x v="2"/>
    <x v="0"/>
    <x v="3"/>
  </r>
  <r>
    <n v="2516"/>
    <x v="8"/>
    <s v="ERTEKNİKSULAMA"/>
    <d v="2025-04-24T00:00:00"/>
    <s v="24A0107BW0048632"/>
    <n v="1"/>
    <s v="HSA-1"/>
    <m/>
    <d v="2024-10-01T00:00:00"/>
    <n v="2024"/>
    <n v="10"/>
    <n v="205"/>
    <x v="6"/>
    <x v="2"/>
    <x v="0"/>
    <x v="3"/>
  </r>
  <r>
    <n v="2516"/>
    <x v="8"/>
    <s v="ERTEKNİKSULAMA"/>
    <d v="2025-04-24T00:00:00"/>
    <s v="24A0107BW0049024"/>
    <n v="1"/>
    <s v="HSA-1"/>
    <m/>
    <d v="2024-10-01T00:00:00"/>
    <n v="2024"/>
    <n v="10"/>
    <n v="205"/>
    <x v="6"/>
    <x v="2"/>
    <x v="0"/>
    <x v="3"/>
  </r>
  <r>
    <n v="2516"/>
    <x v="8"/>
    <s v="ERTEKNİKSULAMA"/>
    <d v="2025-04-24T00:00:00"/>
    <s v="24A0107BW0049058"/>
    <n v="1"/>
    <s v="HSA-1"/>
    <m/>
    <d v="2024-10-01T00:00:00"/>
    <n v="2024"/>
    <n v="10"/>
    <n v="205"/>
    <x v="6"/>
    <x v="2"/>
    <x v="0"/>
    <x v="3"/>
  </r>
  <r>
    <n v="2516"/>
    <x v="8"/>
    <s v="ERTEKNİKSULAMA"/>
    <d v="2025-04-24T00:00:00"/>
    <s v="24A0107BW0049177"/>
    <n v="1"/>
    <s v="HSA-1"/>
    <m/>
    <d v="2024-10-01T00:00:00"/>
    <n v="2024"/>
    <n v="10"/>
    <n v="205"/>
    <x v="6"/>
    <x v="2"/>
    <x v="0"/>
    <x v="3"/>
  </r>
  <r>
    <n v="2516"/>
    <x v="8"/>
    <s v="ERTEKNİKSULAMA"/>
    <d v="2025-04-24T00:00:00"/>
    <s v="24A0107BW0049355"/>
    <n v="1"/>
    <s v="HSA-1"/>
    <m/>
    <d v="2024-10-01T00:00:00"/>
    <n v="2024"/>
    <n v="10"/>
    <n v="205"/>
    <x v="6"/>
    <x v="2"/>
    <x v="0"/>
    <x v="3"/>
  </r>
  <r>
    <n v="2516"/>
    <x v="8"/>
    <s v="ERTEKNİKSULAMA"/>
    <d v="2025-04-24T00:00:00"/>
    <s v="24A0107BW0049468"/>
    <n v="1"/>
    <s v="HSA-1"/>
    <m/>
    <d v="2024-10-01T00:00:00"/>
    <n v="2024"/>
    <n v="10"/>
    <n v="205"/>
    <x v="6"/>
    <x v="2"/>
    <x v="0"/>
    <x v="3"/>
  </r>
  <r>
    <n v="2516"/>
    <x v="8"/>
    <s v="ERTEKNİKSULAMA"/>
    <d v="2025-04-24T00:00:00"/>
    <s v="24A0107BW0049625"/>
    <n v="1"/>
    <s v="HSA-1"/>
    <m/>
    <d v="2024-10-01T00:00:00"/>
    <n v="2024"/>
    <n v="10"/>
    <n v="205"/>
    <x v="6"/>
    <x v="2"/>
    <x v="0"/>
    <x v="3"/>
  </r>
  <r>
    <n v="2516"/>
    <x v="8"/>
    <s v="ERTEKNİKSULAMA"/>
    <d v="2025-04-24T00:00:00"/>
    <s v="24A0107BW0049742"/>
    <n v="1"/>
    <s v="HSA-1"/>
    <m/>
    <d v="2024-10-01T00:00:00"/>
    <n v="2024"/>
    <n v="10"/>
    <n v="205"/>
    <x v="6"/>
    <x v="2"/>
    <x v="0"/>
    <x v="3"/>
  </r>
  <r>
    <n v="2516"/>
    <x v="8"/>
    <s v="ERTEKNİKSULAMA"/>
    <d v="2025-04-24T00:00:00"/>
    <s v="24A0107BW0049800"/>
    <n v="1"/>
    <s v="HSA-1"/>
    <m/>
    <d v="2024-10-01T00:00:00"/>
    <n v="2024"/>
    <n v="10"/>
    <n v="205"/>
    <x v="6"/>
    <x v="2"/>
    <x v="0"/>
    <x v="3"/>
  </r>
  <r>
    <n v="2516"/>
    <x v="8"/>
    <s v="ERTEKNİKSULAMA"/>
    <d v="2025-04-24T00:00:00"/>
    <s v="24A0107BW0049901"/>
    <n v="1"/>
    <s v="HSA-1"/>
    <m/>
    <d v="2024-10-01T00:00:00"/>
    <n v="2024"/>
    <n v="10"/>
    <n v="205"/>
    <x v="6"/>
    <x v="2"/>
    <x v="0"/>
    <x v="3"/>
  </r>
  <r>
    <n v="2516"/>
    <x v="8"/>
    <s v="ERTEKNİKSULAMA"/>
    <d v="2025-04-24T00:00:00"/>
    <s v="24A0107BW0049904"/>
    <n v="1"/>
    <s v="HSA-1"/>
    <m/>
    <d v="2024-10-01T00:00:00"/>
    <n v="2024"/>
    <n v="10"/>
    <n v="205"/>
    <x v="6"/>
    <x v="2"/>
    <x v="0"/>
    <x v="3"/>
  </r>
  <r>
    <n v="2516"/>
    <x v="8"/>
    <s v="ERTEKNİKSULAMA"/>
    <d v="2025-04-24T00:00:00"/>
    <s v="24A0107BW0049728"/>
    <n v="1"/>
    <s v="HSA-1"/>
    <m/>
    <d v="2024-10-01T00:00:00"/>
    <n v="2024"/>
    <n v="10"/>
    <n v="205"/>
    <x v="6"/>
    <x v="2"/>
    <x v="0"/>
    <x v="3"/>
  </r>
  <r>
    <n v="2517"/>
    <x v="1"/>
    <s v="PENGUENGES"/>
    <d v="2025-05-09T00:00:00"/>
    <s v="24A0107BW0049793"/>
    <n v="1"/>
    <s v="HSA-2"/>
    <m/>
    <d v="2024-04-01T00:00:00"/>
    <n v="2024"/>
    <n v="4"/>
    <n v="403"/>
    <x v="7"/>
    <x v="2"/>
    <x v="1"/>
    <x v="4"/>
  </r>
  <r>
    <n v="2517"/>
    <x v="1"/>
    <s v="PENGUENGES"/>
    <d v="2025-05-09T00:00:00"/>
    <s v="2450108BX0038413"/>
    <n v="1"/>
    <s v="HSA-2"/>
    <m/>
    <d v="2024-04-01T00:00:00"/>
    <n v="2024"/>
    <n v="4"/>
    <n v="403"/>
    <x v="7"/>
    <x v="2"/>
    <x v="1"/>
    <x v="4"/>
  </r>
  <r>
    <n v="2517"/>
    <x v="1"/>
    <s v="PENGUENGES"/>
    <d v="2025-05-09T00:00:00"/>
    <s v="2450108BX0038706"/>
    <n v="1"/>
    <s v="HSA-2"/>
    <m/>
    <d v="2024-05-01T00:00:00"/>
    <n v="2024"/>
    <n v="5"/>
    <n v="373"/>
    <x v="7"/>
    <x v="2"/>
    <x v="1"/>
    <x v="4"/>
  </r>
  <r>
    <n v="2517"/>
    <x v="1"/>
    <s v="PENGUENGES"/>
    <d v="2025-05-09T00:00:00"/>
    <s v="2470108BX0004939"/>
    <n v="1"/>
    <s v="HSA-2"/>
    <m/>
    <d v="2024-07-01T00:00:00"/>
    <n v="2024"/>
    <n v="7"/>
    <n v="312"/>
    <x v="7"/>
    <x v="2"/>
    <x v="1"/>
    <x v="4"/>
  </r>
  <r>
    <n v="2517"/>
    <x v="1"/>
    <s v="PENGUENGES"/>
    <d v="2025-05-09T00:00:00"/>
    <s v="2480108BX0017301"/>
    <n v="1"/>
    <s v="HSA-2"/>
    <m/>
    <d v="2024-08-01T00:00:00"/>
    <n v="2024"/>
    <n v="8"/>
    <n v="281"/>
    <x v="7"/>
    <x v="2"/>
    <x v="1"/>
    <x v="4"/>
  </r>
  <r>
    <n v="2517"/>
    <x v="1"/>
    <s v="PENGUENGES"/>
    <d v="2025-05-09T00:00:00"/>
    <s v="2440108BX0019797"/>
    <n v="1"/>
    <s v="HSA-2"/>
    <m/>
    <d v="2024-04-01T00:00:00"/>
    <n v="2024"/>
    <n v="4"/>
    <n v="403"/>
    <x v="7"/>
    <x v="2"/>
    <x v="1"/>
    <x v="4"/>
  </r>
  <r>
    <n v="2517"/>
    <x v="1"/>
    <s v="PENGUENGES"/>
    <d v="2025-05-09T00:00:00"/>
    <s v="2480108BX0017507"/>
    <n v="1"/>
    <s v="HSA-2"/>
    <m/>
    <d v="2024-08-01T00:00:00"/>
    <n v="2024"/>
    <n v="8"/>
    <n v="281"/>
    <x v="7"/>
    <x v="2"/>
    <x v="1"/>
    <x v="4"/>
  </r>
  <r>
    <n v="2517"/>
    <x v="1"/>
    <s v="PENGUENGES"/>
    <d v="2025-05-09T00:00:00"/>
    <s v="2480108BX0017168"/>
    <n v="1"/>
    <s v="HSA-2"/>
    <m/>
    <d v="2024-08-01T00:00:00"/>
    <n v="2024"/>
    <n v="8"/>
    <n v="281"/>
    <x v="7"/>
    <x v="2"/>
    <x v="1"/>
    <x v="4"/>
  </r>
  <r>
    <n v="2517"/>
    <x v="1"/>
    <s v="PENGUENGES"/>
    <d v="2025-05-09T00:00:00"/>
    <s v="2480108BX0018279"/>
    <n v="1"/>
    <s v="HSA-2"/>
    <m/>
    <d v="2024-08-01T00:00:00"/>
    <n v="2024"/>
    <n v="8"/>
    <n v="281"/>
    <x v="7"/>
    <x v="2"/>
    <x v="1"/>
    <x v="4"/>
  </r>
  <r>
    <n v="2517"/>
    <x v="1"/>
    <s v="PENGUENGES"/>
    <d v="2025-05-09T00:00:00"/>
    <s v="2480108BX0016370"/>
    <n v="1"/>
    <s v="HSA-2"/>
    <m/>
    <d v="2024-08-01T00:00:00"/>
    <n v="2024"/>
    <n v="8"/>
    <n v="281"/>
    <x v="7"/>
    <x v="2"/>
    <x v="1"/>
    <x v="4"/>
  </r>
  <r>
    <n v="2518"/>
    <x v="3"/>
    <s v="LİMAK"/>
    <d v="2025-05-08T00:00:00"/>
    <s v="E3FXT425A189990037405856"/>
    <n v="1"/>
    <s v="HSA-2"/>
    <m/>
    <m/>
    <n v="1900"/>
    <n v="1"/>
    <n v="45785"/>
    <x v="4"/>
    <x v="2"/>
    <x v="1"/>
    <x v="4"/>
  </r>
  <r>
    <n v="2518"/>
    <x v="3"/>
    <s v="LİMAK"/>
    <d v="2025-05-08T00:00:00"/>
    <s v="E3FXT425A239990038103489"/>
    <n v="1"/>
    <s v="HSA-2"/>
    <m/>
    <m/>
    <n v="1900"/>
    <n v="1"/>
    <n v="45785"/>
    <x v="4"/>
    <x v="2"/>
    <x v="1"/>
    <x v="4"/>
  </r>
  <r>
    <n v="2518"/>
    <x v="3"/>
    <s v="LİMAK"/>
    <d v="2025-05-08T00:00:00"/>
    <s v="E3FXT425A139990036204868"/>
    <n v="1"/>
    <s v="HSA-2"/>
    <m/>
    <m/>
    <n v="1900"/>
    <n v="1"/>
    <n v="45785"/>
    <x v="4"/>
    <x v="2"/>
    <x v="1"/>
    <x v="4"/>
  </r>
  <r>
    <n v="2518"/>
    <x v="3"/>
    <s v="LİMAK"/>
    <d v="2025-05-08T00:00:00"/>
    <s v="E3FXT425A139990036204773"/>
    <n v="1"/>
    <s v="HSA-2"/>
    <m/>
    <m/>
    <n v="1900"/>
    <n v="1"/>
    <n v="45785"/>
    <x v="4"/>
    <x v="2"/>
    <x v="1"/>
    <x v="4"/>
  </r>
  <r>
    <n v="2518"/>
    <x v="3"/>
    <s v="LİMAK"/>
    <d v="2025-05-08T00:00:00"/>
    <s v="E3FXT425A149990036206618"/>
    <n v="1"/>
    <s v="HSA-2"/>
    <m/>
    <m/>
    <n v="1900"/>
    <n v="1"/>
    <n v="45785"/>
    <x v="4"/>
    <x v="2"/>
    <x v="1"/>
    <x v="4"/>
  </r>
  <r>
    <n v="2518"/>
    <x v="3"/>
    <s v="LİMAK"/>
    <d v="2025-05-08T00:00:00"/>
    <s v="E3FXT425A159990037400685"/>
    <n v="1"/>
    <s v="HSA-2"/>
    <m/>
    <m/>
    <n v="1900"/>
    <n v="1"/>
    <n v="45785"/>
    <x v="4"/>
    <x v="2"/>
    <x v="1"/>
    <x v="4"/>
  </r>
  <r>
    <n v="2518"/>
    <x v="3"/>
    <s v="LİMAK"/>
    <d v="2025-05-08T00:00:00"/>
    <s v="E3FXT425A159990037400651"/>
    <n v="1"/>
    <s v="HSA-2"/>
    <m/>
    <m/>
    <n v="1900"/>
    <n v="1"/>
    <n v="45785"/>
    <x v="4"/>
    <x v="2"/>
    <x v="1"/>
    <x v="4"/>
  </r>
  <r>
    <n v="2518"/>
    <x v="3"/>
    <s v="LİMAK"/>
    <d v="2025-05-08T00:00:00"/>
    <s v="E3FXT425A179990037403542"/>
    <n v="1"/>
    <s v="HSA-2"/>
    <m/>
    <m/>
    <n v="1900"/>
    <n v="1"/>
    <n v="45785"/>
    <x v="4"/>
    <x v="2"/>
    <x v="1"/>
    <x v="4"/>
  </r>
  <r>
    <n v="2518"/>
    <x v="3"/>
    <s v="LİMAK"/>
    <d v="2025-05-08T00:00:00"/>
    <s v="E3FXT425A169990037403266"/>
    <n v="1"/>
    <s v="HSA-2"/>
    <m/>
    <m/>
    <n v="1900"/>
    <n v="1"/>
    <n v="45785"/>
    <x v="4"/>
    <x v="2"/>
    <x v="1"/>
    <x v="4"/>
  </r>
  <r>
    <n v="2518"/>
    <x v="3"/>
    <s v="LİMAK"/>
    <d v="2025-05-08T00:00:00"/>
    <s v="E3FXT425A159990037400678"/>
    <n v="1"/>
    <s v="HSA-2"/>
    <m/>
    <m/>
    <n v="1900"/>
    <n v="1"/>
    <n v="45785"/>
    <x v="4"/>
    <x v="2"/>
    <x v="1"/>
    <x v="4"/>
  </r>
  <r>
    <n v="2518"/>
    <x v="3"/>
    <s v="LİMAK"/>
    <d v="2025-05-08T00:00:00"/>
    <s v="E3FXT425A149990037400020"/>
    <n v="1"/>
    <s v="HSA-2"/>
    <m/>
    <m/>
    <n v="1900"/>
    <n v="1"/>
    <n v="45785"/>
    <x v="4"/>
    <x v="2"/>
    <x v="1"/>
    <x v="4"/>
  </r>
  <r>
    <n v="2518"/>
    <x v="3"/>
    <s v="LİMAK"/>
    <d v="2025-05-08T00:00:00"/>
    <s v="E3FXT425A159990037400521"/>
    <n v="1"/>
    <s v="HSA-2"/>
    <m/>
    <m/>
    <n v="1900"/>
    <n v="1"/>
    <n v="45785"/>
    <x v="4"/>
    <x v="2"/>
    <x v="1"/>
    <x v="4"/>
  </r>
  <r>
    <n v="2518"/>
    <x v="3"/>
    <s v="LİMAK"/>
    <d v="2025-05-08T00:00:00"/>
    <s v="E3FXT425A159990037400444"/>
    <n v="1"/>
    <s v="HSA-2"/>
    <m/>
    <m/>
    <n v="1900"/>
    <n v="1"/>
    <n v="45785"/>
    <x v="4"/>
    <x v="2"/>
    <x v="1"/>
    <x v="4"/>
  </r>
  <r>
    <n v="2518"/>
    <x v="3"/>
    <s v="LİMAK"/>
    <d v="2025-05-08T00:00:00"/>
    <s v="E3FXT425A159990037400485"/>
    <n v="1"/>
    <s v="HSA-2"/>
    <m/>
    <m/>
    <n v="1900"/>
    <n v="1"/>
    <n v="45785"/>
    <x v="4"/>
    <x v="2"/>
    <x v="1"/>
    <x v="4"/>
  </r>
  <r>
    <n v="2518"/>
    <x v="3"/>
    <s v="LİMAK"/>
    <d v="2025-05-08T00:00:00"/>
    <s v="E3FXT425A159990037400524"/>
    <n v="1"/>
    <s v="HSA-2"/>
    <m/>
    <m/>
    <n v="1900"/>
    <n v="1"/>
    <n v="45785"/>
    <x v="4"/>
    <x v="2"/>
    <x v="1"/>
    <x v="4"/>
  </r>
  <r>
    <n v="2518"/>
    <x v="3"/>
    <s v="LİMAK"/>
    <d v="2025-05-08T00:00:00"/>
    <s v="E3FXT425A159990037400355"/>
    <n v="1"/>
    <s v="HSA-2"/>
    <m/>
    <m/>
    <n v="1900"/>
    <n v="1"/>
    <n v="45785"/>
    <x v="4"/>
    <x v="2"/>
    <x v="1"/>
    <x v="4"/>
  </r>
  <r>
    <n v="2518"/>
    <x v="3"/>
    <s v="LİMAK"/>
    <d v="2025-05-08T00:00:00"/>
    <s v="E3FXT425A159990037400643"/>
    <n v="1"/>
    <s v="HSA-2"/>
    <m/>
    <m/>
    <n v="1900"/>
    <n v="1"/>
    <n v="45785"/>
    <x v="4"/>
    <x v="2"/>
    <x v="1"/>
    <x v="4"/>
  </r>
  <r>
    <n v="2518"/>
    <x v="3"/>
    <s v="LİMAK"/>
    <d v="2025-05-08T00:00:00"/>
    <s v="E3FXT425A159990037400575"/>
    <n v="1"/>
    <s v="HSA-2"/>
    <m/>
    <m/>
    <n v="1900"/>
    <n v="1"/>
    <n v="45785"/>
    <x v="4"/>
    <x v="2"/>
    <x v="1"/>
    <x v="4"/>
  </r>
  <r>
    <n v="2518"/>
    <x v="3"/>
    <s v="LİMAK"/>
    <d v="2025-05-08T00:00:00"/>
    <s v="E3FXT425A159990037400661"/>
    <n v="1"/>
    <s v="HSA-2"/>
    <m/>
    <m/>
    <n v="1900"/>
    <n v="1"/>
    <n v="45785"/>
    <x v="4"/>
    <x v="2"/>
    <x v="1"/>
    <x v="4"/>
  </r>
  <r>
    <n v="2518"/>
    <x v="3"/>
    <s v="LİMAK"/>
    <d v="2025-05-08T00:00:00"/>
    <s v="E3FXT425A159990037400590"/>
    <n v="1"/>
    <s v="HSA-2"/>
    <m/>
    <m/>
    <n v="1900"/>
    <n v="1"/>
    <n v="45785"/>
    <x v="4"/>
    <x v="2"/>
    <x v="1"/>
    <x v="4"/>
  </r>
  <r>
    <n v="2518"/>
    <x v="3"/>
    <s v="LİMAK"/>
    <d v="2025-05-08T00:00:00"/>
    <s v="E3FXT425A159990037400693"/>
    <n v="1"/>
    <s v="HSA-2"/>
    <m/>
    <m/>
    <n v="1900"/>
    <n v="1"/>
    <n v="45785"/>
    <x v="4"/>
    <x v="2"/>
    <x v="1"/>
    <x v="4"/>
  </r>
  <r>
    <n v="2518"/>
    <x v="3"/>
    <s v="LİMAK"/>
    <d v="2025-05-08T00:00:00"/>
    <s v="E3FXT425A159990037400592"/>
    <n v="1"/>
    <s v="HSA-2"/>
    <m/>
    <m/>
    <n v="1900"/>
    <n v="1"/>
    <n v="45785"/>
    <x v="4"/>
    <x v="2"/>
    <x v="1"/>
    <x v="4"/>
  </r>
  <r>
    <n v="2518"/>
    <x v="3"/>
    <s v="LİMAK"/>
    <d v="2025-05-08T00:00:00"/>
    <s v="E3FXT425A159990037400203"/>
    <n v="1"/>
    <s v="HSA-2"/>
    <m/>
    <m/>
    <n v="1900"/>
    <n v="1"/>
    <n v="45785"/>
    <x v="4"/>
    <x v="2"/>
    <x v="1"/>
    <x v="4"/>
  </r>
  <r>
    <n v="2518"/>
    <x v="3"/>
    <s v="LİMAK"/>
    <d v="2025-05-08T00:00:00"/>
    <s v="E3FXT425A159990037400546"/>
    <n v="1"/>
    <s v="HSA-2"/>
    <m/>
    <m/>
    <n v="1900"/>
    <n v="1"/>
    <n v="45785"/>
    <x v="4"/>
    <x v="2"/>
    <x v="1"/>
    <x v="4"/>
  </r>
  <r>
    <n v="2518"/>
    <x v="3"/>
    <s v="LİMAK"/>
    <d v="2025-05-08T00:00:00"/>
    <s v="E3FXT425A159990037400742"/>
    <n v="1"/>
    <s v="HSA-2"/>
    <m/>
    <m/>
    <n v="1900"/>
    <n v="1"/>
    <n v="45785"/>
    <x v="4"/>
    <x v="2"/>
    <x v="1"/>
    <x v="4"/>
  </r>
  <r>
    <n v="2518"/>
    <x v="3"/>
    <s v="LİMAK"/>
    <d v="2025-05-08T00:00:00"/>
    <s v="E3FXT425A169990037402857"/>
    <n v="1"/>
    <s v="HSA-2"/>
    <m/>
    <m/>
    <n v="1900"/>
    <n v="1"/>
    <n v="45785"/>
    <x v="4"/>
    <x v="2"/>
    <x v="1"/>
    <x v="4"/>
  </r>
  <r>
    <n v="2518"/>
    <x v="3"/>
    <s v="LİMAK"/>
    <d v="2025-05-08T00:00:00"/>
    <s v="E3FXT425A249990038104460"/>
    <n v="1"/>
    <s v="HSA-2"/>
    <m/>
    <m/>
    <n v="1900"/>
    <n v="1"/>
    <n v="45785"/>
    <x v="4"/>
    <x v="2"/>
    <x v="1"/>
    <x v="4"/>
  </r>
  <r>
    <n v="2518"/>
    <x v="3"/>
    <s v="LİMAK"/>
    <d v="2025-05-08T00:00:00"/>
    <s v="E3FXT425A239990038103387"/>
    <n v="1"/>
    <s v="HSA-2"/>
    <m/>
    <m/>
    <n v="1900"/>
    <n v="1"/>
    <n v="45785"/>
    <x v="4"/>
    <x v="2"/>
    <x v="1"/>
    <x v="4"/>
  </r>
  <r>
    <n v="2518"/>
    <x v="3"/>
    <s v="LİMAK"/>
    <d v="2025-05-08T00:00:00"/>
    <s v="E3FXT425A169990037401877"/>
    <n v="1"/>
    <s v="HSA-2"/>
    <m/>
    <m/>
    <n v="1900"/>
    <n v="1"/>
    <n v="45785"/>
    <x v="4"/>
    <x v="2"/>
    <x v="1"/>
    <x v="4"/>
  </r>
  <r>
    <n v="2518"/>
    <x v="3"/>
    <s v="LİMAK"/>
    <d v="2025-05-08T00:00:00"/>
    <s v="E3FXT425A179990037404154"/>
    <n v="1"/>
    <s v="HSA-2"/>
    <m/>
    <m/>
    <n v="1900"/>
    <n v="1"/>
    <n v="45785"/>
    <x v="4"/>
    <x v="2"/>
    <x v="1"/>
    <x v="4"/>
  </r>
  <r>
    <n v="2518"/>
    <x v="3"/>
    <s v="LİMAK"/>
    <d v="2025-05-08T00:00:00"/>
    <s v="E3FXT425A179990037403781"/>
    <n v="1"/>
    <s v="HSA-2"/>
    <m/>
    <m/>
    <n v="1900"/>
    <n v="1"/>
    <n v="45785"/>
    <x v="4"/>
    <x v="2"/>
    <x v="1"/>
    <x v="4"/>
  </r>
  <r>
    <n v="2518"/>
    <x v="3"/>
    <s v="LİMAK"/>
    <d v="2025-05-08T00:00:00"/>
    <s v="E3FXT425A269990038106570"/>
    <n v="1"/>
    <s v="HSA-2"/>
    <m/>
    <m/>
    <n v="1900"/>
    <n v="1"/>
    <n v="45785"/>
    <x v="4"/>
    <x v="2"/>
    <x v="1"/>
    <x v="4"/>
  </r>
  <r>
    <n v="2518"/>
    <x v="3"/>
    <s v="LİMAK"/>
    <d v="2025-05-08T00:00:00"/>
    <s v="AAAA"/>
    <n v="1"/>
    <s v="Belirsiz"/>
    <m/>
    <m/>
    <n v="1900"/>
    <n v="1"/>
    <n v="45785"/>
    <x v="4"/>
    <x v="2"/>
    <x v="1"/>
    <x v="4"/>
  </r>
  <r>
    <n v="2519"/>
    <x v="8"/>
    <s v="ERTEKNİK"/>
    <d v="2025-05-05T00:00:00"/>
    <s v="AAAA"/>
    <n v="1"/>
    <s v="Belirsiz"/>
    <m/>
    <m/>
    <n v="1900"/>
    <n v="1"/>
    <n v="45782"/>
    <x v="6"/>
    <x v="2"/>
    <x v="0"/>
    <x v="4"/>
  </r>
  <r>
    <n v="2519"/>
    <x v="8"/>
    <s v="ERTEKNİK"/>
    <d v="2025-05-05T00:00:00"/>
    <s v="AAAA"/>
    <n v="1"/>
    <s v="Belirsiz"/>
    <m/>
    <m/>
    <n v="1900"/>
    <n v="1"/>
    <n v="45782"/>
    <x v="6"/>
    <x v="2"/>
    <x v="0"/>
    <x v="4"/>
  </r>
  <r>
    <n v="2519"/>
    <x v="8"/>
    <s v="ERTEKNİK"/>
    <d v="2025-05-05T00:00:00"/>
    <s v="AAAA"/>
    <n v="1"/>
    <s v="Belirsiz"/>
    <m/>
    <m/>
    <n v="1900"/>
    <n v="1"/>
    <n v="45782"/>
    <x v="6"/>
    <x v="2"/>
    <x v="0"/>
    <x v="4"/>
  </r>
  <r>
    <n v="2519"/>
    <x v="8"/>
    <s v="ERTEKNİK"/>
    <d v="2025-05-05T00:00:00"/>
    <s v="AAAA"/>
    <n v="1"/>
    <s v="Belirsiz"/>
    <m/>
    <m/>
    <n v="1900"/>
    <n v="1"/>
    <n v="45782"/>
    <x v="6"/>
    <x v="2"/>
    <x v="0"/>
    <x v="4"/>
  </r>
  <r>
    <n v="2519"/>
    <x v="8"/>
    <s v="ERTEKNİK"/>
    <d v="2025-05-05T00:00:00"/>
    <s v="AAAA"/>
    <n v="1"/>
    <s v="Belirsiz"/>
    <m/>
    <m/>
    <n v="1900"/>
    <n v="1"/>
    <n v="45782"/>
    <x v="6"/>
    <x v="2"/>
    <x v="0"/>
    <x v="4"/>
  </r>
  <r>
    <n v="2519"/>
    <x v="8"/>
    <s v="ERTEKNİK"/>
    <d v="2025-05-05T00:00:00"/>
    <s v="AAAA"/>
    <n v="1"/>
    <s v="Belirsiz"/>
    <m/>
    <m/>
    <n v="1900"/>
    <n v="1"/>
    <n v="45782"/>
    <x v="6"/>
    <x v="2"/>
    <x v="0"/>
    <x v="4"/>
  </r>
  <r>
    <n v="2519"/>
    <x v="8"/>
    <s v="ERTEKNİK"/>
    <d v="2025-05-05T00:00:00"/>
    <s v="AAAA"/>
    <n v="1"/>
    <s v="Belirsiz"/>
    <m/>
    <m/>
    <n v="1900"/>
    <n v="1"/>
    <n v="45782"/>
    <x v="6"/>
    <x v="2"/>
    <x v="0"/>
    <x v="4"/>
  </r>
  <r>
    <n v="2519"/>
    <x v="8"/>
    <s v="ERTEKNİK"/>
    <d v="2025-05-05T00:00:00"/>
    <s v="AAAA"/>
    <n v="1"/>
    <s v="Belirsiz"/>
    <m/>
    <m/>
    <n v="1900"/>
    <n v="1"/>
    <n v="45782"/>
    <x v="6"/>
    <x v="2"/>
    <x v="0"/>
    <x v="4"/>
  </r>
  <r>
    <n v="2519"/>
    <x v="8"/>
    <s v="ERTEKNİK"/>
    <d v="2025-05-05T00:00:00"/>
    <s v="AAAA"/>
    <n v="1"/>
    <s v="Belirsiz"/>
    <m/>
    <m/>
    <n v="1900"/>
    <n v="1"/>
    <n v="45782"/>
    <x v="6"/>
    <x v="2"/>
    <x v="0"/>
    <x v="4"/>
  </r>
  <r>
    <n v="2519"/>
    <x v="8"/>
    <s v="ERTEKNİK"/>
    <d v="2025-05-05T00:00:00"/>
    <s v="AAAA"/>
    <n v="1"/>
    <s v="Belirsiz"/>
    <m/>
    <m/>
    <n v="1900"/>
    <n v="1"/>
    <n v="45782"/>
    <x v="6"/>
    <x v="2"/>
    <x v="0"/>
    <x v="4"/>
  </r>
  <r>
    <n v="2519"/>
    <x v="8"/>
    <s v="ERTEKNİK"/>
    <d v="2025-05-05T00:00:00"/>
    <s v="AAAA"/>
    <n v="1"/>
    <s v="Belirsiz"/>
    <m/>
    <m/>
    <n v="1900"/>
    <n v="1"/>
    <n v="45782"/>
    <x v="6"/>
    <x v="2"/>
    <x v="0"/>
    <x v="4"/>
  </r>
  <r>
    <n v="2519"/>
    <x v="8"/>
    <s v="ERTEKNİK"/>
    <d v="2025-05-05T00:00:00"/>
    <s v="AAAA"/>
    <n v="1"/>
    <s v="Belirsiz"/>
    <m/>
    <m/>
    <n v="1900"/>
    <n v="1"/>
    <n v="45782"/>
    <x v="6"/>
    <x v="2"/>
    <x v="0"/>
    <x v="4"/>
  </r>
  <r>
    <n v="2519"/>
    <x v="8"/>
    <s v="ERTEKNİK"/>
    <d v="2025-05-05T00:00:00"/>
    <s v="AAAA"/>
    <n v="1"/>
    <s v="Belirsiz"/>
    <m/>
    <m/>
    <n v="1900"/>
    <n v="1"/>
    <n v="45782"/>
    <x v="6"/>
    <x v="2"/>
    <x v="0"/>
    <x v="4"/>
  </r>
  <r>
    <n v="2519"/>
    <x v="8"/>
    <s v="ERTEKNİK"/>
    <d v="2025-05-05T00:00:00"/>
    <s v="AAAA"/>
    <n v="1"/>
    <s v="Belirsiz"/>
    <m/>
    <m/>
    <n v="1900"/>
    <n v="1"/>
    <n v="45782"/>
    <x v="6"/>
    <x v="2"/>
    <x v="0"/>
    <x v="4"/>
  </r>
  <r>
    <n v="2519"/>
    <x v="8"/>
    <s v="ERTEKNİK"/>
    <d v="2025-05-05T00:00:00"/>
    <s v="AAAA"/>
    <n v="1"/>
    <s v="Belirsiz"/>
    <m/>
    <m/>
    <n v="1900"/>
    <n v="1"/>
    <n v="45782"/>
    <x v="6"/>
    <x v="2"/>
    <x v="0"/>
    <x v="4"/>
  </r>
  <r>
    <n v="2519"/>
    <x v="8"/>
    <s v="ERTEKNİK"/>
    <d v="2025-05-05T00:00:00"/>
    <s v="AAAA"/>
    <n v="1"/>
    <s v="Belirsiz"/>
    <m/>
    <m/>
    <n v="1900"/>
    <n v="1"/>
    <n v="45782"/>
    <x v="6"/>
    <x v="2"/>
    <x v="0"/>
    <x v="4"/>
  </r>
  <r>
    <n v="2519"/>
    <x v="8"/>
    <s v="ERTEKNİK"/>
    <d v="2025-05-05T00:00:00"/>
    <s v="AAAA"/>
    <n v="1"/>
    <s v="Belirsiz"/>
    <m/>
    <m/>
    <n v="1900"/>
    <n v="1"/>
    <n v="45782"/>
    <x v="6"/>
    <x v="2"/>
    <x v="0"/>
    <x v="4"/>
  </r>
  <r>
    <n v="2519"/>
    <x v="8"/>
    <s v="ERTEKNİK"/>
    <d v="2025-05-05T00:00:00"/>
    <s v="AAAA"/>
    <n v="1"/>
    <s v="Belirsiz"/>
    <m/>
    <m/>
    <n v="1900"/>
    <n v="1"/>
    <n v="45782"/>
    <x v="6"/>
    <x v="2"/>
    <x v="0"/>
    <x v="4"/>
  </r>
  <r>
    <n v="2519"/>
    <x v="8"/>
    <s v="ERTEKNİK"/>
    <d v="2025-05-05T00:00:00"/>
    <s v="AAAA"/>
    <n v="1"/>
    <s v="Belirsiz"/>
    <m/>
    <m/>
    <n v="1900"/>
    <n v="1"/>
    <n v="45782"/>
    <x v="6"/>
    <x v="2"/>
    <x v="0"/>
    <x v="4"/>
  </r>
  <r>
    <n v="2519"/>
    <x v="8"/>
    <s v="ERTEKNİK"/>
    <d v="2025-05-05T00:00:00"/>
    <s v="AAAA"/>
    <n v="1"/>
    <s v="Belirsiz"/>
    <m/>
    <m/>
    <n v="1900"/>
    <n v="1"/>
    <n v="45782"/>
    <x v="6"/>
    <x v="2"/>
    <x v="0"/>
    <x v="4"/>
  </r>
  <r>
    <n v="2519"/>
    <x v="8"/>
    <s v="ERTEKNİK"/>
    <d v="2025-05-05T00:00:00"/>
    <s v="AAAA"/>
    <n v="1"/>
    <s v="Belirsiz"/>
    <m/>
    <m/>
    <n v="1900"/>
    <n v="1"/>
    <n v="45782"/>
    <x v="6"/>
    <x v="2"/>
    <x v="0"/>
    <x v="4"/>
  </r>
  <r>
    <n v="2519"/>
    <x v="8"/>
    <s v="ERTEKNİK"/>
    <d v="2025-05-05T00:00:00"/>
    <s v="AAAA"/>
    <n v="1"/>
    <s v="Belirsiz"/>
    <m/>
    <m/>
    <n v="1900"/>
    <n v="1"/>
    <n v="45782"/>
    <x v="6"/>
    <x v="2"/>
    <x v="0"/>
    <x v="4"/>
  </r>
  <r>
    <n v="2519"/>
    <x v="8"/>
    <s v="ERTEKNİK"/>
    <d v="2025-05-05T00:00:00"/>
    <s v="AAAA"/>
    <n v="1"/>
    <s v="Belirsiz"/>
    <m/>
    <m/>
    <n v="1900"/>
    <n v="1"/>
    <n v="45782"/>
    <x v="6"/>
    <x v="2"/>
    <x v="0"/>
    <x v="4"/>
  </r>
  <r>
    <n v="2519"/>
    <x v="8"/>
    <s v="ERTEKNİK"/>
    <d v="2025-05-05T00:00:00"/>
    <s v="AAAA"/>
    <n v="1"/>
    <s v="Belirsiz"/>
    <m/>
    <m/>
    <n v="1900"/>
    <n v="1"/>
    <n v="45782"/>
    <x v="6"/>
    <x v="2"/>
    <x v="0"/>
    <x v="4"/>
  </r>
  <r>
    <n v="2519"/>
    <x v="8"/>
    <s v="ERTEKNİK"/>
    <d v="2025-05-05T00:00:00"/>
    <s v="AAAA"/>
    <n v="1"/>
    <s v="Belirsiz"/>
    <m/>
    <m/>
    <n v="1900"/>
    <n v="1"/>
    <n v="45782"/>
    <x v="6"/>
    <x v="2"/>
    <x v="0"/>
    <x v="4"/>
  </r>
  <r>
    <n v="2519"/>
    <x v="8"/>
    <s v="ERTEKNİK"/>
    <d v="2025-05-05T00:00:00"/>
    <s v="AAAA"/>
    <n v="1"/>
    <s v="Belirsiz"/>
    <m/>
    <m/>
    <n v="1900"/>
    <n v="1"/>
    <n v="45782"/>
    <x v="6"/>
    <x v="2"/>
    <x v="0"/>
    <x v="4"/>
  </r>
  <r>
    <n v="2519"/>
    <x v="8"/>
    <s v="ERTEKNİK"/>
    <d v="2025-05-05T00:00:00"/>
    <s v="AAAA"/>
    <n v="1"/>
    <s v="Belirsiz"/>
    <m/>
    <m/>
    <n v="1900"/>
    <n v="1"/>
    <n v="45782"/>
    <x v="6"/>
    <x v="2"/>
    <x v="0"/>
    <x v="4"/>
  </r>
  <r>
    <n v="2519"/>
    <x v="8"/>
    <s v="ERTEKNİK"/>
    <d v="2025-05-05T00:00:00"/>
    <s v="AAAA"/>
    <n v="1"/>
    <s v="Belirsiz"/>
    <m/>
    <m/>
    <n v="1900"/>
    <n v="1"/>
    <n v="45782"/>
    <x v="6"/>
    <x v="2"/>
    <x v="0"/>
    <x v="4"/>
  </r>
  <r>
    <n v="2519"/>
    <x v="8"/>
    <s v="ERTEKNİK"/>
    <d v="2025-05-05T00:00:00"/>
    <s v="AAAA"/>
    <n v="1"/>
    <s v="Belirsiz"/>
    <m/>
    <m/>
    <n v="1900"/>
    <n v="1"/>
    <n v="45782"/>
    <x v="6"/>
    <x v="2"/>
    <x v="0"/>
    <x v="4"/>
  </r>
  <r>
    <n v="2519"/>
    <x v="8"/>
    <s v="ERTEKNİK"/>
    <d v="2025-05-05T00:00:00"/>
    <s v="AAAA"/>
    <n v="1"/>
    <s v="Belirsiz"/>
    <m/>
    <m/>
    <n v="1900"/>
    <n v="1"/>
    <n v="45782"/>
    <x v="6"/>
    <x v="2"/>
    <x v="0"/>
    <x v="4"/>
  </r>
  <r>
    <n v="2519"/>
    <x v="8"/>
    <s v="ERTEKNİK"/>
    <d v="2025-05-05T00:00:00"/>
    <s v="AAAA"/>
    <n v="1"/>
    <s v="Belirsiz"/>
    <m/>
    <m/>
    <n v="1900"/>
    <n v="1"/>
    <n v="45782"/>
    <x v="6"/>
    <x v="2"/>
    <x v="0"/>
    <x v="4"/>
  </r>
  <r>
    <n v="2519"/>
    <x v="8"/>
    <s v="ERTEKNİK"/>
    <d v="2025-05-05T00:00:00"/>
    <s v="AAAA"/>
    <n v="1"/>
    <s v="Belirsiz"/>
    <m/>
    <m/>
    <n v="1900"/>
    <n v="1"/>
    <n v="45782"/>
    <x v="6"/>
    <x v="2"/>
    <x v="0"/>
    <x v="4"/>
  </r>
  <r>
    <n v="2519"/>
    <x v="8"/>
    <s v="ERTEKNİK"/>
    <d v="2025-05-05T00:00:00"/>
    <s v="AAAA"/>
    <n v="1"/>
    <s v="Belirsiz"/>
    <m/>
    <m/>
    <n v="1900"/>
    <n v="1"/>
    <n v="45782"/>
    <x v="6"/>
    <x v="2"/>
    <x v="0"/>
    <x v="4"/>
  </r>
  <r>
    <n v="2519"/>
    <x v="8"/>
    <s v="ERTEKNİK"/>
    <d v="2025-05-05T00:00:00"/>
    <s v="AAAA"/>
    <n v="1"/>
    <s v="Belirsiz"/>
    <m/>
    <m/>
    <n v="1900"/>
    <n v="1"/>
    <n v="45782"/>
    <x v="6"/>
    <x v="2"/>
    <x v="0"/>
    <x v="4"/>
  </r>
  <r>
    <n v="2519"/>
    <x v="8"/>
    <s v="ERTEKNİK"/>
    <d v="2025-05-05T00:00:00"/>
    <s v="AAAA"/>
    <n v="1"/>
    <s v="Belirsiz"/>
    <m/>
    <m/>
    <n v="1900"/>
    <n v="1"/>
    <n v="45782"/>
    <x v="6"/>
    <x v="2"/>
    <x v="0"/>
    <x v="4"/>
  </r>
  <r>
    <n v="2519"/>
    <x v="8"/>
    <s v="ERTEKNİK"/>
    <d v="2025-05-05T00:00:00"/>
    <s v="AAAA"/>
    <n v="1"/>
    <s v="Belirsiz"/>
    <m/>
    <m/>
    <n v="1900"/>
    <n v="1"/>
    <n v="45782"/>
    <x v="6"/>
    <x v="2"/>
    <x v="0"/>
    <x v="4"/>
  </r>
  <r>
    <n v="2520"/>
    <x v="9"/>
    <s v="İNCİGES"/>
    <d v="2025-05-22T00:00:00"/>
    <s v="2480108BX0047544"/>
    <n v="1"/>
    <s v="HSA-2"/>
    <m/>
    <d v="2024-08-01T00:00:00"/>
    <n v="2024"/>
    <n v="8"/>
    <n v="294"/>
    <x v="2"/>
    <x v="1"/>
    <x v="0"/>
    <x v="4"/>
  </r>
  <r>
    <n v="2520"/>
    <x v="9"/>
    <s v="İNCİGES"/>
    <d v="2025-05-22T00:00:00"/>
    <s v="2480108BX0047740"/>
    <n v="1"/>
    <s v="HSA-2"/>
    <m/>
    <d v="2024-08-01T00:00:00"/>
    <n v="2024"/>
    <n v="8"/>
    <n v="294"/>
    <x v="2"/>
    <x v="1"/>
    <x v="0"/>
    <x v="4"/>
  </r>
  <r>
    <n v="2520"/>
    <x v="9"/>
    <s v="İNCİGES"/>
    <d v="2025-05-22T00:00:00"/>
    <s v="2480108BX0027047"/>
    <n v="1"/>
    <s v="HSA-2"/>
    <m/>
    <d v="2024-08-01T00:00:00"/>
    <n v="2024"/>
    <n v="8"/>
    <n v="294"/>
    <x v="2"/>
    <x v="1"/>
    <x v="0"/>
    <x v="4"/>
  </r>
  <r>
    <n v="2520"/>
    <x v="9"/>
    <s v="İNCİGES"/>
    <d v="2025-05-22T00:00:00"/>
    <s v="2480108BX0031336"/>
    <n v="1"/>
    <s v="HSA-2"/>
    <m/>
    <d v="2024-08-01T00:00:00"/>
    <n v="2024"/>
    <n v="8"/>
    <n v="294"/>
    <x v="2"/>
    <x v="1"/>
    <x v="0"/>
    <x v="4"/>
  </r>
  <r>
    <n v="2520"/>
    <x v="9"/>
    <s v="İNCİGES"/>
    <d v="2025-05-22T00:00:00"/>
    <s v="2480108BX0030061"/>
    <n v="1"/>
    <s v="HSA-2"/>
    <m/>
    <d v="2024-08-01T00:00:00"/>
    <n v="2024"/>
    <n v="8"/>
    <n v="294"/>
    <x v="2"/>
    <x v="1"/>
    <x v="0"/>
    <x v="4"/>
  </r>
  <r>
    <n v="2520"/>
    <x v="9"/>
    <s v="İNCİGES"/>
    <d v="2025-05-22T00:00:00"/>
    <s v="2490108BX0016709"/>
    <n v="1"/>
    <s v="HSA-2"/>
    <m/>
    <d v="2024-09-01T00:00:00"/>
    <n v="2024"/>
    <n v="9"/>
    <n v="263"/>
    <x v="2"/>
    <x v="1"/>
    <x v="0"/>
    <x v="4"/>
  </r>
  <r>
    <n v="2520"/>
    <x v="9"/>
    <s v="İNCİGES"/>
    <d v="2025-05-22T00:00:00"/>
    <s v="2490108BX0011610"/>
    <n v="1"/>
    <s v="HSA-2"/>
    <m/>
    <d v="2024-09-01T00:00:00"/>
    <n v="2024"/>
    <n v="9"/>
    <n v="263"/>
    <x v="2"/>
    <x v="1"/>
    <x v="0"/>
    <x v="4"/>
  </r>
  <r>
    <n v="2520"/>
    <x v="9"/>
    <s v="İNCİGES"/>
    <d v="2025-05-22T00:00:00"/>
    <s v="2490108BX0020160"/>
    <n v="1"/>
    <s v="HSA-2"/>
    <m/>
    <d v="2024-09-01T00:00:00"/>
    <n v="2024"/>
    <n v="9"/>
    <n v="263"/>
    <x v="2"/>
    <x v="1"/>
    <x v="0"/>
    <x v="4"/>
  </r>
  <r>
    <n v="2520"/>
    <x v="9"/>
    <s v="İNCİGES"/>
    <d v="2025-05-22T00:00:00"/>
    <s v="2480108BX0034358"/>
    <n v="1"/>
    <s v="HSA-2"/>
    <m/>
    <d v="2024-08-01T00:00:00"/>
    <n v="2024"/>
    <n v="8"/>
    <n v="294"/>
    <x v="2"/>
    <x v="1"/>
    <x v="0"/>
    <x v="4"/>
  </r>
  <r>
    <n v="2520"/>
    <x v="9"/>
    <s v="İNCİGES"/>
    <d v="2025-05-22T00:00:00"/>
    <s v="2480108BX0046907"/>
    <n v="1"/>
    <s v="HSA-2"/>
    <m/>
    <d v="2024-08-01T00:00:00"/>
    <n v="2024"/>
    <n v="8"/>
    <n v="294"/>
    <x v="2"/>
    <x v="1"/>
    <x v="0"/>
    <x v="4"/>
  </r>
  <r>
    <n v="2520"/>
    <x v="9"/>
    <s v="İNCİGES"/>
    <d v="2025-05-22T00:00:00"/>
    <s v="2480108BX0044180"/>
    <n v="1"/>
    <s v="HSA-2"/>
    <m/>
    <d v="2024-08-01T00:00:00"/>
    <n v="2024"/>
    <n v="8"/>
    <n v="294"/>
    <x v="2"/>
    <x v="1"/>
    <x v="0"/>
    <x v="4"/>
  </r>
  <r>
    <n v="2520"/>
    <x v="9"/>
    <s v="İNCİGES"/>
    <d v="2025-05-22T00:00:00"/>
    <s v="2480108BX0043640"/>
    <n v="1"/>
    <s v="HSA-2"/>
    <m/>
    <d v="2024-08-01T00:00:00"/>
    <n v="2024"/>
    <n v="8"/>
    <n v="294"/>
    <x v="2"/>
    <x v="1"/>
    <x v="0"/>
    <x v="4"/>
  </r>
  <r>
    <n v="2520"/>
    <x v="9"/>
    <s v="İNCİGES"/>
    <d v="2025-05-22T00:00:00"/>
    <s v="2480108BX0042613"/>
    <n v="1"/>
    <s v="HSA-2"/>
    <m/>
    <d v="2024-08-01T00:00:00"/>
    <n v="2024"/>
    <n v="8"/>
    <n v="294"/>
    <x v="2"/>
    <x v="1"/>
    <x v="0"/>
    <x v="4"/>
  </r>
  <r>
    <n v="2520"/>
    <x v="9"/>
    <s v="İNCİGES"/>
    <d v="2025-05-22T00:00:00"/>
    <s v="2480108BX0049698"/>
    <n v="1"/>
    <s v="HSA-2"/>
    <m/>
    <d v="2024-08-01T00:00:00"/>
    <n v="2024"/>
    <n v="8"/>
    <n v="294"/>
    <x v="2"/>
    <x v="1"/>
    <x v="0"/>
    <x v="4"/>
  </r>
  <r>
    <n v="2520"/>
    <x v="9"/>
    <s v="İNCİGES"/>
    <d v="2025-05-22T00:00:00"/>
    <s v="2480108BX0050247"/>
    <n v="1"/>
    <s v="HSA-2"/>
    <m/>
    <d v="2024-08-01T00:00:00"/>
    <n v="2024"/>
    <n v="8"/>
    <n v="294"/>
    <x v="2"/>
    <x v="1"/>
    <x v="0"/>
    <x v="4"/>
  </r>
  <r>
    <n v="2520"/>
    <x v="9"/>
    <s v="İNCİGES"/>
    <d v="2025-05-22T00:00:00"/>
    <s v="2480108BX0056853"/>
    <n v="1"/>
    <s v="HSA-2"/>
    <m/>
    <d v="2024-08-01T00:00:00"/>
    <n v="2024"/>
    <n v="8"/>
    <n v="294"/>
    <x v="2"/>
    <x v="1"/>
    <x v="0"/>
    <x v="4"/>
  </r>
  <r>
    <n v="2520"/>
    <x v="9"/>
    <s v="İNCİGES"/>
    <d v="2025-05-22T00:00:00"/>
    <s v="2490108BX0024543"/>
    <n v="1"/>
    <s v="HSA-2"/>
    <m/>
    <d v="2024-09-01T00:00:00"/>
    <n v="2024"/>
    <n v="9"/>
    <n v="263"/>
    <x v="2"/>
    <x v="1"/>
    <x v="0"/>
    <x v="4"/>
  </r>
  <r>
    <n v="2520"/>
    <x v="9"/>
    <s v="İNCİGES"/>
    <d v="2025-05-22T00:00:00"/>
    <s v="2490108BX0001289"/>
    <n v="1"/>
    <s v="HSA-2"/>
    <m/>
    <d v="2024-09-01T00:00:00"/>
    <n v="2024"/>
    <n v="9"/>
    <n v="263"/>
    <x v="2"/>
    <x v="1"/>
    <x v="0"/>
    <x v="4"/>
  </r>
  <r>
    <n v="2520"/>
    <x v="9"/>
    <s v="İNCİGES"/>
    <d v="2025-05-22T00:00:00"/>
    <s v="2480108BX0045050"/>
    <n v="1"/>
    <s v="HSA-2"/>
    <m/>
    <d v="2024-08-01T00:00:00"/>
    <n v="2024"/>
    <n v="8"/>
    <n v="294"/>
    <x v="2"/>
    <x v="1"/>
    <x v="0"/>
    <x v="4"/>
  </r>
  <r>
    <n v="2520"/>
    <x v="9"/>
    <s v="İNCİGES"/>
    <d v="2025-05-22T00:00:00"/>
    <s v="24A0108BX0015971"/>
    <n v="1"/>
    <s v="HSA-2"/>
    <m/>
    <d v="2024-10-01T00:00:00"/>
    <n v="2024"/>
    <n v="10"/>
    <n v="233"/>
    <x v="2"/>
    <x v="1"/>
    <x v="0"/>
    <x v="4"/>
  </r>
  <r>
    <n v="2520"/>
    <x v="9"/>
    <s v="İNCİGES"/>
    <d v="2025-05-22T00:00:00"/>
    <s v="24A0108BX0015973"/>
    <n v="1"/>
    <s v="HSA-2"/>
    <m/>
    <d v="2024-10-01T00:00:00"/>
    <n v="2024"/>
    <n v="10"/>
    <n v="233"/>
    <x v="2"/>
    <x v="1"/>
    <x v="0"/>
    <x v="4"/>
  </r>
  <r>
    <n v="2520"/>
    <x v="9"/>
    <s v="İNCİGES"/>
    <d v="2025-05-22T00:00:00"/>
    <s v="24A0108BX0015142"/>
    <n v="1"/>
    <s v="HSA-2"/>
    <m/>
    <d v="2024-10-01T00:00:00"/>
    <n v="2024"/>
    <n v="10"/>
    <n v="233"/>
    <x v="2"/>
    <x v="1"/>
    <x v="0"/>
    <x v="4"/>
  </r>
  <r>
    <n v="2520"/>
    <x v="9"/>
    <s v="İNCİGES"/>
    <d v="2025-05-22T00:00:00"/>
    <s v="24A0108BX0009494"/>
    <n v="1"/>
    <s v="HSA-2"/>
    <m/>
    <d v="2024-10-01T00:00:00"/>
    <n v="2024"/>
    <n v="10"/>
    <n v="233"/>
    <x v="2"/>
    <x v="1"/>
    <x v="0"/>
    <x v="4"/>
  </r>
  <r>
    <n v="2520"/>
    <x v="9"/>
    <s v="İNCİGES"/>
    <d v="2025-05-22T00:00:00"/>
    <s v="24A0108BX0015247"/>
    <n v="1"/>
    <s v="HSA-2"/>
    <m/>
    <d v="2024-10-01T00:00:00"/>
    <n v="2024"/>
    <n v="10"/>
    <n v="233"/>
    <x v="2"/>
    <x v="1"/>
    <x v="0"/>
    <x v="4"/>
  </r>
  <r>
    <n v="2520"/>
    <x v="9"/>
    <s v="İNCİGES"/>
    <d v="2025-05-22T00:00:00"/>
    <s v="2490108BX0008657"/>
    <n v="1"/>
    <s v="HSA-2"/>
    <m/>
    <d v="2024-09-01T00:00:00"/>
    <n v="2024"/>
    <n v="9"/>
    <n v="263"/>
    <x v="2"/>
    <x v="1"/>
    <x v="0"/>
    <x v="4"/>
  </r>
  <r>
    <n v="2520"/>
    <x v="9"/>
    <s v="İNCİGES"/>
    <d v="2025-05-22T00:00:00"/>
    <s v="24A0108BX0014796"/>
    <n v="1"/>
    <s v="HSA-2"/>
    <m/>
    <d v="2024-10-01T00:00:00"/>
    <n v="2024"/>
    <n v="10"/>
    <n v="233"/>
    <x v="2"/>
    <x v="1"/>
    <x v="0"/>
    <x v="4"/>
  </r>
  <r>
    <n v="2520"/>
    <x v="9"/>
    <s v="İNCİGES"/>
    <d v="2025-05-22T00:00:00"/>
    <s v="24A0108BX0015930"/>
    <n v="1"/>
    <s v="HSA-2"/>
    <m/>
    <d v="2024-10-01T00:00:00"/>
    <n v="2024"/>
    <n v="10"/>
    <n v="233"/>
    <x v="2"/>
    <x v="1"/>
    <x v="0"/>
    <x v="4"/>
  </r>
  <r>
    <n v="2520"/>
    <x v="9"/>
    <s v="İNCİGES"/>
    <d v="2025-05-22T00:00:00"/>
    <s v="2490108BX0024843"/>
    <n v="1"/>
    <s v="HSA-2"/>
    <m/>
    <d v="2024-09-01T00:00:00"/>
    <n v="2024"/>
    <n v="9"/>
    <n v="263"/>
    <x v="2"/>
    <x v="1"/>
    <x v="0"/>
    <x v="4"/>
  </r>
  <r>
    <n v="2520"/>
    <x v="9"/>
    <s v="İNCİGES"/>
    <d v="2025-05-22T00:00:00"/>
    <s v="24A0108BX0012400"/>
    <n v="1"/>
    <s v="HSA-2"/>
    <m/>
    <d v="2024-10-01T00:00:00"/>
    <n v="2024"/>
    <n v="10"/>
    <n v="233"/>
    <x v="2"/>
    <x v="1"/>
    <x v="0"/>
    <x v="4"/>
  </r>
  <r>
    <n v="2520"/>
    <x v="9"/>
    <s v="İNCİGES"/>
    <d v="2025-05-22T00:00:00"/>
    <s v="24A0108BX0003749"/>
    <n v="1"/>
    <s v="HSA-2"/>
    <m/>
    <d v="2024-10-01T00:00:00"/>
    <n v="2024"/>
    <n v="10"/>
    <n v="233"/>
    <x v="2"/>
    <x v="1"/>
    <x v="0"/>
    <x v="4"/>
  </r>
  <r>
    <n v="2520"/>
    <x v="9"/>
    <s v="İNCİGES"/>
    <d v="2025-05-22T00:00:00"/>
    <s v="2480108BX0052979"/>
    <n v="1"/>
    <s v="HSA-2"/>
    <m/>
    <d v="2024-08-01T00:00:00"/>
    <n v="2024"/>
    <n v="8"/>
    <n v="294"/>
    <x v="2"/>
    <x v="1"/>
    <x v="0"/>
    <x v="4"/>
  </r>
  <r>
    <n v="2520"/>
    <x v="9"/>
    <s v="İNCİGES"/>
    <d v="2025-05-22T00:00:00"/>
    <s v="2480108BX0033080"/>
    <n v="1"/>
    <s v="HSA-2"/>
    <m/>
    <d v="2024-08-01T00:00:00"/>
    <n v="2024"/>
    <n v="8"/>
    <n v="294"/>
    <x v="2"/>
    <x v="1"/>
    <x v="0"/>
    <x v="4"/>
  </r>
  <r>
    <n v="2520"/>
    <x v="9"/>
    <s v="İNCİGES"/>
    <d v="2025-05-22T00:00:00"/>
    <s v="2480108BX0037692"/>
    <n v="1"/>
    <s v="HSA-2"/>
    <m/>
    <d v="2024-08-01T00:00:00"/>
    <n v="2024"/>
    <n v="8"/>
    <n v="294"/>
    <x v="2"/>
    <x v="1"/>
    <x v="0"/>
    <x v="4"/>
  </r>
  <r>
    <n v="2520"/>
    <x v="9"/>
    <s v="İNCİGES"/>
    <d v="2025-05-22T00:00:00"/>
    <s v="2480108BX0046979"/>
    <n v="1"/>
    <s v="HSA-2"/>
    <m/>
    <d v="2024-08-01T00:00:00"/>
    <n v="2024"/>
    <n v="8"/>
    <n v="294"/>
    <x v="2"/>
    <x v="1"/>
    <x v="0"/>
    <x v="4"/>
  </r>
  <r>
    <n v="2520"/>
    <x v="9"/>
    <s v="İNCİGES"/>
    <d v="2025-05-22T00:00:00"/>
    <s v="24A0108BX0006424"/>
    <n v="1"/>
    <s v="HSA-2"/>
    <m/>
    <d v="2024-10-01T00:00:00"/>
    <n v="2024"/>
    <n v="10"/>
    <n v="233"/>
    <x v="2"/>
    <x v="1"/>
    <x v="0"/>
    <x v="4"/>
  </r>
  <r>
    <n v="2520"/>
    <x v="9"/>
    <s v="İNCİGES"/>
    <d v="2025-05-22T00:00:00"/>
    <s v="2490108BX0000299"/>
    <n v="1"/>
    <s v="HSA-2"/>
    <m/>
    <d v="2024-09-01T00:00:00"/>
    <n v="2024"/>
    <n v="9"/>
    <n v="263"/>
    <x v="2"/>
    <x v="1"/>
    <x v="0"/>
    <x v="4"/>
  </r>
  <r>
    <n v="2520"/>
    <x v="9"/>
    <s v="İNCİGES"/>
    <d v="2025-05-22T00:00:00"/>
    <s v="2490108BX0004924"/>
    <n v="1"/>
    <s v="HSA-2"/>
    <m/>
    <d v="2024-09-01T00:00:00"/>
    <n v="2024"/>
    <n v="9"/>
    <n v="263"/>
    <x v="2"/>
    <x v="1"/>
    <x v="0"/>
    <x v="4"/>
  </r>
  <r>
    <n v="2520"/>
    <x v="9"/>
    <s v="İNCİGES"/>
    <d v="2025-05-22T00:00:00"/>
    <s v="24A0108BX0012928"/>
    <n v="1"/>
    <s v="HSA-2"/>
    <m/>
    <d v="2024-10-01T00:00:00"/>
    <n v="2024"/>
    <n v="10"/>
    <n v="233"/>
    <x v="2"/>
    <x v="1"/>
    <x v="0"/>
    <x v="4"/>
  </r>
  <r>
    <n v="2520"/>
    <x v="9"/>
    <s v="İNCİGES"/>
    <d v="2025-05-22T00:00:00"/>
    <s v="2490108BX0002991"/>
    <n v="1"/>
    <s v="HSA-2"/>
    <m/>
    <d v="2024-09-01T00:00:00"/>
    <n v="2024"/>
    <n v="9"/>
    <n v="263"/>
    <x v="2"/>
    <x v="1"/>
    <x v="0"/>
    <x v="4"/>
  </r>
  <r>
    <n v="2520"/>
    <x v="9"/>
    <s v="İNCİGES"/>
    <d v="2025-05-22T00:00:00"/>
    <s v="2490108BX0013950"/>
    <n v="1"/>
    <s v="HSA-2"/>
    <m/>
    <d v="2024-09-01T00:00:00"/>
    <n v="2024"/>
    <n v="9"/>
    <n v="263"/>
    <x v="2"/>
    <x v="1"/>
    <x v="0"/>
    <x v="4"/>
  </r>
  <r>
    <n v="2520"/>
    <x v="9"/>
    <s v="İNCİGES"/>
    <d v="2025-05-22T00:00:00"/>
    <s v="24A0108BX0013205"/>
    <n v="1"/>
    <s v="HSA-2"/>
    <m/>
    <d v="2024-10-01T00:00:00"/>
    <n v="2024"/>
    <n v="10"/>
    <n v="233"/>
    <x v="2"/>
    <x v="1"/>
    <x v="0"/>
    <x v="4"/>
  </r>
  <r>
    <n v="2520"/>
    <x v="9"/>
    <s v="İNCİGES"/>
    <d v="2025-05-22T00:00:00"/>
    <s v="2490108BX0019145"/>
    <n v="1"/>
    <s v="HSA-2"/>
    <m/>
    <d v="2024-09-01T00:00:00"/>
    <n v="2024"/>
    <n v="9"/>
    <n v="263"/>
    <x v="2"/>
    <x v="1"/>
    <x v="0"/>
    <x v="4"/>
  </r>
  <r>
    <n v="2520"/>
    <x v="9"/>
    <s v="İNCİGES"/>
    <d v="2025-05-22T00:00:00"/>
    <s v="2490108BX0019252"/>
    <n v="1"/>
    <s v="HSA-2"/>
    <m/>
    <d v="2024-09-01T00:00:00"/>
    <n v="2024"/>
    <n v="9"/>
    <n v="263"/>
    <x v="2"/>
    <x v="1"/>
    <x v="0"/>
    <x v="4"/>
  </r>
  <r>
    <n v="2520"/>
    <x v="9"/>
    <s v="İNCİGES"/>
    <d v="2025-05-22T00:00:00"/>
    <s v="2490108BX0026521"/>
    <n v="1"/>
    <s v="HSA-2"/>
    <m/>
    <d v="2024-09-01T00:00:00"/>
    <n v="2024"/>
    <n v="9"/>
    <n v="263"/>
    <x v="2"/>
    <x v="1"/>
    <x v="0"/>
    <x v="4"/>
  </r>
  <r>
    <n v="2520"/>
    <x v="9"/>
    <s v="İNCİGES"/>
    <d v="2025-05-22T00:00:00"/>
    <s v="24A0108BX0002261"/>
    <n v="1"/>
    <s v="HSA-2"/>
    <m/>
    <d v="2024-10-01T00:00:00"/>
    <n v="2024"/>
    <n v="10"/>
    <n v="233"/>
    <x v="2"/>
    <x v="1"/>
    <x v="0"/>
    <x v="4"/>
  </r>
  <r>
    <n v="2520"/>
    <x v="9"/>
    <s v="İNCİGES"/>
    <d v="2025-05-22T00:00:00"/>
    <s v="24A0108BX0000157"/>
    <n v="1"/>
    <s v="HSA-2"/>
    <m/>
    <d v="2024-10-01T00:00:00"/>
    <n v="2024"/>
    <n v="10"/>
    <n v="233"/>
    <x v="2"/>
    <x v="1"/>
    <x v="0"/>
    <x v="4"/>
  </r>
  <r>
    <n v="2520"/>
    <x v="9"/>
    <s v="İNCİGES"/>
    <d v="2025-05-22T00:00:00"/>
    <s v="2490108BX0021447"/>
    <n v="1"/>
    <s v="HSA-2"/>
    <m/>
    <d v="2024-09-01T00:00:00"/>
    <n v="2024"/>
    <n v="9"/>
    <n v="263"/>
    <x v="2"/>
    <x v="1"/>
    <x v="0"/>
    <x v="4"/>
  </r>
  <r>
    <n v="2520"/>
    <x v="9"/>
    <s v="İNCİGES"/>
    <d v="2025-05-22T00:00:00"/>
    <s v="2490108BX0018462"/>
    <n v="1"/>
    <s v="HSA-2"/>
    <m/>
    <d v="2024-09-01T00:00:00"/>
    <n v="2024"/>
    <n v="9"/>
    <n v="263"/>
    <x v="2"/>
    <x v="1"/>
    <x v="0"/>
    <x v="4"/>
  </r>
  <r>
    <n v="2520"/>
    <x v="9"/>
    <s v="İNCİGES"/>
    <d v="2025-05-22T00:00:00"/>
    <s v="2490108BX0026976"/>
    <n v="1"/>
    <s v="HSA-2"/>
    <m/>
    <d v="2024-09-01T00:00:00"/>
    <n v="2024"/>
    <n v="9"/>
    <n v="263"/>
    <x v="2"/>
    <x v="1"/>
    <x v="0"/>
    <x v="4"/>
  </r>
  <r>
    <n v="2521"/>
    <x v="10"/>
    <s v="ÖRGÜGES"/>
    <d v="2025-05-22T00:00:00"/>
    <s v="2231611MC1000771"/>
    <n v="1"/>
    <s v="HSA-1"/>
    <m/>
    <d v="2022-03-01T00:00:00"/>
    <n v="2022"/>
    <n v="3"/>
    <n v="1178"/>
    <x v="2"/>
    <x v="1"/>
    <x v="0"/>
    <x v="4"/>
  </r>
  <r>
    <n v="2521"/>
    <x v="10"/>
    <s v="ÖRGÜGES"/>
    <d v="2025-05-22T00:00:00"/>
    <s v="2231711MC1000110"/>
    <n v="1"/>
    <s v="HSA-1"/>
    <m/>
    <d v="2022-03-01T00:00:00"/>
    <n v="2022"/>
    <n v="3"/>
    <n v="1178"/>
    <x v="2"/>
    <x v="1"/>
    <x v="0"/>
    <x v="4"/>
  </r>
  <r>
    <n v="2521"/>
    <x v="10"/>
    <s v="ÖRGÜGES"/>
    <d v="2025-05-22T00:00:00"/>
    <s v="2231611MC1000473"/>
    <n v="1"/>
    <s v="HSA-1"/>
    <m/>
    <d v="2022-03-01T00:00:00"/>
    <n v="2022"/>
    <n v="3"/>
    <n v="1178"/>
    <x v="2"/>
    <x v="1"/>
    <x v="0"/>
    <x v="4"/>
  </r>
  <r>
    <n v="2521"/>
    <x v="10"/>
    <s v="ÖRGÜGES"/>
    <d v="2025-05-22T00:00:00"/>
    <s v="2231111MC0000089"/>
    <n v="1"/>
    <s v="HSA-1"/>
    <m/>
    <d v="2022-03-01T00:00:00"/>
    <n v="2022"/>
    <n v="3"/>
    <n v="1178"/>
    <x v="2"/>
    <x v="1"/>
    <x v="0"/>
    <x v="4"/>
  </r>
  <r>
    <n v="2521"/>
    <x v="10"/>
    <s v="ÖRGÜGES"/>
    <d v="2025-05-22T00:00:00"/>
    <s v="2230108BW0003025"/>
    <n v="1"/>
    <s v="HSA-1"/>
    <m/>
    <d v="2022-03-01T00:00:00"/>
    <n v="2022"/>
    <n v="3"/>
    <n v="1178"/>
    <x v="2"/>
    <x v="1"/>
    <x v="0"/>
    <x v="4"/>
  </r>
  <r>
    <n v="2521"/>
    <x v="10"/>
    <s v="ÖRGÜGES"/>
    <d v="2025-05-22T00:00:00"/>
    <s v="2230108BW0002685"/>
    <n v="1"/>
    <s v="HSA-1"/>
    <m/>
    <d v="2022-03-01T00:00:00"/>
    <n v="2022"/>
    <n v="3"/>
    <n v="1178"/>
    <x v="2"/>
    <x v="1"/>
    <x v="0"/>
    <x v="4"/>
  </r>
  <r>
    <n v="2521"/>
    <x v="10"/>
    <s v="ÖRGÜGES"/>
    <d v="2025-05-22T00:00:00"/>
    <s v="2231211MC0000143"/>
    <n v="1"/>
    <s v="HSA-1"/>
    <m/>
    <d v="2022-03-01T00:00:00"/>
    <n v="2022"/>
    <n v="3"/>
    <n v="1178"/>
    <x v="2"/>
    <x v="1"/>
    <x v="0"/>
    <x v="4"/>
  </r>
  <r>
    <n v="2521"/>
    <x v="10"/>
    <s v="ÖRGÜGES"/>
    <d v="2025-05-22T00:00:00"/>
    <s v="2230108BW0002424"/>
    <n v="1"/>
    <s v="HSA-1"/>
    <m/>
    <d v="2022-03-01T00:00:00"/>
    <n v="2022"/>
    <n v="3"/>
    <n v="1178"/>
    <x v="2"/>
    <x v="1"/>
    <x v="0"/>
    <x v="4"/>
  </r>
  <r>
    <n v="2521"/>
    <x v="10"/>
    <s v="ÖRGÜGES"/>
    <d v="2025-05-22T00:00:00"/>
    <s v="2231511MC1000417"/>
    <n v="1"/>
    <s v="HSA-1"/>
    <m/>
    <d v="2022-03-01T00:00:00"/>
    <n v="2022"/>
    <n v="3"/>
    <n v="1178"/>
    <x v="2"/>
    <x v="1"/>
    <x v="0"/>
    <x v="4"/>
  </r>
  <r>
    <n v="2521"/>
    <x v="10"/>
    <s v="ÖRGÜGES"/>
    <d v="2025-05-22T00:00:00"/>
    <s v="2231611MC1000637"/>
    <n v="1"/>
    <s v="HSA-1"/>
    <m/>
    <d v="2022-03-01T00:00:00"/>
    <n v="2022"/>
    <n v="3"/>
    <n v="1178"/>
    <x v="2"/>
    <x v="1"/>
    <x v="0"/>
    <x v="4"/>
  </r>
  <r>
    <n v="2521"/>
    <x v="10"/>
    <s v="ÖRGÜGES"/>
    <d v="2025-05-22T00:00:00"/>
    <s v="2231611MC1000589"/>
    <n v="1"/>
    <s v="HSA-1"/>
    <m/>
    <d v="2022-03-01T00:00:00"/>
    <n v="2022"/>
    <n v="3"/>
    <n v="1178"/>
    <x v="2"/>
    <x v="1"/>
    <x v="0"/>
    <x v="4"/>
  </r>
  <r>
    <n v="2521"/>
    <x v="10"/>
    <s v="ÖRGÜGES"/>
    <d v="2025-05-22T00:00:00"/>
    <s v="2231611MC1000421"/>
    <n v="1"/>
    <s v="HSA-1"/>
    <m/>
    <d v="2022-03-01T00:00:00"/>
    <n v="2022"/>
    <n v="3"/>
    <n v="1178"/>
    <x v="2"/>
    <x v="1"/>
    <x v="0"/>
    <x v="4"/>
  </r>
  <r>
    <n v="2521"/>
    <x v="10"/>
    <s v="ÖRGÜGES"/>
    <d v="2025-05-22T00:00:00"/>
    <s v="2231611MC1000770"/>
    <n v="1"/>
    <s v="HSA-1"/>
    <m/>
    <d v="2022-03-01T00:00:00"/>
    <n v="2022"/>
    <n v="3"/>
    <n v="1178"/>
    <x v="2"/>
    <x v="1"/>
    <x v="0"/>
    <x v="4"/>
  </r>
  <r>
    <n v="2521"/>
    <x v="10"/>
    <s v="ÖRGÜGES"/>
    <d v="2025-05-22T00:00:00"/>
    <s v="2230811MC0000605"/>
    <n v="1"/>
    <s v="HSA-1"/>
    <m/>
    <d v="2022-03-01T00:00:00"/>
    <n v="2022"/>
    <n v="3"/>
    <n v="1178"/>
    <x v="2"/>
    <x v="1"/>
    <x v="0"/>
    <x v="4"/>
  </r>
  <r>
    <n v="2521"/>
    <x v="10"/>
    <s v="ÖRGÜGES"/>
    <d v="2025-05-22T00:00:00"/>
    <s v="2231611MC1000778"/>
    <n v="1"/>
    <s v="HSA-1"/>
    <m/>
    <d v="2022-03-01T00:00:00"/>
    <n v="2022"/>
    <n v="3"/>
    <n v="1178"/>
    <x v="2"/>
    <x v="1"/>
    <x v="0"/>
    <x v="4"/>
  </r>
  <r>
    <n v="2521"/>
    <x v="10"/>
    <s v="ÖRGÜGES"/>
    <d v="2025-05-22T00:00:00"/>
    <s v="2231511MC1000429"/>
    <n v="1"/>
    <s v="HSA-1"/>
    <m/>
    <d v="2022-03-01T00:00:00"/>
    <n v="2022"/>
    <n v="3"/>
    <n v="1178"/>
    <x v="2"/>
    <x v="1"/>
    <x v="0"/>
    <x v="4"/>
  </r>
  <r>
    <n v="2522"/>
    <x v="11"/>
    <s v="ELEKTAENERJİ"/>
    <d v="2025-05-28T00:00:00"/>
    <s v="2520107BW001889"/>
    <n v="1"/>
    <s v="HSA-1"/>
    <m/>
    <d v="2025-02-01T00:00:00"/>
    <n v="2025"/>
    <n v="2"/>
    <n v="116"/>
    <x v="8"/>
    <x v="2"/>
    <x v="1"/>
    <x v="4"/>
  </r>
  <r>
    <n v="2523"/>
    <x v="12"/>
    <s v="BİM"/>
    <d v="2025-06-17T00:00:00"/>
    <s v="24B0108MC2003551"/>
    <n v="1"/>
    <s v="HSA-2"/>
    <m/>
    <d v="2024-11-01T00:00:00"/>
    <n v="2024"/>
    <n v="11"/>
    <n v="228"/>
    <x v="2"/>
    <x v="2"/>
    <x v="2"/>
    <x v="5"/>
  </r>
  <r>
    <n v="2523"/>
    <x v="12"/>
    <s v="BİM"/>
    <d v="2025-06-17T00:00:00"/>
    <s v="24B0108MC2006053"/>
    <n v="1"/>
    <s v="HSA-2"/>
    <m/>
    <d v="2024-11-01T00:00:00"/>
    <n v="2024"/>
    <n v="11"/>
    <n v="228"/>
    <x v="2"/>
    <x v="2"/>
    <x v="2"/>
    <x v="5"/>
  </r>
  <r>
    <n v="2523"/>
    <x v="12"/>
    <s v="BİM"/>
    <d v="2025-06-17T00:00:00"/>
    <s v="24B0108MC2010697"/>
    <n v="1"/>
    <s v="HSA-2"/>
    <m/>
    <d v="2024-11-01T00:00:00"/>
    <n v="2024"/>
    <n v="11"/>
    <n v="228"/>
    <x v="2"/>
    <x v="2"/>
    <x v="2"/>
    <x v="5"/>
  </r>
  <r>
    <n v="2523"/>
    <x v="12"/>
    <s v="BİM"/>
    <d v="2025-06-17T00:00:00"/>
    <s v="24B0108MC2002559"/>
    <n v="1"/>
    <s v="HSA-2"/>
    <m/>
    <d v="2024-11-01T00:00:00"/>
    <n v="2024"/>
    <n v="11"/>
    <n v="228"/>
    <x v="2"/>
    <x v="2"/>
    <x v="2"/>
    <x v="5"/>
  </r>
  <r>
    <n v="2523"/>
    <x v="12"/>
    <s v="BİM"/>
    <d v="2025-06-17T00:00:00"/>
    <s v="24B0108MC2001760"/>
    <n v="1"/>
    <s v="HSA-2"/>
    <m/>
    <d v="2024-11-01T00:00:00"/>
    <n v="2024"/>
    <n v="11"/>
    <n v="228"/>
    <x v="2"/>
    <x v="2"/>
    <x v="2"/>
    <x v="5"/>
  </r>
  <r>
    <n v="2523"/>
    <x v="12"/>
    <s v="BİM"/>
    <d v="2025-06-17T00:00:00"/>
    <s v="24B0108MC2003365"/>
    <n v="1"/>
    <s v="HSA-2"/>
    <m/>
    <d v="2024-11-01T00:00:00"/>
    <n v="2024"/>
    <n v="11"/>
    <n v="228"/>
    <x v="2"/>
    <x v="2"/>
    <x v="2"/>
    <x v="5"/>
  </r>
  <r>
    <n v="2523"/>
    <x v="12"/>
    <s v="BİM"/>
    <d v="2025-06-17T00:00:00"/>
    <s v="24B0108MC2002208"/>
    <n v="1"/>
    <s v="HSA-2"/>
    <m/>
    <d v="2024-11-01T00:00:00"/>
    <n v="2024"/>
    <n v="11"/>
    <n v="228"/>
    <x v="2"/>
    <x v="2"/>
    <x v="2"/>
    <x v="5"/>
  </r>
  <r>
    <n v="2523"/>
    <x v="12"/>
    <s v="BİM"/>
    <d v="2025-06-17T00:00:00"/>
    <s v="24A0108MC2008619"/>
    <n v="1"/>
    <s v="HSA-2"/>
    <m/>
    <d v="2024-10-01T00:00:00"/>
    <n v="2024"/>
    <n v="10"/>
    <n v="259"/>
    <x v="2"/>
    <x v="2"/>
    <x v="2"/>
    <x v="5"/>
  </r>
  <r>
    <n v="2523"/>
    <x v="12"/>
    <s v="BİM"/>
    <d v="2025-06-17T00:00:00"/>
    <s v="24A0108MC2004336"/>
    <n v="1"/>
    <s v="HSA-2"/>
    <m/>
    <d v="2024-10-01T00:00:00"/>
    <n v="2024"/>
    <n v="10"/>
    <n v="259"/>
    <x v="2"/>
    <x v="2"/>
    <x v="2"/>
    <x v="5"/>
  </r>
  <r>
    <n v="2523"/>
    <x v="12"/>
    <s v="BİM"/>
    <d v="2025-06-17T00:00:00"/>
    <s v="24B0108MC2009202"/>
    <n v="1"/>
    <s v="HSA-2"/>
    <m/>
    <d v="2024-11-01T00:00:00"/>
    <n v="2024"/>
    <n v="11"/>
    <n v="228"/>
    <x v="2"/>
    <x v="2"/>
    <x v="2"/>
    <x v="5"/>
  </r>
  <r>
    <n v="2523"/>
    <x v="12"/>
    <s v="BİM"/>
    <d v="2025-06-17T00:00:00"/>
    <s v="24B0108MC2012295"/>
    <n v="1"/>
    <s v="HSA-2"/>
    <m/>
    <d v="2024-11-01T00:00:00"/>
    <n v="2024"/>
    <n v="11"/>
    <n v="228"/>
    <x v="2"/>
    <x v="2"/>
    <x v="2"/>
    <x v="5"/>
  </r>
  <r>
    <n v="2523"/>
    <x v="12"/>
    <s v="BİM"/>
    <d v="2025-06-17T00:00:00"/>
    <s v="24A0108MC2014957"/>
    <n v="1"/>
    <s v="HSA-2"/>
    <m/>
    <d v="2024-10-01T00:00:00"/>
    <n v="2024"/>
    <n v="10"/>
    <n v="259"/>
    <x v="2"/>
    <x v="2"/>
    <x v="2"/>
    <x v="5"/>
  </r>
  <r>
    <n v="2523"/>
    <x v="12"/>
    <s v="BİM"/>
    <d v="2025-06-17T00:00:00"/>
    <s v="24A0108MC2011925"/>
    <n v="1"/>
    <s v="HSA-2"/>
    <m/>
    <d v="2024-10-01T00:00:00"/>
    <n v="2024"/>
    <n v="10"/>
    <n v="259"/>
    <x v="2"/>
    <x v="2"/>
    <x v="2"/>
    <x v="5"/>
  </r>
  <r>
    <n v="2523"/>
    <x v="12"/>
    <s v="BİM"/>
    <d v="2025-06-17T00:00:00"/>
    <s v="24B0108MC2007757"/>
    <n v="1"/>
    <s v="HSA-2"/>
    <m/>
    <d v="2024-11-01T00:00:00"/>
    <n v="2024"/>
    <n v="11"/>
    <n v="228"/>
    <x v="2"/>
    <x v="2"/>
    <x v="2"/>
    <x v="5"/>
  </r>
  <r>
    <n v="2524"/>
    <x v="0"/>
    <s v="ABMEVPROJESİ"/>
    <d v="2025-06-19T00:00:00"/>
    <s v="24B0108MC2017016"/>
    <n v="1"/>
    <s v="HSA-2"/>
    <m/>
    <d v="2024-10-01T00:00:00"/>
    <n v="2024"/>
    <n v="10"/>
    <n v="261"/>
    <x v="1"/>
    <x v="2"/>
    <x v="1"/>
    <x v="5"/>
  </r>
  <r>
    <n v="2525"/>
    <x v="0"/>
    <s v="RAMADAARAZİGES"/>
    <d v="2025-06-19T00:00:00"/>
    <s v="2360108MC1000905"/>
    <n v="1"/>
    <s v="HSA-2"/>
    <m/>
    <d v="2023-06-01T00:00:00"/>
    <n v="2023"/>
    <n v="6"/>
    <n v="749"/>
    <x v="2"/>
    <x v="1"/>
    <x v="0"/>
    <x v="5"/>
  </r>
  <r>
    <n v="2525"/>
    <x v="0"/>
    <s v="RAMADAARAZİGES"/>
    <d v="2025-06-19T00:00:00"/>
    <s v="2350108MC1013620"/>
    <n v="1"/>
    <s v="HSA-2"/>
    <m/>
    <d v="2023-05-01T00:00:00"/>
    <n v="2023"/>
    <n v="5"/>
    <n v="780"/>
    <x v="2"/>
    <x v="1"/>
    <x v="0"/>
    <x v="5"/>
  </r>
  <r>
    <n v="2526"/>
    <x v="0"/>
    <s v="ADALYA"/>
    <d v="2025-06-19T00:00:00"/>
    <s v="2320108MC2022139"/>
    <n v="1"/>
    <s v="HSA-2"/>
    <m/>
    <d v="2023-02-01T00:00:00"/>
    <n v="2023"/>
    <n v="2"/>
    <n v="869"/>
    <x v="2"/>
    <x v="1"/>
    <x v="0"/>
    <x v="5"/>
  </r>
  <r>
    <n v="2527"/>
    <x v="13"/>
    <s v="DEMSAN"/>
    <d v="2025-07-01T00:00:00"/>
    <s v="22C0108BW0054242"/>
    <n v="1"/>
    <s v="HSA-1"/>
    <m/>
    <d v="2022-12-01T00:00:00"/>
    <n v="2022"/>
    <n v="12"/>
    <n v="943"/>
    <x v="7"/>
    <x v="0"/>
    <x v="0"/>
    <x v="6"/>
  </r>
  <r>
    <n v="2527"/>
    <x v="13"/>
    <s v="DEMSAN"/>
    <d v="2025-07-01T00:00:00"/>
    <s v="2310108MC1000459"/>
    <n v="1"/>
    <s v="HSA-1"/>
    <m/>
    <d v="2023-01-01T00:00:00"/>
    <n v="2023"/>
    <n v="1"/>
    <n v="912"/>
    <x v="7"/>
    <x v="2"/>
    <x v="1"/>
    <x v="6"/>
  </r>
  <r>
    <n v="2527"/>
    <x v="13"/>
    <s v="DEMSAN"/>
    <d v="2025-07-01T00:00:00"/>
    <s v="2310108MC1000038"/>
    <n v="1"/>
    <s v="HSA-1"/>
    <m/>
    <d v="2023-01-01T00:00:00"/>
    <n v="2023"/>
    <n v="1"/>
    <n v="912"/>
    <x v="2"/>
    <x v="1"/>
    <x v="0"/>
    <x v="6"/>
  </r>
  <r>
    <n v="2527"/>
    <x v="13"/>
    <s v="DEMSAN"/>
    <d v="2025-07-01T00:00:00"/>
    <s v="2310108MC1000370"/>
    <n v="1"/>
    <s v="HSA-1"/>
    <m/>
    <d v="2023-01-01T00:00:00"/>
    <n v="2023"/>
    <n v="1"/>
    <n v="912"/>
    <x v="7"/>
    <x v="0"/>
    <x v="0"/>
    <x v="6"/>
  </r>
  <r>
    <n v="2528"/>
    <x v="1"/>
    <s v="TİRSANKARDAN"/>
    <d v="2025-07-01T00:00:00"/>
    <s v="2410108BX0011336"/>
    <n v="1"/>
    <s v="HSA-2"/>
    <m/>
    <d v="2024-01-01T00:00:00"/>
    <n v="2024"/>
    <n v="1"/>
    <n v="547"/>
    <x v="9"/>
    <x v="2"/>
    <x v="1"/>
    <x v="6"/>
  </r>
  <r>
    <n v="2529"/>
    <x v="14"/>
    <s v="ALKANMAKİNE"/>
    <d v="2025-07-25T00:00:00"/>
    <s v="2310108MC2019548"/>
    <n v="1"/>
    <s v="HSA-2"/>
    <m/>
    <d v="2023-01-01T00:00:00"/>
    <n v="2023"/>
    <n v="1"/>
    <n v="936"/>
    <x v="7"/>
    <x v="2"/>
    <x v="1"/>
    <x v="6"/>
  </r>
  <r>
    <n v="2529"/>
    <x v="14"/>
    <s v="ALKANMAKİNE"/>
    <d v="2025-07-25T00:00:00"/>
    <s v="2310108MC2019244"/>
    <n v="1"/>
    <s v="HSA-2"/>
    <m/>
    <d v="2023-01-01T00:00:00"/>
    <n v="2023"/>
    <n v="1"/>
    <n v="936"/>
    <x v="7"/>
    <x v="2"/>
    <x v="1"/>
    <x v="6"/>
  </r>
  <r>
    <n v="2529"/>
    <x v="14"/>
    <s v="ALKANMAKİNE"/>
    <d v="2025-07-25T00:00:00"/>
    <s v="2330108MC2001285"/>
    <n v="1"/>
    <s v="HSA-2"/>
    <m/>
    <d v="2023-03-01T00:00:00"/>
    <n v="2023"/>
    <n v="3"/>
    <n v="877"/>
    <x v="7"/>
    <x v="2"/>
    <x v="1"/>
    <x v="6"/>
  </r>
  <r>
    <n v="2529"/>
    <x v="14"/>
    <s v="ALKANMAKİNE"/>
    <d v="2025-07-25T00:00:00"/>
    <s v="2310108MC2019289"/>
    <n v="1"/>
    <s v="HSA-2"/>
    <m/>
    <d v="2023-01-01T00:00:00"/>
    <n v="2023"/>
    <n v="1"/>
    <n v="936"/>
    <x v="7"/>
    <x v="2"/>
    <x v="1"/>
    <x v="6"/>
  </r>
  <r>
    <n v="2529"/>
    <x v="14"/>
    <s v="ALKANMAKİNE"/>
    <d v="2025-07-25T00:00:00"/>
    <s v="2310108MC2019693"/>
    <n v="1"/>
    <s v="HSA-2"/>
    <m/>
    <d v="2023-01-01T00:00:00"/>
    <n v="2023"/>
    <n v="1"/>
    <n v="936"/>
    <x v="7"/>
    <x v="2"/>
    <x v="1"/>
    <x v="6"/>
  </r>
  <r>
    <n v="2529"/>
    <x v="14"/>
    <s v="ALKANMAKİNE"/>
    <d v="2025-07-25T00:00:00"/>
    <s v="2320108MC2037333"/>
    <n v="1"/>
    <s v="HSA-2"/>
    <m/>
    <d v="2023-02-01T00:00:00"/>
    <n v="2023"/>
    <n v="2"/>
    <n v="905"/>
    <x v="7"/>
    <x v="2"/>
    <x v="1"/>
    <x v="6"/>
  </r>
  <r>
    <n v="2529"/>
    <x v="14"/>
    <s v="ALKANMAKİNE"/>
    <d v="2025-07-25T00:00:00"/>
    <s v="2320108MC2035512"/>
    <n v="1"/>
    <s v="HSA-2"/>
    <m/>
    <d v="2023-02-01T00:00:00"/>
    <n v="2023"/>
    <n v="2"/>
    <n v="905"/>
    <x v="7"/>
    <x v="2"/>
    <x v="1"/>
    <x v="6"/>
  </r>
  <r>
    <n v="2529"/>
    <x v="14"/>
    <s v="ALKANMAKİNE"/>
    <d v="2025-07-25T00:00:00"/>
    <s v="2330108MC2010439"/>
    <n v="1"/>
    <s v="HSA-2"/>
    <m/>
    <d v="2023-03-01T00:00:00"/>
    <n v="2023"/>
    <n v="3"/>
    <n v="877"/>
    <x v="7"/>
    <x v="2"/>
    <x v="1"/>
    <x v="6"/>
  </r>
  <r>
    <n v="2529"/>
    <x v="14"/>
    <s v="ALKANMAKİNE"/>
    <d v="2025-07-25T00:00:00"/>
    <s v="2330108MC2010217"/>
    <n v="1"/>
    <s v="HSA-2"/>
    <m/>
    <d v="2023-03-01T00:00:00"/>
    <n v="2023"/>
    <n v="3"/>
    <n v="877"/>
    <x v="7"/>
    <x v="2"/>
    <x v="1"/>
    <x v="6"/>
  </r>
  <r>
    <n v="2529"/>
    <x v="14"/>
    <s v="ALKANMAKİNE"/>
    <d v="2025-07-25T00:00:00"/>
    <s v="2330108MC2010188"/>
    <n v="1"/>
    <s v="HSA-2"/>
    <m/>
    <d v="2023-03-01T00:00:00"/>
    <n v="2023"/>
    <n v="3"/>
    <n v="877"/>
    <x v="7"/>
    <x v="2"/>
    <x v="1"/>
    <x v="6"/>
  </r>
  <r>
    <n v="2529"/>
    <x v="14"/>
    <s v="ALKANMAKİNE"/>
    <d v="2025-07-25T00:00:00"/>
    <s v="2330108MC2010101"/>
    <n v="1"/>
    <s v="HSA-2"/>
    <m/>
    <d v="2023-03-01T00:00:00"/>
    <n v="2023"/>
    <n v="3"/>
    <n v="877"/>
    <x v="7"/>
    <x v="2"/>
    <x v="1"/>
    <x v="6"/>
  </r>
  <r>
    <n v="2529"/>
    <x v="14"/>
    <s v="ALKANMAKİNE"/>
    <d v="2025-07-25T00:00:00"/>
    <s v="2330108MC2010110"/>
    <n v="1"/>
    <s v="HSA-2"/>
    <m/>
    <d v="2023-03-01T00:00:00"/>
    <n v="2023"/>
    <n v="3"/>
    <n v="877"/>
    <x v="7"/>
    <x v="2"/>
    <x v="1"/>
    <x v="6"/>
  </r>
  <r>
    <n v="2530"/>
    <x v="15"/>
    <s v="PVLUXENERJI"/>
    <d v="2025-08-04T00:00:00"/>
    <s v="E3FXT425A039990036200025"/>
    <n v="1"/>
    <s v="HSA-2"/>
    <s v="MAVİÇAM"/>
    <d v="2025-03-01T00:00:00"/>
    <n v="2025"/>
    <n v="3"/>
    <n v="156"/>
    <x v="1"/>
    <x v="2"/>
    <x v="1"/>
    <x v="7"/>
  </r>
  <r>
    <n v="2531"/>
    <x v="16"/>
    <s v="BORTAR YEMEK"/>
    <d v="2025-07-28T00:00:00"/>
    <s v="E4FXT425F119990045000497"/>
    <n v="1"/>
    <s v="HSA-1"/>
    <m/>
    <m/>
    <n v="1900"/>
    <n v="1"/>
    <n v="45866"/>
    <x v="10"/>
    <x v="2"/>
    <x v="1"/>
    <x v="6"/>
  </r>
  <r>
    <n v="2531"/>
    <x v="16"/>
    <s v="BORTAR YEMEK"/>
    <d v="2025-07-28T00:00:00"/>
    <s v="E4FXT425F129990045001907"/>
    <n v="1"/>
    <s v="HSA-1"/>
    <m/>
    <m/>
    <n v="1900"/>
    <n v="1"/>
    <n v="45866"/>
    <x v="11"/>
    <x v="2"/>
    <x v="1"/>
    <x v="6"/>
  </r>
  <r>
    <n v="2531"/>
    <x v="16"/>
    <s v="BORTAR YEMEK"/>
    <d v="2025-07-28T00:00:00"/>
    <s v="E4FXT425F119990045001346"/>
    <n v="1"/>
    <s v="HSA-1"/>
    <m/>
    <m/>
    <n v="1900"/>
    <n v="1"/>
    <n v="45866"/>
    <x v="12"/>
    <x v="2"/>
    <x v="1"/>
    <x v="6"/>
  </r>
  <r>
    <n v="2531"/>
    <x v="16"/>
    <s v="BORTAR YEMEK"/>
    <d v="2025-07-28T00:00:00"/>
    <s v="E4FXT425F119990045000189"/>
    <n v="1"/>
    <s v="HSA-1"/>
    <m/>
    <m/>
    <n v="1900"/>
    <n v="1"/>
    <n v="45866"/>
    <x v="11"/>
    <x v="2"/>
    <x v="1"/>
    <x v="6"/>
  </r>
  <r>
    <n v="2531"/>
    <x v="16"/>
    <s v="BORTAR YEMEK"/>
    <d v="2025-07-28T00:00:00"/>
    <s v="E4FXT425F129990045001509"/>
    <n v="1"/>
    <s v="HSA-1"/>
    <m/>
    <m/>
    <n v="1900"/>
    <n v="1"/>
    <n v="45866"/>
    <x v="12"/>
    <x v="2"/>
    <x v="1"/>
    <x v="6"/>
  </r>
  <r>
    <n v="2531"/>
    <x v="16"/>
    <s v="BORTAR YEMEK"/>
    <d v="2025-07-28T00:00:00"/>
    <s v="E4FXT425F119990045000405"/>
    <n v="1"/>
    <s v="HSA-1"/>
    <m/>
    <m/>
    <n v="1900"/>
    <n v="1"/>
    <n v="45866"/>
    <x v="13"/>
    <x v="2"/>
    <x v="1"/>
    <x v="6"/>
  </r>
  <r>
    <n v="2532"/>
    <x v="0"/>
    <s v="AKGÜÇ"/>
    <d v="2025-07-30T00:00:00"/>
    <s v="2490107BW0033928"/>
    <n v="1"/>
    <s v="HSA-1"/>
    <m/>
    <m/>
    <n v="1900"/>
    <n v="1"/>
    <n v="45868"/>
    <x v="7"/>
    <x v="2"/>
    <x v="1"/>
    <x v="6"/>
  </r>
  <r>
    <n v="2532"/>
    <x v="0"/>
    <s v="AKGÜÇ"/>
    <d v="2025-07-30T00:00:00"/>
    <s v="2490107BW0033727"/>
    <n v="1"/>
    <s v="HSA-1"/>
    <m/>
    <m/>
    <n v="1900"/>
    <n v="1"/>
    <n v="45868"/>
    <x v="7"/>
    <x v="2"/>
    <x v="1"/>
    <x v="6"/>
  </r>
  <r>
    <n v="2532"/>
    <x v="0"/>
    <s v="AKGÜÇ"/>
    <d v="2025-07-30T00:00:00"/>
    <s v="2490107BW0033719"/>
    <n v="1"/>
    <s v="HSA-1"/>
    <m/>
    <m/>
    <n v="1900"/>
    <n v="1"/>
    <n v="45868"/>
    <x v="7"/>
    <x v="2"/>
    <x v="1"/>
    <x v="6"/>
  </r>
  <r>
    <n v="2532"/>
    <x v="0"/>
    <s v="AKGÜÇ"/>
    <d v="2025-07-30T00:00:00"/>
    <s v="2490107BW0034082"/>
    <n v="1"/>
    <s v="HSA-1"/>
    <m/>
    <m/>
    <n v="1900"/>
    <n v="1"/>
    <n v="45868"/>
    <x v="7"/>
    <x v="2"/>
    <x v="1"/>
    <x v="6"/>
  </r>
  <r>
    <n v="2532"/>
    <x v="0"/>
    <s v="AKGÜÇ"/>
    <d v="2025-07-30T00:00:00"/>
    <s v="2490107BW0034003"/>
    <n v="1"/>
    <s v="HSA-1"/>
    <m/>
    <m/>
    <n v="1900"/>
    <n v="1"/>
    <n v="45868"/>
    <x v="7"/>
    <x v="2"/>
    <x v="1"/>
    <x v="6"/>
  </r>
  <r>
    <n v="2532"/>
    <x v="0"/>
    <s v="AKGÜÇ"/>
    <d v="2025-07-30T00:00:00"/>
    <s v="2490107BW0034024"/>
    <n v="1"/>
    <s v="HSA-1"/>
    <m/>
    <m/>
    <n v="1900"/>
    <n v="1"/>
    <n v="45868"/>
    <x v="7"/>
    <x v="2"/>
    <x v="1"/>
    <x v="6"/>
  </r>
  <r>
    <n v="2532"/>
    <x v="0"/>
    <s v="AKGÜÇ"/>
    <d v="2025-07-30T00:00:00"/>
    <s v="2490107BW0034104"/>
    <n v="1"/>
    <s v="HSA-1"/>
    <m/>
    <m/>
    <n v="1900"/>
    <n v="1"/>
    <n v="45868"/>
    <x v="7"/>
    <x v="2"/>
    <x v="1"/>
    <x v="6"/>
  </r>
  <r>
    <n v="2532"/>
    <x v="0"/>
    <s v="AKGÜÇ"/>
    <d v="2025-07-30T00:00:00"/>
    <s v="2490107BW0034124"/>
    <n v="1"/>
    <s v="HSA-1"/>
    <m/>
    <m/>
    <n v="1900"/>
    <n v="1"/>
    <n v="45868"/>
    <x v="7"/>
    <x v="2"/>
    <x v="1"/>
    <x v="6"/>
  </r>
  <r>
    <n v="2532"/>
    <x v="0"/>
    <s v="AKGÜÇ"/>
    <d v="2025-07-30T00:00:00"/>
    <s v="2490107BW0033972"/>
    <n v="1"/>
    <s v="HSA-1"/>
    <m/>
    <m/>
    <n v="1900"/>
    <n v="1"/>
    <n v="45868"/>
    <x v="7"/>
    <x v="2"/>
    <x v="1"/>
    <x v="6"/>
  </r>
  <r>
    <n v="2532"/>
    <x v="0"/>
    <s v="AKGÜÇ"/>
    <d v="2025-07-30T00:00:00"/>
    <s v="2490107BW0034088"/>
    <n v="1"/>
    <s v="HSA-1"/>
    <m/>
    <m/>
    <n v="1900"/>
    <n v="1"/>
    <n v="45868"/>
    <x v="7"/>
    <x v="2"/>
    <x v="1"/>
    <x v="6"/>
  </r>
  <r>
    <n v="2532"/>
    <x v="0"/>
    <s v="AKGÜÇ"/>
    <d v="2025-07-30T00:00:00"/>
    <s v="2490107BW0033944"/>
    <n v="1"/>
    <s v="HSA-1"/>
    <m/>
    <m/>
    <n v="1900"/>
    <n v="1"/>
    <n v="45868"/>
    <x v="7"/>
    <x v="2"/>
    <x v="1"/>
    <x v="6"/>
  </r>
  <r>
    <n v="2532"/>
    <x v="0"/>
    <s v="AKGÜÇ"/>
    <d v="2025-07-30T00:00:00"/>
    <s v="2490107BW0034081"/>
    <n v="1"/>
    <s v="HSA-1"/>
    <m/>
    <m/>
    <n v="1900"/>
    <n v="1"/>
    <n v="45868"/>
    <x v="7"/>
    <x v="2"/>
    <x v="1"/>
    <x v="6"/>
  </r>
  <r>
    <n v="2532"/>
    <x v="0"/>
    <s v="AKGÜÇ"/>
    <d v="2025-07-30T00:00:00"/>
    <s v="2490107BW0004059"/>
    <n v="1"/>
    <s v="HSA-1"/>
    <m/>
    <m/>
    <n v="1900"/>
    <n v="1"/>
    <n v="45868"/>
    <x v="7"/>
    <x v="2"/>
    <x v="1"/>
    <x v="6"/>
  </r>
  <r>
    <n v="2532"/>
    <x v="0"/>
    <s v="AKGÜÇ"/>
    <d v="2025-07-30T00:00:00"/>
    <s v="2490107BW0004233"/>
    <n v="1"/>
    <s v="HSA-1"/>
    <m/>
    <m/>
    <n v="1900"/>
    <n v="1"/>
    <n v="45868"/>
    <x v="7"/>
    <x v="2"/>
    <x v="1"/>
    <x v="6"/>
  </r>
  <r>
    <n v="2532"/>
    <x v="0"/>
    <s v="AKGÜÇ"/>
    <d v="2025-07-30T00:00:00"/>
    <s v="2490107BW0004217"/>
    <n v="1"/>
    <s v="HSA-1"/>
    <m/>
    <m/>
    <n v="1900"/>
    <n v="1"/>
    <n v="45868"/>
    <x v="7"/>
    <x v="2"/>
    <x v="1"/>
    <x v="6"/>
  </r>
  <r>
    <n v="2532"/>
    <x v="0"/>
    <s v="AKGÜÇ"/>
    <d v="2025-07-30T00:00:00"/>
    <s v="2490107BW0003597"/>
    <n v="1"/>
    <s v="HSA-1"/>
    <m/>
    <m/>
    <n v="1900"/>
    <n v="1"/>
    <n v="45868"/>
    <x v="7"/>
    <x v="2"/>
    <x v="1"/>
    <x v="6"/>
  </r>
  <r>
    <n v="2532"/>
    <x v="0"/>
    <s v="AKGÜÇ"/>
    <d v="2025-07-30T00:00:00"/>
    <s v="2490107BW0004102"/>
    <n v="1"/>
    <s v="HSA-1"/>
    <m/>
    <m/>
    <n v="1900"/>
    <n v="1"/>
    <n v="45868"/>
    <x v="7"/>
    <x v="2"/>
    <x v="1"/>
    <x v="6"/>
  </r>
  <r>
    <n v="2532"/>
    <x v="0"/>
    <s v="AKGÜÇ"/>
    <d v="2025-07-30T00:00:00"/>
    <s v="2490107BW0004038"/>
    <n v="1"/>
    <s v="HSA-1"/>
    <m/>
    <m/>
    <n v="1900"/>
    <n v="1"/>
    <n v="45868"/>
    <x v="7"/>
    <x v="2"/>
    <x v="1"/>
    <x v="6"/>
  </r>
  <r>
    <n v="2532"/>
    <x v="0"/>
    <s v="AKGÜÇ"/>
    <d v="2025-07-30T00:00:00"/>
    <s v="2490107BW0004128"/>
    <n v="1"/>
    <s v="HSA-1"/>
    <m/>
    <m/>
    <n v="1900"/>
    <n v="1"/>
    <n v="45868"/>
    <x v="7"/>
    <x v="2"/>
    <x v="1"/>
    <x v="6"/>
  </r>
  <r>
    <n v="2532"/>
    <x v="0"/>
    <s v="AKGÜÇ"/>
    <d v="2025-07-30T00:00:00"/>
    <s v="2490107BW0004166"/>
    <n v="1"/>
    <s v="HSA-1"/>
    <m/>
    <m/>
    <n v="1900"/>
    <n v="1"/>
    <n v="45868"/>
    <x v="7"/>
    <x v="2"/>
    <x v="1"/>
    <x v="6"/>
  </r>
  <r>
    <n v="2532"/>
    <x v="0"/>
    <s v="AKGÜÇ"/>
    <d v="2025-07-30T00:00:00"/>
    <s v="2490107BW0004055"/>
    <n v="1"/>
    <s v="HSA-1"/>
    <m/>
    <m/>
    <n v="1900"/>
    <n v="1"/>
    <n v="45868"/>
    <x v="7"/>
    <x v="2"/>
    <x v="1"/>
    <x v="6"/>
  </r>
  <r>
    <n v="2532"/>
    <x v="0"/>
    <s v="AKGÜÇ"/>
    <d v="2025-07-30T00:00:00"/>
    <s v="2490107BW0003666"/>
    <n v="1"/>
    <s v="HSA-1"/>
    <m/>
    <m/>
    <n v="1900"/>
    <n v="1"/>
    <n v="45868"/>
    <x v="7"/>
    <x v="2"/>
    <x v="1"/>
    <x v="6"/>
  </r>
  <r>
    <n v="2532"/>
    <x v="0"/>
    <s v="AKGÜÇ"/>
    <d v="2025-07-30T00:00:00"/>
    <s v="2490107BW0003572"/>
    <n v="1"/>
    <s v="HSA-1"/>
    <m/>
    <m/>
    <n v="1900"/>
    <n v="1"/>
    <n v="45868"/>
    <x v="7"/>
    <x v="2"/>
    <x v="1"/>
    <x v="6"/>
  </r>
  <r>
    <n v="2532"/>
    <x v="0"/>
    <s v="AKGÜÇ"/>
    <d v="2025-07-30T00:00:00"/>
    <s v="2490107BW0003376"/>
    <n v="1"/>
    <s v="HSA-1"/>
    <m/>
    <m/>
    <n v="1900"/>
    <n v="1"/>
    <n v="45868"/>
    <x v="7"/>
    <x v="2"/>
    <x v="1"/>
    <x v="6"/>
  </r>
  <r>
    <n v="2532"/>
    <x v="0"/>
    <s v="AKGÜÇ"/>
    <d v="2025-07-30T00:00:00"/>
    <s v="2490107BW0001956"/>
    <n v="1"/>
    <s v="HSA-1"/>
    <m/>
    <m/>
    <n v="1900"/>
    <n v="1"/>
    <n v="45868"/>
    <x v="7"/>
    <x v="2"/>
    <x v="1"/>
    <x v="6"/>
  </r>
  <r>
    <n v="2532"/>
    <x v="0"/>
    <s v="AKGÜÇ"/>
    <d v="2025-07-30T00:00:00"/>
    <s v="2490107BW0002441"/>
    <n v="1"/>
    <s v="HSA-1"/>
    <m/>
    <m/>
    <n v="1900"/>
    <n v="1"/>
    <n v="45868"/>
    <x v="7"/>
    <x v="2"/>
    <x v="1"/>
    <x v="6"/>
  </r>
  <r>
    <n v="2532"/>
    <x v="0"/>
    <s v="AKGÜÇ"/>
    <d v="2025-07-30T00:00:00"/>
    <s v="2490107BW0002242"/>
    <n v="1"/>
    <s v="HSA-1"/>
    <m/>
    <m/>
    <n v="1900"/>
    <n v="1"/>
    <n v="45868"/>
    <x v="7"/>
    <x v="2"/>
    <x v="1"/>
    <x v="6"/>
  </r>
  <r>
    <n v="2532"/>
    <x v="0"/>
    <s v="AKGÜÇ"/>
    <d v="2025-07-30T00:00:00"/>
    <s v="2490107BW0031573"/>
    <n v="1"/>
    <s v="HSA-1"/>
    <m/>
    <m/>
    <n v="1900"/>
    <n v="1"/>
    <n v="45868"/>
    <x v="7"/>
    <x v="2"/>
    <x v="1"/>
    <x v="6"/>
  </r>
  <r>
    <n v="2532"/>
    <x v="0"/>
    <s v="AKGÜÇ"/>
    <d v="2025-07-30T00:00:00"/>
    <s v="2490107BW0031657"/>
    <n v="1"/>
    <s v="HSA-1"/>
    <m/>
    <m/>
    <n v="1900"/>
    <n v="1"/>
    <n v="45868"/>
    <x v="7"/>
    <x v="2"/>
    <x v="1"/>
    <x v="6"/>
  </r>
  <r>
    <n v="2532"/>
    <x v="0"/>
    <s v="AKGÜÇ"/>
    <d v="2025-07-30T00:00:00"/>
    <s v="2490107BW0031629"/>
    <n v="1"/>
    <s v="HSA-1"/>
    <m/>
    <m/>
    <n v="1900"/>
    <n v="1"/>
    <n v="45868"/>
    <x v="7"/>
    <x v="2"/>
    <x v="1"/>
    <x v="6"/>
  </r>
  <r>
    <n v="2532"/>
    <x v="0"/>
    <s v="AKGÜÇ"/>
    <d v="2025-07-30T00:00:00"/>
    <s v="2490107BW0031656"/>
    <n v="1"/>
    <s v="HSA-1"/>
    <m/>
    <m/>
    <n v="1900"/>
    <n v="1"/>
    <n v="45868"/>
    <x v="7"/>
    <x v="2"/>
    <x v="1"/>
    <x v="6"/>
  </r>
  <r>
    <n v="2532"/>
    <x v="0"/>
    <s v="AKGÜÇ"/>
    <d v="2025-07-30T00:00:00"/>
    <s v="2490107BW0002460"/>
    <n v="1"/>
    <s v="HSA-1"/>
    <m/>
    <m/>
    <n v="1900"/>
    <n v="1"/>
    <n v="45868"/>
    <x v="7"/>
    <x v="2"/>
    <x v="1"/>
    <x v="6"/>
  </r>
  <r>
    <n v="2532"/>
    <x v="0"/>
    <s v="AKGÜÇ"/>
    <d v="2025-07-30T00:00:00"/>
    <s v="2490107BW0002448"/>
    <n v="1"/>
    <s v="HSA-1"/>
    <m/>
    <m/>
    <n v="1900"/>
    <n v="1"/>
    <n v="45868"/>
    <x v="7"/>
    <x v="2"/>
    <x v="1"/>
    <x v="6"/>
  </r>
  <r>
    <n v="2532"/>
    <x v="0"/>
    <s v="AKGÜÇ"/>
    <d v="2025-07-30T00:00:00"/>
    <s v="2490107BW0031511"/>
    <n v="1"/>
    <s v="HSA-1"/>
    <m/>
    <m/>
    <n v="1900"/>
    <n v="1"/>
    <n v="45868"/>
    <x v="7"/>
    <x v="2"/>
    <x v="1"/>
    <x v="6"/>
  </r>
  <r>
    <n v="2532"/>
    <x v="0"/>
    <s v="AKGÜÇ"/>
    <d v="2025-07-30T00:00:00"/>
    <s v="2490107BW0031659"/>
    <n v="1"/>
    <s v="HSA-1"/>
    <m/>
    <m/>
    <n v="1900"/>
    <n v="1"/>
    <n v="45868"/>
    <x v="7"/>
    <x v="2"/>
    <x v="1"/>
    <x v="6"/>
  </r>
  <r>
    <n v="2532"/>
    <x v="0"/>
    <s v="AKGÜÇ"/>
    <d v="2025-07-30T00:00:00"/>
    <s v="2490107BW0001957"/>
    <n v="1"/>
    <s v="HSA-1"/>
    <m/>
    <m/>
    <n v="1900"/>
    <n v="1"/>
    <n v="45868"/>
    <x v="7"/>
    <x v="2"/>
    <x v="1"/>
    <x v="6"/>
  </r>
  <r>
    <n v="2532"/>
    <x v="0"/>
    <s v="AKGÜÇ"/>
    <d v="2025-07-30T00:00:00"/>
    <s v="2490107BW0031362"/>
    <n v="1"/>
    <s v="HSA-1"/>
    <m/>
    <m/>
    <n v="1900"/>
    <n v="1"/>
    <n v="45868"/>
    <x v="7"/>
    <x v="2"/>
    <x v="1"/>
    <x v="6"/>
  </r>
  <r>
    <n v="2532"/>
    <x v="0"/>
    <s v="AKGÜÇ"/>
    <d v="2025-07-30T00:00:00"/>
    <s v="2480107BW0002426"/>
    <n v="1"/>
    <s v="HSA-1"/>
    <m/>
    <m/>
    <n v="1900"/>
    <n v="1"/>
    <n v="45868"/>
    <x v="7"/>
    <x v="2"/>
    <x v="1"/>
    <x v="6"/>
  </r>
  <r>
    <n v="2532"/>
    <x v="0"/>
    <s v="AKGÜÇ"/>
    <d v="2025-07-30T00:00:00"/>
    <s v="2480107BW0002438"/>
    <n v="1"/>
    <s v="HSA-1"/>
    <m/>
    <m/>
    <n v="1900"/>
    <n v="1"/>
    <n v="45868"/>
    <x v="7"/>
    <x v="2"/>
    <x v="1"/>
    <x v="6"/>
  </r>
  <r>
    <n v="2532"/>
    <x v="0"/>
    <s v="AKGÜÇ"/>
    <d v="2025-07-30T00:00:00"/>
    <s v="2490107BW0032204"/>
    <n v="1"/>
    <s v="HSA-1"/>
    <m/>
    <m/>
    <n v="1900"/>
    <n v="1"/>
    <n v="45868"/>
    <x v="7"/>
    <x v="2"/>
    <x v="1"/>
    <x v="6"/>
  </r>
  <r>
    <n v="2532"/>
    <x v="0"/>
    <s v="AKGÜÇ"/>
    <d v="2025-07-30T00:00:00"/>
    <s v="2490107BW0032299"/>
    <n v="1"/>
    <s v="HSA-1"/>
    <m/>
    <m/>
    <n v="1900"/>
    <n v="1"/>
    <n v="45868"/>
    <x v="7"/>
    <x v="2"/>
    <x v="1"/>
    <x v="6"/>
  </r>
  <r>
    <n v="2532"/>
    <x v="0"/>
    <s v="AKGÜÇ"/>
    <d v="2025-07-30T00:00:00"/>
    <s v="2490107BW0003076"/>
    <n v="1"/>
    <s v="HSA-1"/>
    <m/>
    <m/>
    <n v="1900"/>
    <n v="1"/>
    <n v="45868"/>
    <x v="7"/>
    <x v="2"/>
    <x v="1"/>
    <x v="6"/>
  </r>
  <r>
    <n v="2532"/>
    <x v="0"/>
    <s v="AKGÜÇ"/>
    <d v="2025-07-30T00:00:00"/>
    <s v="2480107BW0003139"/>
    <n v="1"/>
    <s v="HSA-1"/>
    <m/>
    <m/>
    <n v="1900"/>
    <n v="1"/>
    <n v="45868"/>
    <x v="7"/>
    <x v="2"/>
    <x v="1"/>
    <x v="6"/>
  </r>
  <r>
    <n v="2532"/>
    <x v="0"/>
    <s v="AKGÜÇ"/>
    <d v="2025-07-30T00:00:00"/>
    <s v="2490107BW0032128"/>
    <n v="1"/>
    <s v="HSA-1"/>
    <m/>
    <m/>
    <n v="1900"/>
    <n v="1"/>
    <n v="45868"/>
    <x v="7"/>
    <x v="2"/>
    <x v="1"/>
    <x v="6"/>
  </r>
  <r>
    <n v="2532"/>
    <x v="0"/>
    <s v="AKGÜÇ"/>
    <d v="2025-07-30T00:00:00"/>
    <s v="2490107BW0032350"/>
    <n v="1"/>
    <s v="HSA-1"/>
    <m/>
    <m/>
    <n v="1900"/>
    <n v="1"/>
    <n v="45868"/>
    <x v="7"/>
    <x v="2"/>
    <x v="1"/>
    <x v="6"/>
  </r>
  <r>
    <n v="2532"/>
    <x v="0"/>
    <s v="AKGÜÇ"/>
    <d v="2025-07-30T00:00:00"/>
    <s v="2480107BW0003118"/>
    <n v="1"/>
    <s v="HSA-1"/>
    <m/>
    <m/>
    <n v="1900"/>
    <n v="1"/>
    <n v="45868"/>
    <x v="7"/>
    <x v="2"/>
    <x v="1"/>
    <x v="6"/>
  </r>
  <r>
    <n v="2532"/>
    <x v="0"/>
    <s v="AKGÜÇ"/>
    <d v="2025-07-30T00:00:00"/>
    <s v="2480107BW0003123"/>
    <n v="1"/>
    <s v="HSA-1"/>
    <m/>
    <m/>
    <n v="1900"/>
    <n v="1"/>
    <n v="45868"/>
    <x v="7"/>
    <x v="2"/>
    <x v="1"/>
    <x v="6"/>
  </r>
  <r>
    <n v="2532"/>
    <x v="0"/>
    <s v="AKGÜÇ"/>
    <d v="2025-07-30T00:00:00"/>
    <s v="2480107BW0031934"/>
    <n v="1"/>
    <s v="HSA-1"/>
    <m/>
    <m/>
    <n v="1900"/>
    <n v="1"/>
    <n v="45868"/>
    <x v="7"/>
    <x v="2"/>
    <x v="1"/>
    <x v="6"/>
  </r>
  <r>
    <n v="2532"/>
    <x v="0"/>
    <s v="AKGÜÇ"/>
    <d v="2025-07-30T00:00:00"/>
    <s v="2480107BW0032406"/>
    <n v="1"/>
    <s v="HSA-1"/>
    <m/>
    <m/>
    <n v="1900"/>
    <n v="1"/>
    <n v="45868"/>
    <x v="7"/>
    <x v="2"/>
    <x v="1"/>
    <x v="6"/>
  </r>
  <r>
    <n v="2532"/>
    <x v="0"/>
    <s v="AKGÜÇ"/>
    <d v="2025-07-30T00:00:00"/>
    <s v="2490107BW003235"/>
    <n v="1"/>
    <s v="HSA-1"/>
    <m/>
    <m/>
    <n v="1900"/>
    <n v="1"/>
    <n v="45868"/>
    <x v="7"/>
    <x v="2"/>
    <x v="1"/>
    <x v="6"/>
  </r>
  <r>
    <n v="2532"/>
    <x v="0"/>
    <s v="AKGÜÇ"/>
    <d v="2025-07-30T00:00:00"/>
    <s v="2480107BW0032359"/>
    <n v="1"/>
    <s v="HSA-1"/>
    <m/>
    <m/>
    <n v="1900"/>
    <n v="1"/>
    <n v="45868"/>
    <x v="7"/>
    <x v="2"/>
    <x v="1"/>
    <x v="6"/>
  </r>
  <r>
    <n v="2532"/>
    <x v="0"/>
    <s v="AKGÜÇ"/>
    <d v="2025-07-30T00:00:00"/>
    <s v="2480107BW0032391"/>
    <n v="1"/>
    <s v="HSA-1"/>
    <m/>
    <m/>
    <n v="1900"/>
    <n v="1"/>
    <n v="45868"/>
    <x v="7"/>
    <x v="2"/>
    <x v="1"/>
    <x v="6"/>
  </r>
  <r>
    <n v="2532"/>
    <x v="0"/>
    <s v="AKGÜÇ"/>
    <d v="2025-07-30T00:00:00"/>
    <s v="2480107BW0033564"/>
    <n v="1"/>
    <s v="HSA-1"/>
    <m/>
    <m/>
    <n v="1900"/>
    <n v="1"/>
    <n v="45868"/>
    <x v="7"/>
    <x v="2"/>
    <x v="1"/>
    <x v="6"/>
  </r>
  <r>
    <n v="2532"/>
    <x v="0"/>
    <s v="AKGÜÇ"/>
    <d v="2025-07-30T00:00:00"/>
    <s v="2480107BW0033510"/>
    <n v="1"/>
    <s v="HSA-1"/>
    <m/>
    <m/>
    <n v="1900"/>
    <n v="1"/>
    <n v="45868"/>
    <x v="7"/>
    <x v="2"/>
    <x v="1"/>
    <x v="6"/>
  </r>
  <r>
    <n v="2532"/>
    <x v="0"/>
    <s v="AKGÜÇ"/>
    <d v="2025-07-30T00:00:00"/>
    <s v="2480107BW0033537"/>
    <n v="1"/>
    <s v="HSA-1"/>
    <m/>
    <m/>
    <n v="1900"/>
    <n v="1"/>
    <n v="45868"/>
    <x v="7"/>
    <x v="2"/>
    <x v="1"/>
    <x v="6"/>
  </r>
  <r>
    <n v="2532"/>
    <x v="0"/>
    <s v="AKGÜÇ"/>
    <d v="2025-07-30T00:00:00"/>
    <s v="2480107BW0032298"/>
    <n v="1"/>
    <s v="HSA-1"/>
    <m/>
    <m/>
    <n v="1900"/>
    <n v="1"/>
    <n v="45868"/>
    <x v="7"/>
    <x v="2"/>
    <x v="1"/>
    <x v="6"/>
  </r>
  <r>
    <n v="2532"/>
    <x v="0"/>
    <s v="AKGÜÇ"/>
    <d v="2025-07-30T00:00:00"/>
    <s v="2480107BW0032348"/>
    <n v="1"/>
    <s v="HSA-1"/>
    <m/>
    <m/>
    <n v="1900"/>
    <n v="1"/>
    <n v="45868"/>
    <x v="7"/>
    <x v="2"/>
    <x v="1"/>
    <x v="6"/>
  </r>
  <r>
    <n v="2532"/>
    <x v="0"/>
    <s v="AKGÜÇ"/>
    <d v="2025-07-30T00:00:00"/>
    <s v="2480107BW0033442"/>
    <n v="1"/>
    <s v="HSA-1"/>
    <m/>
    <m/>
    <n v="1900"/>
    <n v="1"/>
    <n v="45868"/>
    <x v="7"/>
    <x v="2"/>
    <x v="1"/>
    <x v="6"/>
  </r>
  <r>
    <n v="2532"/>
    <x v="0"/>
    <s v="AKGÜÇ"/>
    <d v="2025-07-30T00:00:00"/>
    <s v="2480107BW0033560"/>
    <n v="1"/>
    <s v="HSA-1"/>
    <m/>
    <m/>
    <n v="1900"/>
    <n v="1"/>
    <n v="45868"/>
    <x v="7"/>
    <x v="2"/>
    <x v="1"/>
    <x v="6"/>
  </r>
  <r>
    <n v="2532"/>
    <x v="0"/>
    <s v="AKGÜÇ"/>
    <d v="2025-07-30T00:00:00"/>
    <s v="2480107BW0031757"/>
    <n v="1"/>
    <s v="HSA-1"/>
    <m/>
    <m/>
    <n v="1900"/>
    <n v="1"/>
    <n v="45868"/>
    <x v="7"/>
    <x v="2"/>
    <x v="1"/>
    <x v="6"/>
  </r>
  <r>
    <n v="2532"/>
    <x v="0"/>
    <s v="AKGÜÇ"/>
    <d v="2025-07-30T00:00:00"/>
    <s v="2480107BW0032420"/>
    <n v="1"/>
    <s v="HSA-1"/>
    <m/>
    <m/>
    <n v="1900"/>
    <n v="1"/>
    <n v="45868"/>
    <x v="7"/>
    <x v="2"/>
    <x v="1"/>
    <x v="6"/>
  </r>
  <r>
    <n v="2532"/>
    <x v="0"/>
    <s v="AKGÜÇ"/>
    <d v="2025-07-30T00:00:00"/>
    <s v="2480107BW0033497"/>
    <n v="1"/>
    <s v="HSA-1"/>
    <m/>
    <m/>
    <n v="1900"/>
    <n v="1"/>
    <n v="45868"/>
    <x v="7"/>
    <x v="2"/>
    <x v="1"/>
    <x v="6"/>
  </r>
  <r>
    <n v="2532"/>
    <x v="0"/>
    <s v="AKGÜÇ"/>
    <d v="2025-07-30T00:00:00"/>
    <s v="2480107BW0033562"/>
    <n v="1"/>
    <s v="HSA-1"/>
    <m/>
    <m/>
    <n v="1900"/>
    <n v="1"/>
    <n v="45868"/>
    <x v="7"/>
    <x v="2"/>
    <x v="1"/>
    <x v="6"/>
  </r>
  <r>
    <n v="2532"/>
    <x v="0"/>
    <s v="AKGÜÇ"/>
    <d v="2025-07-30T00:00:00"/>
    <s v="2480107BW0032446"/>
    <n v="1"/>
    <s v="HSA-1"/>
    <m/>
    <m/>
    <n v="1900"/>
    <n v="1"/>
    <n v="45868"/>
    <x v="7"/>
    <x v="2"/>
    <x v="1"/>
    <x v="6"/>
  </r>
  <r>
    <n v="2532"/>
    <x v="0"/>
    <s v="AKGÜÇ"/>
    <d v="2025-07-30T00:00:00"/>
    <s v="2480107BW0032487"/>
    <n v="1"/>
    <s v="HSA-1"/>
    <m/>
    <m/>
    <n v="1900"/>
    <n v="1"/>
    <n v="45868"/>
    <x v="7"/>
    <x v="2"/>
    <x v="1"/>
    <x v="6"/>
  </r>
  <r>
    <n v="2532"/>
    <x v="0"/>
    <s v="AKGÜÇ"/>
    <d v="2025-07-30T00:00:00"/>
    <s v="2480107BW0033518"/>
    <n v="1"/>
    <s v="HSA-1"/>
    <m/>
    <m/>
    <n v="1900"/>
    <n v="1"/>
    <n v="45868"/>
    <x v="7"/>
    <x v="2"/>
    <x v="1"/>
    <x v="6"/>
  </r>
  <r>
    <n v="2532"/>
    <x v="0"/>
    <s v="AKGÜÇ"/>
    <d v="2025-07-30T00:00:00"/>
    <s v="2480107BW0033513"/>
    <n v="1"/>
    <s v="HSA-1"/>
    <m/>
    <m/>
    <n v="1900"/>
    <n v="1"/>
    <n v="45868"/>
    <x v="7"/>
    <x v="2"/>
    <x v="1"/>
    <x v="6"/>
  </r>
  <r>
    <n v="2532"/>
    <x v="0"/>
    <s v="AKGÜÇ"/>
    <d v="2025-07-30T00:00:00"/>
    <s v="2480107BW0032507"/>
    <n v="1"/>
    <s v="HSA-1"/>
    <m/>
    <m/>
    <n v="1900"/>
    <n v="1"/>
    <n v="45868"/>
    <x v="7"/>
    <x v="2"/>
    <x v="1"/>
    <x v="6"/>
  </r>
  <r>
    <n v="2532"/>
    <x v="0"/>
    <s v="AKGÜÇ"/>
    <d v="2025-07-30T00:00:00"/>
    <s v="2480107BW0032584"/>
    <n v="1"/>
    <s v="HSA-1"/>
    <m/>
    <m/>
    <n v="1900"/>
    <n v="1"/>
    <n v="45868"/>
    <x v="7"/>
    <x v="2"/>
    <x v="1"/>
    <x v="6"/>
  </r>
  <r>
    <n v="2532"/>
    <x v="0"/>
    <s v="AKGÜÇ"/>
    <d v="2025-07-30T00:00:00"/>
    <s v="2480107BW0033516"/>
    <n v="1"/>
    <s v="HSA-1"/>
    <m/>
    <m/>
    <n v="1900"/>
    <n v="1"/>
    <n v="45868"/>
    <x v="7"/>
    <x v="2"/>
    <x v="1"/>
    <x v="6"/>
  </r>
  <r>
    <n v="2532"/>
    <x v="0"/>
    <s v="AKGÜÇ"/>
    <d v="2025-07-30T00:00:00"/>
    <s v="2480107BW0033843"/>
    <n v="1"/>
    <s v="HSA-1"/>
    <m/>
    <m/>
    <n v="1900"/>
    <n v="1"/>
    <n v="45868"/>
    <x v="7"/>
    <x v="2"/>
    <x v="1"/>
    <x v="6"/>
  </r>
  <r>
    <n v="2532"/>
    <x v="0"/>
    <s v="AKGÜÇ"/>
    <d v="2025-07-30T00:00:00"/>
    <s v="2480107BW0032473"/>
    <n v="1"/>
    <s v="HSA-1"/>
    <m/>
    <m/>
    <n v="1900"/>
    <n v="1"/>
    <n v="45868"/>
    <x v="7"/>
    <x v="2"/>
    <x v="1"/>
    <x v="6"/>
  </r>
  <r>
    <n v="2532"/>
    <x v="0"/>
    <s v="AKGÜÇ"/>
    <d v="2025-07-30T00:00:00"/>
    <s v="2480107BW0032632"/>
    <n v="1"/>
    <s v="HSA-1"/>
    <m/>
    <m/>
    <n v="1900"/>
    <n v="1"/>
    <n v="45868"/>
    <x v="7"/>
    <x v="2"/>
    <x v="1"/>
    <x v="6"/>
  </r>
  <r>
    <n v="2532"/>
    <x v="0"/>
    <s v="AKGÜÇ"/>
    <d v="2025-07-30T00:00:00"/>
    <s v="2480107BW0033539"/>
    <n v="1"/>
    <s v="HSA-1"/>
    <m/>
    <m/>
    <n v="1900"/>
    <n v="1"/>
    <n v="45868"/>
    <x v="7"/>
    <x v="2"/>
    <x v="1"/>
    <x v="6"/>
  </r>
  <r>
    <n v="2532"/>
    <x v="0"/>
    <s v="AKGÜÇ"/>
    <d v="2025-07-30T00:00:00"/>
    <s v="2480107BW0033174"/>
    <n v="1"/>
    <s v="HSA-1"/>
    <m/>
    <m/>
    <n v="1900"/>
    <n v="1"/>
    <n v="45868"/>
    <x v="7"/>
    <x v="2"/>
    <x v="1"/>
    <x v="6"/>
  </r>
  <r>
    <n v="2532"/>
    <x v="0"/>
    <s v="AKGÜÇ"/>
    <d v="2025-07-30T00:00:00"/>
    <s v="2480107BW0032647"/>
    <n v="1"/>
    <s v="HSA-1"/>
    <m/>
    <m/>
    <n v="1900"/>
    <n v="1"/>
    <n v="45868"/>
    <x v="7"/>
    <x v="2"/>
    <x v="1"/>
    <x v="6"/>
  </r>
  <r>
    <n v="2532"/>
    <x v="0"/>
    <s v="AKGÜÇ"/>
    <d v="2025-07-30T00:00:00"/>
    <s v="2480107BW0032620"/>
    <n v="1"/>
    <s v="HSA-1"/>
    <m/>
    <m/>
    <n v="1900"/>
    <n v="1"/>
    <n v="45868"/>
    <x v="7"/>
    <x v="2"/>
    <x v="1"/>
    <x v="6"/>
  </r>
  <r>
    <n v="2532"/>
    <x v="0"/>
    <s v="AKGÜÇ"/>
    <d v="2025-07-30T00:00:00"/>
    <s v="2480107BW0032954"/>
    <n v="1"/>
    <s v="HSA-1"/>
    <m/>
    <m/>
    <n v="1900"/>
    <n v="1"/>
    <n v="45868"/>
    <x v="7"/>
    <x v="2"/>
    <x v="1"/>
    <x v="6"/>
  </r>
  <r>
    <n v="2532"/>
    <x v="0"/>
    <s v="AKGÜÇ"/>
    <d v="2025-07-30T00:00:00"/>
    <s v="2480107BW0032884"/>
    <n v="1"/>
    <s v="HSA-1"/>
    <m/>
    <m/>
    <n v="1900"/>
    <n v="1"/>
    <n v="45868"/>
    <x v="7"/>
    <x v="2"/>
    <x v="1"/>
    <x v="6"/>
  </r>
  <r>
    <n v="2532"/>
    <x v="0"/>
    <s v="AKGÜÇ"/>
    <d v="2025-07-30T00:00:00"/>
    <s v="2480107BW0032938"/>
    <n v="1"/>
    <s v="HSA-1"/>
    <m/>
    <m/>
    <n v="1900"/>
    <n v="1"/>
    <n v="45868"/>
    <x v="7"/>
    <x v="2"/>
    <x v="1"/>
    <x v="6"/>
  </r>
  <r>
    <n v="2532"/>
    <x v="0"/>
    <s v="AKGÜÇ"/>
    <d v="2025-07-30T00:00:00"/>
    <s v="2480107BW0032939"/>
    <n v="1"/>
    <s v="HSA-1"/>
    <m/>
    <m/>
    <n v="1900"/>
    <n v="1"/>
    <n v="45868"/>
    <x v="7"/>
    <x v="2"/>
    <x v="1"/>
    <x v="6"/>
  </r>
  <r>
    <n v="2532"/>
    <x v="0"/>
    <s v="AKGÜÇ"/>
    <d v="2025-07-30T00:00:00"/>
    <s v="2480107BW0032754"/>
    <n v="1"/>
    <s v="HSA-1"/>
    <m/>
    <m/>
    <n v="1900"/>
    <n v="1"/>
    <n v="45868"/>
    <x v="7"/>
    <x v="2"/>
    <x v="1"/>
    <x v="6"/>
  </r>
  <r>
    <n v="2532"/>
    <x v="0"/>
    <s v="AKGÜÇ"/>
    <d v="2025-07-30T00:00:00"/>
    <s v="2480107BW0032661"/>
    <n v="1"/>
    <s v="HSA-1"/>
    <m/>
    <m/>
    <n v="1900"/>
    <n v="1"/>
    <n v="45868"/>
    <x v="7"/>
    <x v="2"/>
    <x v="1"/>
    <x v="6"/>
  </r>
  <r>
    <n v="2532"/>
    <x v="0"/>
    <s v="AKGÜÇ"/>
    <d v="2025-07-30T00:00:00"/>
    <s v="2480107BW0032751"/>
    <n v="1"/>
    <s v="HSA-1"/>
    <m/>
    <m/>
    <n v="1900"/>
    <n v="1"/>
    <n v="45868"/>
    <x v="7"/>
    <x v="2"/>
    <x v="1"/>
    <x v="6"/>
  </r>
  <r>
    <n v="2532"/>
    <x v="0"/>
    <s v="AKGÜÇ"/>
    <d v="2025-07-30T00:00:00"/>
    <s v="2480107BW0033124"/>
    <n v="1"/>
    <s v="HSA-1"/>
    <m/>
    <m/>
    <n v="1900"/>
    <n v="1"/>
    <n v="45868"/>
    <x v="7"/>
    <x v="2"/>
    <x v="1"/>
    <x v="6"/>
  </r>
  <r>
    <n v="2532"/>
    <x v="0"/>
    <s v="AKGÜÇ"/>
    <d v="2025-07-30T00:00:00"/>
    <s v="2480107BW0033199"/>
    <n v="1"/>
    <s v="HSA-1"/>
    <m/>
    <m/>
    <n v="1900"/>
    <n v="1"/>
    <n v="45868"/>
    <x v="7"/>
    <x v="2"/>
    <x v="1"/>
    <x v="6"/>
  </r>
  <r>
    <n v="2532"/>
    <x v="0"/>
    <s v="AKGÜÇ"/>
    <d v="2025-07-30T00:00:00"/>
    <s v="2480107BW0033054"/>
    <n v="1"/>
    <s v="HSA-1"/>
    <m/>
    <m/>
    <n v="1900"/>
    <n v="1"/>
    <n v="45868"/>
    <x v="7"/>
    <x v="2"/>
    <x v="1"/>
    <x v="6"/>
  </r>
  <r>
    <n v="2532"/>
    <x v="0"/>
    <s v="AKGÜÇ"/>
    <d v="2025-07-30T00:00:00"/>
    <s v="2480107BW0032557"/>
    <n v="1"/>
    <s v="HSA-1"/>
    <m/>
    <m/>
    <n v="1900"/>
    <n v="1"/>
    <n v="45868"/>
    <x v="7"/>
    <x v="2"/>
    <x v="1"/>
    <x v="6"/>
  </r>
  <r>
    <n v="2532"/>
    <x v="0"/>
    <s v="AKGÜÇ"/>
    <d v="2025-07-30T00:00:00"/>
    <s v="2480107BW0033668"/>
    <n v="1"/>
    <s v="HSA-1"/>
    <m/>
    <m/>
    <n v="1900"/>
    <n v="1"/>
    <n v="45868"/>
    <x v="7"/>
    <x v="2"/>
    <x v="1"/>
    <x v="6"/>
  </r>
  <r>
    <n v="2532"/>
    <x v="0"/>
    <s v="AKGÜÇ"/>
    <d v="2025-07-30T00:00:00"/>
    <s v="2490107BW0008453"/>
    <n v="1"/>
    <s v="HSA-1"/>
    <m/>
    <m/>
    <n v="1900"/>
    <n v="1"/>
    <n v="45868"/>
    <x v="7"/>
    <x v="2"/>
    <x v="1"/>
    <x v="6"/>
  </r>
  <r>
    <n v="2532"/>
    <x v="0"/>
    <s v="AKGÜÇ"/>
    <d v="2025-07-30T00:00:00"/>
    <s v="2490107BW0013579"/>
    <n v="1"/>
    <s v="HSA-1"/>
    <m/>
    <m/>
    <n v="1900"/>
    <n v="1"/>
    <n v="45868"/>
    <x v="7"/>
    <x v="2"/>
    <x v="1"/>
    <x v="6"/>
  </r>
  <r>
    <n v="2532"/>
    <x v="0"/>
    <s v="AKGÜÇ"/>
    <d v="2025-07-30T00:00:00"/>
    <s v="2490107BW0008806"/>
    <n v="1"/>
    <s v="HSA-1"/>
    <m/>
    <m/>
    <n v="1900"/>
    <n v="1"/>
    <n v="45868"/>
    <x v="7"/>
    <x v="2"/>
    <x v="1"/>
    <x v="6"/>
  </r>
  <r>
    <n v="2532"/>
    <x v="0"/>
    <s v="AKGÜÇ"/>
    <d v="2025-07-30T00:00:00"/>
    <s v="2490107BW0008705"/>
    <n v="1"/>
    <s v="HSA-1"/>
    <m/>
    <m/>
    <n v="1900"/>
    <n v="1"/>
    <n v="45868"/>
    <x v="7"/>
    <x v="2"/>
    <x v="1"/>
    <x v="6"/>
  </r>
  <r>
    <n v="2532"/>
    <x v="0"/>
    <s v="AKGÜÇ"/>
    <d v="2025-07-30T00:00:00"/>
    <s v="2490107BW0008259"/>
    <n v="1"/>
    <s v="HSA-1"/>
    <m/>
    <m/>
    <n v="1900"/>
    <n v="1"/>
    <n v="45868"/>
    <x v="7"/>
    <x v="2"/>
    <x v="1"/>
    <x v="6"/>
  </r>
  <r>
    <n v="2532"/>
    <x v="0"/>
    <s v="AKGÜÇ"/>
    <d v="2025-07-30T00:00:00"/>
    <s v="2490107BW0008346"/>
    <n v="1"/>
    <s v="HSA-1"/>
    <m/>
    <m/>
    <n v="1900"/>
    <n v="1"/>
    <n v="45868"/>
    <x v="7"/>
    <x v="2"/>
    <x v="1"/>
    <x v="6"/>
  </r>
  <r>
    <n v="2532"/>
    <x v="0"/>
    <s v="AKGÜÇ"/>
    <d v="2025-07-30T00:00:00"/>
    <s v="2490107BW0008347"/>
    <n v="1"/>
    <s v="HSA-1"/>
    <m/>
    <m/>
    <n v="1900"/>
    <n v="1"/>
    <n v="45868"/>
    <x v="7"/>
    <x v="2"/>
    <x v="1"/>
    <x v="6"/>
  </r>
  <r>
    <n v="2532"/>
    <x v="0"/>
    <s v="AKGÜÇ"/>
    <d v="2025-07-30T00:00:00"/>
    <s v="2490107BW0008166"/>
    <n v="1"/>
    <s v="HSA-1"/>
    <m/>
    <m/>
    <n v="1900"/>
    <n v="1"/>
    <n v="45868"/>
    <x v="7"/>
    <x v="2"/>
    <x v="1"/>
    <x v="6"/>
  </r>
  <r>
    <n v="2532"/>
    <x v="0"/>
    <s v="AKGÜÇ"/>
    <d v="2025-07-30T00:00:00"/>
    <s v="2490107BW0008754"/>
    <n v="1"/>
    <s v="HSA-1"/>
    <m/>
    <m/>
    <n v="1900"/>
    <n v="1"/>
    <n v="45868"/>
    <x v="7"/>
    <x v="2"/>
    <x v="1"/>
    <x v="6"/>
  </r>
  <r>
    <n v="2532"/>
    <x v="0"/>
    <s v="AKGÜÇ"/>
    <d v="2025-07-30T00:00:00"/>
    <s v="2490107BW0008750"/>
    <n v="1"/>
    <s v="HSA-1"/>
    <m/>
    <m/>
    <n v="1900"/>
    <n v="1"/>
    <n v="45868"/>
    <x v="7"/>
    <x v="2"/>
    <x v="1"/>
    <x v="6"/>
  </r>
  <r>
    <n v="2532"/>
    <x v="0"/>
    <s v="AKGÜÇ"/>
    <d v="2025-07-30T00:00:00"/>
    <s v="2490107BW0008761"/>
    <n v="1"/>
    <s v="HSA-1"/>
    <m/>
    <m/>
    <n v="1900"/>
    <n v="1"/>
    <n v="45868"/>
    <x v="7"/>
    <x v="2"/>
    <x v="1"/>
    <x v="6"/>
  </r>
  <r>
    <n v="2532"/>
    <x v="0"/>
    <s v="AKGÜÇ"/>
    <d v="2025-07-30T00:00:00"/>
    <s v="2490107BW0008782"/>
    <n v="1"/>
    <s v="HSA-1"/>
    <m/>
    <m/>
    <n v="1900"/>
    <n v="1"/>
    <n v="45868"/>
    <x v="7"/>
    <x v="2"/>
    <x v="1"/>
    <x v="6"/>
  </r>
  <r>
    <n v="2532"/>
    <x v="0"/>
    <s v="AKGÜÇ"/>
    <d v="2025-07-30T00:00:00"/>
    <s v="2490107BW0008677"/>
    <n v="1"/>
    <s v="HSA-1"/>
    <m/>
    <m/>
    <n v="1900"/>
    <n v="1"/>
    <n v="45868"/>
    <x v="7"/>
    <x v="2"/>
    <x v="1"/>
    <x v="6"/>
  </r>
  <r>
    <n v="2532"/>
    <x v="0"/>
    <s v="AKGÜÇ"/>
    <d v="2025-07-30T00:00:00"/>
    <s v="2480107BW0032669"/>
    <n v="1"/>
    <s v="HSA-1"/>
    <m/>
    <m/>
    <n v="1900"/>
    <n v="1"/>
    <n v="45868"/>
    <x v="7"/>
    <x v="2"/>
    <x v="1"/>
    <x v="6"/>
  </r>
  <r>
    <n v="2532"/>
    <x v="0"/>
    <s v="AKGÜÇ"/>
    <d v="2025-07-30T00:00:00"/>
    <s v="2480107BW0032866"/>
    <n v="1"/>
    <s v="HSA-1"/>
    <m/>
    <m/>
    <n v="1900"/>
    <n v="1"/>
    <n v="45868"/>
    <x v="7"/>
    <x v="2"/>
    <x v="1"/>
    <x v="6"/>
  </r>
  <r>
    <n v="2532"/>
    <x v="0"/>
    <s v="AKGÜÇ"/>
    <d v="2025-07-30T00:00:00"/>
    <s v="2480107BW0032912"/>
    <n v="1"/>
    <s v="HSA-1"/>
    <m/>
    <m/>
    <n v="1900"/>
    <n v="1"/>
    <n v="45868"/>
    <x v="7"/>
    <x v="2"/>
    <x v="1"/>
    <x v="6"/>
  </r>
  <r>
    <n v="2532"/>
    <x v="0"/>
    <s v="AKGÜÇ"/>
    <d v="2025-07-30T00:00:00"/>
    <s v="2480107BW0032899"/>
    <n v="1"/>
    <s v="HSA-1"/>
    <m/>
    <m/>
    <n v="1900"/>
    <n v="1"/>
    <n v="45868"/>
    <x v="7"/>
    <x v="2"/>
    <x v="1"/>
    <x v="6"/>
  </r>
  <r>
    <n v="2532"/>
    <x v="0"/>
    <s v="AKGÜÇ"/>
    <d v="2025-07-30T00:00:00"/>
    <s v="2480107BW0032858"/>
    <n v="1"/>
    <s v="HSA-1"/>
    <m/>
    <m/>
    <n v="1900"/>
    <n v="1"/>
    <n v="45868"/>
    <x v="7"/>
    <x v="2"/>
    <x v="1"/>
    <x v="6"/>
  </r>
  <r>
    <n v="2532"/>
    <x v="0"/>
    <s v="AKGÜÇ"/>
    <d v="2025-07-30T00:00:00"/>
    <s v="2480107BW0032744"/>
    <n v="1"/>
    <s v="HSA-1"/>
    <m/>
    <m/>
    <n v="1900"/>
    <n v="1"/>
    <n v="45868"/>
    <x v="7"/>
    <x v="2"/>
    <x v="1"/>
    <x v="6"/>
  </r>
  <r>
    <n v="2532"/>
    <x v="0"/>
    <s v="AKGÜÇ"/>
    <d v="2025-07-30T00:00:00"/>
    <s v="2480107BW0032828"/>
    <n v="1"/>
    <s v="HSA-1"/>
    <m/>
    <m/>
    <n v="1900"/>
    <n v="1"/>
    <n v="45868"/>
    <x v="7"/>
    <x v="2"/>
    <x v="1"/>
    <x v="6"/>
  </r>
  <r>
    <n v="2532"/>
    <x v="0"/>
    <s v="AKGÜÇ"/>
    <d v="2025-07-30T00:00:00"/>
    <s v="2480107BW0032883"/>
    <n v="1"/>
    <s v="HSA-1"/>
    <m/>
    <m/>
    <n v="1900"/>
    <n v="1"/>
    <n v="45868"/>
    <x v="7"/>
    <x v="2"/>
    <x v="1"/>
    <x v="6"/>
  </r>
  <r>
    <n v="2532"/>
    <x v="0"/>
    <s v="AKGÜÇ"/>
    <d v="2025-07-30T00:00:00"/>
    <s v="2480107BW0032905"/>
    <n v="1"/>
    <s v="HSA-1"/>
    <m/>
    <m/>
    <n v="1900"/>
    <n v="1"/>
    <n v="45868"/>
    <x v="7"/>
    <x v="2"/>
    <x v="1"/>
    <x v="6"/>
  </r>
  <r>
    <n v="2532"/>
    <x v="0"/>
    <s v="AKGÜÇ"/>
    <d v="2025-07-30T00:00:00"/>
    <s v="2480107BW0032875"/>
    <n v="1"/>
    <s v="HSA-1"/>
    <m/>
    <m/>
    <n v="1900"/>
    <n v="1"/>
    <n v="45868"/>
    <x v="7"/>
    <x v="2"/>
    <x v="1"/>
    <x v="6"/>
  </r>
  <r>
    <n v="2532"/>
    <x v="0"/>
    <s v="AKGÜÇ"/>
    <d v="2025-07-30T00:00:00"/>
    <s v="2480107BW0031434"/>
    <n v="1"/>
    <s v="HSA-1"/>
    <m/>
    <m/>
    <n v="1900"/>
    <n v="1"/>
    <n v="45868"/>
    <x v="7"/>
    <x v="2"/>
    <x v="1"/>
    <x v="6"/>
  </r>
  <r>
    <n v="2532"/>
    <x v="0"/>
    <s v="AKGÜÇ"/>
    <d v="2025-07-30T00:00:00"/>
    <s v="2480107BW0033657"/>
    <n v="1"/>
    <s v="HSA-1"/>
    <m/>
    <m/>
    <n v="1900"/>
    <n v="1"/>
    <n v="45868"/>
    <x v="7"/>
    <x v="2"/>
    <x v="1"/>
    <x v="6"/>
  </r>
  <r>
    <n v="2532"/>
    <x v="0"/>
    <s v="AKGÜÇ"/>
    <d v="2025-07-30T00:00:00"/>
    <s v="2480107BW0031424"/>
    <n v="1"/>
    <s v="HSA-1"/>
    <m/>
    <m/>
    <n v="1900"/>
    <n v="1"/>
    <n v="45868"/>
    <x v="7"/>
    <x v="2"/>
    <x v="1"/>
    <x v="6"/>
  </r>
  <r>
    <n v="2532"/>
    <x v="0"/>
    <s v="AKGÜÇ"/>
    <d v="2025-07-30T00:00:00"/>
    <s v="2480107BW0033404"/>
    <n v="1"/>
    <s v="HSA-1"/>
    <m/>
    <m/>
    <n v="1900"/>
    <n v="1"/>
    <n v="45868"/>
    <x v="7"/>
    <x v="2"/>
    <x v="1"/>
    <x v="6"/>
  </r>
  <r>
    <n v="2532"/>
    <x v="0"/>
    <s v="AKGÜÇ"/>
    <d v="2025-07-30T00:00:00"/>
    <s v="2480107BW0031492"/>
    <n v="1"/>
    <s v="HSA-1"/>
    <m/>
    <m/>
    <n v="1900"/>
    <n v="1"/>
    <n v="45868"/>
    <x v="7"/>
    <x v="2"/>
    <x v="1"/>
    <x v="6"/>
  </r>
  <r>
    <n v="2532"/>
    <x v="0"/>
    <s v="AKGÜÇ"/>
    <d v="2025-07-30T00:00:00"/>
    <s v="2480107BW0033322"/>
    <n v="1"/>
    <s v="HSA-1"/>
    <m/>
    <m/>
    <n v="1900"/>
    <n v="1"/>
    <n v="45868"/>
    <x v="7"/>
    <x v="2"/>
    <x v="1"/>
    <x v="6"/>
  </r>
  <r>
    <n v="2532"/>
    <x v="0"/>
    <s v="AKGÜÇ"/>
    <d v="2025-07-30T00:00:00"/>
    <s v="2480107BW0031150"/>
    <n v="1"/>
    <s v="HSA-1"/>
    <m/>
    <m/>
    <n v="1900"/>
    <n v="1"/>
    <n v="45868"/>
    <x v="7"/>
    <x v="2"/>
    <x v="1"/>
    <x v="6"/>
  </r>
  <r>
    <n v="2532"/>
    <x v="0"/>
    <s v="AKGÜÇ"/>
    <d v="2025-07-30T00:00:00"/>
    <s v="2480107BW0033167"/>
    <n v="1"/>
    <s v="HSA-1"/>
    <m/>
    <m/>
    <n v="1900"/>
    <n v="1"/>
    <n v="45868"/>
    <x v="7"/>
    <x v="2"/>
    <x v="1"/>
    <x v="6"/>
  </r>
  <r>
    <n v="2532"/>
    <x v="0"/>
    <s v="AKGÜÇ"/>
    <d v="2025-07-30T00:00:00"/>
    <s v="2480107BW0031605"/>
    <n v="1"/>
    <s v="HSA-1"/>
    <m/>
    <m/>
    <n v="1900"/>
    <n v="1"/>
    <n v="45868"/>
    <x v="7"/>
    <x v="2"/>
    <x v="1"/>
    <x v="6"/>
  </r>
  <r>
    <n v="2532"/>
    <x v="0"/>
    <s v="AKGÜÇ"/>
    <d v="2025-07-30T00:00:00"/>
    <s v="2480107BW0033320"/>
    <n v="1"/>
    <s v="HSA-1"/>
    <m/>
    <m/>
    <n v="1900"/>
    <n v="1"/>
    <n v="45868"/>
    <x v="7"/>
    <x v="2"/>
    <x v="1"/>
    <x v="6"/>
  </r>
  <r>
    <n v="2532"/>
    <x v="0"/>
    <s v="AKGÜÇ"/>
    <d v="2025-07-30T00:00:00"/>
    <s v="2480107BW0031555"/>
    <n v="1"/>
    <s v="HSA-1"/>
    <m/>
    <m/>
    <n v="1900"/>
    <n v="1"/>
    <n v="45868"/>
    <x v="7"/>
    <x v="2"/>
    <x v="1"/>
    <x v="6"/>
  </r>
  <r>
    <n v="2532"/>
    <x v="0"/>
    <s v="AKGÜÇ"/>
    <d v="2025-07-30T00:00:00"/>
    <s v="2480107BW0033312"/>
    <n v="1"/>
    <s v="HSA-1"/>
    <m/>
    <m/>
    <n v="1900"/>
    <n v="1"/>
    <n v="45868"/>
    <x v="7"/>
    <x v="2"/>
    <x v="1"/>
    <x v="6"/>
  </r>
  <r>
    <n v="2532"/>
    <x v="0"/>
    <s v="AKGÜÇ"/>
    <d v="2025-07-30T00:00:00"/>
    <s v="2480107BW0031498"/>
    <n v="1"/>
    <s v="HSA-1"/>
    <m/>
    <m/>
    <n v="1900"/>
    <n v="1"/>
    <n v="45868"/>
    <x v="7"/>
    <x v="2"/>
    <x v="1"/>
    <x v="6"/>
  </r>
  <r>
    <n v="2532"/>
    <x v="0"/>
    <s v="AKGÜÇ"/>
    <d v="2025-07-30T00:00:00"/>
    <s v="2480107BW0033302"/>
    <n v="1"/>
    <s v="HSA-1"/>
    <m/>
    <m/>
    <n v="1900"/>
    <n v="1"/>
    <n v="45868"/>
    <x v="7"/>
    <x v="2"/>
    <x v="1"/>
    <x v="6"/>
  </r>
  <r>
    <n v="2532"/>
    <x v="0"/>
    <s v="AKGÜÇ"/>
    <d v="2025-07-30T00:00:00"/>
    <s v="2480107BW0031560"/>
    <n v="1"/>
    <s v="HSA-1"/>
    <m/>
    <m/>
    <n v="1900"/>
    <n v="1"/>
    <n v="45868"/>
    <x v="7"/>
    <x v="2"/>
    <x v="1"/>
    <x v="6"/>
  </r>
  <r>
    <n v="2532"/>
    <x v="0"/>
    <s v="AKGÜÇ"/>
    <d v="2025-07-30T00:00:00"/>
    <s v="2480107BW0033278"/>
    <n v="1"/>
    <s v="HSA-1"/>
    <m/>
    <m/>
    <n v="1900"/>
    <n v="1"/>
    <n v="45868"/>
    <x v="7"/>
    <x v="2"/>
    <x v="1"/>
    <x v="6"/>
  </r>
  <r>
    <n v="2532"/>
    <x v="0"/>
    <s v="AKGÜÇ"/>
    <d v="2025-07-30T00:00:00"/>
    <s v="2480107BW0031616"/>
    <n v="1"/>
    <s v="HSA-1"/>
    <m/>
    <m/>
    <n v="1900"/>
    <n v="1"/>
    <n v="45868"/>
    <x v="7"/>
    <x v="2"/>
    <x v="1"/>
    <x v="6"/>
  </r>
  <r>
    <n v="2532"/>
    <x v="0"/>
    <s v="AKGÜÇ"/>
    <d v="2025-07-30T00:00:00"/>
    <s v="2480107BW0032706"/>
    <n v="1"/>
    <s v="HSA-1"/>
    <m/>
    <m/>
    <n v="1900"/>
    <n v="1"/>
    <n v="45868"/>
    <x v="7"/>
    <x v="2"/>
    <x v="1"/>
    <x v="6"/>
  </r>
  <r>
    <n v="2532"/>
    <x v="0"/>
    <s v="AKGÜÇ"/>
    <d v="2025-07-30T00:00:00"/>
    <s v="2480107BW0031576"/>
    <n v="1"/>
    <s v="HSA-1"/>
    <m/>
    <m/>
    <n v="1900"/>
    <n v="1"/>
    <n v="45868"/>
    <x v="7"/>
    <x v="2"/>
    <x v="1"/>
    <x v="6"/>
  </r>
  <r>
    <n v="2532"/>
    <x v="0"/>
    <s v="AKGÜÇ"/>
    <d v="2025-07-30T00:00:00"/>
    <s v="2480107BW0033337"/>
    <n v="1"/>
    <s v="HSA-1"/>
    <m/>
    <m/>
    <n v="1900"/>
    <n v="1"/>
    <n v="45868"/>
    <x v="7"/>
    <x v="2"/>
    <x v="1"/>
    <x v="6"/>
  </r>
  <r>
    <n v="2532"/>
    <x v="0"/>
    <s v="AKGÜÇ"/>
    <d v="2025-07-30T00:00:00"/>
    <s v="2480107BW0031575"/>
    <n v="1"/>
    <s v="HSA-1"/>
    <m/>
    <m/>
    <n v="1900"/>
    <n v="1"/>
    <n v="45868"/>
    <x v="7"/>
    <x v="2"/>
    <x v="1"/>
    <x v="6"/>
  </r>
  <r>
    <n v="2532"/>
    <x v="0"/>
    <s v="AKGÜÇ"/>
    <d v="2025-07-30T00:00:00"/>
    <s v="2480107BW0033114"/>
    <n v="1"/>
    <s v="HSA-1"/>
    <m/>
    <m/>
    <n v="1900"/>
    <n v="1"/>
    <n v="45868"/>
    <x v="7"/>
    <x v="2"/>
    <x v="1"/>
    <x v="6"/>
  </r>
  <r>
    <n v="2532"/>
    <x v="0"/>
    <s v="AKGÜÇ"/>
    <d v="2025-07-30T00:00:00"/>
    <s v="2480107BW0032710"/>
    <n v="1"/>
    <s v="HSA-1"/>
    <m/>
    <m/>
    <n v="1900"/>
    <n v="1"/>
    <n v="45868"/>
    <x v="7"/>
    <x v="2"/>
    <x v="1"/>
    <x v="6"/>
  </r>
  <r>
    <n v="2532"/>
    <x v="0"/>
    <s v="AKGÜÇ"/>
    <d v="2025-07-30T00:00:00"/>
    <s v="2480107BW0031622"/>
    <n v="1"/>
    <s v="HSA-1"/>
    <m/>
    <m/>
    <n v="1900"/>
    <n v="1"/>
    <n v="45868"/>
    <x v="7"/>
    <x v="2"/>
    <x v="1"/>
    <x v="6"/>
  </r>
  <r>
    <n v="2532"/>
    <x v="0"/>
    <s v="AKGÜÇ"/>
    <d v="2025-07-30T00:00:00"/>
    <s v="2480107BW0031568"/>
    <n v="1"/>
    <s v="HSA-1"/>
    <m/>
    <m/>
    <n v="1900"/>
    <n v="1"/>
    <n v="45868"/>
    <x v="7"/>
    <x v="2"/>
    <x v="1"/>
    <x v="6"/>
  </r>
  <r>
    <n v="2532"/>
    <x v="0"/>
    <s v="AKGÜÇ"/>
    <d v="2025-07-30T00:00:00"/>
    <s v="2480107BW0033111"/>
    <n v="1"/>
    <s v="HSA-1"/>
    <m/>
    <m/>
    <n v="1900"/>
    <n v="1"/>
    <n v="45868"/>
    <x v="7"/>
    <x v="2"/>
    <x v="1"/>
    <x v="6"/>
  </r>
  <r>
    <n v="2532"/>
    <x v="0"/>
    <s v="AKGÜÇ"/>
    <d v="2025-07-30T00:00:00"/>
    <s v="2480107BW0033424"/>
    <n v="1"/>
    <s v="HSA-1"/>
    <m/>
    <m/>
    <n v="1900"/>
    <n v="1"/>
    <n v="45868"/>
    <x v="7"/>
    <x v="2"/>
    <x v="1"/>
    <x v="6"/>
  </r>
  <r>
    <n v="2532"/>
    <x v="0"/>
    <s v="AKGÜÇ"/>
    <d v="2025-07-30T00:00:00"/>
    <s v="2480107BW0033825"/>
    <n v="1"/>
    <s v="HSA-1"/>
    <m/>
    <m/>
    <n v="1900"/>
    <n v="1"/>
    <n v="45868"/>
    <x v="7"/>
    <x v="2"/>
    <x v="1"/>
    <x v="6"/>
  </r>
  <r>
    <n v="2532"/>
    <x v="0"/>
    <s v="AKGÜÇ"/>
    <d v="2025-07-30T00:00:00"/>
    <s v="2480107BW0033829"/>
    <n v="1"/>
    <s v="HSA-1"/>
    <m/>
    <m/>
    <n v="1900"/>
    <n v="1"/>
    <n v="45868"/>
    <x v="7"/>
    <x v="2"/>
    <x v="1"/>
    <x v="6"/>
  </r>
  <r>
    <n v="2532"/>
    <x v="0"/>
    <s v="AKGÜÇ"/>
    <d v="2025-07-30T00:00:00"/>
    <s v="2480107BW0033596"/>
    <n v="1"/>
    <s v="HSA-1"/>
    <m/>
    <m/>
    <n v="1900"/>
    <n v="1"/>
    <n v="45868"/>
    <x v="7"/>
    <x v="2"/>
    <x v="1"/>
    <x v="6"/>
  </r>
  <r>
    <n v="2532"/>
    <x v="0"/>
    <s v="AKGÜÇ"/>
    <d v="2025-07-30T00:00:00"/>
    <s v="2480107BW0035186"/>
    <n v="1"/>
    <s v="HSA-1"/>
    <m/>
    <m/>
    <n v="1900"/>
    <n v="1"/>
    <n v="45868"/>
    <x v="7"/>
    <x v="2"/>
    <x v="1"/>
    <x v="6"/>
  </r>
  <r>
    <n v="2532"/>
    <x v="0"/>
    <s v="AKGÜÇ"/>
    <d v="2025-07-30T00:00:00"/>
    <s v="2480107BW0033828"/>
    <n v="1"/>
    <s v="HSA-1"/>
    <m/>
    <m/>
    <n v="1900"/>
    <n v="1"/>
    <n v="45868"/>
    <x v="7"/>
    <x v="2"/>
    <x v="1"/>
    <x v="6"/>
  </r>
  <r>
    <n v="2532"/>
    <x v="0"/>
    <s v="AKGÜÇ"/>
    <d v="2025-07-30T00:00:00"/>
    <s v="2480107BW0033900"/>
    <n v="1"/>
    <s v="HSA-1"/>
    <m/>
    <m/>
    <n v="1900"/>
    <n v="1"/>
    <n v="45868"/>
    <x v="7"/>
    <x v="2"/>
    <x v="1"/>
    <x v="6"/>
  </r>
  <r>
    <n v="2532"/>
    <x v="0"/>
    <s v="AKGÜÇ"/>
    <d v="2025-07-30T00:00:00"/>
    <s v="2480107BW0035264"/>
    <n v="1"/>
    <s v="HSA-1"/>
    <m/>
    <m/>
    <n v="1900"/>
    <n v="1"/>
    <n v="45868"/>
    <x v="7"/>
    <x v="2"/>
    <x v="1"/>
    <x v="6"/>
  </r>
  <r>
    <n v="2532"/>
    <x v="0"/>
    <s v="AKGÜÇ"/>
    <d v="2025-07-30T00:00:00"/>
    <s v="2480107BW0035214"/>
    <n v="1"/>
    <s v="HSA-1"/>
    <m/>
    <m/>
    <n v="1900"/>
    <n v="1"/>
    <n v="45868"/>
    <x v="7"/>
    <x v="2"/>
    <x v="1"/>
    <x v="6"/>
  </r>
  <r>
    <n v="2532"/>
    <x v="0"/>
    <s v="AKGÜÇ"/>
    <d v="2025-07-30T00:00:00"/>
    <s v="2480107BW0032697"/>
    <n v="1"/>
    <s v="HSA-1"/>
    <m/>
    <m/>
    <n v="1900"/>
    <n v="1"/>
    <n v="45868"/>
    <x v="7"/>
    <x v="2"/>
    <x v="1"/>
    <x v="6"/>
  </r>
  <r>
    <n v="2532"/>
    <x v="0"/>
    <s v="AKGÜÇ"/>
    <d v="2025-07-30T00:00:00"/>
    <s v="2480107BW0032393"/>
    <n v="1"/>
    <s v="HSA-1"/>
    <m/>
    <m/>
    <n v="1900"/>
    <n v="1"/>
    <n v="45868"/>
    <x v="7"/>
    <x v="2"/>
    <x v="1"/>
    <x v="6"/>
  </r>
  <r>
    <n v="2532"/>
    <x v="0"/>
    <s v="AKGÜÇ"/>
    <d v="2025-07-30T00:00:00"/>
    <s v="2480107BW0032850"/>
    <n v="1"/>
    <s v="HSA-1"/>
    <m/>
    <m/>
    <n v="1900"/>
    <n v="1"/>
    <n v="45868"/>
    <x v="7"/>
    <x v="2"/>
    <x v="1"/>
    <x v="6"/>
  </r>
  <r>
    <n v="2533"/>
    <x v="17"/>
    <s v="DEMİREZEN GIDA"/>
    <d v="2025-08-15T00:00:00"/>
    <s v="2240108BW0008261"/>
    <n v="1"/>
    <s v="HSA-1"/>
    <s v="MAVİÇAM"/>
    <m/>
    <n v="1900"/>
    <n v="1"/>
    <n v="45884"/>
    <x v="2"/>
    <x v="1"/>
    <x v="0"/>
    <x v="7"/>
  </r>
  <r>
    <n v="2533"/>
    <x v="17"/>
    <s v="DEMİREZEN GIDA"/>
    <d v="2025-08-15T00:00:00"/>
    <s v="2230108BW0011995"/>
    <n v="1"/>
    <s v="HSA-1"/>
    <s v="MAVİÇAM"/>
    <m/>
    <n v="1900"/>
    <n v="1"/>
    <n v="45884"/>
    <x v="2"/>
    <x v="1"/>
    <x v="0"/>
    <x v="7"/>
  </r>
  <r>
    <n v="2533"/>
    <x v="17"/>
    <s v="DEMİREZEN GIDA"/>
    <d v="2025-08-15T00:00:00"/>
    <s v="2240108BW0008516"/>
    <n v="1"/>
    <s v="HSA-1"/>
    <s v="MAVİÇAM"/>
    <m/>
    <n v="1900"/>
    <n v="1"/>
    <n v="45884"/>
    <x v="2"/>
    <x v="1"/>
    <x v="0"/>
    <x v="7"/>
  </r>
  <r>
    <n v="2533"/>
    <x v="17"/>
    <s v="DEMİREZEN GIDA"/>
    <d v="2025-08-15T00:00:00"/>
    <s v="2230108BW0011788"/>
    <n v="1"/>
    <s v="HSA-1"/>
    <s v="MAVİÇAM"/>
    <m/>
    <n v="1900"/>
    <n v="1"/>
    <n v="45884"/>
    <x v="2"/>
    <x v="1"/>
    <x v="0"/>
    <x v="7"/>
  </r>
  <r>
    <n v="2533"/>
    <x v="17"/>
    <s v="DEMİREZEN GIDA"/>
    <d v="2025-08-15T00:00:00"/>
    <s v="2240108BW0007992"/>
    <n v="1"/>
    <s v="HSA-1"/>
    <s v="MAVİÇAM"/>
    <m/>
    <n v="1900"/>
    <n v="1"/>
    <n v="45884"/>
    <x v="2"/>
    <x v="1"/>
    <x v="0"/>
    <x v="7"/>
  </r>
  <r>
    <n v="2533"/>
    <x v="17"/>
    <s v="DEMİREZEN GIDA"/>
    <d v="2025-08-15T00:00:00"/>
    <s v="22301088W0005329"/>
    <n v="1"/>
    <s v="HSA-1"/>
    <s v="MAVİÇAM"/>
    <m/>
    <n v="1900"/>
    <n v="1"/>
    <n v="45884"/>
    <x v="2"/>
    <x v="1"/>
    <x v="0"/>
    <x v="7"/>
  </r>
  <r>
    <n v="2533"/>
    <x v="17"/>
    <s v="DEMİREZEN GIDA"/>
    <d v="2025-08-15T00:00:00"/>
    <s v="2230108BW0005331"/>
    <n v="1"/>
    <s v="HSA-1"/>
    <s v="MAVİÇAM"/>
    <m/>
    <n v="1900"/>
    <n v="1"/>
    <n v="45884"/>
    <x v="2"/>
    <x v="1"/>
    <x v="0"/>
    <x v="7"/>
  </r>
  <r>
    <n v="2533"/>
    <x v="17"/>
    <s v="DEMİREZEN GIDA"/>
    <d v="2025-08-15T00:00:00"/>
    <s v="2230108BW0005360"/>
    <n v="1"/>
    <s v="HSA-1"/>
    <s v="MAVİÇAM"/>
    <m/>
    <n v="1900"/>
    <n v="1"/>
    <n v="45884"/>
    <x v="2"/>
    <x v="1"/>
    <x v="0"/>
    <x v="7"/>
  </r>
  <r>
    <n v="2533"/>
    <x v="17"/>
    <s v="DEMİREZEN GIDA"/>
    <d v="2025-08-15T00:00:00"/>
    <s v="2501083BW0009762"/>
    <n v="1"/>
    <s v="HSA-1"/>
    <s v="MAVİÇAM"/>
    <m/>
    <n v="1900"/>
    <n v="1"/>
    <n v="45884"/>
    <x v="2"/>
    <x v="1"/>
    <x v="0"/>
    <x v="7"/>
  </r>
  <r>
    <n v="2533"/>
    <x v="17"/>
    <s v="DEMİREZEN GIDA"/>
    <d v="2025-08-15T00:00:00"/>
    <s v="2240108BW0008531"/>
    <n v="1"/>
    <s v="HSA-1"/>
    <s v="MAVİÇAM"/>
    <m/>
    <n v="1900"/>
    <n v="1"/>
    <n v="45884"/>
    <x v="2"/>
    <x v="1"/>
    <x v="0"/>
    <x v="7"/>
  </r>
  <r>
    <n v="2533"/>
    <x v="17"/>
    <s v="DEMİREZEN GIDA"/>
    <d v="2025-08-15T00:00:00"/>
    <s v="2240108BW0041021"/>
    <n v="1"/>
    <s v="HSA-1"/>
    <s v="MAVİÇAM"/>
    <m/>
    <n v="1900"/>
    <n v="1"/>
    <n v="45884"/>
    <x v="2"/>
    <x v="1"/>
    <x v="0"/>
    <x v="7"/>
  </r>
  <r>
    <n v="2533"/>
    <x v="17"/>
    <s v="DEMİREZEN GIDA"/>
    <d v="2025-08-15T00:00:00"/>
    <s v="2240108BW0001812"/>
    <n v="1"/>
    <s v="HSA-1"/>
    <s v="MAVİÇAM"/>
    <m/>
    <n v="1900"/>
    <n v="1"/>
    <n v="45884"/>
    <x v="2"/>
    <x v="1"/>
    <x v="0"/>
    <x v="7"/>
  </r>
  <r>
    <n v="2533"/>
    <x v="17"/>
    <s v="DEMİREZEN GIDA"/>
    <d v="2025-08-15T00:00:00"/>
    <s v="2250108BW0006130"/>
    <n v="1"/>
    <s v="HSA-1"/>
    <s v="MAVİÇAM"/>
    <m/>
    <n v="1900"/>
    <n v="1"/>
    <n v="45884"/>
    <x v="2"/>
    <x v="1"/>
    <x v="0"/>
    <x v="7"/>
  </r>
  <r>
    <n v="2533"/>
    <x v="17"/>
    <s v="DEMİREZEN GIDA"/>
    <d v="2025-08-15T00:00:00"/>
    <s v="2240108BW0008263"/>
    <n v="1"/>
    <s v="HSA-1"/>
    <s v="MAVİÇAM"/>
    <m/>
    <n v="1900"/>
    <n v="1"/>
    <n v="45884"/>
    <x v="2"/>
    <x v="1"/>
    <x v="0"/>
    <x v="7"/>
  </r>
  <r>
    <n v="2533"/>
    <x v="17"/>
    <s v="DEMİREZEN GIDA"/>
    <d v="2025-08-15T00:00:00"/>
    <s v="2250108BW0008493"/>
    <n v="1"/>
    <s v="HSA-1"/>
    <s v="MAVİÇAM"/>
    <m/>
    <n v="1900"/>
    <n v="1"/>
    <n v="45884"/>
    <x v="2"/>
    <x v="1"/>
    <x v="0"/>
    <x v="7"/>
  </r>
  <r>
    <n v="2533"/>
    <x v="17"/>
    <s v="DEMİREZEN GIDA"/>
    <d v="2025-08-15T00:00:00"/>
    <s v="2230108BW0005224"/>
    <n v="1"/>
    <s v="HSA-1"/>
    <s v="MAVİÇAM"/>
    <m/>
    <n v="1900"/>
    <n v="1"/>
    <n v="45884"/>
    <x v="2"/>
    <x v="1"/>
    <x v="0"/>
    <x v="7"/>
  </r>
  <r>
    <n v="2533"/>
    <x v="17"/>
    <s v="DEMİREZEN GIDA"/>
    <d v="2025-08-15T00:00:00"/>
    <s v="2230108BW0008773"/>
    <n v="1"/>
    <s v="HSA-1"/>
    <s v="MAVİÇAM"/>
    <m/>
    <n v="1900"/>
    <n v="1"/>
    <n v="45884"/>
    <x v="2"/>
    <x v="1"/>
    <x v="0"/>
    <x v="7"/>
  </r>
  <r>
    <n v="2533"/>
    <x v="17"/>
    <s v="DEMİREZEN GIDA"/>
    <d v="2025-08-15T00:00:00"/>
    <s v="2250108BW0005562"/>
    <n v="1"/>
    <s v="HSA-1"/>
    <s v="MAVİÇAM"/>
    <m/>
    <n v="1900"/>
    <n v="1"/>
    <n v="45884"/>
    <x v="2"/>
    <x v="1"/>
    <x v="0"/>
    <x v="7"/>
  </r>
  <r>
    <n v="2534"/>
    <x v="0"/>
    <s v="VOLKAN İTFAİYE"/>
    <d v="2025-07-30T00:00:00"/>
    <s v="AAAA"/>
    <n v="1"/>
    <s v="HSA-1"/>
    <m/>
    <m/>
    <n v="1900"/>
    <n v="1"/>
    <n v="45868"/>
    <x v="9"/>
    <x v="2"/>
    <x v="1"/>
    <x v="6"/>
  </r>
  <r>
    <n v="2534"/>
    <x v="0"/>
    <s v="VOLKAN İTFAİYE"/>
    <d v="2025-07-30T00:00:00"/>
    <s v="AAAA"/>
    <n v="1"/>
    <s v="HSA-1"/>
    <m/>
    <m/>
    <n v="1900"/>
    <n v="1"/>
    <n v="45868"/>
    <x v="9"/>
    <x v="2"/>
    <x v="1"/>
    <x v="6"/>
  </r>
  <r>
    <n v="2534"/>
    <x v="0"/>
    <s v="VOLKAN İTFAİYE"/>
    <d v="2025-07-30T00:00:00"/>
    <s v="AAAA"/>
    <n v="1"/>
    <s v="HSA-1"/>
    <m/>
    <m/>
    <n v="1900"/>
    <n v="1"/>
    <n v="45868"/>
    <x v="9"/>
    <x v="2"/>
    <x v="1"/>
    <x v="6"/>
  </r>
  <r>
    <n v="2534"/>
    <x v="0"/>
    <s v="VOLKAN İTFAİYE"/>
    <d v="2025-07-30T00:00:00"/>
    <s v="AAAA"/>
    <n v="1"/>
    <s v="HSA-1"/>
    <m/>
    <m/>
    <n v="1900"/>
    <n v="1"/>
    <n v="45868"/>
    <x v="9"/>
    <x v="2"/>
    <x v="1"/>
    <x v="6"/>
  </r>
  <r>
    <n v="2534"/>
    <x v="0"/>
    <s v="VOLKAN İTFAİYE"/>
    <d v="2025-07-30T00:00:00"/>
    <s v="AAAA"/>
    <n v="1"/>
    <s v="HSA-1"/>
    <m/>
    <m/>
    <n v="1900"/>
    <n v="1"/>
    <n v="45868"/>
    <x v="9"/>
    <x v="2"/>
    <x v="1"/>
    <x v="6"/>
  </r>
  <r>
    <n v="2534"/>
    <x v="0"/>
    <s v="VOLKAN İTFAİYE"/>
    <d v="2025-07-30T00:00:00"/>
    <s v="AAAA"/>
    <n v="1"/>
    <s v="HSA-1"/>
    <m/>
    <m/>
    <n v="1900"/>
    <n v="1"/>
    <n v="45868"/>
    <x v="9"/>
    <x v="2"/>
    <x v="1"/>
    <x v="6"/>
  </r>
  <r>
    <n v="2534"/>
    <x v="0"/>
    <s v="VOLKAN İTFAİYE"/>
    <d v="2025-07-30T00:00:00"/>
    <s v="AAAA"/>
    <n v="1"/>
    <s v="HSA-1"/>
    <m/>
    <m/>
    <n v="1900"/>
    <n v="1"/>
    <n v="45868"/>
    <x v="9"/>
    <x v="2"/>
    <x v="1"/>
    <x v="6"/>
  </r>
  <r>
    <n v="2534"/>
    <x v="0"/>
    <s v="VOLKAN İTFAİYE"/>
    <d v="2025-07-30T00:00:00"/>
    <s v="AAAA"/>
    <n v="1"/>
    <s v="HSA-1"/>
    <m/>
    <m/>
    <n v="1900"/>
    <n v="1"/>
    <n v="45868"/>
    <x v="9"/>
    <x v="2"/>
    <x v="1"/>
    <x v="6"/>
  </r>
  <r>
    <n v="2534"/>
    <x v="0"/>
    <s v="VOLKAN İTFAİYE"/>
    <d v="2025-07-30T00:00:00"/>
    <s v="AAAA"/>
    <n v="1"/>
    <s v="HSA-1"/>
    <m/>
    <m/>
    <n v="1900"/>
    <n v="1"/>
    <n v="45868"/>
    <x v="9"/>
    <x v="2"/>
    <x v="1"/>
    <x v="6"/>
  </r>
  <r>
    <n v="2534"/>
    <x v="0"/>
    <s v="VOLKAN İTFAİYE"/>
    <d v="2025-07-30T00:00:00"/>
    <s v="AAAA"/>
    <n v="1"/>
    <s v="HSA-1"/>
    <m/>
    <m/>
    <n v="1900"/>
    <n v="1"/>
    <n v="45868"/>
    <x v="9"/>
    <x v="2"/>
    <x v="1"/>
    <x v="6"/>
  </r>
  <r>
    <n v="2534"/>
    <x v="0"/>
    <s v="VOLKAN İTFAİYE"/>
    <d v="2025-07-30T00:00:00"/>
    <s v="AAAA"/>
    <n v="1"/>
    <s v="HSA-1"/>
    <m/>
    <m/>
    <n v="1900"/>
    <n v="1"/>
    <n v="45868"/>
    <x v="9"/>
    <x v="2"/>
    <x v="1"/>
    <x v="6"/>
  </r>
  <r>
    <n v="2534"/>
    <x v="0"/>
    <s v="VOLKAN İTFAİYE"/>
    <d v="2025-07-30T00:00:00"/>
    <s v="AAAA"/>
    <n v="1"/>
    <s v="HSA-1"/>
    <m/>
    <m/>
    <n v="1900"/>
    <n v="1"/>
    <n v="45868"/>
    <x v="9"/>
    <x v="2"/>
    <x v="1"/>
    <x v="6"/>
  </r>
  <r>
    <n v="2534"/>
    <x v="0"/>
    <s v="VOLKAN İTFAİYE"/>
    <d v="2025-07-30T00:00:00"/>
    <s v="AAAA"/>
    <n v="1"/>
    <s v="HSA-1"/>
    <m/>
    <m/>
    <n v="1900"/>
    <n v="1"/>
    <n v="45868"/>
    <x v="9"/>
    <x v="2"/>
    <x v="1"/>
    <x v="6"/>
  </r>
  <r>
    <n v="2534"/>
    <x v="0"/>
    <s v="VOLKAN İTFAİYE"/>
    <d v="2025-07-30T00:00:00"/>
    <s v="AAAA"/>
    <n v="1"/>
    <s v="HSA-1"/>
    <m/>
    <m/>
    <n v="1900"/>
    <n v="1"/>
    <n v="45868"/>
    <x v="9"/>
    <x v="2"/>
    <x v="1"/>
    <x v="6"/>
  </r>
  <r>
    <n v="2534"/>
    <x v="0"/>
    <s v="VOLKAN İTFAİYE"/>
    <d v="2025-07-30T00:00:00"/>
    <s v="AAAA"/>
    <n v="1"/>
    <s v="HSA-1"/>
    <m/>
    <m/>
    <n v="1900"/>
    <n v="1"/>
    <n v="45868"/>
    <x v="9"/>
    <x v="2"/>
    <x v="1"/>
    <x v="6"/>
  </r>
  <r>
    <n v="2534"/>
    <x v="0"/>
    <s v="VOLKAN İTFAİYE"/>
    <d v="2025-07-30T00:00:00"/>
    <s v="AAAA"/>
    <n v="1"/>
    <s v="HSA-1"/>
    <m/>
    <m/>
    <n v="1900"/>
    <n v="1"/>
    <n v="45868"/>
    <x v="9"/>
    <x v="2"/>
    <x v="1"/>
    <x v="6"/>
  </r>
  <r>
    <n v="2534"/>
    <x v="0"/>
    <s v="VOLKAN İTFAİYE"/>
    <d v="2025-07-30T00:00:00"/>
    <s v="AAAA"/>
    <n v="1"/>
    <s v="HSA-1"/>
    <m/>
    <m/>
    <n v="1900"/>
    <n v="1"/>
    <n v="45868"/>
    <x v="9"/>
    <x v="2"/>
    <x v="1"/>
    <x v="6"/>
  </r>
  <r>
    <n v="2534"/>
    <x v="0"/>
    <s v="VOLKAN İTFAİYE"/>
    <d v="2025-07-30T00:00:00"/>
    <s v="AAAA"/>
    <n v="1"/>
    <s v="HSA-1"/>
    <m/>
    <m/>
    <n v="1900"/>
    <n v="1"/>
    <n v="45868"/>
    <x v="9"/>
    <x v="2"/>
    <x v="1"/>
    <x v="6"/>
  </r>
  <r>
    <n v="2534"/>
    <x v="0"/>
    <s v="VOLKAN İTFAİYE"/>
    <d v="2025-07-30T00:00:00"/>
    <s v="AAAA"/>
    <n v="1"/>
    <s v="HSA-1"/>
    <m/>
    <m/>
    <n v="1900"/>
    <n v="1"/>
    <n v="45868"/>
    <x v="9"/>
    <x v="2"/>
    <x v="1"/>
    <x v="6"/>
  </r>
  <r>
    <n v="2534"/>
    <x v="0"/>
    <s v="VOLKAN İTFAİYE"/>
    <d v="2025-07-30T00:00:00"/>
    <s v="AAAA"/>
    <n v="1"/>
    <s v="HSA-1"/>
    <m/>
    <m/>
    <n v="1900"/>
    <n v="1"/>
    <n v="45868"/>
    <x v="9"/>
    <x v="2"/>
    <x v="1"/>
    <x v="6"/>
  </r>
  <r>
    <n v="2534"/>
    <x v="0"/>
    <s v="VOLKAN İTFAİYE"/>
    <d v="2025-07-30T00:00:00"/>
    <s v="AAAA"/>
    <n v="1"/>
    <s v="HSA-1"/>
    <m/>
    <m/>
    <n v="1900"/>
    <n v="1"/>
    <n v="45868"/>
    <x v="9"/>
    <x v="2"/>
    <x v="1"/>
    <x v="6"/>
  </r>
  <r>
    <n v="2534"/>
    <x v="0"/>
    <s v="VOLKAN İTFAİYE"/>
    <d v="2025-07-30T00:00:00"/>
    <s v="AAAA"/>
    <n v="1"/>
    <s v="HSA-1"/>
    <m/>
    <m/>
    <n v="1900"/>
    <n v="1"/>
    <n v="45868"/>
    <x v="9"/>
    <x v="2"/>
    <x v="1"/>
    <x v="6"/>
  </r>
  <r>
    <n v="2534"/>
    <x v="0"/>
    <s v="VOLKAN İTFAİYE"/>
    <d v="2025-07-30T00:00:00"/>
    <s v="AAAA"/>
    <n v="1"/>
    <s v="HSA-1"/>
    <m/>
    <m/>
    <n v="1900"/>
    <n v="1"/>
    <n v="45868"/>
    <x v="9"/>
    <x v="2"/>
    <x v="1"/>
    <x v="6"/>
  </r>
  <r>
    <n v="2534"/>
    <x v="0"/>
    <s v="VOLKAN İTFAİYE"/>
    <d v="2025-07-30T00:00:00"/>
    <s v="AAAA"/>
    <n v="1"/>
    <s v="HSA-1"/>
    <m/>
    <m/>
    <n v="1900"/>
    <n v="1"/>
    <n v="45868"/>
    <x v="9"/>
    <x v="2"/>
    <x v="1"/>
    <x v="6"/>
  </r>
  <r>
    <n v="2534"/>
    <x v="0"/>
    <s v="VOLKAN İTFAİYE"/>
    <d v="2025-07-30T00:00:00"/>
    <s v="AAAA"/>
    <n v="1"/>
    <s v="HSA-1"/>
    <m/>
    <m/>
    <n v="1900"/>
    <n v="1"/>
    <n v="45868"/>
    <x v="9"/>
    <x v="2"/>
    <x v="1"/>
    <x v="6"/>
  </r>
  <r>
    <n v="2534"/>
    <x v="0"/>
    <s v="VOLKAN İTFAİYE"/>
    <d v="2025-07-30T00:00:00"/>
    <s v="AAAA"/>
    <n v="1"/>
    <s v="HSA-1"/>
    <m/>
    <m/>
    <n v="1900"/>
    <n v="1"/>
    <n v="45868"/>
    <x v="9"/>
    <x v="2"/>
    <x v="1"/>
    <x v="6"/>
  </r>
  <r>
    <n v="2534"/>
    <x v="0"/>
    <s v="VOLKAN İTFAİYE"/>
    <d v="2025-07-30T00:00:00"/>
    <s v="AAAA"/>
    <n v="1"/>
    <s v="HSA-1"/>
    <m/>
    <m/>
    <n v="1900"/>
    <n v="1"/>
    <n v="45868"/>
    <x v="9"/>
    <x v="2"/>
    <x v="1"/>
    <x v="6"/>
  </r>
  <r>
    <n v="2534"/>
    <x v="0"/>
    <s v="VOLKAN İTFAİYE"/>
    <d v="2025-07-30T00:00:00"/>
    <s v="AAAA"/>
    <n v="1"/>
    <s v="HSA-1"/>
    <m/>
    <m/>
    <n v="1900"/>
    <n v="1"/>
    <n v="45868"/>
    <x v="9"/>
    <x v="2"/>
    <x v="1"/>
    <x v="6"/>
  </r>
  <r>
    <n v="2534"/>
    <x v="0"/>
    <s v="VOLKAN İTFAİYE"/>
    <d v="2025-07-30T00:00:00"/>
    <s v="AAAA"/>
    <n v="1"/>
    <s v="HSA-1"/>
    <m/>
    <m/>
    <n v="1900"/>
    <n v="1"/>
    <n v="45868"/>
    <x v="9"/>
    <x v="2"/>
    <x v="1"/>
    <x v="6"/>
  </r>
  <r>
    <n v="2534"/>
    <x v="0"/>
    <s v="VOLKAN İTFAİYE"/>
    <d v="2025-07-30T00:00:00"/>
    <s v="AAAA"/>
    <n v="1"/>
    <s v="HSA-1"/>
    <m/>
    <m/>
    <n v="1900"/>
    <n v="1"/>
    <n v="45868"/>
    <x v="9"/>
    <x v="2"/>
    <x v="1"/>
    <x v="6"/>
  </r>
  <r>
    <n v="2534"/>
    <x v="0"/>
    <s v="VOLKAN İTFAİYE"/>
    <d v="2025-07-30T00:00:00"/>
    <s v="AAAA"/>
    <n v="1"/>
    <s v="HSA-1"/>
    <m/>
    <m/>
    <n v="1900"/>
    <n v="1"/>
    <n v="45868"/>
    <x v="9"/>
    <x v="2"/>
    <x v="1"/>
    <x v="6"/>
  </r>
  <r>
    <n v="2534"/>
    <x v="0"/>
    <s v="VOLKAN İTFAİYE"/>
    <d v="2025-07-30T00:00:00"/>
    <s v="AAAA"/>
    <n v="1"/>
    <s v="HSA-1"/>
    <m/>
    <m/>
    <n v="1900"/>
    <n v="1"/>
    <n v="45868"/>
    <x v="9"/>
    <x v="2"/>
    <x v="1"/>
    <x v="6"/>
  </r>
  <r>
    <n v="2534"/>
    <x v="0"/>
    <s v="VOLKAN İTFAİYE"/>
    <d v="2025-07-30T00:00:00"/>
    <s v="AAAA"/>
    <n v="1"/>
    <s v="HSA-1"/>
    <m/>
    <m/>
    <n v="1900"/>
    <n v="1"/>
    <n v="45868"/>
    <x v="9"/>
    <x v="2"/>
    <x v="1"/>
    <x v="6"/>
  </r>
  <r>
    <n v="2534"/>
    <x v="0"/>
    <s v="VOLKAN İTFAİYE"/>
    <d v="2025-07-30T00:00:00"/>
    <s v="AAAA"/>
    <n v="1"/>
    <s v="HSA-1"/>
    <m/>
    <m/>
    <n v="1900"/>
    <n v="1"/>
    <n v="45868"/>
    <x v="9"/>
    <x v="2"/>
    <x v="1"/>
    <x v="6"/>
  </r>
  <r>
    <n v="2534"/>
    <x v="0"/>
    <s v="VOLKAN İTFAİYE"/>
    <d v="2025-07-30T00:00:00"/>
    <s v="AAAA"/>
    <n v="1"/>
    <s v="HSA-1"/>
    <m/>
    <m/>
    <n v="1900"/>
    <n v="1"/>
    <n v="45868"/>
    <x v="9"/>
    <x v="2"/>
    <x v="1"/>
    <x v="6"/>
  </r>
  <r>
    <n v="2534"/>
    <x v="0"/>
    <s v="VOLKAN İTFAİYE"/>
    <d v="2025-07-30T00:00:00"/>
    <s v="AAAA"/>
    <n v="1"/>
    <s v="HSA-1"/>
    <m/>
    <m/>
    <n v="1900"/>
    <n v="1"/>
    <n v="45868"/>
    <x v="9"/>
    <x v="2"/>
    <x v="1"/>
    <x v="6"/>
  </r>
  <r>
    <n v="2534"/>
    <x v="0"/>
    <s v="VOLKAN İTFAİYE"/>
    <d v="2025-07-30T00:00:00"/>
    <s v="AAAA"/>
    <n v="1"/>
    <s v="HSA-1"/>
    <m/>
    <m/>
    <n v="1900"/>
    <n v="1"/>
    <n v="45868"/>
    <x v="9"/>
    <x v="2"/>
    <x v="1"/>
    <x v="6"/>
  </r>
  <r>
    <n v="2534"/>
    <x v="0"/>
    <s v="VOLKAN İTFAİYE"/>
    <d v="2025-07-30T00:00:00"/>
    <s v="AAAA"/>
    <n v="1"/>
    <s v="HSA-1"/>
    <m/>
    <m/>
    <n v="1900"/>
    <n v="1"/>
    <n v="45868"/>
    <x v="9"/>
    <x v="2"/>
    <x v="1"/>
    <x v="6"/>
  </r>
  <r>
    <n v="2534"/>
    <x v="0"/>
    <s v="VOLKAN İTFAİYE"/>
    <d v="2025-07-30T00:00:00"/>
    <s v="AAAA"/>
    <n v="1"/>
    <s v="HSA-1"/>
    <m/>
    <m/>
    <n v="1900"/>
    <n v="1"/>
    <n v="45868"/>
    <x v="9"/>
    <x v="2"/>
    <x v="1"/>
    <x v="6"/>
  </r>
  <r>
    <n v="2534"/>
    <x v="0"/>
    <s v="VOLKAN İTFAİYE"/>
    <d v="2025-07-30T00:00:00"/>
    <s v="AAAA"/>
    <n v="1"/>
    <s v="HSA-1"/>
    <m/>
    <m/>
    <n v="1900"/>
    <n v="1"/>
    <n v="45868"/>
    <x v="9"/>
    <x v="2"/>
    <x v="1"/>
    <x v="6"/>
  </r>
  <r>
    <n v="2534"/>
    <x v="0"/>
    <s v="VOLKAN İTFAİYE"/>
    <d v="2025-07-30T00:00:00"/>
    <s v="AAAA"/>
    <n v="1"/>
    <s v="HSA-1"/>
    <m/>
    <m/>
    <n v="1900"/>
    <n v="1"/>
    <n v="45868"/>
    <x v="9"/>
    <x v="2"/>
    <x v="1"/>
    <x v="6"/>
  </r>
  <r>
    <n v="2534"/>
    <x v="0"/>
    <s v="VOLKAN İTFAİYE"/>
    <d v="2025-07-30T00:00:00"/>
    <s v="AAAA"/>
    <n v="1"/>
    <s v="HSA-1"/>
    <m/>
    <m/>
    <n v="1900"/>
    <n v="1"/>
    <n v="45868"/>
    <x v="9"/>
    <x v="2"/>
    <x v="1"/>
    <x v="6"/>
  </r>
  <r>
    <n v="2534"/>
    <x v="0"/>
    <s v="VOLKAN İTFAİYE"/>
    <d v="2025-07-30T00:00:00"/>
    <s v="AAAA"/>
    <n v="1"/>
    <s v="HSA-1"/>
    <m/>
    <m/>
    <n v="1900"/>
    <n v="1"/>
    <n v="45868"/>
    <x v="9"/>
    <x v="2"/>
    <x v="1"/>
    <x v="6"/>
  </r>
  <r>
    <n v="2534"/>
    <x v="0"/>
    <s v="VOLKAN İTFAİYE"/>
    <d v="2025-07-30T00:00:00"/>
    <s v="AAAA"/>
    <n v="1"/>
    <s v="HSA-1"/>
    <m/>
    <m/>
    <n v="1900"/>
    <n v="1"/>
    <n v="45868"/>
    <x v="9"/>
    <x v="2"/>
    <x v="1"/>
    <x v="6"/>
  </r>
  <r>
    <n v="2534"/>
    <x v="0"/>
    <s v="VOLKAN İTFAİYE"/>
    <d v="2025-07-30T00:00:00"/>
    <s v="AAAA"/>
    <n v="1"/>
    <s v="HSA-1"/>
    <m/>
    <m/>
    <n v="1900"/>
    <n v="1"/>
    <n v="45868"/>
    <x v="9"/>
    <x v="2"/>
    <x v="1"/>
    <x v="6"/>
  </r>
  <r>
    <n v="2534"/>
    <x v="0"/>
    <s v="VOLKAN İTFAİYE"/>
    <d v="2025-07-30T00:00:00"/>
    <s v="AAAA"/>
    <n v="1"/>
    <s v="HSA-1"/>
    <m/>
    <m/>
    <n v="1900"/>
    <n v="1"/>
    <n v="45868"/>
    <x v="9"/>
    <x v="2"/>
    <x v="1"/>
    <x v="6"/>
  </r>
  <r>
    <n v="2534"/>
    <x v="0"/>
    <s v="VOLKAN İTFAİYE"/>
    <d v="2025-07-30T00:00:00"/>
    <s v="AAAA"/>
    <n v="1"/>
    <s v="HSA-1"/>
    <m/>
    <m/>
    <n v="1900"/>
    <n v="1"/>
    <n v="45868"/>
    <x v="9"/>
    <x v="2"/>
    <x v="1"/>
    <x v="6"/>
  </r>
  <r>
    <n v="2534"/>
    <x v="0"/>
    <s v="VOLKAN İTFAİYE"/>
    <d v="2025-07-30T00:00:00"/>
    <s v="AAAA"/>
    <n v="1"/>
    <s v="HSA-1"/>
    <m/>
    <m/>
    <n v="1900"/>
    <n v="1"/>
    <n v="45868"/>
    <x v="9"/>
    <x v="2"/>
    <x v="1"/>
    <x v="6"/>
  </r>
  <r>
    <n v="2534"/>
    <x v="0"/>
    <s v="VOLKAN İTFAİYE"/>
    <d v="2025-07-30T00:00:00"/>
    <s v="AAAA"/>
    <n v="1"/>
    <s v="HSA-1"/>
    <m/>
    <m/>
    <n v="1900"/>
    <n v="1"/>
    <n v="45868"/>
    <x v="9"/>
    <x v="2"/>
    <x v="1"/>
    <x v="6"/>
  </r>
  <r>
    <n v="2534"/>
    <x v="0"/>
    <s v="VOLKAN İTFAİYE"/>
    <d v="2025-07-30T00:00:00"/>
    <s v="AAAA"/>
    <n v="1"/>
    <s v="HSA-1"/>
    <m/>
    <m/>
    <n v="1900"/>
    <n v="1"/>
    <n v="45868"/>
    <x v="9"/>
    <x v="2"/>
    <x v="1"/>
    <x v="6"/>
  </r>
  <r>
    <n v="2534"/>
    <x v="0"/>
    <s v="VOLKAN İTFAİYE"/>
    <d v="2025-07-30T00:00:00"/>
    <s v="AAAA"/>
    <n v="1"/>
    <s v="HSA-1"/>
    <m/>
    <m/>
    <n v="1900"/>
    <n v="1"/>
    <n v="45868"/>
    <x v="9"/>
    <x v="2"/>
    <x v="1"/>
    <x v="6"/>
  </r>
  <r>
    <n v="2534"/>
    <x v="0"/>
    <s v="VOLKAN İTFAİYE"/>
    <d v="2025-07-30T00:00:00"/>
    <s v="AAAA"/>
    <n v="1"/>
    <s v="HSA-1"/>
    <m/>
    <m/>
    <n v="1900"/>
    <n v="1"/>
    <n v="45868"/>
    <x v="9"/>
    <x v="2"/>
    <x v="1"/>
    <x v="6"/>
  </r>
  <r>
    <n v="2534"/>
    <x v="0"/>
    <s v="VOLKAN İTFAİYE"/>
    <d v="2025-07-30T00:00:00"/>
    <s v="AAAA"/>
    <n v="1"/>
    <s v="HSA-1"/>
    <m/>
    <m/>
    <n v="1900"/>
    <n v="1"/>
    <n v="45868"/>
    <x v="9"/>
    <x v="2"/>
    <x v="1"/>
    <x v="6"/>
  </r>
  <r>
    <n v="2534"/>
    <x v="0"/>
    <s v="VOLKAN İTFAİYE"/>
    <d v="2025-07-30T00:00:00"/>
    <s v="AAAA"/>
    <n v="1"/>
    <s v="HSA-1"/>
    <m/>
    <m/>
    <n v="1900"/>
    <n v="1"/>
    <n v="45868"/>
    <x v="9"/>
    <x v="2"/>
    <x v="1"/>
    <x v="6"/>
  </r>
  <r>
    <n v="2534"/>
    <x v="0"/>
    <s v="VOLKAN İTFAİYE"/>
    <d v="2025-07-30T00:00:00"/>
    <s v="AAAA"/>
    <n v="1"/>
    <s v="HSA-1"/>
    <m/>
    <m/>
    <n v="1900"/>
    <n v="1"/>
    <n v="45868"/>
    <x v="9"/>
    <x v="2"/>
    <x v="1"/>
    <x v="6"/>
  </r>
  <r>
    <n v="2534"/>
    <x v="0"/>
    <s v="VOLKAN İTFAİYE"/>
    <d v="2025-07-30T00:00:00"/>
    <s v="AAAA"/>
    <n v="1"/>
    <s v="HSA-1"/>
    <m/>
    <m/>
    <n v="1900"/>
    <n v="1"/>
    <n v="45868"/>
    <x v="9"/>
    <x v="2"/>
    <x v="1"/>
    <x v="6"/>
  </r>
  <r>
    <n v="2534"/>
    <x v="0"/>
    <s v="VOLKAN İTFAİYE"/>
    <d v="2025-07-30T00:00:00"/>
    <s v="AAAA"/>
    <n v="1"/>
    <s v="HSA-1"/>
    <m/>
    <m/>
    <n v="1900"/>
    <n v="1"/>
    <n v="45868"/>
    <x v="9"/>
    <x v="2"/>
    <x v="1"/>
    <x v="6"/>
  </r>
  <r>
    <n v="2534"/>
    <x v="0"/>
    <s v="VOLKAN İTFAİYE"/>
    <d v="2025-07-30T00:00:00"/>
    <s v="AAAA"/>
    <n v="1"/>
    <s v="HSA-1"/>
    <m/>
    <m/>
    <n v="1900"/>
    <n v="1"/>
    <n v="45868"/>
    <x v="9"/>
    <x v="2"/>
    <x v="1"/>
    <x v="6"/>
  </r>
  <r>
    <n v="2534"/>
    <x v="0"/>
    <s v="VOLKAN İTFAİYE"/>
    <d v="2025-07-30T00:00:00"/>
    <s v="AAAA"/>
    <n v="1"/>
    <s v="HSA-1"/>
    <m/>
    <m/>
    <n v="1900"/>
    <n v="1"/>
    <n v="45868"/>
    <x v="9"/>
    <x v="2"/>
    <x v="1"/>
    <x v="6"/>
  </r>
  <r>
    <n v="2534"/>
    <x v="0"/>
    <s v="VOLKAN İTFAİYE"/>
    <d v="2025-07-30T00:00:00"/>
    <s v="AAAA"/>
    <n v="1"/>
    <s v="HSA-1"/>
    <m/>
    <m/>
    <n v="1900"/>
    <n v="1"/>
    <n v="45868"/>
    <x v="9"/>
    <x v="2"/>
    <x v="1"/>
    <x v="6"/>
  </r>
  <r>
    <n v="2535"/>
    <x v="18"/>
    <s v="DKY ENERJİ"/>
    <d v="2025-08-19T00:00:00"/>
    <s v="AAAA"/>
    <n v="1"/>
    <s v="HSA-2"/>
    <s v="MAVİÇAM"/>
    <m/>
    <n v="1900"/>
    <n v="1"/>
    <n v="45888"/>
    <x v="14"/>
    <x v="0"/>
    <x v="0"/>
    <x v="7"/>
  </r>
  <r>
    <n v="2536"/>
    <x v="19"/>
    <s v="ÇİZMECİ"/>
    <d v="2025-08-20T00:00:00"/>
    <s v="AAAA"/>
    <n v="1"/>
    <s v="HSA-1"/>
    <s v="MAVİÇAM"/>
    <m/>
    <n v="1900"/>
    <n v="1"/>
    <n v="45889"/>
    <x v="2"/>
    <x v="2"/>
    <x v="2"/>
    <x v="7"/>
  </r>
  <r>
    <n v="2536"/>
    <x v="19"/>
    <s v="ÇİZMECİ"/>
    <d v="2025-08-20T00:00:00"/>
    <s v="AAAA"/>
    <n v="1"/>
    <s v="HSA-1"/>
    <s v="MAVİÇAM"/>
    <m/>
    <n v="1900"/>
    <n v="1"/>
    <n v="45889"/>
    <x v="2"/>
    <x v="2"/>
    <x v="2"/>
    <x v="7"/>
  </r>
  <r>
    <n v="2537"/>
    <x v="19"/>
    <s v="BALSU"/>
    <d v="2025-08-20T00:00:00"/>
    <s v="AAAA"/>
    <n v="1"/>
    <s v="HSA-1"/>
    <s v="MAVİÇAM"/>
    <m/>
    <n v="1900"/>
    <n v="1"/>
    <n v="45889"/>
    <x v="2"/>
    <x v="2"/>
    <x v="2"/>
    <x v="7"/>
  </r>
  <r>
    <n v="2537"/>
    <x v="19"/>
    <s v="BALSU"/>
    <d v="2025-08-20T00:00:00"/>
    <s v="AAAA"/>
    <n v="1"/>
    <s v="HSA-1"/>
    <s v="MAVİÇAM"/>
    <m/>
    <n v="1900"/>
    <n v="1"/>
    <n v="45889"/>
    <x v="2"/>
    <x v="2"/>
    <x v="2"/>
    <x v="7"/>
  </r>
  <r>
    <n v="2537"/>
    <x v="19"/>
    <s v="BALSU"/>
    <d v="2025-08-20T00:00:00"/>
    <s v="AAAA"/>
    <n v="1"/>
    <s v="HSA-1"/>
    <s v="MAVİÇAM"/>
    <m/>
    <n v="1900"/>
    <n v="1"/>
    <n v="45889"/>
    <x v="2"/>
    <x v="2"/>
    <x v="2"/>
    <x v="7"/>
  </r>
  <r>
    <n v="2538"/>
    <x v="19"/>
    <s v="ACACIA"/>
    <d v="2025-08-20T00:00:00"/>
    <s v="24A0107BW0010271"/>
    <n v="1"/>
    <s v="HSA-1"/>
    <s v="JASOLAR"/>
    <m/>
    <n v="1900"/>
    <n v="1"/>
    <n v="45889"/>
    <x v="2"/>
    <x v="1"/>
    <x v="0"/>
    <x v="7"/>
  </r>
  <r>
    <n v="2538"/>
    <x v="19"/>
    <s v="ACACIA"/>
    <d v="2025-08-20T00:00:00"/>
    <s v="2510107BW0010603"/>
    <n v="1"/>
    <s v="HSA-1"/>
    <s v="JASOLAR"/>
    <m/>
    <n v="1900"/>
    <n v="1"/>
    <n v="45889"/>
    <x v="2"/>
    <x v="1"/>
    <x v="0"/>
    <x v="7"/>
  </r>
  <r>
    <n v="2538"/>
    <x v="19"/>
    <s v="ACACIA"/>
    <d v="2025-08-20T00:00:00"/>
    <s v="24B0107BW0045224"/>
    <n v="1"/>
    <s v="HSA-1"/>
    <s v="JASOLAR"/>
    <m/>
    <n v="1900"/>
    <n v="1"/>
    <n v="45889"/>
    <x v="2"/>
    <x v="1"/>
    <x v="0"/>
    <x v="7"/>
  </r>
  <r>
    <n v="2538"/>
    <x v="19"/>
    <s v="ACACIA"/>
    <d v="2025-08-20T00:00:00"/>
    <s v="24C0107BW0039119"/>
    <n v="1"/>
    <s v="HSA-1"/>
    <s v="JASOLAR"/>
    <m/>
    <n v="1900"/>
    <n v="1"/>
    <n v="45889"/>
    <x v="2"/>
    <x v="1"/>
    <x v="0"/>
    <x v="7"/>
  </r>
  <r>
    <n v="2538"/>
    <x v="19"/>
    <s v="ACACIA"/>
    <d v="2025-08-20T00:00:00"/>
    <s v="24C0107BW0024236"/>
    <n v="1"/>
    <s v="HSA-1"/>
    <s v="JASOLAR"/>
    <m/>
    <n v="1900"/>
    <n v="1"/>
    <n v="45889"/>
    <x v="2"/>
    <x v="1"/>
    <x v="0"/>
    <x v="7"/>
  </r>
  <r>
    <n v="2538"/>
    <x v="19"/>
    <s v="ACACIA"/>
    <d v="2025-08-20T00:00:00"/>
    <s v="24A0107BW0011440"/>
    <n v="1"/>
    <s v="HSA-1"/>
    <s v="JASOLAR"/>
    <m/>
    <n v="1900"/>
    <n v="1"/>
    <n v="45889"/>
    <x v="2"/>
    <x v="1"/>
    <x v="0"/>
    <x v="7"/>
  </r>
  <r>
    <n v="2538"/>
    <x v="19"/>
    <s v="ACACIA"/>
    <d v="2025-08-20T00:00:00"/>
    <s v="24A0107BW0013244"/>
    <n v="1"/>
    <s v="HSA-1"/>
    <s v="JASOLAR"/>
    <m/>
    <n v="1900"/>
    <n v="1"/>
    <n v="45889"/>
    <x v="2"/>
    <x v="1"/>
    <x v="0"/>
    <x v="7"/>
  </r>
  <r>
    <n v="2538"/>
    <x v="19"/>
    <s v="ACACIA"/>
    <d v="2025-08-20T00:00:00"/>
    <s v="24B0107BW0004558"/>
    <n v="1"/>
    <s v="HSA-1"/>
    <s v="JASOLAR"/>
    <m/>
    <n v="1900"/>
    <n v="1"/>
    <n v="45889"/>
    <x v="2"/>
    <x v="1"/>
    <x v="0"/>
    <x v="7"/>
  </r>
  <r>
    <n v="2538"/>
    <x v="19"/>
    <s v="ACACIA"/>
    <d v="2025-08-20T00:00:00"/>
    <s v="24B0107BW0003284"/>
    <n v="1"/>
    <s v="HSA-1"/>
    <s v="JASOLAR"/>
    <m/>
    <n v="1900"/>
    <n v="1"/>
    <n v="45889"/>
    <x v="2"/>
    <x v="1"/>
    <x v="0"/>
    <x v="7"/>
  </r>
  <r>
    <n v="2538"/>
    <x v="19"/>
    <s v="ACACIA"/>
    <d v="2025-08-20T00:00:00"/>
    <s v="24A0107BW0034432"/>
    <n v="1"/>
    <s v="HSA-1"/>
    <s v="JASOLAR"/>
    <m/>
    <n v="1900"/>
    <n v="1"/>
    <n v="45889"/>
    <x v="2"/>
    <x v="1"/>
    <x v="0"/>
    <x v="7"/>
  </r>
  <r>
    <n v="2538"/>
    <x v="19"/>
    <s v="ACACIA"/>
    <d v="2025-08-20T00:00:00"/>
    <s v="24A0107BW0022195"/>
    <n v="1"/>
    <s v="HSA-1"/>
    <s v="JASOLAR"/>
    <m/>
    <n v="1900"/>
    <n v="1"/>
    <n v="45889"/>
    <x v="2"/>
    <x v="1"/>
    <x v="0"/>
    <x v="7"/>
  </r>
  <r>
    <n v="2538"/>
    <x v="19"/>
    <s v="ACACIA"/>
    <d v="2025-08-20T00:00:00"/>
    <s v="24B0107BW0042822"/>
    <n v="1"/>
    <s v="HSA-1"/>
    <s v="JASOLAR"/>
    <m/>
    <n v="1900"/>
    <n v="1"/>
    <n v="45889"/>
    <x v="2"/>
    <x v="1"/>
    <x v="0"/>
    <x v="7"/>
  </r>
  <r>
    <n v="2538"/>
    <x v="19"/>
    <s v="ACACIA"/>
    <d v="2025-08-20T00:00:00"/>
    <s v="24C0107BW0000536"/>
    <n v="1"/>
    <s v="HSA-1"/>
    <s v="JASOLAR"/>
    <m/>
    <n v="1900"/>
    <n v="1"/>
    <n v="45889"/>
    <x v="2"/>
    <x v="1"/>
    <x v="0"/>
    <x v="7"/>
  </r>
  <r>
    <n v="2538"/>
    <x v="19"/>
    <s v="ACACIA"/>
    <d v="2025-08-20T00:00:00"/>
    <s v="24A0107BW0018488"/>
    <n v="1"/>
    <s v="HSA-1"/>
    <s v="JASOLAR"/>
    <m/>
    <n v="1900"/>
    <n v="1"/>
    <n v="45889"/>
    <x v="2"/>
    <x v="1"/>
    <x v="0"/>
    <x v="7"/>
  </r>
  <r>
    <n v="2538"/>
    <x v="19"/>
    <s v="ACACIA"/>
    <d v="2025-08-20T00:00:00"/>
    <s v="24C0107BW0004303"/>
    <n v="1"/>
    <s v="HSA-1"/>
    <s v="JASOLAR"/>
    <m/>
    <n v="1900"/>
    <n v="1"/>
    <n v="45889"/>
    <x v="2"/>
    <x v="1"/>
    <x v="0"/>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39"/>
    <x v="20"/>
    <s v="PİRAMİT SENTETİK"/>
    <d v="2025-08-22T00:00:00"/>
    <s v="AAAA"/>
    <n v="1"/>
    <s v="HSA-1"/>
    <s v="MAVİÇAM"/>
    <m/>
    <n v="1900"/>
    <n v="1"/>
    <n v="45891"/>
    <x v="15"/>
    <x v="3"/>
    <x v="1"/>
    <x v="7"/>
  </r>
  <r>
    <n v="2540"/>
    <x v="3"/>
    <s v="ARTAŞ"/>
    <d v="2025-08-15T00:00:00"/>
    <s v="E3FXT425B249990039700107"/>
    <n v="1"/>
    <s v="HSA-2"/>
    <s v="JINKOSOLAR"/>
    <m/>
    <n v="1900"/>
    <n v="1"/>
    <n v="45884"/>
    <x v="16"/>
    <x v="0"/>
    <x v="0"/>
    <x v="7"/>
  </r>
  <r>
    <n v="2540"/>
    <x v="3"/>
    <s v="ARTAŞ"/>
    <d v="2025-08-15T00:00:00"/>
    <s v="E3FXT425B249990039701508"/>
    <n v="1"/>
    <s v="HSA-2"/>
    <s v="JINKOSOLAR"/>
    <m/>
    <n v="1900"/>
    <n v="1"/>
    <n v="45884"/>
    <x v="16"/>
    <x v="0"/>
    <x v="0"/>
    <x v="7"/>
  </r>
  <r>
    <n v="2540"/>
    <x v="3"/>
    <s v="ARTAŞ"/>
    <d v="2025-08-15T00:00:00"/>
    <s v="E3FXT425B249990039701727"/>
    <n v="1"/>
    <s v="HSA-2"/>
    <s v="JINKOSOLAR"/>
    <m/>
    <n v="1900"/>
    <n v="1"/>
    <n v="45884"/>
    <x v="16"/>
    <x v="0"/>
    <x v="0"/>
    <x v="7"/>
  </r>
  <r>
    <n v="2540"/>
    <x v="3"/>
    <s v="ARTAŞ"/>
    <d v="2025-08-15T00:00:00"/>
    <s v="E3FXT425B249990039701162"/>
    <n v="1"/>
    <s v="HSA-2"/>
    <s v="JINKOSOLAR"/>
    <m/>
    <n v="1900"/>
    <n v="1"/>
    <n v="45884"/>
    <x v="16"/>
    <x v="0"/>
    <x v="0"/>
    <x v="7"/>
  </r>
  <r>
    <n v="2540"/>
    <x v="3"/>
    <s v="ARTAŞ"/>
    <d v="2025-08-15T00:00:00"/>
    <s v="E3FXT425B249990039701715"/>
    <n v="1"/>
    <s v="HSA-2"/>
    <s v="JINKOSOLAR"/>
    <m/>
    <n v="1900"/>
    <n v="1"/>
    <n v="45884"/>
    <x v="16"/>
    <x v="0"/>
    <x v="0"/>
    <x v="7"/>
  </r>
  <r>
    <n v="2540"/>
    <x v="3"/>
    <s v="ARTAŞ"/>
    <d v="2025-08-15T00:00:00"/>
    <s v="E3FXT425B249990039700944"/>
    <n v="1"/>
    <s v="HSA-2"/>
    <s v="JINKOSOLAR"/>
    <m/>
    <n v="1900"/>
    <n v="1"/>
    <n v="45884"/>
    <x v="17"/>
    <x v="0"/>
    <x v="0"/>
    <x v="7"/>
  </r>
  <r>
    <n v="2540"/>
    <x v="3"/>
    <s v="ARTAŞ"/>
    <d v="2025-08-15T00:00:00"/>
    <s v="E3FXT425B249990039700333"/>
    <n v="1"/>
    <s v="HSA-2"/>
    <s v="JINKOSOLAR"/>
    <m/>
    <n v="1900"/>
    <n v="1"/>
    <n v="45884"/>
    <x v="17"/>
    <x v="0"/>
    <x v="0"/>
    <x v="7"/>
  </r>
  <r>
    <n v="2540"/>
    <x v="3"/>
    <s v="ARTAŞ"/>
    <d v="2025-08-15T00:00:00"/>
    <s v="E3FXT425B249990039700484"/>
    <n v="1"/>
    <s v="HSA-2"/>
    <s v="JINKOSOLAR"/>
    <m/>
    <n v="1900"/>
    <n v="1"/>
    <n v="45884"/>
    <x v="17"/>
    <x v="0"/>
    <x v="0"/>
    <x v="7"/>
  </r>
  <r>
    <n v="2540"/>
    <x v="3"/>
    <s v="ARTAŞ"/>
    <d v="2025-08-15T00:00:00"/>
    <s v="E3FXT425B249990039701671"/>
    <n v="1"/>
    <s v="HSA-2"/>
    <s v="JINKOSOLAR"/>
    <m/>
    <n v="1900"/>
    <n v="1"/>
    <n v="45884"/>
    <x v="17"/>
    <x v="0"/>
    <x v="0"/>
    <x v="7"/>
  </r>
  <r>
    <n v="2540"/>
    <x v="3"/>
    <s v="ARTAŞ"/>
    <d v="2025-08-15T00:00:00"/>
    <s v="E3FXT425B249990039701647"/>
    <n v="1"/>
    <s v="HSA-2"/>
    <s v="JINKOSOLAR"/>
    <m/>
    <n v="1900"/>
    <n v="1"/>
    <n v="45884"/>
    <x v="17"/>
    <x v="0"/>
    <x v="0"/>
    <x v="7"/>
  </r>
  <r>
    <n v="2540"/>
    <x v="3"/>
    <s v="ARTAŞ"/>
    <d v="2025-08-15T00:00:00"/>
    <s v="E3FXT425B279990039805023"/>
    <n v="1"/>
    <s v="HSA-2"/>
    <s v="JINKOSOLAR"/>
    <m/>
    <n v="1900"/>
    <n v="1"/>
    <n v="45884"/>
    <x v="17"/>
    <x v="0"/>
    <x v="0"/>
    <x v="7"/>
  </r>
  <r>
    <n v="2540"/>
    <x v="3"/>
    <s v="ARTAŞ"/>
    <d v="2025-08-15T00:00:00"/>
    <s v="E3FXT425B279990039805798"/>
    <n v="1"/>
    <s v="HSA-2"/>
    <s v="JINKOSOLAR"/>
    <m/>
    <n v="1900"/>
    <n v="1"/>
    <n v="45884"/>
    <x v="17"/>
    <x v="0"/>
    <x v="0"/>
    <x v="7"/>
  </r>
  <r>
    <n v="2540"/>
    <x v="3"/>
    <s v="ARTAŞ"/>
    <d v="2025-08-15T00:00:00"/>
    <s v="E3FXT425B279990039806630"/>
    <n v="1"/>
    <s v="HSA-2"/>
    <s v="JINKOSOLAR"/>
    <m/>
    <n v="1900"/>
    <n v="1"/>
    <n v="45884"/>
    <x v="17"/>
    <x v="0"/>
    <x v="0"/>
    <x v="7"/>
  </r>
  <r>
    <n v="2540"/>
    <x v="3"/>
    <s v="ARTAŞ"/>
    <d v="2025-08-15T00:00:00"/>
    <s v="E3FXT425B259990039801167"/>
    <n v="1"/>
    <s v="HSA-2"/>
    <s v="JINKOSOLAR"/>
    <m/>
    <n v="1900"/>
    <n v="1"/>
    <n v="45884"/>
    <x v="17"/>
    <x v="0"/>
    <x v="0"/>
    <x v="7"/>
  </r>
  <r>
    <n v="2540"/>
    <x v="3"/>
    <s v="ARTAŞ"/>
    <d v="2025-08-15T00:00:00"/>
    <s v="E3FXT425B259990039800541"/>
    <n v="1"/>
    <s v="HSA-2"/>
    <s v="JINKOSOLAR"/>
    <m/>
    <n v="1900"/>
    <n v="1"/>
    <n v="45884"/>
    <x v="17"/>
    <x v="0"/>
    <x v="0"/>
    <x v="7"/>
  </r>
  <r>
    <n v="2540"/>
    <x v="3"/>
    <s v="ARTAŞ"/>
    <d v="2025-08-15T00:00:00"/>
    <s v="E3FXT425B259990039800949"/>
    <n v="1"/>
    <s v="HSA-2"/>
    <s v="JINKOSOLAR"/>
    <m/>
    <n v="1900"/>
    <n v="1"/>
    <n v="45884"/>
    <x v="17"/>
    <x v="0"/>
    <x v="0"/>
    <x v="7"/>
  </r>
  <r>
    <n v="2540"/>
    <x v="3"/>
    <s v="ARTAŞ"/>
    <d v="2025-08-15T00:00:00"/>
    <s v="E3FXT425D299990042801193"/>
    <n v="1"/>
    <s v="HSA-2"/>
    <s v="JINKOSOLAR"/>
    <m/>
    <n v="1900"/>
    <n v="1"/>
    <n v="45884"/>
    <x v="17"/>
    <x v="0"/>
    <x v="0"/>
    <x v="7"/>
  </r>
  <r>
    <n v="2540"/>
    <x v="3"/>
    <s v="ARTAŞ"/>
    <d v="2025-08-15T00:00:00"/>
    <s v="E3FXT425D299990042800950"/>
    <n v="1"/>
    <s v="HSA-2"/>
    <s v="JINKOSOLAR"/>
    <m/>
    <n v="1900"/>
    <n v="1"/>
    <n v="45884"/>
    <x v="17"/>
    <x v="0"/>
    <x v="0"/>
    <x v="7"/>
  </r>
  <r>
    <n v="2540"/>
    <x v="3"/>
    <s v="ARTAŞ"/>
    <d v="2025-08-15T00:00:00"/>
    <s v="E3FXT425D299990042800277"/>
    <n v="1"/>
    <s v="HSA-2"/>
    <s v="JINKOSOLAR"/>
    <m/>
    <n v="1900"/>
    <n v="1"/>
    <n v="45884"/>
    <x v="17"/>
    <x v="0"/>
    <x v="0"/>
    <x v="7"/>
  </r>
  <r>
    <n v="2540"/>
    <x v="3"/>
    <s v="ARTAŞ"/>
    <d v="2025-08-15T00:00:00"/>
    <s v="E3FXT425D299990042800939"/>
    <n v="1"/>
    <s v="HSA-2"/>
    <s v="JINKOSOLAR"/>
    <m/>
    <n v="1900"/>
    <n v="1"/>
    <n v="45884"/>
    <x v="17"/>
    <x v="0"/>
    <x v="0"/>
    <x v="7"/>
  </r>
  <r>
    <n v="2540"/>
    <x v="3"/>
    <s v="ARTAŞ"/>
    <d v="2025-08-15T00:00:00"/>
    <s v="E3FXT425D299990042801162"/>
    <n v="1"/>
    <s v="HSA-2"/>
    <s v="JINKOSOLAR"/>
    <m/>
    <n v="1900"/>
    <n v="1"/>
    <n v="45884"/>
    <x v="17"/>
    <x v="0"/>
    <x v="0"/>
    <x v="7"/>
  </r>
  <r>
    <n v="2540"/>
    <x v="3"/>
    <s v="ARTAŞ"/>
    <d v="2025-08-15T00:00:00"/>
    <s v="E3FXT425D299990042801160"/>
    <n v="1"/>
    <s v="HSA-2"/>
    <s v="JINKOSOLAR"/>
    <m/>
    <n v="1900"/>
    <n v="1"/>
    <n v="45884"/>
    <x v="17"/>
    <x v="0"/>
    <x v="0"/>
    <x v="7"/>
  </r>
  <r>
    <n v="2540"/>
    <x v="3"/>
    <s v="ARTAŞ"/>
    <d v="2025-08-15T00:00:00"/>
    <s v="E3FXT425C219990041202309"/>
    <n v="1"/>
    <s v="HSA-2"/>
    <s v="JINKOSOLAR"/>
    <m/>
    <n v="1900"/>
    <n v="1"/>
    <n v="45884"/>
    <x v="17"/>
    <x v="0"/>
    <x v="0"/>
    <x v="7"/>
  </r>
  <r>
    <n v="2540"/>
    <x v="3"/>
    <s v="ARTAŞ"/>
    <d v="2025-08-15T00:00:00"/>
    <s v="E3FXT425C209990041201317"/>
    <n v="1"/>
    <s v="HSA-2"/>
    <s v="JINKOSOLAR"/>
    <m/>
    <n v="1900"/>
    <n v="1"/>
    <n v="45884"/>
    <x v="17"/>
    <x v="0"/>
    <x v="0"/>
    <x v="7"/>
  </r>
  <r>
    <n v="2540"/>
    <x v="3"/>
    <s v="ARTAŞ"/>
    <d v="2025-08-15T00:00:00"/>
    <s v="E3FXT425C119990040213957"/>
    <n v="1"/>
    <s v="HSA-2"/>
    <s v="JINKOSOLAR"/>
    <m/>
    <n v="1900"/>
    <n v="1"/>
    <n v="45884"/>
    <x v="17"/>
    <x v="0"/>
    <x v="0"/>
    <x v="7"/>
  </r>
  <r>
    <n v="2540"/>
    <x v="3"/>
    <s v="ARTAŞ"/>
    <d v="2025-08-15T00:00:00"/>
    <s v="E3FXT425B269990039802869"/>
    <n v="1"/>
    <s v="HSA-2"/>
    <s v="JINKOSOLAR"/>
    <m/>
    <n v="1900"/>
    <n v="1"/>
    <n v="45884"/>
    <x v="17"/>
    <x v="0"/>
    <x v="0"/>
    <x v="7"/>
  </r>
  <r>
    <n v="2540"/>
    <x v="3"/>
    <s v="ARTAŞ"/>
    <d v="2025-08-15T00:00:00"/>
    <s v="E3FXT425B269990039802799"/>
    <n v="1"/>
    <s v="HSA-2"/>
    <s v="JINKOSOLAR"/>
    <m/>
    <n v="1900"/>
    <n v="1"/>
    <n v="45884"/>
    <x v="17"/>
    <x v="0"/>
    <x v="0"/>
    <x v="7"/>
  </r>
  <r>
    <n v="2540"/>
    <x v="3"/>
    <s v="ARTAŞ"/>
    <d v="2025-08-15T00:00:00"/>
    <s v="E3FXT425B289990039807475"/>
    <n v="1"/>
    <s v="HSA-2"/>
    <s v="JINKOSOLAR"/>
    <m/>
    <n v="1900"/>
    <n v="1"/>
    <n v="45884"/>
    <x v="17"/>
    <x v="0"/>
    <x v="0"/>
    <x v="7"/>
  </r>
  <r>
    <n v="2540"/>
    <x v="3"/>
    <s v="ARTAŞ"/>
    <d v="2025-08-15T00:00:00"/>
    <s v="E3FXT425D299990042801129"/>
    <n v="1"/>
    <s v="HSA-2"/>
    <s v="JINKOSOLAR"/>
    <m/>
    <n v="1900"/>
    <n v="1"/>
    <n v="45884"/>
    <x v="17"/>
    <x v="0"/>
    <x v="0"/>
    <x v="7"/>
  </r>
  <r>
    <n v="2540"/>
    <x v="3"/>
    <s v="ARTAŞ"/>
    <d v="2025-08-15T00:00:00"/>
    <s v="E3FXT425D299990042801013"/>
    <n v="1"/>
    <s v="HSA-2"/>
    <s v="JINKOSOLAR"/>
    <m/>
    <n v="1900"/>
    <n v="1"/>
    <n v="45884"/>
    <x v="17"/>
    <x v="0"/>
    <x v="0"/>
    <x v="7"/>
  </r>
  <r>
    <n v="2540"/>
    <x v="3"/>
    <s v="ARTAŞ"/>
    <d v="2025-08-15T00:00:00"/>
    <s v="E3FXT425D299990042800979"/>
    <n v="1"/>
    <s v="HSA-2"/>
    <s v="JINKOSOLAR"/>
    <m/>
    <n v="1900"/>
    <n v="1"/>
    <n v="45884"/>
    <x v="17"/>
    <x v="0"/>
    <x v="0"/>
    <x v="7"/>
  </r>
  <r>
    <n v="2540"/>
    <x v="3"/>
    <s v="ARTAŞ"/>
    <d v="2025-08-15T00:00:00"/>
    <s v="E3FXT425D299990042801045"/>
    <n v="1"/>
    <s v="HSA-2"/>
    <s v="JINKOSOLAR"/>
    <m/>
    <n v="1900"/>
    <n v="1"/>
    <n v="45884"/>
    <x v="17"/>
    <x v="0"/>
    <x v="0"/>
    <x v="7"/>
  </r>
  <r>
    <n v="2540"/>
    <x v="3"/>
    <s v="ARTAŞ"/>
    <d v="2025-08-15T00:00:00"/>
    <s v="E3FXT425D299990042801204"/>
    <n v="1"/>
    <s v="HSA-2"/>
    <s v="JINKOSOLAR"/>
    <m/>
    <n v="1900"/>
    <n v="1"/>
    <n v="45884"/>
    <x v="17"/>
    <x v="0"/>
    <x v="0"/>
    <x v="7"/>
  </r>
  <r>
    <n v="2540"/>
    <x v="3"/>
    <s v="ARTAŞ"/>
    <d v="2025-08-15T00:00:00"/>
    <s v="E3FXT425D299990042801241"/>
    <n v="1"/>
    <s v="HSA-2"/>
    <s v="JINKOSOLAR"/>
    <m/>
    <n v="1900"/>
    <n v="1"/>
    <n v="45884"/>
    <x v="17"/>
    <x v="0"/>
    <x v="0"/>
    <x v="7"/>
  </r>
  <r>
    <n v="2540"/>
    <x v="3"/>
    <s v="ARTAŞ"/>
    <d v="2025-08-15T00:00:00"/>
    <s v="E3FXT425D309990042801554"/>
    <n v="1"/>
    <s v="HSA-2"/>
    <s v="JINKOSOLAR"/>
    <m/>
    <n v="1900"/>
    <n v="1"/>
    <n v="45884"/>
    <x v="17"/>
    <x v="0"/>
    <x v="0"/>
    <x v="7"/>
  </r>
  <r>
    <n v="2540"/>
    <x v="3"/>
    <s v="ARTAŞ"/>
    <d v="2025-08-15T00:00:00"/>
    <s v="E3FXT425D309990042801485"/>
    <n v="1"/>
    <s v="HSA-2"/>
    <s v="JINKOSOLAR"/>
    <m/>
    <n v="1900"/>
    <n v="1"/>
    <n v="45884"/>
    <x v="17"/>
    <x v="0"/>
    <x v="0"/>
    <x v="7"/>
  </r>
  <r>
    <n v="2540"/>
    <x v="3"/>
    <s v="ARTAŞ"/>
    <d v="2025-08-15T00:00:00"/>
    <s v="E3FXT425D309990042801619"/>
    <n v="1"/>
    <s v="HSA-2"/>
    <s v="JINKOSOLAR"/>
    <m/>
    <n v="1900"/>
    <n v="1"/>
    <n v="45884"/>
    <x v="17"/>
    <x v="0"/>
    <x v="0"/>
    <x v="7"/>
  </r>
  <r>
    <n v="2540"/>
    <x v="3"/>
    <s v="ARTAŞ"/>
    <d v="2025-08-15T00:00:00"/>
    <s v="E3FXT425C229990041204337"/>
    <n v="1"/>
    <s v="HSA-2"/>
    <s v="JINKOSOLAR"/>
    <m/>
    <n v="1900"/>
    <n v="1"/>
    <n v="45884"/>
    <x v="17"/>
    <x v="0"/>
    <x v="0"/>
    <x v="7"/>
  </r>
  <r>
    <n v="2540"/>
    <x v="3"/>
    <s v="ARTAŞ"/>
    <d v="2025-08-15T00:00:00"/>
    <s v="E3FXT425C229990041204156"/>
    <n v="1"/>
    <s v="HSA-2"/>
    <s v="JINKOSOLAR"/>
    <m/>
    <n v="1900"/>
    <n v="1"/>
    <n v="45884"/>
    <x v="17"/>
    <x v="0"/>
    <x v="0"/>
    <x v="7"/>
  </r>
  <r>
    <n v="2540"/>
    <x v="3"/>
    <s v="ARTAŞ"/>
    <d v="2025-08-15T00:00:00"/>
    <s v="E3FXT425C249990041206593"/>
    <n v="1"/>
    <s v="HSA-2"/>
    <s v="JINKOSOLAR"/>
    <m/>
    <n v="1900"/>
    <n v="1"/>
    <n v="45884"/>
    <x v="17"/>
    <x v="0"/>
    <x v="0"/>
    <x v="7"/>
  </r>
  <r>
    <n v="2540"/>
    <x v="3"/>
    <s v="ARTAŞ"/>
    <d v="2025-08-15T00:00:00"/>
    <s v="E3FXT425C049990040200076"/>
    <n v="1"/>
    <s v="HSA-2"/>
    <s v="JINKOSOLAR"/>
    <m/>
    <n v="1900"/>
    <n v="1"/>
    <n v="45884"/>
    <x v="17"/>
    <x v="0"/>
    <x v="0"/>
    <x v="7"/>
  </r>
  <r>
    <n v="2540"/>
    <x v="3"/>
    <s v="ARTAŞ"/>
    <d v="2025-08-15T00:00:00"/>
    <s v="E3FXT425C079990040206925"/>
    <n v="1"/>
    <s v="HSA-2"/>
    <s v="JINKOSOLAR"/>
    <m/>
    <n v="1900"/>
    <n v="1"/>
    <n v="45884"/>
    <x v="17"/>
    <x v="0"/>
    <x v="0"/>
    <x v="7"/>
  </r>
  <r>
    <n v="2541"/>
    <x v="3"/>
    <s v="ARTAŞ"/>
    <d v="2025-08-15T00:00:00"/>
    <s v="AAAA"/>
    <n v="1"/>
    <s v="HSA-2"/>
    <s v="JINKOSOLAR"/>
    <m/>
    <n v="1900"/>
    <n v="1"/>
    <n v="45884"/>
    <x v="17"/>
    <x v="2"/>
    <x v="1"/>
    <x v="7"/>
  </r>
  <r>
    <n v="2541"/>
    <x v="3"/>
    <s v="ARTAŞ"/>
    <d v="2025-08-15T00:00:00"/>
    <s v="AAAA"/>
    <n v="1"/>
    <s v="HSA-2"/>
    <s v="JINKOSOLAR"/>
    <m/>
    <n v="1900"/>
    <n v="1"/>
    <n v="45884"/>
    <x v="17"/>
    <x v="2"/>
    <x v="1"/>
    <x v="7"/>
  </r>
  <r>
    <n v="2541"/>
    <x v="3"/>
    <s v="ARTAŞ"/>
    <d v="2025-08-15T00:00:00"/>
    <s v="AAAA"/>
    <n v="1"/>
    <s v="HSA-2"/>
    <s v="JINKOSOLAR"/>
    <m/>
    <n v="1900"/>
    <n v="1"/>
    <n v="45884"/>
    <x v="17"/>
    <x v="2"/>
    <x v="1"/>
    <x v="7"/>
  </r>
  <r>
    <n v="2541"/>
    <x v="3"/>
    <s v="ARTAŞ"/>
    <d v="2025-08-15T00:00:00"/>
    <s v="AAAA"/>
    <n v="1"/>
    <s v="HSA-2"/>
    <s v="JINKOSOLAR"/>
    <m/>
    <n v="1900"/>
    <n v="1"/>
    <n v="45884"/>
    <x v="17"/>
    <x v="2"/>
    <x v="1"/>
    <x v="7"/>
  </r>
  <r>
    <n v="2541"/>
    <x v="3"/>
    <s v="ARTAŞ"/>
    <d v="2025-08-15T00:00:00"/>
    <s v="AAAA"/>
    <n v="1"/>
    <s v="HSA-2"/>
    <s v="JINKOSOLAR"/>
    <m/>
    <n v="1900"/>
    <n v="1"/>
    <n v="45884"/>
    <x v="17"/>
    <x v="2"/>
    <x v="1"/>
    <x v="7"/>
  </r>
  <r>
    <n v="2541"/>
    <x v="3"/>
    <s v="ARTAŞ"/>
    <d v="2025-08-15T00:00:00"/>
    <s v="AAAA"/>
    <n v="1"/>
    <s v="HSA-2"/>
    <s v="JINKOSOLAR"/>
    <m/>
    <n v="1900"/>
    <n v="1"/>
    <n v="45884"/>
    <x v="17"/>
    <x v="2"/>
    <x v="1"/>
    <x v="7"/>
  </r>
  <r>
    <n v="2541"/>
    <x v="3"/>
    <s v="ARTAŞ"/>
    <d v="2025-08-15T00:00:00"/>
    <s v="AAAA"/>
    <n v="1"/>
    <s v="HSA-2"/>
    <s v="JINKOSOLAR"/>
    <m/>
    <n v="1900"/>
    <n v="1"/>
    <n v="45884"/>
    <x v="17"/>
    <x v="2"/>
    <x v="1"/>
    <x v="7"/>
  </r>
  <r>
    <n v="2541"/>
    <x v="3"/>
    <s v="ARTAŞ"/>
    <d v="2025-08-15T00:00:00"/>
    <s v="AAAA"/>
    <n v="1"/>
    <s v="HSA-2"/>
    <s v="JINKOSOLAR"/>
    <m/>
    <n v="1900"/>
    <n v="1"/>
    <n v="45884"/>
    <x v="17"/>
    <x v="2"/>
    <x v="1"/>
    <x v="7"/>
  </r>
  <r>
    <n v="2541"/>
    <x v="3"/>
    <s v="ARTAŞ"/>
    <d v="2025-08-15T00:00:00"/>
    <s v="AAAA"/>
    <n v="1"/>
    <s v="HSA-2"/>
    <s v="JINKOSOLAR"/>
    <m/>
    <n v="1900"/>
    <n v="1"/>
    <n v="45884"/>
    <x v="17"/>
    <x v="2"/>
    <x v="1"/>
    <x v="7"/>
  </r>
  <r>
    <n v="2541"/>
    <x v="3"/>
    <s v="ARTAŞ"/>
    <d v="2025-08-15T00:00:00"/>
    <s v="AAAA"/>
    <n v="1"/>
    <s v="HSA-2"/>
    <s v="JINKOSOLAR"/>
    <m/>
    <n v="1900"/>
    <n v="1"/>
    <n v="45884"/>
    <x v="17"/>
    <x v="2"/>
    <x v="1"/>
    <x v="7"/>
  </r>
  <r>
    <n v="2541"/>
    <x v="3"/>
    <s v="ARTAŞ"/>
    <d v="2025-08-15T00:00:00"/>
    <s v="AAAA"/>
    <n v="1"/>
    <s v="HSA-2"/>
    <s v="JINKOSOLAR"/>
    <m/>
    <n v="1900"/>
    <n v="1"/>
    <n v="45884"/>
    <x v="17"/>
    <x v="2"/>
    <x v="1"/>
    <x v="7"/>
  </r>
  <r>
    <n v="2541"/>
    <x v="3"/>
    <s v="ARTAŞ"/>
    <d v="2025-08-15T00:00:00"/>
    <s v="AAAA"/>
    <n v="1"/>
    <s v="HSA-2"/>
    <s v="JINKOSOLAR"/>
    <m/>
    <n v="1900"/>
    <n v="1"/>
    <n v="45884"/>
    <x v="17"/>
    <x v="2"/>
    <x v="1"/>
    <x v="7"/>
  </r>
  <r>
    <n v="2541"/>
    <x v="3"/>
    <s v="ARTAŞ"/>
    <d v="2025-08-15T00:00:00"/>
    <s v="AAAA"/>
    <n v="1"/>
    <s v="HSA-2"/>
    <s v="JINKOSOLAR"/>
    <m/>
    <n v="1900"/>
    <n v="1"/>
    <n v="45884"/>
    <x v="17"/>
    <x v="2"/>
    <x v="1"/>
    <x v="7"/>
  </r>
  <r>
    <n v="2541"/>
    <x v="3"/>
    <s v="ARTAŞ"/>
    <d v="2025-08-15T00:00:00"/>
    <s v="AAAA"/>
    <n v="1"/>
    <s v="HSA-2"/>
    <s v="JINKOSOLAR"/>
    <m/>
    <n v="1900"/>
    <n v="1"/>
    <n v="45884"/>
    <x v="17"/>
    <x v="2"/>
    <x v="1"/>
    <x v="7"/>
  </r>
  <r>
    <n v="2541"/>
    <x v="3"/>
    <s v="ARTAŞ"/>
    <d v="2025-08-15T00:00:00"/>
    <s v="AAAA"/>
    <n v="1"/>
    <s v="HSA-2"/>
    <s v="JINKOSOLAR"/>
    <m/>
    <n v="1900"/>
    <n v="1"/>
    <n v="45884"/>
    <x v="17"/>
    <x v="2"/>
    <x v="1"/>
    <x v="7"/>
  </r>
  <r>
    <n v="2541"/>
    <x v="3"/>
    <s v="ARTAŞ"/>
    <d v="2025-08-15T00:00:00"/>
    <s v="AAAA"/>
    <n v="1"/>
    <s v="HSA-2"/>
    <s v="JINKOSOLAR"/>
    <m/>
    <n v="1900"/>
    <n v="1"/>
    <n v="45884"/>
    <x v="17"/>
    <x v="2"/>
    <x v="1"/>
    <x v="7"/>
  </r>
  <r>
    <n v="2541"/>
    <x v="3"/>
    <s v="ARTAŞ"/>
    <d v="2025-08-15T00:00:00"/>
    <s v="AAAA"/>
    <n v="1"/>
    <s v="HSA-2"/>
    <s v="JINKOSOLAR"/>
    <m/>
    <n v="1900"/>
    <n v="1"/>
    <n v="45884"/>
    <x v="17"/>
    <x v="2"/>
    <x v="1"/>
    <x v="7"/>
  </r>
  <r>
    <n v="2541"/>
    <x v="3"/>
    <s v="ARTAŞ"/>
    <d v="2025-08-15T00:00:00"/>
    <s v="AAAA"/>
    <n v="1"/>
    <s v="HSA-2"/>
    <s v="JINKOSOLAR"/>
    <m/>
    <n v="1900"/>
    <n v="1"/>
    <n v="45884"/>
    <x v="17"/>
    <x v="2"/>
    <x v="1"/>
    <x v="7"/>
  </r>
  <r>
    <n v="2541"/>
    <x v="3"/>
    <s v="ARTAŞ"/>
    <d v="2025-08-15T00:00:00"/>
    <s v="AAAA"/>
    <n v="1"/>
    <s v="HSA-2"/>
    <s v="JINKOSOLAR"/>
    <m/>
    <n v="1900"/>
    <n v="1"/>
    <n v="45884"/>
    <x v="17"/>
    <x v="2"/>
    <x v="1"/>
    <x v="7"/>
  </r>
  <r>
    <n v="2541"/>
    <x v="3"/>
    <s v="ARTAŞ"/>
    <d v="2025-08-15T00:00:00"/>
    <s v="AAAA"/>
    <n v="1"/>
    <s v="HSA-2"/>
    <s v="JINKOSOLAR"/>
    <m/>
    <n v="1900"/>
    <n v="1"/>
    <n v="45884"/>
    <x v="17"/>
    <x v="2"/>
    <x v="1"/>
    <x v="7"/>
  </r>
  <r>
    <n v="2541"/>
    <x v="3"/>
    <s v="ARTAŞ"/>
    <d v="2025-08-15T00:00:00"/>
    <s v="AAAA"/>
    <n v="1"/>
    <s v="HSA-2"/>
    <s v="JINKOSOLAR"/>
    <m/>
    <n v="1900"/>
    <n v="1"/>
    <n v="45884"/>
    <x v="17"/>
    <x v="2"/>
    <x v="1"/>
    <x v="7"/>
  </r>
  <r>
    <n v="2541"/>
    <x v="3"/>
    <s v="ARTAŞ"/>
    <d v="2025-08-15T00:00:00"/>
    <s v="AAAA"/>
    <n v="1"/>
    <s v="HSA-2"/>
    <s v="JINKOSOLAR"/>
    <m/>
    <n v="1900"/>
    <n v="1"/>
    <n v="45884"/>
    <x v="17"/>
    <x v="2"/>
    <x v="1"/>
    <x v="7"/>
  </r>
  <r>
    <n v="2541"/>
    <x v="3"/>
    <s v="ARTAŞ"/>
    <d v="2025-08-15T00:00:00"/>
    <s v="AAAA"/>
    <n v="1"/>
    <s v="HSA-2"/>
    <s v="JINKOSOLAR"/>
    <m/>
    <n v="1900"/>
    <n v="1"/>
    <n v="45884"/>
    <x v="17"/>
    <x v="2"/>
    <x v="1"/>
    <x v="7"/>
  </r>
  <r>
    <n v="2541"/>
    <x v="3"/>
    <s v="ARTAŞ"/>
    <d v="2025-08-15T00:00:00"/>
    <s v="AAAA"/>
    <n v="1"/>
    <s v="HSA-2"/>
    <s v="JINKOSOLAR"/>
    <m/>
    <n v="1900"/>
    <n v="1"/>
    <n v="45884"/>
    <x v="17"/>
    <x v="2"/>
    <x v="1"/>
    <x v="7"/>
  </r>
  <r>
    <n v="2541"/>
    <x v="3"/>
    <s v="ARTAŞ"/>
    <d v="2025-08-15T00:00:00"/>
    <s v="AAAA"/>
    <n v="1"/>
    <s v="HSA-2"/>
    <s v="JINKOSOLAR"/>
    <m/>
    <n v="1900"/>
    <n v="1"/>
    <n v="45884"/>
    <x v="17"/>
    <x v="2"/>
    <x v="1"/>
    <x v="7"/>
  </r>
  <r>
    <n v="2541"/>
    <x v="3"/>
    <s v="ARTAŞ"/>
    <d v="2025-08-15T00:00:00"/>
    <s v="AAAA"/>
    <n v="1"/>
    <s v="HSA-2"/>
    <s v="JINKOSOLAR"/>
    <m/>
    <n v="1900"/>
    <n v="1"/>
    <n v="45884"/>
    <x v="17"/>
    <x v="2"/>
    <x v="1"/>
    <x v="7"/>
  </r>
  <r>
    <n v="2541"/>
    <x v="3"/>
    <s v="ARTAŞ"/>
    <d v="2025-08-15T00:00:00"/>
    <s v="AAAA"/>
    <n v="1"/>
    <s v="HSA-2"/>
    <s v="JINKOSOLAR"/>
    <m/>
    <n v="1900"/>
    <n v="1"/>
    <n v="45884"/>
    <x v="17"/>
    <x v="2"/>
    <x v="1"/>
    <x v="7"/>
  </r>
  <r>
    <n v="2541"/>
    <x v="3"/>
    <s v="ARTAŞ"/>
    <d v="2025-08-15T00:00:00"/>
    <s v="AAAA"/>
    <n v="1"/>
    <s v="HSA-2"/>
    <s v="JINKOSOLAR"/>
    <m/>
    <n v="1900"/>
    <n v="1"/>
    <n v="45884"/>
    <x v="17"/>
    <x v="2"/>
    <x v="1"/>
    <x v="7"/>
  </r>
  <r>
    <n v="2541"/>
    <x v="3"/>
    <s v="ARTAŞ"/>
    <d v="2025-08-15T00:00:00"/>
    <s v="AAAA"/>
    <n v="1"/>
    <s v="HSA-2"/>
    <s v="JINKOSOLAR"/>
    <m/>
    <n v="1900"/>
    <n v="1"/>
    <n v="45884"/>
    <x v="17"/>
    <x v="2"/>
    <x v="1"/>
    <x v="7"/>
  </r>
  <r>
    <n v="2541"/>
    <x v="3"/>
    <s v="ARTAŞ"/>
    <d v="2025-08-15T00:00:00"/>
    <s v="AAAA"/>
    <n v="1"/>
    <s v="HSA-2"/>
    <s v="JINKOSOLAR"/>
    <m/>
    <n v="1900"/>
    <n v="1"/>
    <n v="45884"/>
    <x v="17"/>
    <x v="2"/>
    <x v="1"/>
    <x v="7"/>
  </r>
  <r>
    <n v="2541"/>
    <x v="3"/>
    <s v="ARTAŞ"/>
    <d v="2025-08-15T00:00:00"/>
    <s v="AAAA"/>
    <n v="1"/>
    <s v="HSA-2"/>
    <s v="JINKOSOLAR"/>
    <m/>
    <n v="1900"/>
    <n v="1"/>
    <n v="45884"/>
    <x v="17"/>
    <x v="2"/>
    <x v="1"/>
    <x v="7"/>
  </r>
  <r>
    <n v="2541"/>
    <x v="3"/>
    <s v="ARTAŞ"/>
    <d v="2025-08-15T00:00:00"/>
    <s v="AAAA"/>
    <n v="1"/>
    <s v="HSA-2"/>
    <s v="JINKOSOLAR"/>
    <m/>
    <n v="1900"/>
    <n v="1"/>
    <n v="45884"/>
    <x v="17"/>
    <x v="2"/>
    <x v="1"/>
    <x v="7"/>
  </r>
  <r>
    <n v="2541"/>
    <x v="3"/>
    <s v="ARTAŞ"/>
    <d v="2025-08-15T00:00:00"/>
    <s v="AAAA"/>
    <n v="1"/>
    <s v="HSA-2"/>
    <s v="JINKOSOLAR"/>
    <m/>
    <n v="1900"/>
    <n v="1"/>
    <n v="45884"/>
    <x v="17"/>
    <x v="2"/>
    <x v="1"/>
    <x v="7"/>
  </r>
  <r>
    <n v="2541"/>
    <x v="3"/>
    <s v="ARTAŞ"/>
    <d v="2025-08-15T00:00:00"/>
    <s v="AAAA"/>
    <n v="1"/>
    <s v="HSA-2"/>
    <s v="JINKOSOLAR"/>
    <m/>
    <n v="1900"/>
    <n v="1"/>
    <n v="45884"/>
    <x v="17"/>
    <x v="2"/>
    <x v="1"/>
    <x v="7"/>
  </r>
  <r>
    <n v="2541"/>
    <x v="3"/>
    <s v="ARTAŞ"/>
    <d v="2025-08-15T00:00:00"/>
    <s v="AAAA"/>
    <n v="1"/>
    <s v="HSA-2"/>
    <s v="JINKOSOLAR"/>
    <m/>
    <n v="1900"/>
    <n v="1"/>
    <n v="45884"/>
    <x v="17"/>
    <x v="2"/>
    <x v="1"/>
    <x v="7"/>
  </r>
  <r>
    <n v="2541"/>
    <x v="3"/>
    <s v="ARTAŞ"/>
    <d v="2025-08-15T00:00:00"/>
    <s v="AAAA"/>
    <n v="1"/>
    <s v="HSA-2"/>
    <s v="JINKOSOLAR"/>
    <m/>
    <n v="1900"/>
    <n v="1"/>
    <n v="45884"/>
    <x v="17"/>
    <x v="2"/>
    <x v="1"/>
    <x v="7"/>
  </r>
  <r>
    <n v="2541"/>
    <x v="3"/>
    <s v="ARTAŞ"/>
    <d v="2025-08-15T00:00:00"/>
    <s v="AAAA"/>
    <n v="1"/>
    <s v="HSA-2"/>
    <s v="JINKOSOLAR"/>
    <m/>
    <n v="1900"/>
    <n v="1"/>
    <n v="45884"/>
    <x v="17"/>
    <x v="2"/>
    <x v="1"/>
    <x v="7"/>
  </r>
  <r>
    <n v="2541"/>
    <x v="3"/>
    <s v="ARTAŞ"/>
    <d v="2025-08-15T00:00:00"/>
    <s v="AAAA"/>
    <n v="1"/>
    <s v="HSA-2"/>
    <s v="JINKOSOLAR"/>
    <m/>
    <n v="1900"/>
    <n v="1"/>
    <n v="45884"/>
    <x v="17"/>
    <x v="2"/>
    <x v="1"/>
    <x v="7"/>
  </r>
  <r>
    <n v="2541"/>
    <x v="3"/>
    <s v="ARTAŞ"/>
    <d v="2025-08-15T00:00:00"/>
    <s v="AAAA"/>
    <n v="1"/>
    <s v="HSA-2"/>
    <s v="JINKOSOLAR"/>
    <m/>
    <n v="1900"/>
    <n v="1"/>
    <n v="45884"/>
    <x v="17"/>
    <x v="2"/>
    <x v="1"/>
    <x v="7"/>
  </r>
  <r>
    <n v="2541"/>
    <x v="3"/>
    <s v="ARTAŞ"/>
    <d v="2025-08-15T00:00:00"/>
    <s v="AAAA"/>
    <n v="1"/>
    <s v="HSA-2"/>
    <s v="JINKOSOLAR"/>
    <m/>
    <n v="1900"/>
    <n v="1"/>
    <n v="45884"/>
    <x v="17"/>
    <x v="2"/>
    <x v="1"/>
    <x v="7"/>
  </r>
  <r>
    <n v="2541"/>
    <x v="3"/>
    <s v="ARTAŞ"/>
    <d v="2025-08-15T00:00:00"/>
    <s v="AAAA"/>
    <n v="1"/>
    <s v="HSA-2"/>
    <s v="JINKOSOLAR"/>
    <m/>
    <n v="1900"/>
    <n v="1"/>
    <n v="45884"/>
    <x v="17"/>
    <x v="2"/>
    <x v="1"/>
    <x v="7"/>
  </r>
  <r>
    <n v="2541"/>
    <x v="3"/>
    <s v="ARTAŞ"/>
    <d v="2025-08-15T00:00:00"/>
    <s v="AAAA"/>
    <n v="1"/>
    <s v="HSA-2"/>
    <s v="JINKOSOLAR"/>
    <m/>
    <n v="1900"/>
    <n v="1"/>
    <n v="45884"/>
    <x v="17"/>
    <x v="2"/>
    <x v="1"/>
    <x v="7"/>
  </r>
  <r>
    <n v="2541"/>
    <x v="3"/>
    <s v="ARTAŞ"/>
    <d v="2025-08-15T00:00:00"/>
    <s v="AAAA"/>
    <n v="1"/>
    <s v="HSA-2"/>
    <s v="JINKOSOLAR"/>
    <m/>
    <n v="1900"/>
    <n v="1"/>
    <n v="45884"/>
    <x v="17"/>
    <x v="2"/>
    <x v="1"/>
    <x v="7"/>
  </r>
  <r>
    <n v="2541"/>
    <x v="3"/>
    <s v="ARTAŞ"/>
    <d v="2025-08-15T00:00:00"/>
    <s v="AAAA"/>
    <n v="1"/>
    <s v="HSA-2"/>
    <s v="JINKOSOLAR"/>
    <m/>
    <n v="1900"/>
    <n v="1"/>
    <n v="45884"/>
    <x v="17"/>
    <x v="2"/>
    <x v="1"/>
    <x v="7"/>
  </r>
  <r>
    <n v="2541"/>
    <x v="3"/>
    <s v="ARTAŞ"/>
    <d v="2025-08-15T00:00:00"/>
    <s v="AAAA"/>
    <n v="1"/>
    <s v="HSA-2"/>
    <s v="JINKOSOLAR"/>
    <m/>
    <n v="1900"/>
    <n v="1"/>
    <n v="45884"/>
    <x v="17"/>
    <x v="2"/>
    <x v="1"/>
    <x v="7"/>
  </r>
  <r>
    <n v="2541"/>
    <x v="3"/>
    <s v="ARTAŞ"/>
    <d v="2025-08-15T00:00:00"/>
    <s v="AAAA"/>
    <n v="1"/>
    <s v="HSA-2"/>
    <s v="JINKOSOLAR"/>
    <m/>
    <n v="1900"/>
    <n v="1"/>
    <n v="45884"/>
    <x v="17"/>
    <x v="2"/>
    <x v="1"/>
    <x v="7"/>
  </r>
  <r>
    <n v="2541"/>
    <x v="3"/>
    <s v="ARTAŞ"/>
    <d v="2025-08-15T00:00:00"/>
    <s v="AAAA"/>
    <n v="1"/>
    <s v="HSA-2"/>
    <s v="JINKOSOLAR"/>
    <m/>
    <n v="1900"/>
    <n v="1"/>
    <n v="45884"/>
    <x v="17"/>
    <x v="2"/>
    <x v="1"/>
    <x v="7"/>
  </r>
  <r>
    <n v="2541"/>
    <x v="3"/>
    <s v="ARTAŞ"/>
    <d v="2025-08-15T00:00:00"/>
    <s v="AAAA"/>
    <n v="1"/>
    <s v="HSA-2"/>
    <s v="JINKOSOLAR"/>
    <m/>
    <n v="1900"/>
    <n v="1"/>
    <n v="45884"/>
    <x v="17"/>
    <x v="2"/>
    <x v="1"/>
    <x v="7"/>
  </r>
  <r>
    <n v="2541"/>
    <x v="3"/>
    <s v="ARTAŞ"/>
    <d v="2025-08-15T00:00:00"/>
    <s v="AAAA"/>
    <n v="1"/>
    <s v="HSA-2"/>
    <s v="JINKOSOLAR"/>
    <m/>
    <n v="1900"/>
    <n v="1"/>
    <n v="45884"/>
    <x v="17"/>
    <x v="2"/>
    <x v="1"/>
    <x v="7"/>
  </r>
  <r>
    <n v="2541"/>
    <x v="3"/>
    <s v="ARTAŞ"/>
    <d v="2025-08-15T00:00:00"/>
    <s v="AAAA"/>
    <n v="1"/>
    <s v="HSA-2"/>
    <s v="JINKOSOLAR"/>
    <m/>
    <n v="1900"/>
    <n v="1"/>
    <n v="45884"/>
    <x v="17"/>
    <x v="2"/>
    <x v="1"/>
    <x v="7"/>
  </r>
  <r>
    <n v="2541"/>
    <x v="3"/>
    <s v="ARTAŞ"/>
    <d v="2025-08-15T00:00:00"/>
    <s v="AAAA"/>
    <n v="1"/>
    <s v="HSA-2"/>
    <s v="JINKOSOLAR"/>
    <m/>
    <n v="1900"/>
    <n v="1"/>
    <n v="45884"/>
    <x v="17"/>
    <x v="2"/>
    <x v="1"/>
    <x v="7"/>
  </r>
  <r>
    <n v="2541"/>
    <x v="3"/>
    <s v="ARTAŞ"/>
    <d v="2025-08-15T00:00:00"/>
    <s v="AAAA"/>
    <n v="1"/>
    <s v="HSA-2"/>
    <s v="JINKOSOLAR"/>
    <m/>
    <n v="1900"/>
    <n v="1"/>
    <n v="45884"/>
    <x v="17"/>
    <x v="2"/>
    <x v="1"/>
    <x v="7"/>
  </r>
  <r>
    <n v="2541"/>
    <x v="3"/>
    <s v="ARTAŞ"/>
    <d v="2025-08-15T00:00:00"/>
    <s v="AAAA"/>
    <n v="1"/>
    <s v="HSA-2"/>
    <s v="JINKOSOLAR"/>
    <m/>
    <n v="1900"/>
    <n v="1"/>
    <n v="45884"/>
    <x v="17"/>
    <x v="2"/>
    <x v="1"/>
    <x v="7"/>
  </r>
  <r>
    <n v="2541"/>
    <x v="3"/>
    <s v="ARTAŞ"/>
    <d v="2025-08-15T00:00:00"/>
    <s v="AAAA"/>
    <n v="1"/>
    <s v="HSA-2"/>
    <s v="JINKOSOLAR"/>
    <m/>
    <n v="1900"/>
    <n v="1"/>
    <n v="45884"/>
    <x v="17"/>
    <x v="2"/>
    <x v="1"/>
    <x v="7"/>
  </r>
  <r>
    <n v="2541"/>
    <x v="3"/>
    <s v="ARTAŞ"/>
    <d v="2025-08-15T00:00:00"/>
    <s v="AAAA"/>
    <n v="1"/>
    <s v="HSA-2"/>
    <s v="JINKOSOLAR"/>
    <m/>
    <n v="1900"/>
    <n v="1"/>
    <n v="45884"/>
    <x v="17"/>
    <x v="2"/>
    <x v="1"/>
    <x v="7"/>
  </r>
  <r>
    <n v="2541"/>
    <x v="3"/>
    <s v="ARTAŞ"/>
    <d v="2025-08-15T00:00:00"/>
    <s v="AAAA"/>
    <n v="1"/>
    <s v="HSA-2"/>
    <s v="JINKOSOLAR"/>
    <m/>
    <n v="1900"/>
    <n v="1"/>
    <n v="45884"/>
    <x v="17"/>
    <x v="2"/>
    <x v="1"/>
    <x v="7"/>
  </r>
  <r>
    <n v="2541"/>
    <x v="3"/>
    <s v="ARTAŞ"/>
    <d v="2025-08-15T00:00:00"/>
    <s v="AAAA"/>
    <n v="1"/>
    <s v="HSA-2"/>
    <s v="JINKOSOLAR"/>
    <m/>
    <n v="1900"/>
    <n v="1"/>
    <n v="45884"/>
    <x v="17"/>
    <x v="2"/>
    <x v="1"/>
    <x v="7"/>
  </r>
  <r>
    <n v="2541"/>
    <x v="3"/>
    <s v="ARTAŞ"/>
    <d v="2025-08-15T00:00:00"/>
    <s v="AAAA"/>
    <n v="1"/>
    <s v="HSA-2"/>
    <s v="JINKOSOLAR"/>
    <m/>
    <n v="1900"/>
    <n v="1"/>
    <n v="45884"/>
    <x v="17"/>
    <x v="2"/>
    <x v="1"/>
    <x v="7"/>
  </r>
  <r>
    <n v="2541"/>
    <x v="3"/>
    <s v="ARTAŞ"/>
    <d v="2025-08-15T00:00:00"/>
    <s v="AAAA"/>
    <n v="1"/>
    <s v="HSA-2"/>
    <s v="JINKOSOLAR"/>
    <m/>
    <n v="1900"/>
    <n v="1"/>
    <n v="45884"/>
    <x v="17"/>
    <x v="2"/>
    <x v="1"/>
    <x v="7"/>
  </r>
  <r>
    <n v="2541"/>
    <x v="3"/>
    <s v="ARTAŞ"/>
    <d v="2025-08-15T00:00:00"/>
    <s v="AAAA"/>
    <n v="1"/>
    <s v="HSA-2"/>
    <s v="JINKOSOLAR"/>
    <m/>
    <n v="1900"/>
    <n v="1"/>
    <n v="45884"/>
    <x v="17"/>
    <x v="2"/>
    <x v="1"/>
    <x v="7"/>
  </r>
  <r>
    <n v="2541"/>
    <x v="3"/>
    <s v="ARTAŞ"/>
    <d v="2025-08-15T00:00:00"/>
    <s v="AAAA"/>
    <n v="1"/>
    <s v="HSA-2"/>
    <s v="JINKOSOLAR"/>
    <m/>
    <n v="1900"/>
    <n v="1"/>
    <n v="45884"/>
    <x v="17"/>
    <x v="2"/>
    <x v="1"/>
    <x v="7"/>
  </r>
  <r>
    <n v="2541"/>
    <x v="3"/>
    <s v="ARTAŞ"/>
    <d v="2025-08-15T00:00:00"/>
    <s v="AAAA"/>
    <n v="1"/>
    <s v="HSA-2"/>
    <s v="JINKOSOLAR"/>
    <m/>
    <n v="1900"/>
    <n v="1"/>
    <n v="45884"/>
    <x v="17"/>
    <x v="2"/>
    <x v="1"/>
    <x v="7"/>
  </r>
  <r>
    <n v="2541"/>
    <x v="3"/>
    <s v="ARTAŞ"/>
    <d v="2025-08-15T00:00:00"/>
    <s v="AAAA"/>
    <n v="1"/>
    <s v="HSA-2"/>
    <s v="JINKOSOLAR"/>
    <m/>
    <n v="1900"/>
    <n v="1"/>
    <n v="45884"/>
    <x v="17"/>
    <x v="2"/>
    <x v="1"/>
    <x v="7"/>
  </r>
  <r>
    <n v="2541"/>
    <x v="3"/>
    <s v="ARTAŞ"/>
    <d v="2025-08-15T00:00:00"/>
    <s v="AAAA"/>
    <n v="1"/>
    <s v="HSA-2"/>
    <s v="JINKOSOLAR"/>
    <m/>
    <n v="1900"/>
    <n v="1"/>
    <n v="45884"/>
    <x v="17"/>
    <x v="2"/>
    <x v="1"/>
    <x v="7"/>
  </r>
  <r>
    <n v="2541"/>
    <x v="3"/>
    <s v="ARTAŞ"/>
    <d v="2025-08-15T00:00:00"/>
    <s v="AAAA"/>
    <n v="1"/>
    <s v="HSA-2"/>
    <s v="JINKOSOLAR"/>
    <m/>
    <n v="1900"/>
    <n v="1"/>
    <n v="45884"/>
    <x v="17"/>
    <x v="2"/>
    <x v="1"/>
    <x v="7"/>
  </r>
  <r>
    <n v="2541"/>
    <x v="3"/>
    <s v="ARTAŞ"/>
    <d v="2025-08-15T00:00:00"/>
    <s v="AAAA"/>
    <n v="1"/>
    <s v="HSA-2"/>
    <s v="JINKOSOLAR"/>
    <m/>
    <n v="1900"/>
    <n v="1"/>
    <n v="45884"/>
    <x v="17"/>
    <x v="2"/>
    <x v="1"/>
    <x v="7"/>
  </r>
  <r>
    <n v="2541"/>
    <x v="3"/>
    <s v="ARTAŞ"/>
    <d v="2025-08-15T00:00:00"/>
    <s v="AAAA"/>
    <n v="1"/>
    <s v="HSA-2"/>
    <s v="JINKOSOLAR"/>
    <m/>
    <n v="1900"/>
    <n v="1"/>
    <n v="45884"/>
    <x v="17"/>
    <x v="2"/>
    <x v="1"/>
    <x v="7"/>
  </r>
  <r>
    <n v="2541"/>
    <x v="3"/>
    <s v="ARTAŞ"/>
    <d v="2025-08-15T00:00:00"/>
    <s v="AAAA"/>
    <n v="1"/>
    <s v="HSA-2"/>
    <s v="JINKOSOLAR"/>
    <m/>
    <n v="1900"/>
    <n v="1"/>
    <n v="45884"/>
    <x v="17"/>
    <x v="2"/>
    <x v="1"/>
    <x v="7"/>
  </r>
  <r>
    <n v="2541"/>
    <x v="3"/>
    <s v="ARTAŞ"/>
    <d v="2025-08-15T00:00:00"/>
    <s v="AAAA"/>
    <n v="1"/>
    <s v="HSA-2"/>
    <s v="JINKOSOLAR"/>
    <m/>
    <n v="1900"/>
    <n v="1"/>
    <n v="45884"/>
    <x v="17"/>
    <x v="2"/>
    <x v="1"/>
    <x v="7"/>
  </r>
  <r>
    <n v="2541"/>
    <x v="3"/>
    <s v="ARTAŞ"/>
    <d v="2025-08-15T00:00:00"/>
    <s v="AAAA"/>
    <n v="1"/>
    <s v="HSA-2"/>
    <s v="JINKOSOLAR"/>
    <m/>
    <n v="1900"/>
    <n v="1"/>
    <n v="45884"/>
    <x v="17"/>
    <x v="2"/>
    <x v="1"/>
    <x v="7"/>
  </r>
  <r>
    <n v="2541"/>
    <x v="3"/>
    <s v="ARTAŞ"/>
    <d v="2025-08-15T00:00:00"/>
    <s v="AAAA"/>
    <n v="1"/>
    <s v="HSA-2"/>
    <s v="JINKOSOLAR"/>
    <m/>
    <n v="1900"/>
    <n v="1"/>
    <n v="45884"/>
    <x v="17"/>
    <x v="2"/>
    <x v="1"/>
    <x v="7"/>
  </r>
  <r>
    <n v="2541"/>
    <x v="3"/>
    <s v="ARTAŞ"/>
    <d v="2025-08-15T00:00:00"/>
    <s v="AAAA"/>
    <n v="1"/>
    <s v="HSA-2"/>
    <s v="JINKOSOLAR"/>
    <m/>
    <n v="1900"/>
    <n v="1"/>
    <n v="45884"/>
    <x v="17"/>
    <x v="2"/>
    <x v="1"/>
    <x v="7"/>
  </r>
  <r>
    <n v="2541"/>
    <x v="3"/>
    <s v="ARTAŞ"/>
    <d v="2025-08-15T00:00:00"/>
    <s v="AAAA"/>
    <n v="1"/>
    <s v="HSA-2"/>
    <s v="JINKOSOLAR"/>
    <m/>
    <n v="1900"/>
    <n v="1"/>
    <n v="45884"/>
    <x v="17"/>
    <x v="2"/>
    <x v="1"/>
    <x v="7"/>
  </r>
  <r>
    <n v="2541"/>
    <x v="3"/>
    <s v="ARTAŞ"/>
    <d v="2025-08-15T00:00:00"/>
    <s v="AAAA"/>
    <n v="1"/>
    <s v="HSA-2"/>
    <s v="JINKOSOLAR"/>
    <m/>
    <n v="1900"/>
    <n v="1"/>
    <n v="45884"/>
    <x v="17"/>
    <x v="2"/>
    <x v="1"/>
    <x v="7"/>
  </r>
  <r>
    <n v="2541"/>
    <x v="3"/>
    <s v="ARTAŞ"/>
    <d v="2025-08-15T00:00:00"/>
    <s v="AAAA"/>
    <n v="1"/>
    <s v="HSA-2"/>
    <s v="JINKOSOLAR"/>
    <m/>
    <n v="1900"/>
    <n v="1"/>
    <n v="45884"/>
    <x v="17"/>
    <x v="2"/>
    <x v="1"/>
    <x v="7"/>
  </r>
  <r>
    <n v="2541"/>
    <x v="3"/>
    <s v="ARTAŞ"/>
    <d v="2025-08-15T00:00:00"/>
    <s v="AAAA"/>
    <n v="1"/>
    <s v="HSA-2"/>
    <s v="JINKOSOLAR"/>
    <m/>
    <n v="1900"/>
    <n v="1"/>
    <n v="45884"/>
    <x v="17"/>
    <x v="2"/>
    <x v="1"/>
    <x v="7"/>
  </r>
  <r>
    <n v="2541"/>
    <x v="3"/>
    <s v="ARTAŞ"/>
    <d v="2025-08-15T00:00:00"/>
    <s v="AAAA"/>
    <n v="1"/>
    <s v="HSA-2"/>
    <s v="JINKOSOLAR"/>
    <m/>
    <n v="1900"/>
    <n v="1"/>
    <n v="45884"/>
    <x v="17"/>
    <x v="2"/>
    <x v="1"/>
    <x v="7"/>
  </r>
  <r>
    <n v="2541"/>
    <x v="3"/>
    <s v="ARTAŞ"/>
    <d v="2025-08-15T00:00:00"/>
    <s v="AAAA"/>
    <n v="1"/>
    <s v="HSA-2"/>
    <s v="JINKOSOLAR"/>
    <m/>
    <n v="1900"/>
    <n v="1"/>
    <n v="45884"/>
    <x v="17"/>
    <x v="2"/>
    <x v="1"/>
    <x v="7"/>
  </r>
  <r>
    <n v="2541"/>
    <x v="3"/>
    <s v="ARTAŞ"/>
    <d v="2025-08-15T00:00:00"/>
    <s v="AAAA"/>
    <n v="1"/>
    <s v="HSA-2"/>
    <s v="JINKOSOLAR"/>
    <m/>
    <n v="1900"/>
    <n v="1"/>
    <n v="45884"/>
    <x v="17"/>
    <x v="2"/>
    <x v="1"/>
    <x v="7"/>
  </r>
  <r>
    <n v="2541"/>
    <x v="3"/>
    <s v="ARTAŞ"/>
    <d v="2025-08-15T00:00:00"/>
    <s v="AAAA"/>
    <n v="1"/>
    <s v="HSA-2"/>
    <s v="JINKOSOLAR"/>
    <m/>
    <n v="1900"/>
    <n v="1"/>
    <n v="45884"/>
    <x v="17"/>
    <x v="2"/>
    <x v="1"/>
    <x v="7"/>
  </r>
  <r>
    <n v="2541"/>
    <x v="3"/>
    <s v="ARTAŞ"/>
    <d v="2025-08-15T00:00:00"/>
    <s v="AAAA"/>
    <n v="1"/>
    <s v="HSA-2"/>
    <s v="JINKOSOLAR"/>
    <m/>
    <n v="1900"/>
    <n v="1"/>
    <n v="45884"/>
    <x v="17"/>
    <x v="2"/>
    <x v="1"/>
    <x v="7"/>
  </r>
  <r>
    <n v="2541"/>
    <x v="3"/>
    <s v="ARTAŞ"/>
    <d v="2025-08-15T00:00:00"/>
    <s v="AAAA"/>
    <n v="1"/>
    <s v="HSA-2"/>
    <s v="JINKOSOLAR"/>
    <m/>
    <n v="1900"/>
    <n v="1"/>
    <n v="45884"/>
    <x v="17"/>
    <x v="2"/>
    <x v="1"/>
    <x v="7"/>
  </r>
  <r>
    <n v="2541"/>
    <x v="3"/>
    <s v="ARTAŞ"/>
    <d v="2025-08-15T00:00:00"/>
    <s v="AAAA"/>
    <n v="1"/>
    <s v="HSA-2"/>
    <s v="JINKOSOLAR"/>
    <m/>
    <n v="1900"/>
    <n v="1"/>
    <n v="45884"/>
    <x v="17"/>
    <x v="2"/>
    <x v="1"/>
    <x v="7"/>
  </r>
  <r>
    <n v="2541"/>
    <x v="3"/>
    <s v="ARTAŞ"/>
    <d v="2025-08-15T00:00:00"/>
    <s v="AAAA"/>
    <n v="1"/>
    <s v="HSA-2"/>
    <s v="JINKOSOLAR"/>
    <m/>
    <n v="1900"/>
    <n v="1"/>
    <n v="45884"/>
    <x v="17"/>
    <x v="2"/>
    <x v="1"/>
    <x v="7"/>
  </r>
  <r>
    <n v="2541"/>
    <x v="3"/>
    <s v="ARTAŞ"/>
    <d v="2025-08-15T00:00:00"/>
    <s v="AAAA"/>
    <n v="1"/>
    <s v="HSA-2"/>
    <s v="JINKOSOLAR"/>
    <m/>
    <n v="1900"/>
    <n v="1"/>
    <n v="45884"/>
    <x v="17"/>
    <x v="2"/>
    <x v="1"/>
    <x v="7"/>
  </r>
  <r>
    <n v="2541"/>
    <x v="3"/>
    <s v="ARTAŞ"/>
    <d v="2025-08-15T00:00:00"/>
    <s v="AAAA"/>
    <n v="1"/>
    <s v="HSA-2"/>
    <s v="JINKOSOLAR"/>
    <m/>
    <n v="1900"/>
    <n v="1"/>
    <n v="45884"/>
    <x v="17"/>
    <x v="2"/>
    <x v="1"/>
    <x v="7"/>
  </r>
  <r>
    <n v="2541"/>
    <x v="3"/>
    <s v="ARTAŞ"/>
    <d v="2025-08-15T00:00:00"/>
    <s v="AAAA"/>
    <n v="1"/>
    <s v="HSA-2"/>
    <s v="JINKOSOLAR"/>
    <m/>
    <n v="1900"/>
    <n v="1"/>
    <n v="45884"/>
    <x v="17"/>
    <x v="2"/>
    <x v="1"/>
    <x v="7"/>
  </r>
  <r>
    <n v="2541"/>
    <x v="3"/>
    <s v="ARTAŞ"/>
    <d v="2025-08-15T00:00:00"/>
    <s v="AAAA"/>
    <n v="1"/>
    <s v="HSA-2"/>
    <s v="JINKOSOLAR"/>
    <m/>
    <n v="1900"/>
    <n v="1"/>
    <n v="45884"/>
    <x v="17"/>
    <x v="2"/>
    <x v="1"/>
    <x v="7"/>
  </r>
  <r>
    <n v="2541"/>
    <x v="3"/>
    <s v="ARTAŞ"/>
    <d v="2025-08-15T00:00:00"/>
    <s v="AAAA"/>
    <n v="1"/>
    <s v="HSA-2"/>
    <s v="JINKOSOLAR"/>
    <m/>
    <n v="1900"/>
    <n v="1"/>
    <n v="45884"/>
    <x v="17"/>
    <x v="2"/>
    <x v="1"/>
    <x v="7"/>
  </r>
  <r>
    <n v="2541"/>
    <x v="3"/>
    <s v="ARTAŞ"/>
    <d v="2025-08-15T00:00:00"/>
    <s v="AAAA"/>
    <n v="1"/>
    <s v="HSA-2"/>
    <s v="JINKOSOLAR"/>
    <m/>
    <n v="1900"/>
    <n v="1"/>
    <n v="45884"/>
    <x v="17"/>
    <x v="2"/>
    <x v="1"/>
    <x v="7"/>
  </r>
  <r>
    <n v="2541"/>
    <x v="3"/>
    <s v="ARTAŞ"/>
    <d v="2025-08-15T00:00:00"/>
    <s v="AAAA"/>
    <n v="1"/>
    <s v="HSA-2"/>
    <s v="JINKOSOLAR"/>
    <m/>
    <n v="1900"/>
    <n v="1"/>
    <n v="45884"/>
    <x v="17"/>
    <x v="2"/>
    <x v="1"/>
    <x v="7"/>
  </r>
  <r>
    <n v="2541"/>
    <x v="3"/>
    <s v="ARTAŞ"/>
    <d v="2025-08-15T00:00:00"/>
    <s v="AAAA"/>
    <n v="1"/>
    <s v="HSA-2"/>
    <s v="JINKOSOLAR"/>
    <m/>
    <n v="1900"/>
    <n v="1"/>
    <n v="45884"/>
    <x v="17"/>
    <x v="2"/>
    <x v="1"/>
    <x v="7"/>
  </r>
  <r>
    <n v="2541"/>
    <x v="3"/>
    <s v="ARTAŞ"/>
    <d v="2025-08-15T00:00:00"/>
    <s v="AAAA"/>
    <n v="1"/>
    <s v="HSA-2"/>
    <s v="JINKOSOLAR"/>
    <m/>
    <n v="1900"/>
    <n v="1"/>
    <n v="45884"/>
    <x v="17"/>
    <x v="2"/>
    <x v="1"/>
    <x v="7"/>
  </r>
  <r>
    <n v="2541"/>
    <x v="3"/>
    <s v="ARTAŞ"/>
    <d v="2025-08-15T00:00:00"/>
    <s v="AAAA"/>
    <n v="1"/>
    <s v="HSA-2"/>
    <s v="JINKOSOLAR"/>
    <m/>
    <n v="1900"/>
    <n v="1"/>
    <n v="45884"/>
    <x v="17"/>
    <x v="2"/>
    <x v="1"/>
    <x v="7"/>
  </r>
  <r>
    <n v="2541"/>
    <x v="3"/>
    <s v="ARTAŞ"/>
    <d v="2025-08-15T00:00:00"/>
    <s v="AAAA"/>
    <n v="1"/>
    <s v="HSA-2"/>
    <s v="JINKOSOLAR"/>
    <m/>
    <n v="1900"/>
    <n v="1"/>
    <n v="45884"/>
    <x v="17"/>
    <x v="2"/>
    <x v="1"/>
    <x v="7"/>
  </r>
  <r>
    <n v="2541"/>
    <x v="3"/>
    <s v="ARTAŞ"/>
    <d v="2025-08-15T00:00:00"/>
    <s v="AAAA"/>
    <n v="1"/>
    <s v="HSA-2"/>
    <s v="JINKOSOLAR"/>
    <m/>
    <n v="1900"/>
    <n v="1"/>
    <n v="45884"/>
    <x v="17"/>
    <x v="2"/>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2"/>
    <x v="21"/>
    <s v="TEKSAN"/>
    <d v="2025-08-28T00:00:00"/>
    <s v="AAAA"/>
    <n v="1"/>
    <s v="HSA-1"/>
    <s v="SUNPWT"/>
    <m/>
    <n v="1900"/>
    <n v="1"/>
    <n v="45897"/>
    <x v="6"/>
    <x v="1"/>
    <x v="1"/>
    <x v="7"/>
  </r>
  <r>
    <n v="2543"/>
    <x v="22"/>
    <s v="YAPINET"/>
    <d v="2025-09-05T00:00:00"/>
    <s v="AAAA"/>
    <n v="1"/>
    <s v="HSA-2"/>
    <s v="MAVİÇAM"/>
    <m/>
    <n v="1900"/>
    <n v="1"/>
    <n v="45905"/>
    <x v="1"/>
    <x v="0"/>
    <x v="1"/>
    <x v="8"/>
  </r>
  <r>
    <n v="2543"/>
    <x v="22"/>
    <s v="YAPINET"/>
    <d v="2025-09-05T00:00:00"/>
    <s v="AAAA"/>
    <n v="1"/>
    <s v="HSA-2"/>
    <s v="MAVİÇAM"/>
    <m/>
    <n v="1900"/>
    <n v="1"/>
    <n v="45905"/>
    <x v="1"/>
    <x v="0"/>
    <x v="1"/>
    <x v="8"/>
  </r>
  <r>
    <n v="2543"/>
    <x v="22"/>
    <s v="YAPINET"/>
    <d v="2025-09-05T00:00:00"/>
    <s v="AAAA"/>
    <n v="1"/>
    <s v="HSA-2"/>
    <s v="MAVİÇAM"/>
    <m/>
    <n v="1900"/>
    <n v="1"/>
    <n v="45905"/>
    <x v="1"/>
    <x v="0"/>
    <x v="1"/>
    <x v="8"/>
  </r>
  <r>
    <n v="2543"/>
    <x v="22"/>
    <s v="YAPINET"/>
    <d v="2025-09-05T00:00:00"/>
    <s v="AAAA"/>
    <n v="1"/>
    <s v="HSA-2"/>
    <s v="MAVİÇAM"/>
    <m/>
    <n v="1900"/>
    <n v="1"/>
    <n v="45905"/>
    <x v="1"/>
    <x v="0"/>
    <x v="1"/>
    <x v="8"/>
  </r>
  <r>
    <n v="2543"/>
    <x v="22"/>
    <s v="YAPINET"/>
    <d v="2025-09-05T00:00:00"/>
    <s v="AAAA"/>
    <n v="1"/>
    <s v="HSA-2"/>
    <s v="MAVİÇAM"/>
    <m/>
    <n v="1900"/>
    <n v="1"/>
    <n v="45905"/>
    <x v="1"/>
    <x v="0"/>
    <x v="1"/>
    <x v="8"/>
  </r>
  <r>
    <n v="2543"/>
    <x v="22"/>
    <s v="YAPINET"/>
    <d v="2025-09-05T00:00:00"/>
    <s v="AAAA"/>
    <n v="1"/>
    <s v="HSA-2"/>
    <s v="MAVİÇAM"/>
    <m/>
    <n v="1900"/>
    <n v="1"/>
    <n v="45905"/>
    <x v="1"/>
    <x v="0"/>
    <x v="1"/>
    <x v="8"/>
  </r>
  <r>
    <n v="2544"/>
    <x v="0"/>
    <s v="AKGÜÇ"/>
    <d v="2025-09-03T00:00:00"/>
    <s v="2510107BW0013694"/>
    <n v="1"/>
    <s v="HSA-2"/>
    <m/>
    <m/>
    <n v="1900"/>
    <n v="1"/>
    <n v="45903"/>
    <x v="1"/>
    <x v="0"/>
    <x v="1"/>
    <x v="8"/>
  </r>
  <r>
    <n v="2544"/>
    <x v="0"/>
    <s v="AKGÜÇ"/>
    <d v="2025-09-03T00:00:00"/>
    <s v="2490107BW0015777"/>
    <n v="1"/>
    <s v="HSA-2"/>
    <m/>
    <m/>
    <n v="1900"/>
    <n v="1"/>
    <n v="45903"/>
    <x v="1"/>
    <x v="0"/>
    <x v="1"/>
    <x v="8"/>
  </r>
  <r>
    <n v="2544"/>
    <x v="0"/>
    <s v="AKGÜÇ"/>
    <d v="2025-09-03T00:00:00"/>
    <s v="2510107BW0016431"/>
    <n v="1"/>
    <s v="HSA-2"/>
    <m/>
    <m/>
    <n v="1900"/>
    <n v="1"/>
    <n v="45903"/>
    <x v="1"/>
    <x v="0"/>
    <x v="1"/>
    <x v="8"/>
  </r>
  <r>
    <n v="2544"/>
    <x v="0"/>
    <s v="AKGÜÇ"/>
    <d v="2025-09-03T00:00:00"/>
    <s v="2510107BW0016474"/>
    <n v="1"/>
    <s v="HSA-2"/>
    <m/>
    <m/>
    <n v="1900"/>
    <n v="1"/>
    <n v="45903"/>
    <x v="1"/>
    <x v="0"/>
    <x v="1"/>
    <x v="8"/>
  </r>
  <r>
    <n v="2544"/>
    <x v="0"/>
    <s v="AKGÜÇ"/>
    <d v="2025-09-03T00:00:00"/>
    <s v="2480107BW0016818"/>
    <n v="1"/>
    <s v="HSA-2"/>
    <m/>
    <m/>
    <n v="1900"/>
    <n v="1"/>
    <n v="45903"/>
    <x v="1"/>
    <x v="0"/>
    <x v="1"/>
    <x v="8"/>
  </r>
  <r>
    <n v="2544"/>
    <x v="0"/>
    <s v="AKGÜÇ"/>
    <d v="2025-09-03T00:00:00"/>
    <s v="2480107BW0033756"/>
    <n v="1"/>
    <s v="HSA-2"/>
    <m/>
    <m/>
    <n v="1900"/>
    <n v="1"/>
    <n v="45903"/>
    <x v="1"/>
    <x v="0"/>
    <x v="1"/>
    <x v="8"/>
  </r>
  <r>
    <n v="2544"/>
    <x v="0"/>
    <s v="AKGÜÇ"/>
    <d v="2025-09-03T00:00:00"/>
    <s v="2480107BW0016496"/>
    <n v="1"/>
    <s v="HSA-2"/>
    <m/>
    <m/>
    <n v="1900"/>
    <n v="1"/>
    <n v="45903"/>
    <x v="1"/>
    <x v="0"/>
    <x v="1"/>
    <x v="8"/>
  </r>
  <r>
    <n v="2544"/>
    <x v="0"/>
    <s v="AKGÜÇ"/>
    <d v="2025-09-03T00:00:00"/>
    <s v="2480107BW0016226"/>
    <n v="1"/>
    <s v="HSA-2"/>
    <m/>
    <m/>
    <n v="1900"/>
    <n v="1"/>
    <n v="45903"/>
    <x v="1"/>
    <x v="0"/>
    <x v="1"/>
    <x v="8"/>
  </r>
  <r>
    <n v="2544"/>
    <x v="0"/>
    <s v="AKGÜÇ"/>
    <d v="2025-09-03T00:00:00"/>
    <s v="2480107BW0017498"/>
    <n v="1"/>
    <s v="HSA-2"/>
    <m/>
    <m/>
    <n v="1900"/>
    <n v="1"/>
    <n v="45903"/>
    <x v="1"/>
    <x v="0"/>
    <x v="1"/>
    <x v="8"/>
  </r>
  <r>
    <n v="2544"/>
    <x v="0"/>
    <s v="AKGÜÇ"/>
    <d v="2025-09-03T00:00:00"/>
    <s v="2480107BW0015375"/>
    <n v="1"/>
    <s v="HSA-2"/>
    <m/>
    <m/>
    <n v="1900"/>
    <n v="1"/>
    <n v="45903"/>
    <x v="1"/>
    <x v="0"/>
    <x v="1"/>
    <x v="8"/>
  </r>
  <r>
    <n v="2544"/>
    <x v="0"/>
    <s v="AKGÜÇ"/>
    <d v="2025-09-03T00:00:00"/>
    <s v="2490107BW0009062"/>
    <n v="1"/>
    <s v="HSA-2"/>
    <m/>
    <m/>
    <n v="1900"/>
    <n v="1"/>
    <n v="45903"/>
    <x v="1"/>
    <x v="0"/>
    <x v="1"/>
    <x v="8"/>
  </r>
  <r>
    <n v="2544"/>
    <x v="0"/>
    <s v="AKGÜÇ"/>
    <d v="2025-09-03T00:00:00"/>
    <s v="2480107BW0016816"/>
    <n v="1"/>
    <s v="HSA-2"/>
    <m/>
    <m/>
    <n v="1900"/>
    <n v="1"/>
    <n v="45903"/>
    <x v="1"/>
    <x v="0"/>
    <x v="1"/>
    <x v="8"/>
  </r>
  <r>
    <n v="2544"/>
    <x v="0"/>
    <s v="AKGÜÇ"/>
    <d v="2025-09-03T00:00:00"/>
    <s v="2480107BW0016693"/>
    <n v="1"/>
    <s v="HSA-2"/>
    <m/>
    <m/>
    <n v="1900"/>
    <n v="1"/>
    <n v="45903"/>
    <x v="1"/>
    <x v="0"/>
    <x v="1"/>
    <x v="8"/>
  </r>
  <r>
    <n v="2544"/>
    <x v="0"/>
    <s v="AKGÜÇ"/>
    <d v="2025-09-03T00:00:00"/>
    <s v="2480108BW0006190"/>
    <n v="1"/>
    <s v="HSA-2"/>
    <m/>
    <m/>
    <n v="1900"/>
    <n v="1"/>
    <n v="45903"/>
    <x v="1"/>
    <x v="0"/>
    <x v="1"/>
    <x v="8"/>
  </r>
  <r>
    <n v="2544"/>
    <x v="0"/>
    <s v="AKGÜÇ"/>
    <d v="2025-09-03T00:00:00"/>
    <s v="24C0107BW0006497"/>
    <n v="1"/>
    <s v="HSA-2"/>
    <m/>
    <m/>
    <n v="1900"/>
    <n v="1"/>
    <n v="45903"/>
    <x v="1"/>
    <x v="0"/>
    <x v="1"/>
    <x v="8"/>
  </r>
  <r>
    <n v="2544"/>
    <x v="0"/>
    <s v="AKGÜÇ"/>
    <d v="2025-09-03T00:00:00"/>
    <s v="2480107BW0032822"/>
    <n v="1"/>
    <s v="HSA-2"/>
    <m/>
    <m/>
    <n v="1900"/>
    <n v="1"/>
    <n v="45903"/>
    <x v="1"/>
    <x v="0"/>
    <x v="1"/>
    <x v="8"/>
  </r>
  <r>
    <n v="2544"/>
    <x v="0"/>
    <s v="AKGÜÇ"/>
    <d v="2025-09-03T00:00:00"/>
    <s v="24B0107BW0053328"/>
    <n v="1"/>
    <s v="HSA-2"/>
    <m/>
    <m/>
    <n v="1900"/>
    <n v="1"/>
    <n v="45903"/>
    <x v="1"/>
    <x v="0"/>
    <x v="1"/>
    <x v="8"/>
  </r>
  <r>
    <n v="2544"/>
    <x v="0"/>
    <s v="AKGÜÇ"/>
    <d v="2025-09-03T00:00:00"/>
    <s v="2490107BW0009320"/>
    <n v="1"/>
    <s v="HSA-2"/>
    <m/>
    <m/>
    <n v="1900"/>
    <n v="1"/>
    <n v="45903"/>
    <x v="1"/>
    <x v="2"/>
    <x v="1"/>
    <x v="8"/>
  </r>
  <r>
    <n v="2544"/>
    <x v="0"/>
    <s v="AKGÜÇ"/>
    <d v="2025-09-03T00:00:00"/>
    <s v="2490107BW0009304"/>
    <n v="1"/>
    <s v="HSA-2"/>
    <m/>
    <m/>
    <n v="1900"/>
    <n v="1"/>
    <n v="45903"/>
    <x v="1"/>
    <x v="0"/>
    <x v="1"/>
    <x v="8"/>
  </r>
  <r>
    <n v="2544"/>
    <x v="0"/>
    <s v="AKGÜÇ"/>
    <d v="2025-09-03T00:00:00"/>
    <s v="2480107BW0015003"/>
    <n v="1"/>
    <s v="HSA-2"/>
    <m/>
    <m/>
    <n v="1900"/>
    <n v="1"/>
    <n v="45903"/>
    <x v="1"/>
    <x v="0"/>
    <x v="1"/>
    <x v="8"/>
  </r>
  <r>
    <n v="2544"/>
    <x v="0"/>
    <s v="AKGÜÇ"/>
    <d v="2025-09-03T00:00:00"/>
    <s v="24C0107BW0042486"/>
    <n v="1"/>
    <s v="HSA-2"/>
    <m/>
    <m/>
    <n v="1900"/>
    <n v="1"/>
    <n v="45903"/>
    <x v="1"/>
    <x v="0"/>
    <x v="1"/>
    <x v="8"/>
  </r>
  <r>
    <n v="2544"/>
    <x v="0"/>
    <s v="AKGÜÇ"/>
    <d v="2025-09-03T00:00:00"/>
    <s v="2510107BW0016212"/>
    <n v="1"/>
    <s v="HSA-2"/>
    <m/>
    <m/>
    <n v="1900"/>
    <n v="1"/>
    <n v="45903"/>
    <x v="1"/>
    <x v="2"/>
    <x v="1"/>
    <x v="8"/>
  </r>
  <r>
    <n v="2544"/>
    <x v="0"/>
    <s v="AKGÜÇ"/>
    <d v="2025-09-03T00:00:00"/>
    <s v="2510107BW0016232"/>
    <n v="1"/>
    <s v="HSA-2"/>
    <m/>
    <m/>
    <n v="1900"/>
    <n v="1"/>
    <n v="45903"/>
    <x v="1"/>
    <x v="0"/>
    <x v="1"/>
    <x v="8"/>
  </r>
  <r>
    <n v="2544"/>
    <x v="0"/>
    <s v="AKGÜÇ"/>
    <d v="2025-09-03T00:00:00"/>
    <s v="2480107BW0014187"/>
    <n v="1"/>
    <s v="HSA-2"/>
    <m/>
    <m/>
    <n v="1900"/>
    <n v="1"/>
    <n v="45903"/>
    <x v="1"/>
    <x v="0"/>
    <x v="1"/>
    <x v="8"/>
  </r>
  <r>
    <n v="2544"/>
    <x v="0"/>
    <s v="AKGÜÇ"/>
    <d v="2025-09-03T00:00:00"/>
    <s v="2480107BW0015034"/>
    <n v="1"/>
    <s v="HSA-2"/>
    <m/>
    <m/>
    <n v="1900"/>
    <n v="1"/>
    <n v="45903"/>
    <x v="1"/>
    <x v="0"/>
    <x v="1"/>
    <x v="8"/>
  </r>
  <r>
    <n v="2544"/>
    <x v="0"/>
    <s v="AKGÜÇ"/>
    <d v="2025-09-03T00:00:00"/>
    <s v="2480107BW0013837"/>
    <n v="1"/>
    <s v="HSA-2"/>
    <m/>
    <m/>
    <n v="1900"/>
    <n v="1"/>
    <n v="45903"/>
    <x v="1"/>
    <x v="0"/>
    <x v="1"/>
    <x v="8"/>
  </r>
  <r>
    <n v="2544"/>
    <x v="0"/>
    <s v="AKGÜÇ"/>
    <d v="2025-09-03T00:00:00"/>
    <s v="2480107BW0013820"/>
    <n v="1"/>
    <s v="HSA-2"/>
    <m/>
    <m/>
    <n v="1900"/>
    <n v="1"/>
    <n v="45903"/>
    <x v="1"/>
    <x v="0"/>
    <x v="1"/>
    <x v="8"/>
  </r>
  <r>
    <n v="2544"/>
    <x v="0"/>
    <s v="AKGÜÇ"/>
    <d v="2025-09-03T00:00:00"/>
    <s v="2480107BW0014171"/>
    <n v="1"/>
    <s v="HSA-2"/>
    <m/>
    <m/>
    <n v="1900"/>
    <n v="1"/>
    <n v="45903"/>
    <x v="1"/>
    <x v="2"/>
    <x v="1"/>
    <x v="8"/>
  </r>
  <r>
    <n v="2544"/>
    <x v="0"/>
    <s v="AKGÜÇ"/>
    <d v="2025-09-03T00:00:00"/>
    <s v="24A0107BW0008767"/>
    <n v="1"/>
    <s v="HSA-2"/>
    <m/>
    <m/>
    <n v="1900"/>
    <n v="1"/>
    <n v="45903"/>
    <x v="1"/>
    <x v="2"/>
    <x v="1"/>
    <x v="8"/>
  </r>
  <r>
    <n v="2544"/>
    <x v="0"/>
    <s v="AKGÜÇ"/>
    <d v="2025-09-03T00:00:00"/>
    <s v="2510107BW0017024"/>
    <n v="1"/>
    <s v="HSA-2"/>
    <m/>
    <m/>
    <n v="1900"/>
    <n v="1"/>
    <n v="45903"/>
    <x v="1"/>
    <x v="0"/>
    <x v="1"/>
    <x v="8"/>
  </r>
  <r>
    <n v="2544"/>
    <x v="0"/>
    <s v="AKGÜÇ"/>
    <d v="2025-09-03T00:00:00"/>
    <s v="24C0107BW0043764"/>
    <n v="1"/>
    <s v="HSA-2"/>
    <m/>
    <m/>
    <n v="1900"/>
    <n v="1"/>
    <n v="45903"/>
    <x v="1"/>
    <x v="0"/>
    <x v="1"/>
    <x v="8"/>
  </r>
  <r>
    <n v="2544"/>
    <x v="0"/>
    <s v="AKGÜÇ"/>
    <d v="2025-09-03T00:00:00"/>
    <s v="24C0107BW0043095"/>
    <n v="1"/>
    <s v="HSA-2"/>
    <m/>
    <m/>
    <n v="1900"/>
    <n v="1"/>
    <n v="45903"/>
    <x v="1"/>
    <x v="0"/>
    <x v="1"/>
    <x v="8"/>
  </r>
  <r>
    <n v="2544"/>
    <x v="0"/>
    <s v="AKGÜÇ"/>
    <d v="2025-09-03T00:00:00"/>
    <s v="2510107BW0016041"/>
    <n v="1"/>
    <s v="HSA-2"/>
    <m/>
    <m/>
    <n v="1900"/>
    <n v="1"/>
    <n v="45903"/>
    <x v="1"/>
    <x v="0"/>
    <x v="1"/>
    <x v="8"/>
  </r>
  <r>
    <n v="2544"/>
    <x v="0"/>
    <s v="AKGÜÇ"/>
    <d v="2025-09-03T00:00:00"/>
    <s v="2510107BW0016051"/>
    <n v="1"/>
    <s v="HSA-2"/>
    <m/>
    <m/>
    <n v="1900"/>
    <n v="1"/>
    <n v="45903"/>
    <x v="1"/>
    <x v="0"/>
    <x v="1"/>
    <x v="8"/>
  </r>
  <r>
    <n v="2544"/>
    <x v="0"/>
    <s v="AKGÜÇ"/>
    <d v="2025-09-03T00:00:00"/>
    <s v="2510107BW0013538"/>
    <n v="1"/>
    <s v="HSA-2"/>
    <m/>
    <m/>
    <n v="1900"/>
    <n v="1"/>
    <n v="45903"/>
    <x v="1"/>
    <x v="0"/>
    <x v="1"/>
    <x v="8"/>
  </r>
  <r>
    <n v="2544"/>
    <x v="0"/>
    <s v="AKGÜÇ"/>
    <d v="2025-09-03T00:00:00"/>
    <s v="24C0107BW0001178"/>
    <n v="1"/>
    <s v="HSA-2"/>
    <m/>
    <m/>
    <n v="1900"/>
    <n v="1"/>
    <n v="45903"/>
    <x v="1"/>
    <x v="0"/>
    <x v="1"/>
    <x v="8"/>
  </r>
  <r>
    <n v="2544"/>
    <x v="0"/>
    <s v="AKGÜÇ"/>
    <d v="2025-09-03T00:00:00"/>
    <s v="24C0107BW0043808"/>
    <n v="1"/>
    <s v="HSA-2"/>
    <m/>
    <m/>
    <n v="1900"/>
    <n v="1"/>
    <n v="45903"/>
    <x v="1"/>
    <x v="0"/>
    <x v="1"/>
    <x v="8"/>
  </r>
  <r>
    <n v="2544"/>
    <x v="0"/>
    <s v="AKGÜÇ"/>
    <d v="2025-09-03T00:00:00"/>
    <s v="2510107BW0013898"/>
    <n v="1"/>
    <s v="HSA-2"/>
    <m/>
    <m/>
    <n v="1900"/>
    <n v="1"/>
    <n v="45903"/>
    <x v="1"/>
    <x v="0"/>
    <x v="1"/>
    <x v="8"/>
  </r>
  <r>
    <n v="2544"/>
    <x v="0"/>
    <s v="AKGÜÇ"/>
    <d v="2025-09-03T00:00:00"/>
    <s v="2490107BW0039175"/>
    <n v="1"/>
    <s v="HSA-2"/>
    <m/>
    <m/>
    <n v="1900"/>
    <n v="1"/>
    <n v="45903"/>
    <x v="1"/>
    <x v="2"/>
    <x v="1"/>
    <x v="8"/>
  </r>
  <r>
    <n v="2544"/>
    <x v="0"/>
    <s v="AKGÜÇ"/>
    <d v="2025-09-03T00:00:00"/>
    <s v="24C0107BW0044145"/>
    <n v="1"/>
    <s v="HSA-2"/>
    <m/>
    <m/>
    <n v="1900"/>
    <n v="1"/>
    <n v="45903"/>
    <x v="1"/>
    <x v="0"/>
    <x v="1"/>
    <x v="8"/>
  </r>
  <r>
    <n v="2544"/>
    <x v="0"/>
    <s v="AKGÜÇ"/>
    <d v="2025-09-03T00:00:00"/>
    <s v="24C0107BW0043717"/>
    <n v="1"/>
    <s v="HSA-2"/>
    <m/>
    <m/>
    <n v="1900"/>
    <n v="1"/>
    <n v="45903"/>
    <x v="1"/>
    <x v="0"/>
    <x v="1"/>
    <x v="8"/>
  </r>
  <r>
    <n v="2544"/>
    <x v="0"/>
    <s v="AKGÜÇ"/>
    <d v="2025-09-03T00:00:00"/>
    <s v="24A0107BW0009259"/>
    <n v="1"/>
    <s v="HSA-2"/>
    <m/>
    <m/>
    <n v="1900"/>
    <n v="1"/>
    <n v="45903"/>
    <x v="1"/>
    <x v="0"/>
    <x v="1"/>
    <x v="8"/>
  </r>
  <r>
    <n v="2545"/>
    <x v="23"/>
    <s v="GENBA ENERJİ"/>
    <d v="2025-09-12T00:00:00"/>
    <s v="24A0108BX0004556"/>
    <n v="1"/>
    <s v="HSA-2"/>
    <m/>
    <m/>
    <n v="1900"/>
    <n v="1"/>
    <n v="45912"/>
    <x v="18"/>
    <x v="2"/>
    <x v="1"/>
    <x v="8"/>
  </r>
  <r>
    <n v="2545"/>
    <x v="23"/>
    <s v="GENBA ENERJİ"/>
    <d v="2025-09-12T00:00:00"/>
    <s v="24A0108BX0004684"/>
    <n v="1"/>
    <s v="HSA-2"/>
    <m/>
    <m/>
    <n v="1900"/>
    <n v="1"/>
    <n v="45912"/>
    <x v="18"/>
    <x v="2"/>
    <x v="1"/>
    <x v="8"/>
  </r>
  <r>
    <n v="2545"/>
    <x v="23"/>
    <s v="GENBA ENERJİ"/>
    <d v="2025-09-12T00:00:00"/>
    <s v="24A0108BX0004729"/>
    <n v="1"/>
    <s v="HSA-2"/>
    <m/>
    <m/>
    <n v="1900"/>
    <n v="1"/>
    <n v="45912"/>
    <x v="18"/>
    <x v="2"/>
    <x v="1"/>
    <x v="8"/>
  </r>
  <r>
    <n v="2545"/>
    <x v="23"/>
    <s v="GENBA ENERJİ"/>
    <d v="2025-09-12T00:00:00"/>
    <s v="24A0108BX0004661"/>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5"/>
    <x v="23"/>
    <s v="GENBA ENERJİ"/>
    <d v="2025-09-12T00:00:00"/>
    <s v="AAAA"/>
    <n v="1"/>
    <s v="HSA-2"/>
    <m/>
    <m/>
    <n v="1900"/>
    <n v="1"/>
    <n v="45912"/>
    <x v="18"/>
    <x v="2"/>
    <x v="1"/>
    <x v="8"/>
  </r>
  <r>
    <n v="2546"/>
    <x v="24"/>
    <s v=" ORIENT MÜHENDİSLİK"/>
    <d v="2025-09-06T00:00:00"/>
    <s v="2470108BX0034141"/>
    <n v="1"/>
    <s v="HSA-2"/>
    <m/>
    <m/>
    <n v="1900"/>
    <n v="1"/>
    <n v="45906"/>
    <x v="2"/>
    <x v="2"/>
    <x v="1"/>
    <x v="8"/>
  </r>
  <r>
    <n v="2546"/>
    <x v="24"/>
    <s v=" ORIENT MÜHENDİSLİK"/>
    <d v="2025-09-06T00:00:00"/>
    <s v="2480108BX0000088"/>
    <n v="1"/>
    <s v="HSA-2"/>
    <m/>
    <m/>
    <n v="1900"/>
    <n v="1"/>
    <n v="45906"/>
    <x v="2"/>
    <x v="1"/>
    <x v="0"/>
    <x v="8"/>
  </r>
  <r>
    <n v="2546"/>
    <x v="24"/>
    <s v=" ORIENT MÜHENDİSLİK"/>
    <d v="2025-09-06T00:00:00"/>
    <s v="2470108BX0033438"/>
    <n v="1"/>
    <s v="HSA-2"/>
    <m/>
    <m/>
    <n v="1900"/>
    <n v="1"/>
    <n v="45906"/>
    <x v="2"/>
    <x v="1"/>
    <x v="0"/>
    <x v="8"/>
  </r>
  <r>
    <n v="2546"/>
    <x v="24"/>
    <s v=" ORIENT MÜHENDİSLİK"/>
    <d v="2025-09-06T00:00:00"/>
    <s v="2470108BX0034762"/>
    <n v="1"/>
    <s v="HSA-2"/>
    <m/>
    <m/>
    <n v="1900"/>
    <n v="1"/>
    <n v="45906"/>
    <x v="2"/>
    <x v="1"/>
    <x v="0"/>
    <x v="8"/>
  </r>
  <r>
    <n v="2546"/>
    <x v="24"/>
    <s v=" ORIENT MÜHENDİSLİK"/>
    <d v="2025-09-06T00:00:00"/>
    <s v="2470108BX0032242"/>
    <n v="1"/>
    <s v="HSA-2"/>
    <m/>
    <m/>
    <n v="1900"/>
    <n v="1"/>
    <n v="45906"/>
    <x v="2"/>
    <x v="2"/>
    <x v="1"/>
    <x v="8"/>
  </r>
  <r>
    <n v="2546"/>
    <x v="24"/>
    <s v=" ORIENT MÜHENDİSLİK"/>
    <d v="2025-09-06T00:00:00"/>
    <s v="2470108BX0030645"/>
    <n v="1"/>
    <s v="HSA-2"/>
    <m/>
    <m/>
    <n v="1900"/>
    <n v="1"/>
    <n v="45906"/>
    <x v="2"/>
    <x v="2"/>
    <x v="1"/>
    <x v="8"/>
  </r>
  <r>
    <n v="2546"/>
    <x v="24"/>
    <s v=" ORIENT MÜHENDİSLİK"/>
    <d v="2025-09-06T00:00:00"/>
    <s v="2470108BX0036386"/>
    <n v="1"/>
    <s v="HSA-2"/>
    <m/>
    <m/>
    <n v="1900"/>
    <n v="1"/>
    <n v="45906"/>
    <x v="2"/>
    <x v="2"/>
    <x v="1"/>
    <x v="8"/>
  </r>
  <r>
    <n v="2546"/>
    <x v="24"/>
    <s v=" ORIENT MÜHENDİSLİK"/>
    <d v="2025-09-06T00:00:00"/>
    <s v="2480108BX0002563"/>
    <n v="1"/>
    <s v="HSA-2"/>
    <m/>
    <m/>
    <n v="1900"/>
    <n v="1"/>
    <n v="45906"/>
    <x v="2"/>
    <x v="1"/>
    <x v="0"/>
    <x v="8"/>
  </r>
  <r>
    <n v="2546"/>
    <x v="24"/>
    <s v=" ORIENT MÜHENDİSLİK"/>
    <d v="2025-09-06T00:00:00"/>
    <s v="2480108BX0002544"/>
    <n v="1"/>
    <s v="HSA-2"/>
    <m/>
    <m/>
    <n v="1900"/>
    <n v="1"/>
    <n v="45906"/>
    <x v="2"/>
    <x v="2"/>
    <x v="1"/>
    <x v="8"/>
  </r>
  <r>
    <n v="2546"/>
    <x v="24"/>
    <s v=" ORIENT MÜHENDİSLİK"/>
    <d v="2025-09-06T00:00:00"/>
    <s v="2480108BX0002341"/>
    <n v="1"/>
    <s v="HSA-2"/>
    <m/>
    <m/>
    <n v="1900"/>
    <n v="1"/>
    <n v="45906"/>
    <x v="2"/>
    <x v="1"/>
    <x v="0"/>
    <x v="8"/>
  </r>
  <r>
    <n v="2546"/>
    <x v="24"/>
    <s v=" ORIENT MÜHENDİSLİK"/>
    <d v="2025-09-06T00:00:00"/>
    <s v="2480108BX0002176"/>
    <n v="1"/>
    <s v="HSA-2"/>
    <m/>
    <m/>
    <n v="1900"/>
    <n v="1"/>
    <n v="45906"/>
    <x v="2"/>
    <x v="2"/>
    <x v="1"/>
    <x v="8"/>
  </r>
  <r>
    <n v="2546"/>
    <x v="24"/>
    <s v=" ORIENT MÜHENDİSLİK"/>
    <d v="2025-09-06T00:00:00"/>
    <s v="2480108BX0015909"/>
    <n v="1"/>
    <s v="HSA-2"/>
    <m/>
    <m/>
    <n v="1900"/>
    <n v="1"/>
    <n v="45906"/>
    <x v="2"/>
    <x v="1"/>
    <x v="0"/>
    <x v="8"/>
  </r>
  <r>
    <n v="2546"/>
    <x v="24"/>
    <s v=" ORIENT MÜHENDİSLİK"/>
    <d v="2025-09-06T00:00:00"/>
    <s v="2480108BX0012159"/>
    <n v="1"/>
    <s v="HSA-2"/>
    <m/>
    <m/>
    <n v="1900"/>
    <n v="1"/>
    <n v="45906"/>
    <x v="2"/>
    <x v="1"/>
    <x v="0"/>
    <x v="8"/>
  </r>
  <r>
    <n v="2546"/>
    <x v="24"/>
    <s v=" ORIENT MÜHENDİSLİK"/>
    <d v="2025-09-06T00:00:00"/>
    <s v="2470108BX0020155"/>
    <n v="1"/>
    <s v="HSA-2"/>
    <m/>
    <m/>
    <n v="1900"/>
    <n v="1"/>
    <n v="45906"/>
    <x v="2"/>
    <x v="1"/>
    <x v="0"/>
    <x v="8"/>
  </r>
  <r>
    <n v="2546"/>
    <x v="24"/>
    <s v=" ORIENT MÜHENDİSLİK"/>
    <d v="2025-09-06T00:00:00"/>
    <s v="2470108BX0019763"/>
    <n v="1"/>
    <s v="HSA-2"/>
    <m/>
    <m/>
    <n v="1900"/>
    <n v="1"/>
    <n v="45906"/>
    <x v="2"/>
    <x v="2"/>
    <x v="1"/>
    <x v="8"/>
  </r>
  <r>
    <n v="2546"/>
    <x v="24"/>
    <s v=" ORIENT MÜHENDİSLİK"/>
    <d v="2025-09-06T00:00:00"/>
    <s v="2470108BX0019591"/>
    <n v="1"/>
    <s v="HSA-2"/>
    <m/>
    <m/>
    <n v="1900"/>
    <n v="1"/>
    <n v="45906"/>
    <x v="2"/>
    <x v="2"/>
    <x v="1"/>
    <x v="8"/>
  </r>
  <r>
    <n v="2546"/>
    <x v="24"/>
    <s v=" ORIENT MÜHENDİSLİK"/>
    <d v="2025-09-06T00:00:00"/>
    <s v="2470108BX0018373"/>
    <n v="1"/>
    <s v="HSA-2"/>
    <m/>
    <m/>
    <n v="1900"/>
    <n v="1"/>
    <n v="45906"/>
    <x v="2"/>
    <x v="2"/>
    <x v="1"/>
    <x v="8"/>
  </r>
  <r>
    <n v="2546"/>
    <x v="24"/>
    <s v=" ORIENT MÜHENDİSLİK"/>
    <d v="2025-09-06T00:00:00"/>
    <s v="2470108BX0030508"/>
    <n v="1"/>
    <s v="HSA-2"/>
    <m/>
    <m/>
    <n v="1900"/>
    <n v="1"/>
    <n v="45906"/>
    <x v="2"/>
    <x v="1"/>
    <x v="0"/>
    <x v="8"/>
  </r>
  <r>
    <n v="2546"/>
    <x v="24"/>
    <s v=" ORIENT MÜHENDİSLİK"/>
    <d v="2025-09-06T00:00:00"/>
    <s v="2480108BX0006183"/>
    <n v="1"/>
    <s v="HSA-2"/>
    <m/>
    <m/>
    <n v="1900"/>
    <n v="1"/>
    <n v="45906"/>
    <x v="2"/>
    <x v="2"/>
    <x v="1"/>
    <x v="8"/>
  </r>
  <r>
    <n v="2546"/>
    <x v="24"/>
    <s v=" ORIENT MÜHENDİSLİK"/>
    <d v="2025-09-06T00:00:00"/>
    <s v="2480108BX0008209"/>
    <n v="1"/>
    <s v="HSA-2"/>
    <m/>
    <m/>
    <n v="1900"/>
    <n v="1"/>
    <n v="45906"/>
    <x v="2"/>
    <x v="1"/>
    <x v="0"/>
    <x v="8"/>
  </r>
  <r>
    <n v="2546"/>
    <x v="24"/>
    <s v=" ORIENT MÜHENDİSLİK"/>
    <d v="2025-09-06T00:00:00"/>
    <s v="2480108BX0008111"/>
    <n v="1"/>
    <s v="HSA-2"/>
    <m/>
    <m/>
    <n v="1900"/>
    <n v="1"/>
    <n v="45906"/>
    <x v="2"/>
    <x v="2"/>
    <x v="1"/>
    <x v="8"/>
  </r>
  <r>
    <n v="2546"/>
    <x v="24"/>
    <s v=" ORIENT MÜHENDİSLİK"/>
    <d v="2025-09-06T00:00:00"/>
    <s v="2480108BX0014019"/>
    <n v="1"/>
    <s v="HSA-2"/>
    <m/>
    <m/>
    <n v="1900"/>
    <n v="1"/>
    <n v="45906"/>
    <x v="2"/>
    <x v="2"/>
    <x v="1"/>
    <x v="8"/>
  </r>
  <r>
    <n v="2546"/>
    <x v="24"/>
    <s v=" ORIENT MÜHENDİSLİK"/>
    <d v="2025-09-06T00:00:00"/>
    <s v="2480108BX0015906"/>
    <n v="1"/>
    <s v="HSA-2"/>
    <m/>
    <m/>
    <n v="1900"/>
    <n v="1"/>
    <n v="45906"/>
    <x v="2"/>
    <x v="2"/>
    <x v="1"/>
    <x v="8"/>
  </r>
  <r>
    <n v="2546"/>
    <x v="24"/>
    <s v=" ORIENT MÜHENDİSLİK"/>
    <d v="2025-09-06T00:00:00"/>
    <s v="2480108BX0006180"/>
    <n v="1"/>
    <s v="HSA-2"/>
    <m/>
    <m/>
    <n v="1900"/>
    <n v="1"/>
    <n v="45906"/>
    <x v="2"/>
    <x v="2"/>
    <x v="1"/>
    <x v="8"/>
  </r>
  <r>
    <n v="2546"/>
    <x v="24"/>
    <s v=" ORIENT MÜHENDİSLİK"/>
    <d v="2025-09-06T00:00:00"/>
    <s v="2480108BX0014166"/>
    <n v="1"/>
    <s v="HSA-2"/>
    <m/>
    <m/>
    <n v="1900"/>
    <n v="1"/>
    <n v="45906"/>
    <x v="2"/>
    <x v="2"/>
    <x v="1"/>
    <x v="8"/>
  </r>
  <r>
    <n v="2546"/>
    <x v="24"/>
    <s v=" ORIENT MÜHENDİSLİK"/>
    <d v="2025-09-06T00:00:00"/>
    <s v="2480108BX0015320"/>
    <n v="1"/>
    <s v="HSA-2"/>
    <m/>
    <m/>
    <n v="1900"/>
    <n v="1"/>
    <n v="45906"/>
    <x v="2"/>
    <x v="2"/>
    <x v="1"/>
    <x v="8"/>
  </r>
  <r>
    <n v="2546"/>
    <x v="24"/>
    <s v=" ORIENT MÜHENDİSLİK"/>
    <d v="2025-09-06T00:00:00"/>
    <s v="2480108BX0011318"/>
    <n v="1"/>
    <s v="HSA-2"/>
    <m/>
    <m/>
    <n v="1900"/>
    <n v="1"/>
    <n v="45906"/>
    <x v="2"/>
    <x v="1"/>
    <x v="0"/>
    <x v="8"/>
  </r>
  <r>
    <n v="2546"/>
    <x v="24"/>
    <s v=" ORIENT MÜHENDİSLİK"/>
    <d v="2025-09-06T00:00:00"/>
    <s v="2480108BX0011068"/>
    <n v="1"/>
    <s v="HSA-2"/>
    <m/>
    <m/>
    <n v="1900"/>
    <n v="1"/>
    <n v="45906"/>
    <x v="2"/>
    <x v="1"/>
    <x v="0"/>
    <x v="8"/>
  </r>
  <r>
    <n v="2546"/>
    <x v="24"/>
    <s v=" ORIENT MÜHENDİSLİK"/>
    <d v="2025-09-06T00:00:00"/>
    <s v="2480108BX0011156"/>
    <n v="1"/>
    <s v="HSA-2"/>
    <m/>
    <m/>
    <n v="1900"/>
    <n v="1"/>
    <n v="45906"/>
    <x v="2"/>
    <x v="1"/>
    <x v="0"/>
    <x v="8"/>
  </r>
  <r>
    <n v="2546"/>
    <x v="24"/>
    <s v=" ORIENT MÜHENDİSLİK"/>
    <d v="2025-09-06T00:00:00"/>
    <s v="2480108BX0011323"/>
    <n v="1"/>
    <s v="HSA-2"/>
    <m/>
    <m/>
    <n v="1900"/>
    <n v="1"/>
    <n v="45906"/>
    <x v="2"/>
    <x v="2"/>
    <x v="1"/>
    <x v="8"/>
  </r>
  <r>
    <n v="2546"/>
    <x v="24"/>
    <s v=" ORIENT MÜHENDİSLİK"/>
    <d v="2025-09-06T00:00:00"/>
    <s v="2480108BX0002183"/>
    <n v="1"/>
    <s v="HSA-2"/>
    <m/>
    <m/>
    <n v="1900"/>
    <n v="1"/>
    <n v="45906"/>
    <x v="2"/>
    <x v="2"/>
    <x v="1"/>
    <x v="8"/>
  </r>
  <r>
    <n v="2546"/>
    <x v="24"/>
    <s v=" ORIENT MÜHENDİSLİK"/>
    <d v="2025-09-06T00:00:00"/>
    <s v="2480108BX0002528"/>
    <n v="1"/>
    <s v="HSA-2"/>
    <m/>
    <m/>
    <n v="1900"/>
    <n v="1"/>
    <n v="45906"/>
    <x v="2"/>
    <x v="1"/>
    <x v="0"/>
    <x v="8"/>
  </r>
  <r>
    <n v="2546"/>
    <x v="24"/>
    <s v=" ORIENT MÜHENDİSLİK"/>
    <d v="2025-09-06T00:00:00"/>
    <s v="2480108BX0009990"/>
    <n v="1"/>
    <s v="HSA-2"/>
    <m/>
    <m/>
    <n v="1900"/>
    <n v="1"/>
    <n v="45906"/>
    <x v="2"/>
    <x v="1"/>
    <x v="0"/>
    <x v="8"/>
  </r>
  <r>
    <n v="2546"/>
    <x v="24"/>
    <s v=" ORIENT MÜHENDİSLİK"/>
    <d v="2025-09-06T00:00:00"/>
    <s v="2480108BX0009654"/>
    <n v="1"/>
    <s v="HSA-2"/>
    <m/>
    <m/>
    <n v="1900"/>
    <n v="1"/>
    <n v="45906"/>
    <x v="2"/>
    <x v="1"/>
    <x v="0"/>
    <x v="8"/>
  </r>
  <r>
    <n v="2546"/>
    <x v="24"/>
    <s v=" ORIENT MÜHENDİSLİK"/>
    <d v="2025-09-06T00:00:00"/>
    <s v="2480108BX0009173"/>
    <n v="1"/>
    <s v="HSA-2"/>
    <m/>
    <m/>
    <n v="1900"/>
    <n v="1"/>
    <n v="45906"/>
    <x v="2"/>
    <x v="1"/>
    <x v="0"/>
    <x v="8"/>
  </r>
  <r>
    <n v="2546"/>
    <x v="24"/>
    <s v=" ORIENT MÜHENDİSLİK"/>
    <d v="2025-09-06T00:00:00"/>
    <s v="2480108BX0010167"/>
    <n v="1"/>
    <s v="HSA-2"/>
    <m/>
    <m/>
    <n v="1900"/>
    <n v="1"/>
    <n v="45906"/>
    <x v="2"/>
    <x v="2"/>
    <x v="1"/>
    <x v="8"/>
  </r>
  <r>
    <n v="2546"/>
    <x v="24"/>
    <s v=" ORIENT MÜHENDİSLİK"/>
    <d v="2025-09-06T00:00:00"/>
    <s v="2470108BX0027900"/>
    <n v="1"/>
    <s v="HSA-2"/>
    <m/>
    <m/>
    <n v="1900"/>
    <n v="1"/>
    <n v="45906"/>
    <x v="2"/>
    <x v="1"/>
    <x v="0"/>
    <x v="8"/>
  </r>
  <r>
    <n v="2547"/>
    <x v="25"/>
    <s v="N/A"/>
    <d v="2025-09-18T00:00:00"/>
    <s v="2370108BX0051878"/>
    <n v="1"/>
    <s v="HSA-2"/>
    <m/>
    <m/>
    <n v="1900"/>
    <n v="1"/>
    <n v="45918"/>
    <x v="2"/>
    <x v="1"/>
    <x v="0"/>
    <x v="8"/>
  </r>
  <r>
    <n v="2547"/>
    <x v="25"/>
    <s v="N/A"/>
    <d v="2025-09-18T00:00:00"/>
    <s v="2350108BX0033781"/>
    <n v="1"/>
    <s v="HSA-2"/>
    <m/>
    <m/>
    <n v="1900"/>
    <n v="1"/>
    <n v="45918"/>
    <x v="2"/>
    <x v="1"/>
    <x v="0"/>
    <x v="8"/>
  </r>
  <r>
    <n v="2547"/>
    <x v="25"/>
    <s v="N/A"/>
    <d v="2025-09-18T00:00:00"/>
    <s v="2380108BX0009223"/>
    <n v="1"/>
    <s v="HSA-2"/>
    <m/>
    <m/>
    <n v="1900"/>
    <n v="1"/>
    <n v="45918"/>
    <x v="2"/>
    <x v="1"/>
    <x v="0"/>
    <x v="8"/>
  </r>
  <r>
    <n v="2547"/>
    <x v="25"/>
    <s v="N/A"/>
    <d v="2025-09-18T00:00:00"/>
    <s v="2350108BX0033887"/>
    <n v="1"/>
    <s v="HSA-2"/>
    <m/>
    <m/>
    <n v="1900"/>
    <n v="1"/>
    <n v="45918"/>
    <x v="2"/>
    <x v="1"/>
    <x v="0"/>
    <x v="8"/>
  </r>
  <r>
    <n v="2547"/>
    <x v="25"/>
    <s v="N/A"/>
    <d v="2025-09-18T00:00:00"/>
    <s v="2340108BX0039910"/>
    <n v="1"/>
    <s v="HSA-2"/>
    <m/>
    <m/>
    <n v="1900"/>
    <n v="1"/>
    <n v="45918"/>
    <x v="2"/>
    <x v="1"/>
    <x v="0"/>
    <x v="8"/>
  </r>
  <r>
    <n v="2547"/>
    <x v="25"/>
    <s v="N/A"/>
    <d v="2025-09-18T00:00:00"/>
    <s v="2350108BX0048157"/>
    <n v="1"/>
    <s v="HSA-2"/>
    <m/>
    <m/>
    <n v="1900"/>
    <n v="1"/>
    <n v="45918"/>
    <x v="2"/>
    <x v="1"/>
    <x v="0"/>
    <x v="8"/>
  </r>
  <r>
    <n v="2547"/>
    <x v="25"/>
    <s v="N/A"/>
    <d v="2025-09-18T00:00:00"/>
    <s v="2350108BX0014563"/>
    <n v="1"/>
    <s v="HSA-2"/>
    <m/>
    <m/>
    <n v="1900"/>
    <n v="1"/>
    <n v="45918"/>
    <x v="2"/>
    <x v="1"/>
    <x v="0"/>
    <x v="8"/>
  </r>
  <r>
    <n v="2547"/>
    <x v="25"/>
    <s v="N/A"/>
    <d v="2025-09-18T00:00:00"/>
    <s v="2340108BX0029973"/>
    <n v="1"/>
    <s v="HSA-2"/>
    <m/>
    <m/>
    <n v="1900"/>
    <n v="1"/>
    <n v="45918"/>
    <x v="2"/>
    <x v="1"/>
    <x v="0"/>
    <x v="8"/>
  </r>
  <r>
    <n v="2547"/>
    <x v="25"/>
    <s v="N/A"/>
    <d v="2025-09-18T00:00:00"/>
    <s v="2350108BX0025807"/>
    <n v="1"/>
    <s v="HSA-2"/>
    <m/>
    <m/>
    <n v="1900"/>
    <n v="1"/>
    <n v="45918"/>
    <x v="2"/>
    <x v="1"/>
    <x v="0"/>
    <x v="8"/>
  </r>
  <r>
    <n v="2547"/>
    <x v="25"/>
    <s v="N/A"/>
    <d v="2025-09-18T00:00:00"/>
    <s v="2350108BX0006120"/>
    <n v="1"/>
    <s v="HSA-2"/>
    <m/>
    <m/>
    <n v="1900"/>
    <n v="1"/>
    <n v="45918"/>
    <x v="2"/>
    <x v="1"/>
    <x v="0"/>
    <x v="8"/>
  </r>
  <r>
    <n v="2547"/>
    <x v="25"/>
    <s v="N/A"/>
    <d v="2025-09-18T00:00:00"/>
    <s v="2360108BX0026138"/>
    <n v="1"/>
    <s v="HSA-2"/>
    <m/>
    <m/>
    <n v="1900"/>
    <n v="1"/>
    <n v="45918"/>
    <x v="2"/>
    <x v="1"/>
    <x v="0"/>
    <x v="8"/>
  </r>
  <r>
    <n v="2547"/>
    <x v="25"/>
    <s v="N/A"/>
    <d v="2025-09-18T00:00:00"/>
    <s v="2360108BX0026225"/>
    <n v="1"/>
    <s v="HSA-2"/>
    <m/>
    <m/>
    <n v="1900"/>
    <n v="1"/>
    <n v="45918"/>
    <x v="2"/>
    <x v="1"/>
    <x v="0"/>
    <x v="8"/>
  </r>
  <r>
    <n v="2547"/>
    <x v="25"/>
    <s v="N/A"/>
    <d v="2025-09-18T00:00:00"/>
    <s v="2350108BX0018515"/>
    <n v="1"/>
    <s v="HSA-2"/>
    <m/>
    <m/>
    <n v="1900"/>
    <n v="1"/>
    <n v="45918"/>
    <x v="2"/>
    <x v="1"/>
    <x v="0"/>
    <x v="8"/>
  </r>
  <r>
    <n v="2547"/>
    <x v="25"/>
    <s v="N/A"/>
    <d v="2025-09-18T00:00:00"/>
    <s v="2350108BX0016807"/>
    <n v="1"/>
    <s v="HSA-2"/>
    <m/>
    <m/>
    <n v="1900"/>
    <n v="1"/>
    <n v="45918"/>
    <x v="2"/>
    <x v="1"/>
    <x v="0"/>
    <x v="8"/>
  </r>
  <r>
    <n v="2547"/>
    <x v="25"/>
    <s v="N/A"/>
    <d v="2025-09-18T00:00:00"/>
    <s v="2340108BX0016210"/>
    <n v="1"/>
    <s v="HSA-2"/>
    <m/>
    <m/>
    <n v="1900"/>
    <n v="1"/>
    <n v="45918"/>
    <x v="2"/>
    <x v="1"/>
    <x v="0"/>
    <x v="8"/>
  </r>
  <r>
    <n v="2547"/>
    <x v="25"/>
    <s v="N/A"/>
    <d v="2025-09-18T00:00:00"/>
    <s v="2340108BX0017282"/>
    <n v="1"/>
    <s v="HSA-2"/>
    <m/>
    <m/>
    <n v="1900"/>
    <n v="1"/>
    <n v="45918"/>
    <x v="2"/>
    <x v="1"/>
    <x v="0"/>
    <x v="8"/>
  </r>
  <r>
    <n v="2547"/>
    <x v="25"/>
    <s v="N/A"/>
    <d v="2025-09-18T00:00:00"/>
    <s v="2360108BX0004275"/>
    <n v="1"/>
    <s v="HSA-2"/>
    <m/>
    <m/>
    <n v="1900"/>
    <n v="1"/>
    <n v="45918"/>
    <x v="2"/>
    <x v="1"/>
    <x v="0"/>
    <x v="8"/>
  </r>
  <r>
    <n v="2547"/>
    <x v="25"/>
    <s v="N/A"/>
    <d v="2025-09-18T00:00:00"/>
    <s v="2360108BX0004241"/>
    <n v="1"/>
    <s v="HSA-2"/>
    <m/>
    <m/>
    <n v="1900"/>
    <n v="1"/>
    <n v="45918"/>
    <x v="2"/>
    <x v="1"/>
    <x v="0"/>
    <x v="8"/>
  </r>
  <r>
    <n v="2547"/>
    <x v="25"/>
    <s v="N/A"/>
    <d v="2025-09-18T00:00:00"/>
    <s v="2360108BX0004236"/>
    <n v="1"/>
    <s v="HSA-2"/>
    <m/>
    <m/>
    <n v="1900"/>
    <n v="1"/>
    <n v="45918"/>
    <x v="2"/>
    <x v="1"/>
    <x v="0"/>
    <x v="8"/>
  </r>
  <r>
    <n v="2547"/>
    <x v="25"/>
    <s v="N/A"/>
    <d v="2025-09-18T00:00:00"/>
    <s v="2350108BX0038400"/>
    <n v="1"/>
    <s v="HSA-2"/>
    <m/>
    <m/>
    <n v="1900"/>
    <n v="1"/>
    <n v="45918"/>
    <x v="2"/>
    <x v="1"/>
    <x v="0"/>
    <x v="8"/>
  </r>
  <r>
    <n v="2547"/>
    <x v="25"/>
    <s v="N/A"/>
    <d v="2025-09-18T00:00:00"/>
    <s v="2340108BX0005442"/>
    <n v="1"/>
    <s v="HSA-2"/>
    <m/>
    <m/>
    <n v="1900"/>
    <n v="1"/>
    <n v="45918"/>
    <x v="2"/>
    <x v="1"/>
    <x v="0"/>
    <x v="8"/>
  </r>
  <r>
    <n v="2547"/>
    <x v="25"/>
    <s v="N/A"/>
    <d v="2025-09-18T00:00:00"/>
    <s v="2340108BX0005580"/>
    <n v="1"/>
    <s v="HSA-2"/>
    <m/>
    <m/>
    <n v="1900"/>
    <n v="1"/>
    <n v="45918"/>
    <x v="2"/>
    <x v="1"/>
    <x v="0"/>
    <x v="8"/>
  </r>
  <r>
    <n v="2547"/>
    <x v="25"/>
    <s v="N/A"/>
    <d v="2025-09-18T00:00:00"/>
    <s v="2340108BX0024660"/>
    <n v="1"/>
    <s v="HSA-2"/>
    <m/>
    <m/>
    <n v="1900"/>
    <n v="1"/>
    <n v="45918"/>
    <x v="2"/>
    <x v="1"/>
    <x v="0"/>
    <x v="8"/>
  </r>
  <r>
    <n v="2547"/>
    <x v="25"/>
    <s v="N/A"/>
    <d v="2025-09-18T00:00:00"/>
    <s v="2340108BX0024613"/>
    <n v="1"/>
    <s v="HSA-2"/>
    <m/>
    <m/>
    <n v="1900"/>
    <n v="1"/>
    <n v="45918"/>
    <x v="2"/>
    <x v="1"/>
    <x v="0"/>
    <x v="8"/>
  </r>
  <r>
    <n v="2547"/>
    <x v="25"/>
    <s v="N/A"/>
    <d v="2025-09-18T00:00:00"/>
    <s v="2340108BX0026855"/>
    <n v="1"/>
    <s v="HSA-2"/>
    <m/>
    <m/>
    <n v="1900"/>
    <n v="1"/>
    <n v="45918"/>
    <x v="2"/>
    <x v="1"/>
    <x v="0"/>
    <x v="8"/>
  </r>
  <r>
    <n v="2547"/>
    <x v="25"/>
    <s v="N/A"/>
    <d v="2025-09-18T00:00:00"/>
    <s v="2340108BX0020165"/>
    <n v="1"/>
    <s v="HSA-2"/>
    <m/>
    <m/>
    <n v="1900"/>
    <n v="1"/>
    <n v="45918"/>
    <x v="2"/>
    <x v="1"/>
    <x v="0"/>
    <x v="8"/>
  </r>
  <r>
    <n v="2547"/>
    <x v="25"/>
    <s v="N/A"/>
    <d v="2025-09-18T00:00:00"/>
    <s v="2340108BX0005811"/>
    <n v="1"/>
    <s v="HSA-2"/>
    <m/>
    <m/>
    <n v="1900"/>
    <n v="1"/>
    <n v="45918"/>
    <x v="2"/>
    <x v="1"/>
    <x v="0"/>
    <x v="8"/>
  </r>
  <r>
    <n v="2547"/>
    <x v="25"/>
    <s v="N/A"/>
    <d v="2025-09-18T00:00:00"/>
    <s v="2340108BX0006013"/>
    <n v="1"/>
    <s v="HSA-2"/>
    <m/>
    <m/>
    <n v="1900"/>
    <n v="1"/>
    <n v="45918"/>
    <x v="2"/>
    <x v="1"/>
    <x v="0"/>
    <x v="8"/>
  </r>
  <r>
    <n v="2547"/>
    <x v="25"/>
    <s v="N/A"/>
    <d v="2025-09-18T00:00:00"/>
    <s v="2340108BX0006160"/>
    <n v="1"/>
    <s v="HSA-2"/>
    <m/>
    <m/>
    <n v="1900"/>
    <n v="1"/>
    <n v="45918"/>
    <x v="2"/>
    <x v="1"/>
    <x v="0"/>
    <x v="8"/>
  </r>
  <r>
    <n v="2547"/>
    <x v="25"/>
    <s v="N/A"/>
    <d v="2025-09-18T00:00:00"/>
    <s v="2380108BX0013890"/>
    <n v="1"/>
    <s v="HSA-2"/>
    <m/>
    <m/>
    <n v="1900"/>
    <n v="1"/>
    <n v="45918"/>
    <x v="2"/>
    <x v="1"/>
    <x v="0"/>
    <x v="8"/>
  </r>
  <r>
    <n v="2547"/>
    <x v="25"/>
    <s v="N/A"/>
    <d v="2025-09-18T00:00:00"/>
    <s v="2380108BX0013902"/>
    <n v="1"/>
    <s v="HSA-2"/>
    <m/>
    <m/>
    <n v="1900"/>
    <n v="1"/>
    <n v="45918"/>
    <x v="2"/>
    <x v="1"/>
    <x v="0"/>
    <x v="8"/>
  </r>
  <r>
    <n v="2547"/>
    <x v="25"/>
    <s v="N/A"/>
    <d v="2025-09-18T00:00:00"/>
    <s v="2370108BX0050857"/>
    <n v="1"/>
    <s v="HSA-2"/>
    <m/>
    <m/>
    <n v="1900"/>
    <n v="1"/>
    <n v="45918"/>
    <x v="2"/>
    <x v="1"/>
    <x v="0"/>
    <x v="8"/>
  </r>
  <r>
    <n v="2547"/>
    <x v="25"/>
    <s v="N/A"/>
    <d v="2025-09-18T00:00:00"/>
    <s v="2370108BX0051880"/>
    <n v="1"/>
    <s v="HSA-2"/>
    <m/>
    <m/>
    <n v="1900"/>
    <n v="1"/>
    <n v="45918"/>
    <x v="7"/>
    <x v="1"/>
    <x v="1"/>
    <x v="8"/>
  </r>
  <r>
    <n v="2547"/>
    <x v="25"/>
    <s v="N/A"/>
    <d v="2025-09-18T00:00:00"/>
    <s v="2380108BX0014259"/>
    <n v="1"/>
    <s v="HSA-2"/>
    <m/>
    <m/>
    <n v="1900"/>
    <n v="1"/>
    <n v="45918"/>
    <x v="2"/>
    <x v="1"/>
    <x v="0"/>
    <x v="8"/>
  </r>
  <r>
    <n v="2547"/>
    <x v="25"/>
    <s v="N/A"/>
    <d v="2025-09-18T00:00:00"/>
    <s v="2370108BX0014269"/>
    <n v="1"/>
    <s v="HSA-2"/>
    <m/>
    <m/>
    <n v="1900"/>
    <n v="1"/>
    <n v="45918"/>
    <x v="7"/>
    <x v="1"/>
    <x v="1"/>
    <x v="8"/>
  </r>
  <r>
    <n v="2547"/>
    <x v="25"/>
    <s v="N/A"/>
    <d v="2025-09-18T00:00:00"/>
    <s v="2380108BX0014257"/>
    <n v="1"/>
    <s v="HSA-2"/>
    <m/>
    <m/>
    <n v="1900"/>
    <n v="1"/>
    <n v="45918"/>
    <x v="2"/>
    <x v="1"/>
    <x v="0"/>
    <x v="8"/>
  </r>
  <r>
    <n v="2547"/>
    <x v="25"/>
    <s v="N/A"/>
    <d v="2025-09-18T00:00:00"/>
    <s v="2360108DX0004064"/>
    <n v="1"/>
    <s v="HSA-2"/>
    <m/>
    <m/>
    <n v="1900"/>
    <n v="1"/>
    <n v="45918"/>
    <x v="2"/>
    <x v="1"/>
    <x v="0"/>
    <x v="8"/>
  </r>
  <r>
    <n v="2547"/>
    <x v="25"/>
    <s v="N/A"/>
    <d v="2025-09-18T00:00:00"/>
    <s v="2360108BX0003871"/>
    <n v="1"/>
    <s v="HSA-2"/>
    <m/>
    <m/>
    <n v="1900"/>
    <n v="1"/>
    <n v="45918"/>
    <x v="7"/>
    <x v="1"/>
    <x v="1"/>
    <x v="8"/>
  </r>
  <r>
    <n v="2547"/>
    <x v="25"/>
    <s v="N/A"/>
    <d v="2025-09-18T00:00:00"/>
    <s v="2360108BX0004185"/>
    <n v="1"/>
    <s v="HSA-2"/>
    <m/>
    <m/>
    <n v="1900"/>
    <n v="1"/>
    <n v="45918"/>
    <x v="2"/>
    <x v="1"/>
    <x v="0"/>
    <x v="8"/>
  </r>
  <r>
    <n v="2547"/>
    <x v="25"/>
    <s v="N/A"/>
    <d v="2025-09-18T00:00:00"/>
    <s v="2340108BX0011875"/>
    <n v="1"/>
    <s v="HSA-2"/>
    <m/>
    <m/>
    <n v="1900"/>
    <n v="1"/>
    <n v="45918"/>
    <x v="7"/>
    <x v="1"/>
    <x v="1"/>
    <x v="8"/>
  </r>
  <r>
    <n v="2547"/>
    <x v="25"/>
    <s v="N/A"/>
    <d v="2025-09-18T00:00:00"/>
    <s v="2340108BX0012378"/>
    <n v="1"/>
    <s v="HSA-2"/>
    <m/>
    <m/>
    <n v="1900"/>
    <n v="1"/>
    <n v="45918"/>
    <x v="2"/>
    <x v="1"/>
    <x v="0"/>
    <x v="8"/>
  </r>
  <r>
    <n v="2547"/>
    <x v="25"/>
    <s v="N/A"/>
    <d v="2025-09-18T00:00:00"/>
    <s v="2340108BX0010807"/>
    <n v="1"/>
    <s v="HSA-2"/>
    <m/>
    <m/>
    <n v="1900"/>
    <n v="1"/>
    <n v="45918"/>
    <x v="2"/>
    <x v="1"/>
    <x v="0"/>
    <x v="8"/>
  </r>
  <r>
    <n v="2547"/>
    <x v="25"/>
    <s v="N/A"/>
    <d v="2025-09-18T00:00:00"/>
    <s v="2340108BX0012389"/>
    <n v="1"/>
    <s v="HSA-2"/>
    <m/>
    <m/>
    <n v="1900"/>
    <n v="1"/>
    <n v="45918"/>
    <x v="7"/>
    <x v="1"/>
    <x v="1"/>
    <x v="8"/>
  </r>
  <r>
    <n v="2547"/>
    <x v="25"/>
    <s v="N/A"/>
    <d v="2025-09-18T00:00:00"/>
    <s v="2360108BX0020529"/>
    <n v="1"/>
    <s v="HSA-2"/>
    <m/>
    <m/>
    <n v="1900"/>
    <n v="1"/>
    <n v="45918"/>
    <x v="2"/>
    <x v="1"/>
    <x v="0"/>
    <x v="8"/>
  </r>
  <r>
    <n v="2547"/>
    <x v="25"/>
    <s v="N/A"/>
    <d v="2025-09-18T00:00:00"/>
    <s v="2360108BX0020444"/>
    <n v="1"/>
    <s v="HSA-2"/>
    <m/>
    <m/>
    <n v="1900"/>
    <n v="1"/>
    <n v="45918"/>
    <x v="2"/>
    <x v="1"/>
    <x v="0"/>
    <x v="8"/>
  </r>
  <r>
    <n v="2547"/>
    <x v="25"/>
    <s v="N/A"/>
    <d v="2025-09-18T00:00:00"/>
    <s v="2360108BX0019330"/>
    <n v="1"/>
    <s v="HSA-2"/>
    <m/>
    <m/>
    <n v="1900"/>
    <n v="1"/>
    <n v="45918"/>
    <x v="7"/>
    <x v="1"/>
    <x v="1"/>
    <x v="8"/>
  </r>
  <r>
    <n v="2547"/>
    <x v="25"/>
    <s v="N/A"/>
    <d v="2025-09-18T00:00:00"/>
    <s v="2360108BX0019852"/>
    <n v="1"/>
    <s v="HSA-2"/>
    <m/>
    <m/>
    <n v="1900"/>
    <n v="1"/>
    <n v="45918"/>
    <x v="2"/>
    <x v="1"/>
    <x v="0"/>
    <x v="8"/>
  </r>
  <r>
    <n v="2547"/>
    <x v="25"/>
    <s v="N/A"/>
    <d v="2025-09-18T00:00:00"/>
    <s v="2360108BX0019657"/>
    <n v="1"/>
    <s v="HSA-2"/>
    <m/>
    <m/>
    <n v="1900"/>
    <n v="1"/>
    <n v="45918"/>
    <x v="7"/>
    <x v="1"/>
    <x v="1"/>
    <x v="8"/>
  </r>
  <r>
    <n v="2547"/>
    <x v="25"/>
    <s v="N/A"/>
    <d v="2025-09-18T00:00:00"/>
    <s v="2340108BX0017040"/>
    <n v="1"/>
    <s v="HSA-2"/>
    <m/>
    <m/>
    <n v="1900"/>
    <n v="1"/>
    <n v="45918"/>
    <x v="7"/>
    <x v="1"/>
    <x v="1"/>
    <x v="8"/>
  </r>
  <r>
    <n v="2547"/>
    <x v="25"/>
    <s v="N/A"/>
    <d v="2025-09-18T00:00:00"/>
    <s v="2340108BX0016989"/>
    <n v="1"/>
    <s v="HSA-2"/>
    <m/>
    <m/>
    <n v="1900"/>
    <n v="1"/>
    <n v="45918"/>
    <x v="2"/>
    <x v="1"/>
    <x v="0"/>
    <x v="8"/>
  </r>
  <r>
    <n v="2547"/>
    <x v="25"/>
    <s v="N/A"/>
    <d v="2025-09-18T00:00:00"/>
    <s v="2360108BX0020450"/>
    <n v="1"/>
    <s v="HSA-2"/>
    <m/>
    <m/>
    <n v="1900"/>
    <n v="1"/>
    <n v="45918"/>
    <x v="2"/>
    <x v="1"/>
    <x v="0"/>
    <x v="8"/>
  </r>
  <r>
    <n v="2547"/>
    <x v="25"/>
    <s v="N/A"/>
    <d v="2025-09-18T00:00:00"/>
    <s v="2340108BX0016298"/>
    <n v="1"/>
    <s v="HSA-2"/>
    <m/>
    <m/>
    <n v="1900"/>
    <n v="1"/>
    <n v="45918"/>
    <x v="2"/>
    <x v="1"/>
    <x v="0"/>
    <x v="8"/>
  </r>
  <r>
    <n v="2548"/>
    <x v="26"/>
    <s v="N/A"/>
    <d v="2025-09-23T00:00:00"/>
    <s v="2470107BW0023117"/>
    <n v="1"/>
    <s v="HSA-1"/>
    <m/>
    <m/>
    <n v="1900"/>
    <n v="1"/>
    <n v="45923"/>
    <x v="2"/>
    <x v="1"/>
    <x v="0"/>
    <x v="8"/>
  </r>
  <r>
    <n v="2548"/>
    <x v="26"/>
    <s v="N/A"/>
    <d v="2025-09-23T00:00:00"/>
    <s v="2470107BW0016453"/>
    <n v="1"/>
    <s v="HSA-1"/>
    <m/>
    <m/>
    <n v="1900"/>
    <n v="1"/>
    <n v="45923"/>
    <x v="2"/>
    <x v="1"/>
    <x v="0"/>
    <x v="8"/>
  </r>
  <r>
    <n v="2548"/>
    <x v="26"/>
    <s v="N/A"/>
    <d v="2025-09-23T00:00:00"/>
    <s v="2480107BW0011066"/>
    <n v="1"/>
    <s v="HSA-1"/>
    <m/>
    <m/>
    <n v="1900"/>
    <n v="1"/>
    <n v="45923"/>
    <x v="2"/>
    <x v="1"/>
    <x v="0"/>
    <x v="8"/>
  </r>
  <r>
    <n v="2548"/>
    <x v="26"/>
    <s v="N/A"/>
    <d v="2025-09-23T00:00:00"/>
    <s v="2470107BW0002787"/>
    <n v="1"/>
    <s v="HSA-1"/>
    <m/>
    <m/>
    <n v="1900"/>
    <n v="1"/>
    <n v="45923"/>
    <x v="2"/>
    <x v="1"/>
    <x v="0"/>
    <x v="8"/>
  </r>
  <r>
    <n v="2548"/>
    <x v="26"/>
    <s v="N/A"/>
    <d v="2025-09-23T00:00:00"/>
    <s v="2470107BW0011932"/>
    <n v="1"/>
    <s v="HSA-1"/>
    <m/>
    <m/>
    <n v="1900"/>
    <n v="1"/>
    <n v="45923"/>
    <x v="2"/>
    <x v="1"/>
    <x v="0"/>
    <x v="8"/>
  </r>
  <r>
    <n v="2548"/>
    <x v="26"/>
    <s v="N/A"/>
    <d v="2025-09-23T00:00:00"/>
    <s v="2470107BW0006567"/>
    <n v="1"/>
    <s v="HSA-1"/>
    <m/>
    <m/>
    <n v="1900"/>
    <n v="1"/>
    <n v="45923"/>
    <x v="2"/>
    <x v="1"/>
    <x v="0"/>
    <x v="8"/>
  </r>
  <r>
    <n v="2548"/>
    <x v="26"/>
    <s v="N/A"/>
    <d v="2025-09-23T00:00:00"/>
    <s v="2470107BW0003136"/>
    <n v="1"/>
    <s v="HSA-1"/>
    <m/>
    <m/>
    <n v="1900"/>
    <n v="1"/>
    <n v="45923"/>
    <x v="2"/>
    <x v="1"/>
    <x v="0"/>
    <x v="8"/>
  </r>
  <r>
    <n v="2548"/>
    <x v="26"/>
    <s v="N/A"/>
    <d v="2025-09-23T00:00:00"/>
    <s v="2470107BW0003090"/>
    <n v="1"/>
    <s v="HSA-1"/>
    <m/>
    <m/>
    <n v="1900"/>
    <n v="1"/>
    <n v="45923"/>
    <x v="2"/>
    <x v="1"/>
    <x v="0"/>
    <x v="8"/>
  </r>
  <r>
    <n v="2548"/>
    <x v="26"/>
    <s v="N/A"/>
    <d v="2025-09-23T00:00:00"/>
    <s v="2470107BW0006532"/>
    <n v="1"/>
    <s v="HSA-1"/>
    <m/>
    <m/>
    <n v="1900"/>
    <n v="1"/>
    <n v="45923"/>
    <x v="2"/>
    <x v="1"/>
    <x v="0"/>
    <x v="8"/>
  </r>
  <r>
    <n v="2548"/>
    <x v="26"/>
    <s v="N/A"/>
    <d v="2025-09-23T00:00:00"/>
    <s v="2470107BW0002392"/>
    <n v="1"/>
    <s v="HSA-1"/>
    <m/>
    <m/>
    <n v="1900"/>
    <n v="1"/>
    <n v="45923"/>
    <x v="2"/>
    <x v="1"/>
    <x v="0"/>
    <x v="8"/>
  </r>
  <r>
    <n v="2548"/>
    <x v="26"/>
    <s v="N/A"/>
    <d v="2025-09-23T00:00:00"/>
    <s v="2470107BW0003194"/>
    <n v="1"/>
    <s v="HSA-1"/>
    <m/>
    <m/>
    <n v="1900"/>
    <n v="1"/>
    <n v="45923"/>
    <x v="2"/>
    <x v="1"/>
    <x v="0"/>
    <x v="8"/>
  </r>
  <r>
    <n v="2548"/>
    <x v="26"/>
    <s v="N/A"/>
    <d v="2025-09-23T00:00:00"/>
    <s v="2470107BW0003361"/>
    <n v="1"/>
    <s v="HSA-1"/>
    <m/>
    <m/>
    <n v="1900"/>
    <n v="1"/>
    <n v="45923"/>
    <x v="2"/>
    <x v="1"/>
    <x v="0"/>
    <x v="8"/>
  </r>
  <r>
    <n v="2548"/>
    <x v="26"/>
    <s v="N/A"/>
    <d v="2025-09-23T00:00:00"/>
    <s v="2470107BW0007639"/>
    <n v="1"/>
    <s v="HSA-1"/>
    <m/>
    <m/>
    <n v="1900"/>
    <n v="1"/>
    <n v="45923"/>
    <x v="2"/>
    <x v="1"/>
    <x v="0"/>
    <x v="8"/>
  </r>
  <r>
    <n v="2548"/>
    <x v="26"/>
    <s v="N/A"/>
    <d v="2025-09-23T00:00:00"/>
    <s v="2470107BW0003513"/>
    <n v="1"/>
    <s v="HSA-1"/>
    <m/>
    <m/>
    <n v="1900"/>
    <n v="1"/>
    <n v="45923"/>
    <x v="2"/>
    <x v="1"/>
    <x v="0"/>
    <x v="8"/>
  </r>
  <r>
    <n v="2548"/>
    <x v="26"/>
    <s v="N/A"/>
    <d v="2025-09-23T00:00:00"/>
    <s v="2470107BW0001996"/>
    <n v="1"/>
    <s v="HSA-1"/>
    <m/>
    <m/>
    <n v="1900"/>
    <n v="1"/>
    <n v="45923"/>
    <x v="2"/>
    <x v="1"/>
    <x v="0"/>
    <x v="8"/>
  </r>
  <r>
    <n v="2548"/>
    <x v="26"/>
    <s v="N/A"/>
    <d v="2025-09-23T00:00:00"/>
    <s v="2470107BW0002380"/>
    <n v="1"/>
    <s v="HSA-1"/>
    <m/>
    <m/>
    <n v="1900"/>
    <n v="1"/>
    <n v="45923"/>
    <x v="2"/>
    <x v="1"/>
    <x v="0"/>
    <x v="8"/>
  </r>
  <r>
    <n v="2548"/>
    <x v="26"/>
    <s v="N/A"/>
    <d v="2025-09-23T00:00:00"/>
    <s v="2470107BW0004897"/>
    <n v="1"/>
    <s v="HSA-1"/>
    <m/>
    <m/>
    <n v="1900"/>
    <n v="1"/>
    <n v="45923"/>
    <x v="2"/>
    <x v="1"/>
    <x v="0"/>
    <x v="8"/>
  </r>
  <r>
    <n v="2548"/>
    <x v="26"/>
    <s v="N/A"/>
    <d v="2025-09-23T00:00:00"/>
    <s v="2480107BW0007056"/>
    <n v="1"/>
    <s v="HSA-1"/>
    <m/>
    <m/>
    <n v="1900"/>
    <n v="1"/>
    <n v="45923"/>
    <x v="2"/>
    <x v="1"/>
    <x v="0"/>
    <x v="8"/>
  </r>
  <r>
    <n v="2548"/>
    <x v="26"/>
    <s v="N/A"/>
    <d v="2025-09-23T00:00:00"/>
    <s v="2480107BW0025975"/>
    <n v="1"/>
    <s v="HSA-1"/>
    <m/>
    <m/>
    <n v="1900"/>
    <n v="1"/>
    <n v="45923"/>
    <x v="2"/>
    <x v="1"/>
    <x v="0"/>
    <x v="8"/>
  </r>
  <r>
    <n v="2548"/>
    <x v="26"/>
    <s v="N/A"/>
    <d v="2025-09-23T00:00:00"/>
    <s v="2470107BW0003349"/>
    <n v="1"/>
    <s v="HSA-1"/>
    <m/>
    <m/>
    <n v="1900"/>
    <n v="1"/>
    <n v="45923"/>
    <x v="2"/>
    <x v="1"/>
    <x v="0"/>
    <x v="8"/>
  </r>
  <r>
    <n v="2548"/>
    <x v="26"/>
    <s v="N/A"/>
    <d v="2025-09-23T00:00:00"/>
    <s v="2470107BW0002917"/>
    <n v="1"/>
    <s v="HSA-1"/>
    <m/>
    <m/>
    <n v="1900"/>
    <n v="1"/>
    <n v="45923"/>
    <x v="2"/>
    <x v="1"/>
    <x v="0"/>
    <x v="8"/>
  </r>
  <r>
    <n v="2548"/>
    <x v="26"/>
    <s v="N/A"/>
    <d v="2025-09-23T00:00:00"/>
    <s v="2470107BW0003578"/>
    <n v="1"/>
    <s v="HSA-1"/>
    <m/>
    <m/>
    <n v="1900"/>
    <n v="1"/>
    <n v="45923"/>
    <x v="2"/>
    <x v="1"/>
    <x v="0"/>
    <x v="8"/>
  </r>
  <r>
    <n v="2548"/>
    <x v="26"/>
    <s v="N/A"/>
    <d v="2025-09-23T00:00:00"/>
    <s v="2470107BW0003573"/>
    <n v="1"/>
    <s v="HSA-1"/>
    <m/>
    <m/>
    <n v="1900"/>
    <n v="1"/>
    <n v="45923"/>
    <x v="2"/>
    <x v="1"/>
    <x v="0"/>
    <x v="8"/>
  </r>
  <r>
    <n v="2548"/>
    <x v="26"/>
    <s v="N/A"/>
    <d v="2025-09-23T00:00:00"/>
    <s v="2470107BW0003576"/>
    <n v="1"/>
    <s v="HSA-1"/>
    <m/>
    <m/>
    <n v="1900"/>
    <n v="1"/>
    <n v="45923"/>
    <x v="2"/>
    <x v="1"/>
    <x v="0"/>
    <x v="8"/>
  </r>
  <r>
    <n v="2548"/>
    <x v="26"/>
    <s v="N/A"/>
    <d v="2025-09-23T00:00:00"/>
    <s v="2470107BW0002780"/>
    <n v="1"/>
    <s v="HSA-1"/>
    <m/>
    <m/>
    <n v="1900"/>
    <n v="1"/>
    <n v="45923"/>
    <x v="2"/>
    <x v="1"/>
    <x v="0"/>
    <x v="8"/>
  </r>
  <r>
    <n v="2548"/>
    <x v="26"/>
    <s v="N/A"/>
    <d v="2025-09-23T00:00:00"/>
    <s v="2470107BW0003120"/>
    <n v="1"/>
    <s v="HSA-1"/>
    <m/>
    <m/>
    <n v="1900"/>
    <n v="1"/>
    <n v="45923"/>
    <x v="2"/>
    <x v="1"/>
    <x v="0"/>
    <x v="8"/>
  </r>
  <r>
    <n v="2548"/>
    <x v="26"/>
    <s v="N/A"/>
    <d v="2025-09-23T00:00:00"/>
    <s v="2470107BW0005144"/>
    <n v="1"/>
    <s v="HSA-1"/>
    <m/>
    <m/>
    <n v="1900"/>
    <n v="1"/>
    <n v="45923"/>
    <x v="2"/>
    <x v="1"/>
    <x v="0"/>
    <x v="8"/>
  </r>
  <r>
    <n v="2548"/>
    <x v="26"/>
    <s v="N/A"/>
    <d v="2025-09-23T00:00:00"/>
    <s v="2460107BW0010271"/>
    <n v="1"/>
    <s v="HSA-1"/>
    <m/>
    <m/>
    <n v="1900"/>
    <n v="1"/>
    <n v="45923"/>
    <x v="2"/>
    <x v="1"/>
    <x v="0"/>
    <x v="8"/>
  </r>
  <r>
    <n v="2548"/>
    <x v="26"/>
    <s v="N/A"/>
    <d v="2025-09-23T00:00:00"/>
    <s v="2470107BW0003150"/>
    <n v="1"/>
    <s v="HSA-1"/>
    <m/>
    <m/>
    <n v="1900"/>
    <n v="1"/>
    <n v="45923"/>
    <x v="2"/>
    <x v="1"/>
    <x v="0"/>
    <x v="8"/>
  </r>
  <r>
    <n v="2548"/>
    <x v="26"/>
    <s v="N/A"/>
    <d v="2025-09-23T00:00:00"/>
    <s v="2470107BW0003315"/>
    <n v="1"/>
    <s v="HSA-1"/>
    <m/>
    <m/>
    <n v="1900"/>
    <n v="1"/>
    <n v="45923"/>
    <x v="2"/>
    <x v="1"/>
    <x v="0"/>
    <x v="8"/>
  </r>
  <r>
    <n v="2548"/>
    <x v="26"/>
    <s v="N/A"/>
    <d v="2025-09-23T00:00:00"/>
    <s v="2470107BW0003299"/>
    <n v="1"/>
    <s v="HSA-1"/>
    <m/>
    <m/>
    <n v="1900"/>
    <n v="1"/>
    <n v="45923"/>
    <x v="2"/>
    <x v="1"/>
    <x v="0"/>
    <x v="8"/>
  </r>
  <r>
    <n v="2548"/>
    <x v="26"/>
    <s v="N/A"/>
    <d v="2025-09-23T00:00:00"/>
    <s v="2470107BW0003309"/>
    <n v="1"/>
    <s v="HSA-1"/>
    <m/>
    <m/>
    <n v="1900"/>
    <n v="1"/>
    <n v="45923"/>
    <x v="2"/>
    <x v="1"/>
    <x v="0"/>
    <x v="8"/>
  </r>
  <r>
    <n v="2548"/>
    <x v="26"/>
    <s v="N/A"/>
    <d v="2025-09-23T00:00:00"/>
    <s v="2470107BW0003260"/>
    <n v="1"/>
    <s v="HSA-1"/>
    <m/>
    <m/>
    <n v="1900"/>
    <n v="1"/>
    <n v="45923"/>
    <x v="2"/>
    <x v="1"/>
    <x v="0"/>
    <x v="8"/>
  </r>
  <r>
    <n v="2548"/>
    <x v="26"/>
    <s v="N/A"/>
    <d v="2025-09-23T00:00:00"/>
    <s v="2470107BW0003249"/>
    <n v="1"/>
    <s v="HSA-1"/>
    <m/>
    <m/>
    <n v="1900"/>
    <n v="1"/>
    <n v="45923"/>
    <x v="2"/>
    <x v="1"/>
    <x v="0"/>
    <x v="8"/>
  </r>
  <r>
    <n v="2548"/>
    <x v="26"/>
    <s v="N/A"/>
    <d v="2025-09-23T00:00:00"/>
    <s v="2470107BW0003320"/>
    <n v="1"/>
    <s v="HSA-1"/>
    <m/>
    <m/>
    <n v="1900"/>
    <n v="1"/>
    <n v="45923"/>
    <x v="2"/>
    <x v="1"/>
    <x v="0"/>
    <x v="8"/>
  </r>
  <r>
    <n v="2548"/>
    <x v="26"/>
    <s v="N/A"/>
    <d v="2025-09-23T00:00:00"/>
    <s v="2470107BW0003172"/>
    <n v="1"/>
    <s v="HSA-1"/>
    <m/>
    <m/>
    <n v="1900"/>
    <n v="1"/>
    <n v="45923"/>
    <x v="2"/>
    <x v="1"/>
    <x v="0"/>
    <x v="8"/>
  </r>
  <r>
    <n v="2548"/>
    <x v="26"/>
    <s v="N/A"/>
    <d v="2025-09-23T00:00:00"/>
    <s v="2470107BW0003334"/>
    <n v="1"/>
    <s v="HSA-1"/>
    <m/>
    <m/>
    <n v="1900"/>
    <n v="1"/>
    <n v="45923"/>
    <x v="2"/>
    <x v="1"/>
    <x v="0"/>
    <x v="8"/>
  </r>
  <r>
    <n v="2548"/>
    <x v="26"/>
    <s v="N/A"/>
    <d v="2025-09-23T00:00:00"/>
    <s v="2470107BW0003269"/>
    <n v="1"/>
    <s v="HSA-1"/>
    <m/>
    <m/>
    <n v="1900"/>
    <n v="1"/>
    <n v="45923"/>
    <x v="2"/>
    <x v="1"/>
    <x v="0"/>
    <x v="8"/>
  </r>
  <r>
    <n v="2548"/>
    <x v="26"/>
    <s v="N/A"/>
    <d v="2025-09-23T00:00:00"/>
    <s v="2470107BW0003333"/>
    <n v="1"/>
    <s v="HSA-1"/>
    <m/>
    <m/>
    <n v="1900"/>
    <n v="1"/>
    <n v="45923"/>
    <x v="2"/>
    <x v="1"/>
    <x v="0"/>
    <x v="8"/>
  </r>
  <r>
    <n v="2548"/>
    <x v="26"/>
    <s v="N/A"/>
    <d v="2025-09-23T00:00:00"/>
    <s v="2470107BW0003395"/>
    <n v="1"/>
    <s v="HSA-1"/>
    <m/>
    <m/>
    <n v="1900"/>
    <n v="1"/>
    <n v="45923"/>
    <x v="2"/>
    <x v="1"/>
    <x v="0"/>
    <x v="8"/>
  </r>
  <r>
    <n v="2548"/>
    <x v="26"/>
    <s v="N/A"/>
    <d v="2025-09-23T00:00:00"/>
    <s v="2470107BW0008720"/>
    <n v="1"/>
    <s v="HSA-1"/>
    <m/>
    <m/>
    <n v="1900"/>
    <n v="1"/>
    <n v="45923"/>
    <x v="2"/>
    <x v="1"/>
    <x v="0"/>
    <x v="8"/>
  </r>
  <r>
    <n v="2548"/>
    <x v="26"/>
    <s v="N/A"/>
    <d v="2025-09-23T00:00:00"/>
    <s v="2470107BW0003276"/>
    <n v="1"/>
    <s v="HSA-1"/>
    <m/>
    <m/>
    <n v="1900"/>
    <n v="1"/>
    <n v="45923"/>
    <x v="2"/>
    <x v="1"/>
    <x v="0"/>
    <x v="8"/>
  </r>
  <r>
    <n v="2548"/>
    <x v="26"/>
    <s v="N/A"/>
    <d v="2025-09-23T00:00:00"/>
    <s v="2470107BW0003295"/>
    <n v="1"/>
    <s v="HSA-1"/>
    <m/>
    <m/>
    <n v="1900"/>
    <n v="1"/>
    <n v="45923"/>
    <x v="2"/>
    <x v="1"/>
    <x v="0"/>
    <x v="8"/>
  </r>
  <r>
    <n v="2548"/>
    <x v="26"/>
    <s v="N/A"/>
    <d v="2025-09-23T00:00:00"/>
    <s v="2470107BW0003297"/>
    <n v="1"/>
    <s v="HSA-1"/>
    <m/>
    <m/>
    <n v="1900"/>
    <n v="1"/>
    <n v="45923"/>
    <x v="2"/>
    <x v="1"/>
    <x v="0"/>
    <x v="8"/>
  </r>
  <r>
    <n v="2548"/>
    <x v="26"/>
    <s v="N/A"/>
    <d v="2025-09-23T00:00:00"/>
    <s v="2470107BW0002599"/>
    <n v="1"/>
    <s v="HSA-1"/>
    <m/>
    <m/>
    <n v="1900"/>
    <n v="1"/>
    <n v="45923"/>
    <x v="2"/>
    <x v="1"/>
    <x v="0"/>
    <x v="8"/>
  </r>
  <r>
    <n v="2548"/>
    <x v="26"/>
    <s v="N/A"/>
    <d v="2025-09-23T00:00:00"/>
    <s v="2470107BW0003693"/>
    <n v="1"/>
    <s v="HSA-1"/>
    <m/>
    <m/>
    <n v="1900"/>
    <n v="1"/>
    <n v="45923"/>
    <x v="2"/>
    <x v="1"/>
    <x v="0"/>
    <x v="8"/>
  </r>
  <r>
    <n v="2548"/>
    <x v="26"/>
    <s v="N/A"/>
    <d v="2025-09-23T00:00:00"/>
    <s v="2470107BW0003359"/>
    <n v="1"/>
    <s v="HSA-1"/>
    <m/>
    <m/>
    <n v="1900"/>
    <n v="1"/>
    <n v="45923"/>
    <x v="2"/>
    <x v="1"/>
    <x v="0"/>
    <x v="8"/>
  </r>
  <r>
    <n v="2548"/>
    <x v="26"/>
    <s v="N/A"/>
    <d v="2025-09-23T00:00:00"/>
    <s v="2470107BW0003387"/>
    <n v="1"/>
    <s v="HSA-1"/>
    <m/>
    <m/>
    <n v="1900"/>
    <n v="1"/>
    <n v="45923"/>
    <x v="2"/>
    <x v="1"/>
    <x v="0"/>
    <x v="8"/>
  </r>
  <r>
    <n v="2548"/>
    <x v="26"/>
    <s v="N/A"/>
    <d v="2025-09-23T00:00:00"/>
    <s v="2470107BW0003400"/>
    <n v="1"/>
    <s v="HSA-1"/>
    <m/>
    <m/>
    <n v="1900"/>
    <n v="1"/>
    <n v="45923"/>
    <x v="2"/>
    <x v="1"/>
    <x v="0"/>
    <x v="8"/>
  </r>
  <r>
    <n v="2548"/>
    <x v="26"/>
    <s v="N/A"/>
    <d v="2025-09-23T00:00:00"/>
    <s v="2470107BW0002538"/>
    <n v="1"/>
    <s v="HSA-1"/>
    <m/>
    <m/>
    <n v="1900"/>
    <n v="1"/>
    <n v="45923"/>
    <x v="2"/>
    <x v="1"/>
    <x v="0"/>
    <x v="8"/>
  </r>
  <r>
    <n v="2548"/>
    <x v="26"/>
    <s v="N/A"/>
    <d v="2025-09-23T00:00:00"/>
    <s v="2470107BW0001994"/>
    <n v="1"/>
    <s v="HSA-1"/>
    <m/>
    <m/>
    <n v="1900"/>
    <n v="1"/>
    <n v="45923"/>
    <x v="2"/>
    <x v="1"/>
    <x v="0"/>
    <x v="8"/>
  </r>
  <r>
    <n v="2548"/>
    <x v="26"/>
    <s v="N/A"/>
    <d v="2025-09-23T00:00:00"/>
    <s v="2460107BW0015356"/>
    <n v="1"/>
    <s v="HSA-1"/>
    <m/>
    <m/>
    <n v="1900"/>
    <n v="1"/>
    <n v="45923"/>
    <x v="2"/>
    <x v="1"/>
    <x v="0"/>
    <x v="8"/>
  </r>
  <r>
    <n v="2548"/>
    <x v="26"/>
    <s v="N/A"/>
    <d v="2025-09-23T00:00:00"/>
    <s v="2470107BW0003033"/>
    <n v="1"/>
    <s v="HSA-1"/>
    <m/>
    <m/>
    <n v="1900"/>
    <n v="1"/>
    <n v="45923"/>
    <x v="2"/>
    <x v="1"/>
    <x v="0"/>
    <x v="8"/>
  </r>
  <r>
    <n v="2548"/>
    <x v="26"/>
    <s v="N/A"/>
    <d v="2025-09-23T00:00:00"/>
    <s v="2470107BW0003494"/>
    <n v="1"/>
    <s v="HSA-1"/>
    <m/>
    <m/>
    <n v="1900"/>
    <n v="1"/>
    <n v="45923"/>
    <x v="2"/>
    <x v="1"/>
    <x v="0"/>
    <x v="8"/>
  </r>
  <r>
    <n v="2548"/>
    <x v="26"/>
    <s v="N/A"/>
    <d v="2025-09-23T00:00:00"/>
    <s v="2470107BW0003406"/>
    <n v="1"/>
    <s v="HSA-1"/>
    <m/>
    <m/>
    <n v="1900"/>
    <n v="1"/>
    <n v="45923"/>
    <x v="2"/>
    <x v="1"/>
    <x v="0"/>
    <x v="8"/>
  </r>
  <r>
    <n v="2548"/>
    <x v="26"/>
    <s v="N/A"/>
    <d v="2025-09-23T00:00:00"/>
    <s v="2470107BW0002564"/>
    <n v="1"/>
    <s v="HSA-1"/>
    <m/>
    <m/>
    <n v="1900"/>
    <n v="1"/>
    <n v="45923"/>
    <x v="2"/>
    <x v="1"/>
    <x v="0"/>
    <x v="8"/>
  </r>
  <r>
    <n v="2548"/>
    <x v="26"/>
    <s v="N/A"/>
    <d v="2025-09-23T00:00:00"/>
    <s v="2470107BW0003318"/>
    <n v="1"/>
    <s v="HSA-1"/>
    <m/>
    <m/>
    <n v="1900"/>
    <n v="1"/>
    <n v="45923"/>
    <x v="2"/>
    <x v="1"/>
    <x v="0"/>
    <x v="8"/>
  </r>
  <r>
    <n v="2548"/>
    <x v="26"/>
    <s v="N/A"/>
    <d v="2025-09-23T00:00:00"/>
    <s v="2470107BW0003365"/>
    <n v="1"/>
    <s v="HSA-1"/>
    <m/>
    <m/>
    <n v="1900"/>
    <n v="1"/>
    <n v="45923"/>
    <x v="2"/>
    <x v="1"/>
    <x v="0"/>
    <x v="8"/>
  </r>
  <r>
    <n v="2548"/>
    <x v="26"/>
    <s v="N/A"/>
    <d v="2025-09-23T00:00:00"/>
    <s v="2470107BW0003248"/>
    <n v="1"/>
    <s v="HSA-1"/>
    <m/>
    <m/>
    <n v="1900"/>
    <n v="1"/>
    <n v="45923"/>
    <x v="2"/>
    <x v="1"/>
    <x v="0"/>
    <x v="8"/>
  </r>
  <r>
    <n v="2548"/>
    <x v="26"/>
    <s v="N/A"/>
    <d v="2025-09-23T00:00:00"/>
    <s v="2470107BW0003348"/>
    <n v="1"/>
    <s v="HSA-1"/>
    <m/>
    <m/>
    <n v="1900"/>
    <n v="1"/>
    <n v="45923"/>
    <x v="2"/>
    <x v="1"/>
    <x v="0"/>
    <x v="8"/>
  </r>
  <r>
    <n v="2549"/>
    <x v="27"/>
    <s v="N/A"/>
    <d v="2025-09-24T00:00:00"/>
    <s v="AAAA"/>
    <n v="1"/>
    <s v="HSA-1"/>
    <s v="MAVİÇAM"/>
    <m/>
    <m/>
    <m/>
    <m/>
    <x v="19"/>
    <x v="0"/>
    <x v="0"/>
    <x v="8"/>
  </r>
  <r>
    <n v="2549"/>
    <x v="27"/>
    <s v="N/A"/>
    <d v="2025-09-24T00:00:00"/>
    <s v="AAAA"/>
    <n v="1"/>
    <s v="HSA-1"/>
    <s v="MAVİÇAM"/>
    <m/>
    <m/>
    <m/>
    <m/>
    <x v="19"/>
    <x v="0"/>
    <x v="0"/>
    <x v="8"/>
  </r>
  <r>
    <n v="2549"/>
    <x v="27"/>
    <s v="N/A"/>
    <d v="2025-09-24T00:00:00"/>
    <s v="AAAA"/>
    <n v="1"/>
    <s v="HSA-1"/>
    <s v="MAVİÇAM"/>
    <m/>
    <m/>
    <m/>
    <m/>
    <x v="19"/>
    <x v="0"/>
    <x v="0"/>
    <x v="8"/>
  </r>
  <r>
    <n v="2549"/>
    <x v="27"/>
    <s v="N/A"/>
    <d v="2025-09-24T00:00:00"/>
    <s v="AAAA"/>
    <n v="1"/>
    <s v="HSA-1"/>
    <s v="MAVİÇAM"/>
    <m/>
    <m/>
    <m/>
    <m/>
    <x v="19"/>
    <x v="0"/>
    <x v="0"/>
    <x v="8"/>
  </r>
  <r>
    <n v="2549"/>
    <x v="27"/>
    <s v="N/A"/>
    <d v="2025-09-24T00:00:00"/>
    <s v="AAAA"/>
    <n v="1"/>
    <s v="HSA-1"/>
    <s v="MAVİÇAM"/>
    <m/>
    <m/>
    <m/>
    <m/>
    <x v="19"/>
    <x v="0"/>
    <x v="0"/>
    <x v="8"/>
  </r>
  <r>
    <n v="2549"/>
    <x v="27"/>
    <s v="N/A"/>
    <d v="2025-09-24T00:00:00"/>
    <s v="AAAA"/>
    <n v="1"/>
    <s v="HSA-1"/>
    <s v="MAVİÇAM"/>
    <m/>
    <m/>
    <m/>
    <m/>
    <x v="19"/>
    <x v="0"/>
    <x v="0"/>
    <x v="8"/>
  </r>
  <r>
    <n v="2549"/>
    <x v="27"/>
    <s v="N/A"/>
    <d v="2025-09-24T00:00:00"/>
    <s v="AAAA"/>
    <n v="1"/>
    <s v="HSA-1"/>
    <s v="MAVİÇAM"/>
    <m/>
    <m/>
    <m/>
    <m/>
    <x v="19"/>
    <x v="0"/>
    <x v="0"/>
    <x v="8"/>
  </r>
  <r>
    <n v="2549"/>
    <x v="27"/>
    <s v="N/A"/>
    <d v="2025-09-24T00:00:00"/>
    <s v="AAAA"/>
    <n v="1"/>
    <s v="HSA-1"/>
    <s v="MAVİÇAM"/>
    <m/>
    <m/>
    <m/>
    <m/>
    <x v="19"/>
    <x v="0"/>
    <x v="0"/>
    <x v="8"/>
  </r>
  <r>
    <n v="2549"/>
    <x v="27"/>
    <s v="N/A"/>
    <d v="2025-09-24T00:00:00"/>
    <s v="AAAA"/>
    <n v="1"/>
    <s v="HSA-1"/>
    <s v="MAVİÇAM"/>
    <m/>
    <m/>
    <m/>
    <m/>
    <x v="19"/>
    <x v="0"/>
    <x v="0"/>
    <x v="8"/>
  </r>
  <r>
    <n v="2549"/>
    <x v="27"/>
    <s v="N/A"/>
    <d v="2025-09-24T00:00:00"/>
    <s v="AAAA"/>
    <n v="1"/>
    <s v="HSA-1"/>
    <s v="MAVİÇAM"/>
    <m/>
    <m/>
    <m/>
    <m/>
    <x v="19"/>
    <x v="0"/>
    <x v="0"/>
    <x v="8"/>
  </r>
  <r>
    <n v="2549"/>
    <x v="27"/>
    <s v="N/A"/>
    <d v="2025-09-24T00:00:00"/>
    <s v="AAAA"/>
    <n v="1"/>
    <s v="HSA-1"/>
    <s v="MAVİÇAM"/>
    <m/>
    <m/>
    <m/>
    <m/>
    <x v="19"/>
    <x v="0"/>
    <x v="0"/>
    <x v="8"/>
  </r>
  <r>
    <n v="2549"/>
    <x v="27"/>
    <s v="N/A"/>
    <d v="2025-09-24T00:00:00"/>
    <s v="AAAA"/>
    <n v="1"/>
    <s v="HSA-1"/>
    <s v="MAVİÇAM"/>
    <m/>
    <m/>
    <m/>
    <m/>
    <x v="19"/>
    <x v="0"/>
    <x v="0"/>
    <x v="8"/>
  </r>
  <r>
    <n v="2549"/>
    <x v="27"/>
    <s v="N/A"/>
    <d v="2025-09-24T00:00:00"/>
    <s v="AAAA"/>
    <n v="1"/>
    <s v="HSA-1"/>
    <s v="MAVİÇAM"/>
    <m/>
    <m/>
    <m/>
    <m/>
    <x v="19"/>
    <x v="0"/>
    <x v="0"/>
    <x v="8"/>
  </r>
  <r>
    <n v="2549"/>
    <x v="27"/>
    <s v="N/A"/>
    <d v="2025-09-24T00:00:00"/>
    <s v="AAAA"/>
    <n v="1"/>
    <s v="HSA-1"/>
    <s v="MAVİÇAM"/>
    <m/>
    <m/>
    <m/>
    <m/>
    <x v="19"/>
    <x v="0"/>
    <x v="0"/>
    <x v="8"/>
  </r>
  <r>
    <n v="2549"/>
    <x v="27"/>
    <s v="N/A"/>
    <d v="2025-09-24T00:00:00"/>
    <s v="AAAA"/>
    <n v="1"/>
    <s v="HSA-1"/>
    <s v="MAVİÇAM"/>
    <m/>
    <m/>
    <m/>
    <m/>
    <x v="19"/>
    <x v="0"/>
    <x v="0"/>
    <x v="8"/>
  </r>
  <r>
    <n v="2549"/>
    <x v="27"/>
    <s v="N/A"/>
    <d v="2025-09-24T00:00:00"/>
    <s v="AAAA"/>
    <n v="1"/>
    <s v="HSA-1"/>
    <s v="MAVİÇAM"/>
    <m/>
    <m/>
    <m/>
    <m/>
    <x v="19"/>
    <x v="0"/>
    <x v="0"/>
    <x v="8"/>
  </r>
  <r>
    <n v="2549"/>
    <x v="27"/>
    <s v="N/A"/>
    <d v="2025-09-24T00:00:00"/>
    <s v="AAAA"/>
    <n v="1"/>
    <s v="HSA-1"/>
    <s v="MAVİÇAM"/>
    <m/>
    <m/>
    <m/>
    <m/>
    <x v="19"/>
    <x v="0"/>
    <x v="0"/>
    <x v="8"/>
  </r>
  <r>
    <n v="2549"/>
    <x v="27"/>
    <s v="N/A"/>
    <d v="2025-09-24T00:00:00"/>
    <s v="AAAA"/>
    <n v="1"/>
    <s v="HSA-1"/>
    <s v="MAVİÇAM"/>
    <m/>
    <m/>
    <m/>
    <m/>
    <x v="19"/>
    <x v="0"/>
    <x v="0"/>
    <x v="8"/>
  </r>
  <r>
    <n v="2549"/>
    <x v="27"/>
    <s v="N/A"/>
    <d v="2025-09-24T00:00:00"/>
    <s v="AAAA"/>
    <n v="1"/>
    <s v="HSA-1"/>
    <s v="MAVİÇAM"/>
    <m/>
    <m/>
    <m/>
    <m/>
    <x v="19"/>
    <x v="0"/>
    <x v="0"/>
    <x v="8"/>
  </r>
  <r>
    <n v="2549"/>
    <x v="27"/>
    <s v="N/A"/>
    <d v="2025-09-24T00:00:00"/>
    <s v="AAAA"/>
    <n v="1"/>
    <s v="HSA-1"/>
    <s v="MAVİÇAM"/>
    <m/>
    <m/>
    <m/>
    <m/>
    <x v="19"/>
    <x v="0"/>
    <x v="0"/>
    <x v="8"/>
  </r>
  <r>
    <n v="2549"/>
    <x v="27"/>
    <s v="N/A"/>
    <d v="2025-09-24T00:00:00"/>
    <s v="AAAA"/>
    <n v="1"/>
    <s v="HSA-1"/>
    <s v="MAVİÇAM"/>
    <m/>
    <m/>
    <m/>
    <m/>
    <x v="19"/>
    <x v="0"/>
    <x v="0"/>
    <x v="8"/>
  </r>
  <r>
    <n v="2549"/>
    <x v="27"/>
    <s v="N/A"/>
    <d v="2025-09-24T00:00:00"/>
    <s v="AAAA"/>
    <n v="1"/>
    <s v="HSA-1"/>
    <s v="MAVİÇAM"/>
    <m/>
    <m/>
    <m/>
    <m/>
    <x v="19"/>
    <x v="0"/>
    <x v="0"/>
    <x v="8"/>
  </r>
  <r>
    <n v="2549"/>
    <x v="27"/>
    <s v="N/A"/>
    <d v="2025-09-24T00:00:00"/>
    <s v="AAAA"/>
    <n v="1"/>
    <s v="HSA-1"/>
    <s v="MAVİÇAM"/>
    <m/>
    <m/>
    <m/>
    <m/>
    <x v="19"/>
    <x v="0"/>
    <x v="0"/>
    <x v="8"/>
  </r>
  <r>
    <n v="2549"/>
    <x v="27"/>
    <s v="N/A"/>
    <d v="2025-09-24T00:00:00"/>
    <s v="AAAA"/>
    <n v="1"/>
    <s v="HSA-1"/>
    <s v="MAVİÇAM"/>
    <m/>
    <m/>
    <m/>
    <m/>
    <x v="19"/>
    <x v="0"/>
    <x v="0"/>
    <x v="8"/>
  </r>
  <r>
    <n v="2549"/>
    <x v="27"/>
    <s v="N/A"/>
    <d v="2025-09-24T00:00:00"/>
    <s v="AAAA"/>
    <n v="1"/>
    <s v="HSA-1"/>
    <s v="MAVİÇAM"/>
    <m/>
    <m/>
    <m/>
    <m/>
    <x v="19"/>
    <x v="0"/>
    <x v="0"/>
    <x v="8"/>
  </r>
  <r>
    <n v="2549"/>
    <x v="27"/>
    <s v="N/A"/>
    <d v="2025-09-24T00:00:00"/>
    <s v="AAAA"/>
    <n v="1"/>
    <s v="HSA-1"/>
    <s v="MAVİÇAM"/>
    <m/>
    <m/>
    <m/>
    <m/>
    <x v="19"/>
    <x v="0"/>
    <x v="0"/>
    <x v="8"/>
  </r>
  <r>
    <n v="2549"/>
    <x v="27"/>
    <s v="N/A"/>
    <d v="2025-09-24T00:00:00"/>
    <s v="AAAA"/>
    <n v="1"/>
    <s v="HSA-1"/>
    <s v="MAVİÇAM"/>
    <m/>
    <m/>
    <m/>
    <m/>
    <x v="19"/>
    <x v="0"/>
    <x v="0"/>
    <x v="8"/>
  </r>
  <r>
    <n v="2549"/>
    <x v="27"/>
    <s v="N/A"/>
    <d v="2025-09-24T00:00:00"/>
    <s v="AAAA"/>
    <n v="1"/>
    <s v="HSA-1"/>
    <s v="MAVİÇAM"/>
    <m/>
    <m/>
    <m/>
    <m/>
    <x v="19"/>
    <x v="0"/>
    <x v="0"/>
    <x v="8"/>
  </r>
  <r>
    <n v="2549"/>
    <x v="27"/>
    <s v="N/A"/>
    <d v="2025-09-24T00:00:00"/>
    <s v="AAAA"/>
    <n v="1"/>
    <s v="HSA-1"/>
    <s v="MAVİÇAM"/>
    <m/>
    <m/>
    <m/>
    <m/>
    <x v="19"/>
    <x v="0"/>
    <x v="0"/>
    <x v="8"/>
  </r>
  <r>
    <n v="2549"/>
    <x v="27"/>
    <s v="N/A"/>
    <d v="2025-09-24T00:00:00"/>
    <s v="AAAA"/>
    <n v="1"/>
    <s v="HSA-1"/>
    <s v="MAVİÇAM"/>
    <m/>
    <m/>
    <m/>
    <m/>
    <x v="19"/>
    <x v="0"/>
    <x v="0"/>
    <x v="8"/>
  </r>
  <r>
    <n v="2549"/>
    <x v="27"/>
    <s v="N/A"/>
    <d v="2025-09-24T00:00:00"/>
    <s v="AAAA"/>
    <n v="1"/>
    <s v="HSA-1"/>
    <s v="MAVİÇAM"/>
    <m/>
    <m/>
    <m/>
    <m/>
    <x v="19"/>
    <x v="0"/>
    <x v="0"/>
    <x v="8"/>
  </r>
  <r>
    <n v="2549"/>
    <x v="27"/>
    <s v="N/A"/>
    <d v="2025-09-24T00:00:00"/>
    <s v="AAAA"/>
    <n v="1"/>
    <s v="HSA-1"/>
    <s v="MAVİÇAM"/>
    <m/>
    <m/>
    <m/>
    <m/>
    <x v="19"/>
    <x v="0"/>
    <x v="0"/>
    <x v="8"/>
  </r>
  <r>
    <n v="2549"/>
    <x v="27"/>
    <s v="N/A"/>
    <d v="2025-09-24T00:00:00"/>
    <s v="AAAA"/>
    <n v="1"/>
    <s v="HSA-1"/>
    <s v="MAVİÇAM"/>
    <m/>
    <m/>
    <m/>
    <m/>
    <x v="19"/>
    <x v="0"/>
    <x v="0"/>
    <x v="8"/>
  </r>
  <r>
    <n v="2549"/>
    <x v="27"/>
    <s v="N/A"/>
    <d v="2025-09-24T00:00:00"/>
    <s v="AAAA"/>
    <n v="1"/>
    <s v="HSA-1"/>
    <s v="MAVİÇAM"/>
    <m/>
    <m/>
    <m/>
    <m/>
    <x v="19"/>
    <x v="0"/>
    <x v="0"/>
    <x v="8"/>
  </r>
  <r>
    <n v="2549"/>
    <x v="27"/>
    <s v="N/A"/>
    <d v="2025-09-24T00:00:00"/>
    <s v="AAAA"/>
    <n v="1"/>
    <s v="HSA-1"/>
    <s v="MAVİÇAM"/>
    <m/>
    <m/>
    <m/>
    <m/>
    <x v="19"/>
    <x v="0"/>
    <x v="0"/>
    <x v="8"/>
  </r>
  <r>
    <n v="2549"/>
    <x v="27"/>
    <s v="N/A"/>
    <d v="2025-09-24T00:00:00"/>
    <s v="AAAA"/>
    <n v="1"/>
    <s v="HSA-1"/>
    <s v="MAVİÇAM"/>
    <m/>
    <m/>
    <m/>
    <m/>
    <x v="19"/>
    <x v="0"/>
    <x v="0"/>
    <x v="8"/>
  </r>
  <r>
    <n v="2549"/>
    <x v="27"/>
    <s v="N/A"/>
    <d v="2025-09-24T00:00:00"/>
    <s v="AAAA"/>
    <n v="1"/>
    <s v="HSA-1"/>
    <s v="MAVİÇAM"/>
    <m/>
    <m/>
    <m/>
    <m/>
    <x v="19"/>
    <x v="0"/>
    <x v="0"/>
    <x v="8"/>
  </r>
  <r>
    <n v="2549"/>
    <x v="27"/>
    <s v="N/A"/>
    <d v="2025-09-24T00:00:00"/>
    <s v="AAAA"/>
    <n v="1"/>
    <s v="HSA-1"/>
    <s v="MAVİÇAM"/>
    <m/>
    <m/>
    <m/>
    <m/>
    <x v="19"/>
    <x v="0"/>
    <x v="0"/>
    <x v="8"/>
  </r>
  <r>
    <n v="2549"/>
    <x v="27"/>
    <s v="N/A"/>
    <d v="2025-09-24T00:00:00"/>
    <s v="AAAA"/>
    <n v="1"/>
    <s v="HSA-1"/>
    <s v="MAVİÇAM"/>
    <m/>
    <m/>
    <m/>
    <m/>
    <x v="19"/>
    <x v="0"/>
    <x v="0"/>
    <x v="8"/>
  </r>
  <r>
    <n v="2549"/>
    <x v="27"/>
    <s v="N/A"/>
    <d v="2025-09-24T00:00:00"/>
    <s v="AAAA"/>
    <n v="1"/>
    <s v="HSA-1"/>
    <s v="MAVİÇAM"/>
    <m/>
    <m/>
    <m/>
    <m/>
    <x v="19"/>
    <x v="0"/>
    <x v="0"/>
    <x v="8"/>
  </r>
  <r>
    <n v="2549"/>
    <x v="27"/>
    <s v="N/A"/>
    <d v="2025-09-24T00:00:00"/>
    <s v="AAAA"/>
    <n v="1"/>
    <s v="HSA-1"/>
    <s v="MAVİÇAM"/>
    <m/>
    <m/>
    <m/>
    <m/>
    <x v="19"/>
    <x v="0"/>
    <x v="0"/>
    <x v="8"/>
  </r>
  <r>
    <n v="2549"/>
    <x v="27"/>
    <s v="N/A"/>
    <d v="2025-09-24T00:00:00"/>
    <s v="AAAA"/>
    <n v="1"/>
    <s v="HSA-1"/>
    <s v="MAVİÇAM"/>
    <m/>
    <m/>
    <m/>
    <m/>
    <x v="19"/>
    <x v="0"/>
    <x v="0"/>
    <x v="8"/>
  </r>
  <r>
    <n v="2549"/>
    <x v="27"/>
    <s v="N/A"/>
    <d v="2025-09-24T00:00:00"/>
    <s v="AAAA"/>
    <n v="1"/>
    <s v="HSA-1"/>
    <s v="MAVİÇAM"/>
    <m/>
    <m/>
    <m/>
    <m/>
    <x v="19"/>
    <x v="0"/>
    <x v="0"/>
    <x v="8"/>
  </r>
  <r>
    <n v="2549"/>
    <x v="27"/>
    <s v="N/A"/>
    <d v="2025-09-24T00:00:00"/>
    <s v="AAAA"/>
    <n v="1"/>
    <s v="HSA-1"/>
    <s v="MAVİÇAM"/>
    <m/>
    <m/>
    <m/>
    <m/>
    <x v="19"/>
    <x v="0"/>
    <x v="0"/>
    <x v="8"/>
  </r>
  <r>
    <n v="2549"/>
    <x v="27"/>
    <s v="N/A"/>
    <d v="2025-09-24T00:00:00"/>
    <s v="AAAA"/>
    <n v="1"/>
    <s v="HSA-1"/>
    <s v="MAVİÇAM"/>
    <m/>
    <m/>
    <m/>
    <m/>
    <x v="19"/>
    <x v="0"/>
    <x v="0"/>
    <x v="8"/>
  </r>
  <r>
    <n v="2549"/>
    <x v="27"/>
    <s v="N/A"/>
    <d v="2025-09-24T00:00:00"/>
    <s v="AAAA"/>
    <n v="1"/>
    <s v="HSA-1"/>
    <s v="MAVİÇAM"/>
    <m/>
    <m/>
    <m/>
    <m/>
    <x v="19"/>
    <x v="0"/>
    <x v="0"/>
    <x v="8"/>
  </r>
  <r>
    <n v="2549"/>
    <x v="27"/>
    <s v="N/A"/>
    <d v="2025-09-24T00:00:00"/>
    <s v="AAAA"/>
    <n v="1"/>
    <s v="HSA-1"/>
    <s v="MAVİÇAM"/>
    <m/>
    <m/>
    <m/>
    <m/>
    <x v="19"/>
    <x v="0"/>
    <x v="0"/>
    <x v="8"/>
  </r>
  <r>
    <n v="2549"/>
    <x v="27"/>
    <s v="N/A"/>
    <d v="2025-09-24T00:00:00"/>
    <s v="AAAA"/>
    <n v="1"/>
    <s v="HSA-1"/>
    <s v="MAVİÇAM"/>
    <m/>
    <m/>
    <m/>
    <m/>
    <x v="19"/>
    <x v="0"/>
    <x v="0"/>
    <x v="8"/>
  </r>
  <r>
    <n v="2549"/>
    <x v="27"/>
    <s v="N/A"/>
    <d v="2025-09-24T00:00:00"/>
    <s v="AAAA"/>
    <n v="1"/>
    <s v="HSA-1"/>
    <s v="MAVİÇAM"/>
    <m/>
    <m/>
    <m/>
    <m/>
    <x v="19"/>
    <x v="0"/>
    <x v="0"/>
    <x v="8"/>
  </r>
  <r>
    <n v="2549"/>
    <x v="27"/>
    <s v="N/A"/>
    <d v="2025-09-24T00:00:00"/>
    <s v="AAAA"/>
    <n v="1"/>
    <s v="HSA-1"/>
    <s v="MAVİÇAM"/>
    <m/>
    <m/>
    <m/>
    <m/>
    <x v="19"/>
    <x v="0"/>
    <x v="0"/>
    <x v="8"/>
  </r>
  <r>
    <n v="2549"/>
    <x v="27"/>
    <s v="N/A"/>
    <d v="2025-09-24T00:00:00"/>
    <s v="AAAA"/>
    <n v="1"/>
    <s v="HSA-1"/>
    <s v="MAVİÇAM"/>
    <m/>
    <m/>
    <m/>
    <m/>
    <x v="19"/>
    <x v="0"/>
    <x v="0"/>
    <x v="8"/>
  </r>
  <r>
    <n v="2549"/>
    <x v="27"/>
    <s v="N/A"/>
    <d v="2025-09-24T00:00:00"/>
    <s v="AAAA"/>
    <n v="1"/>
    <s v="HSA-1"/>
    <s v="MAVİÇAM"/>
    <m/>
    <m/>
    <m/>
    <m/>
    <x v="19"/>
    <x v="0"/>
    <x v="0"/>
    <x v="8"/>
  </r>
  <r>
    <n v="2549"/>
    <x v="27"/>
    <s v="N/A"/>
    <d v="2025-09-24T00:00:00"/>
    <s v="AAAA"/>
    <n v="1"/>
    <s v="HSA-1"/>
    <s v="MAVİÇAM"/>
    <m/>
    <m/>
    <m/>
    <m/>
    <x v="19"/>
    <x v="0"/>
    <x v="0"/>
    <x v="8"/>
  </r>
  <r>
    <n v="2549"/>
    <x v="27"/>
    <s v="N/A"/>
    <d v="2025-09-24T00:00:00"/>
    <s v="AAAA"/>
    <n v="1"/>
    <s v="HSA-1"/>
    <s v="MAVİÇAM"/>
    <m/>
    <m/>
    <m/>
    <m/>
    <x v="19"/>
    <x v="0"/>
    <x v="0"/>
    <x v="8"/>
  </r>
  <r>
    <n v="2549"/>
    <x v="27"/>
    <s v="N/A"/>
    <d v="2025-09-24T00:00:00"/>
    <s v="AAAA"/>
    <n v="1"/>
    <s v="HSA-1"/>
    <s v="MAVİÇAM"/>
    <m/>
    <m/>
    <m/>
    <m/>
    <x v="19"/>
    <x v="0"/>
    <x v="0"/>
    <x v="8"/>
  </r>
  <r>
    <n v="2549"/>
    <x v="27"/>
    <s v="N/A"/>
    <d v="2025-09-24T00:00:00"/>
    <s v="AAAA"/>
    <n v="1"/>
    <s v="HSA-1"/>
    <s v="MAVİÇAM"/>
    <m/>
    <m/>
    <m/>
    <m/>
    <x v="19"/>
    <x v="0"/>
    <x v="0"/>
    <x v="8"/>
  </r>
  <r>
    <n v="2549"/>
    <x v="27"/>
    <s v="N/A"/>
    <d v="2025-09-24T00:00:00"/>
    <s v="AAAA"/>
    <n v="1"/>
    <s v="HSA-1"/>
    <s v="MAVİÇAM"/>
    <m/>
    <m/>
    <m/>
    <m/>
    <x v="19"/>
    <x v="0"/>
    <x v="0"/>
    <x v="8"/>
  </r>
  <r>
    <n v="2549"/>
    <x v="27"/>
    <s v="N/A"/>
    <d v="2025-09-24T00:00:00"/>
    <s v="AAAA"/>
    <n v="1"/>
    <s v="HSA-1"/>
    <s v="MAVİÇAM"/>
    <m/>
    <m/>
    <m/>
    <m/>
    <x v="19"/>
    <x v="0"/>
    <x v="0"/>
    <x v="8"/>
  </r>
  <r>
    <n v="2549"/>
    <x v="27"/>
    <s v="N/A"/>
    <d v="2025-09-24T00:00:00"/>
    <s v="AAAA"/>
    <n v="1"/>
    <s v="HSA-1"/>
    <s v="MAVİÇAM"/>
    <m/>
    <m/>
    <m/>
    <m/>
    <x v="19"/>
    <x v="0"/>
    <x v="0"/>
    <x v="8"/>
  </r>
  <r>
    <n v="2549"/>
    <x v="27"/>
    <s v="N/A"/>
    <d v="2025-09-24T00:00:00"/>
    <s v="AAAA"/>
    <n v="1"/>
    <s v="HSA-1"/>
    <s v="MAVİÇAM"/>
    <m/>
    <m/>
    <m/>
    <m/>
    <x v="19"/>
    <x v="0"/>
    <x v="0"/>
    <x v="8"/>
  </r>
  <r>
    <n v="2549"/>
    <x v="27"/>
    <s v="N/A"/>
    <d v="2025-09-24T00:00:00"/>
    <s v="AAAA"/>
    <n v="1"/>
    <s v="HSA-1"/>
    <s v="MAVİÇAM"/>
    <m/>
    <m/>
    <m/>
    <m/>
    <x v="19"/>
    <x v="0"/>
    <x v="0"/>
    <x v="8"/>
  </r>
  <r>
    <n v="2549"/>
    <x v="27"/>
    <s v="N/A"/>
    <d v="2025-09-24T00:00:00"/>
    <s v="AAAA"/>
    <n v="1"/>
    <s v="HSA-1"/>
    <s v="MAVİÇAM"/>
    <m/>
    <m/>
    <m/>
    <m/>
    <x v="19"/>
    <x v="0"/>
    <x v="0"/>
    <x v="8"/>
  </r>
  <r>
    <n v="2549"/>
    <x v="27"/>
    <s v="N/A"/>
    <d v="2025-09-24T00:00:00"/>
    <s v="AAAA"/>
    <n v="1"/>
    <s v="HSA-1"/>
    <s v="MAVİÇAM"/>
    <m/>
    <m/>
    <m/>
    <m/>
    <x v="19"/>
    <x v="0"/>
    <x v="0"/>
    <x v="8"/>
  </r>
  <r>
    <n v="2549"/>
    <x v="27"/>
    <s v="N/A"/>
    <d v="2025-09-24T00:00:00"/>
    <s v="AAAA"/>
    <n v="1"/>
    <s v="HSA-1"/>
    <s v="MAVİÇAM"/>
    <m/>
    <m/>
    <m/>
    <m/>
    <x v="19"/>
    <x v="0"/>
    <x v="0"/>
    <x v="8"/>
  </r>
  <r>
    <n v="2549"/>
    <x v="27"/>
    <s v="N/A"/>
    <d v="2025-09-24T00:00:00"/>
    <s v="AAAA"/>
    <n v="1"/>
    <s v="HSA-1"/>
    <s v="MAVİÇAM"/>
    <m/>
    <m/>
    <m/>
    <m/>
    <x v="19"/>
    <x v="0"/>
    <x v="0"/>
    <x v="8"/>
  </r>
  <r>
    <n v="2549"/>
    <x v="27"/>
    <s v="N/A"/>
    <d v="2025-09-24T00:00:00"/>
    <s v="AAAA"/>
    <n v="1"/>
    <s v="HSA-1"/>
    <s v="MAVİÇAM"/>
    <m/>
    <m/>
    <m/>
    <m/>
    <x v="19"/>
    <x v="0"/>
    <x v="0"/>
    <x v="8"/>
  </r>
  <r>
    <n v="2549"/>
    <x v="27"/>
    <s v="N/A"/>
    <d v="2025-09-24T00:00:00"/>
    <s v="AAAA"/>
    <n v="1"/>
    <s v="HSA-1"/>
    <s v="MAVİÇAM"/>
    <m/>
    <m/>
    <m/>
    <m/>
    <x v="19"/>
    <x v="0"/>
    <x v="0"/>
    <x v="8"/>
  </r>
  <r>
    <n v="2549"/>
    <x v="27"/>
    <s v="N/A"/>
    <d v="2025-09-24T00:00:00"/>
    <s v="AAAA"/>
    <n v="1"/>
    <s v="HSA-1"/>
    <s v="MAVİÇAM"/>
    <m/>
    <m/>
    <m/>
    <m/>
    <x v="19"/>
    <x v="0"/>
    <x v="0"/>
    <x v="8"/>
  </r>
  <r>
    <n v="2549"/>
    <x v="27"/>
    <s v="N/A"/>
    <d v="2025-09-24T00:00:00"/>
    <s v="AAAA"/>
    <n v="1"/>
    <s v="HSA-1"/>
    <s v="MAVİÇAM"/>
    <m/>
    <m/>
    <m/>
    <m/>
    <x v="19"/>
    <x v="0"/>
    <x v="0"/>
    <x v="8"/>
  </r>
  <r>
    <n v="2549"/>
    <x v="27"/>
    <s v="N/A"/>
    <d v="2025-09-24T00:00:00"/>
    <s v="AAAA"/>
    <n v="1"/>
    <s v="HSA-1"/>
    <s v="MAVİÇAM"/>
    <m/>
    <m/>
    <m/>
    <m/>
    <x v="19"/>
    <x v="0"/>
    <x v="0"/>
    <x v="8"/>
  </r>
  <r>
    <n v="2549"/>
    <x v="27"/>
    <s v="N/A"/>
    <d v="2025-09-24T00:00:00"/>
    <s v="AAAA"/>
    <n v="1"/>
    <s v="HSA-1"/>
    <s v="MAVİÇAM"/>
    <m/>
    <m/>
    <m/>
    <m/>
    <x v="19"/>
    <x v="0"/>
    <x v="0"/>
    <x v="8"/>
  </r>
  <r>
    <n v="2549"/>
    <x v="27"/>
    <s v="N/A"/>
    <d v="2025-09-24T00:00:00"/>
    <s v="AAAA"/>
    <n v="1"/>
    <s v="HSA-1"/>
    <s v="MAVİÇAM"/>
    <m/>
    <m/>
    <m/>
    <m/>
    <x v="19"/>
    <x v="0"/>
    <x v="0"/>
    <x v="8"/>
  </r>
  <r>
    <n v="2550"/>
    <x v="17"/>
    <s v="YEŞİLYURT"/>
    <d v="2025-09-29T00:00:00"/>
    <s v="2360108BX0009489"/>
    <n v="1"/>
    <s v="HSA-2"/>
    <s v="JASOLAR"/>
    <m/>
    <n v="1900"/>
    <n v="1"/>
    <n v="45929"/>
    <x v="2"/>
    <x v="1"/>
    <x v="0"/>
    <x v="8"/>
  </r>
  <r>
    <n v="2550"/>
    <x v="17"/>
    <s v="YEŞİLYURT"/>
    <d v="2025-09-29T00:00:00"/>
    <s v="2360108BX0017202"/>
    <n v="1"/>
    <s v="HSA-2"/>
    <s v="JASOLAR"/>
    <m/>
    <n v="1900"/>
    <n v="1"/>
    <n v="45929"/>
    <x v="2"/>
    <x v="1"/>
    <x v="0"/>
    <x v="8"/>
  </r>
  <r>
    <n v="2550"/>
    <x v="17"/>
    <s v="YEŞİLYURT"/>
    <d v="2025-09-29T00:00:00"/>
    <s v="2360108BX0007629"/>
    <n v="1"/>
    <s v="HSA-2"/>
    <s v="JASOLAR"/>
    <m/>
    <n v="1900"/>
    <n v="1"/>
    <n v="45929"/>
    <x v="2"/>
    <x v="1"/>
    <x v="0"/>
    <x v="8"/>
  </r>
  <r>
    <n v="2550"/>
    <x v="17"/>
    <s v="YEŞİLYURT"/>
    <d v="2025-09-29T00:00:00"/>
    <s v="2360108BX0006290"/>
    <n v="1"/>
    <s v="HSA-2"/>
    <s v="JASOLAR"/>
    <m/>
    <n v="1900"/>
    <n v="1"/>
    <n v="45929"/>
    <x v="2"/>
    <x v="1"/>
    <x v="0"/>
    <x v="8"/>
  </r>
  <r>
    <n v="2550"/>
    <x v="17"/>
    <s v="YEŞİLYURT"/>
    <d v="2025-09-29T00:00:00"/>
    <s v="2360108BX0004068"/>
    <n v="1"/>
    <s v="HSA-2"/>
    <s v="JASOLAR"/>
    <m/>
    <n v="1900"/>
    <n v="1"/>
    <n v="45929"/>
    <x v="2"/>
    <x v="1"/>
    <x v="0"/>
    <x v="8"/>
  </r>
  <r>
    <n v="2550"/>
    <x v="17"/>
    <s v="YEŞİLYURT"/>
    <d v="2025-09-29T00:00:00"/>
    <s v="2380108BX0032170"/>
    <n v="1"/>
    <s v="HSA-2"/>
    <s v="JASOLAR"/>
    <m/>
    <n v="1900"/>
    <n v="1"/>
    <n v="45929"/>
    <x v="2"/>
    <x v="1"/>
    <x v="0"/>
    <x v="8"/>
  </r>
  <r>
    <n v="2550"/>
    <x v="17"/>
    <s v="YEŞİLYURT"/>
    <d v="2025-09-29T00:00:00"/>
    <s v="2370108BX0026497"/>
    <n v="1"/>
    <s v="HSA-2"/>
    <s v="JASOLAR"/>
    <m/>
    <n v="1900"/>
    <n v="1"/>
    <n v="45929"/>
    <x v="2"/>
    <x v="1"/>
    <x v="0"/>
    <x v="8"/>
  </r>
  <r>
    <n v="2550"/>
    <x v="17"/>
    <s v="YEŞİLYURT"/>
    <d v="2025-09-29T00:00:00"/>
    <s v="2380108BX0048543"/>
    <n v="1"/>
    <s v="HSA-2"/>
    <s v="JASOLAR"/>
    <m/>
    <n v="1900"/>
    <n v="1"/>
    <n v="45929"/>
    <x v="2"/>
    <x v="1"/>
    <x v="0"/>
    <x v="8"/>
  </r>
  <r>
    <n v="2550"/>
    <x v="17"/>
    <s v="YEŞİLYURT"/>
    <d v="2025-09-29T00:00:00"/>
    <s v="2380108BX0042101"/>
    <n v="1"/>
    <s v="HSA-2"/>
    <s v="JASOLAR"/>
    <m/>
    <n v="1900"/>
    <n v="1"/>
    <n v="45929"/>
    <x v="2"/>
    <x v="1"/>
    <x v="0"/>
    <x v="8"/>
  </r>
  <r>
    <n v="2550"/>
    <x v="17"/>
    <s v="YEŞİLYURT"/>
    <d v="2025-09-29T00:00:00"/>
    <s v="2370108BX0025923"/>
    <n v="1"/>
    <s v="HSA-2"/>
    <s v="JASOLAR"/>
    <m/>
    <n v="1900"/>
    <n v="1"/>
    <n v="45929"/>
    <x v="2"/>
    <x v="1"/>
    <x v="0"/>
    <x v="8"/>
  </r>
  <r>
    <n v="2550"/>
    <x v="17"/>
    <s v="YEŞİLYURT"/>
    <d v="2025-09-29T00:00:00"/>
    <s v="2340108BX0005693"/>
    <n v="1"/>
    <s v="HSA-2"/>
    <s v="JASOLAR"/>
    <m/>
    <n v="1900"/>
    <n v="1"/>
    <n v="45929"/>
    <x v="2"/>
    <x v="1"/>
    <x v="0"/>
    <x v="8"/>
  </r>
  <r>
    <n v="2550"/>
    <x v="17"/>
    <s v="YEŞİLYURT"/>
    <d v="2025-09-29T00:00:00"/>
    <s v="2340108BX0030379"/>
    <n v="1"/>
    <s v="HSA-2"/>
    <s v="JASOLAR"/>
    <m/>
    <n v="1900"/>
    <n v="1"/>
    <n v="45929"/>
    <x v="2"/>
    <x v="1"/>
    <x v="0"/>
    <x v="8"/>
  </r>
  <r>
    <n v="2550"/>
    <x v="17"/>
    <s v="YEŞİLYURT"/>
    <d v="2025-09-29T00:00:00"/>
    <s v="2340108BX0007754"/>
    <n v="1"/>
    <s v="HSA-2"/>
    <s v="JASOLAR"/>
    <m/>
    <n v="1900"/>
    <n v="1"/>
    <n v="45929"/>
    <x v="2"/>
    <x v="1"/>
    <x v="0"/>
    <x v="8"/>
  </r>
  <r>
    <n v="2550"/>
    <x v="17"/>
    <s v="YEŞİLYURT"/>
    <d v="2025-09-29T00:00:00"/>
    <s v="2340108BX0016791"/>
    <n v="1"/>
    <s v="HSA-2"/>
    <s v="JASOLAR"/>
    <m/>
    <n v="1900"/>
    <n v="1"/>
    <n v="45929"/>
    <x v="2"/>
    <x v="1"/>
    <x v="0"/>
    <x v="8"/>
  </r>
  <r>
    <n v="2550"/>
    <x v="17"/>
    <s v="YEŞİLYURT"/>
    <d v="2025-09-29T00:00:00"/>
    <s v="2340108BW0008673"/>
    <n v="1"/>
    <s v="HSA-2"/>
    <s v="JASOLAR"/>
    <m/>
    <n v="1900"/>
    <n v="1"/>
    <n v="45929"/>
    <x v="2"/>
    <x v="1"/>
    <x v="0"/>
    <x v="8"/>
  </r>
  <r>
    <n v="2550"/>
    <x v="17"/>
    <s v="YEŞİLYURT"/>
    <d v="2025-09-29T00:00:00"/>
    <s v="2390108BX0034566"/>
    <n v="1"/>
    <s v="HSA-2"/>
    <s v="JASOLAR"/>
    <m/>
    <n v="1900"/>
    <n v="1"/>
    <n v="45929"/>
    <x v="2"/>
    <x v="1"/>
    <x v="0"/>
    <x v="8"/>
  </r>
  <r>
    <n v="2550"/>
    <x v="17"/>
    <s v="YEŞİLYURT"/>
    <d v="2025-09-29T00:00:00"/>
    <s v="23A0108BX0003281"/>
    <n v="1"/>
    <s v="HSA-2"/>
    <s v="JASOLAR"/>
    <m/>
    <n v="1900"/>
    <n v="1"/>
    <n v="45929"/>
    <x v="2"/>
    <x v="1"/>
    <x v="0"/>
    <x v="8"/>
  </r>
  <r>
    <n v="2551"/>
    <x v="25"/>
    <s v="PREDO GES "/>
    <d v="2025-09-30T00:00:00"/>
    <s v="2340108BX0024728"/>
    <n v="1"/>
    <s v="HSA-2"/>
    <m/>
    <m/>
    <m/>
    <m/>
    <n v="45930"/>
    <x v="2"/>
    <x v="1"/>
    <x v="0"/>
    <x v="8"/>
  </r>
  <r>
    <n v="2551"/>
    <x v="25"/>
    <s v="PREDO GES "/>
    <d v="2025-09-30T00:00:00"/>
    <s v="2340108BX0022491"/>
    <n v="1"/>
    <s v="HSA-2"/>
    <m/>
    <m/>
    <m/>
    <m/>
    <n v="45930"/>
    <x v="2"/>
    <x v="1"/>
    <x v="0"/>
    <x v="8"/>
  </r>
  <r>
    <n v="2551"/>
    <x v="25"/>
    <s v="PREDO GES "/>
    <d v="2025-09-30T00:00:00"/>
    <s v="2340108BX0024541"/>
    <n v="1"/>
    <s v="HSA-2"/>
    <m/>
    <m/>
    <m/>
    <m/>
    <n v="45930"/>
    <x v="2"/>
    <x v="1"/>
    <x v="0"/>
    <x v="8"/>
  </r>
  <r>
    <n v="2551"/>
    <x v="25"/>
    <s v="PREDO GES "/>
    <d v="2025-09-30T00:00:00"/>
    <s v="2340108BX0023094"/>
    <n v="1"/>
    <s v="HSA-2"/>
    <m/>
    <m/>
    <m/>
    <m/>
    <n v="45930"/>
    <x v="2"/>
    <x v="1"/>
    <x v="0"/>
    <x v="8"/>
  </r>
  <r>
    <n v="2551"/>
    <x v="25"/>
    <s v="PREDO GES "/>
    <d v="2025-09-30T00:00:00"/>
    <s v="2330108BX0003186"/>
    <n v="1"/>
    <s v="HSA-2"/>
    <m/>
    <m/>
    <m/>
    <m/>
    <n v="45930"/>
    <x v="2"/>
    <x v="1"/>
    <x v="0"/>
    <x v="8"/>
  </r>
  <r>
    <n v="2551"/>
    <x v="25"/>
    <s v="PREDO GES "/>
    <d v="2025-09-30T00:00:00"/>
    <s v="2340108MC1025449"/>
    <n v="1"/>
    <s v="HSA-1"/>
    <m/>
    <m/>
    <m/>
    <m/>
    <n v="45930"/>
    <x v="2"/>
    <x v="1"/>
    <x v="0"/>
    <x v="8"/>
  </r>
  <r>
    <n v="2552"/>
    <x v="28"/>
    <s v="N/A"/>
    <d v="2025-09-24T00:00:00"/>
    <s v="AAAA"/>
    <n v="1"/>
    <s v="HSA-1"/>
    <s v="MAVİÇAM"/>
    <m/>
    <m/>
    <m/>
    <m/>
    <x v="19"/>
    <x v="0"/>
    <x v="0"/>
    <x v="8"/>
  </r>
  <r>
    <n v="2552"/>
    <x v="28"/>
    <s v="N/A"/>
    <d v="2025-09-24T00:00:00"/>
    <s v="AAAA"/>
    <n v="1"/>
    <s v="HSA-1"/>
    <s v="MAVİÇAM"/>
    <m/>
    <m/>
    <m/>
    <m/>
    <x v="19"/>
    <x v="0"/>
    <x v="0"/>
    <x v="8"/>
  </r>
  <r>
    <n v="2552"/>
    <x v="28"/>
    <s v="N/A"/>
    <d v="2025-09-24T00:00:00"/>
    <s v="AAAA"/>
    <n v="1"/>
    <s v="HSA-1"/>
    <s v="MAVİÇAM"/>
    <m/>
    <m/>
    <m/>
    <m/>
    <x v="19"/>
    <x v="0"/>
    <x v="0"/>
    <x v="8"/>
  </r>
  <r>
    <n v="2552"/>
    <x v="28"/>
    <s v="N/A"/>
    <d v="2025-09-24T00:00:00"/>
    <s v="AAAA"/>
    <n v="1"/>
    <s v="HSA-1"/>
    <s v="MAVİÇAM"/>
    <m/>
    <m/>
    <m/>
    <m/>
    <x v="19"/>
    <x v="0"/>
    <x v="0"/>
    <x v="8"/>
  </r>
  <r>
    <n v="2552"/>
    <x v="28"/>
    <s v="N/A"/>
    <d v="2025-09-24T00:00:00"/>
    <s v="AAAA"/>
    <n v="1"/>
    <s v="HSA-1"/>
    <s v="MAVİÇAM"/>
    <m/>
    <m/>
    <m/>
    <m/>
    <x v="19"/>
    <x v="0"/>
    <x v="0"/>
    <x v="8"/>
  </r>
  <r>
    <n v="2552"/>
    <x v="28"/>
    <s v="N/A"/>
    <d v="2025-09-24T00:00:00"/>
    <s v="AAAA"/>
    <n v="1"/>
    <s v="HSA-1"/>
    <s v="MAVİÇAM"/>
    <m/>
    <m/>
    <m/>
    <m/>
    <x v="19"/>
    <x v="0"/>
    <x v="0"/>
    <x v="8"/>
  </r>
  <r>
    <n v="2552"/>
    <x v="28"/>
    <s v="N/A"/>
    <d v="2025-09-24T00:00:00"/>
    <s v="AAAA"/>
    <n v="1"/>
    <s v="HSA-1"/>
    <s v="MAVİÇAM"/>
    <m/>
    <m/>
    <m/>
    <m/>
    <x v="19"/>
    <x v="0"/>
    <x v="0"/>
    <x v="8"/>
  </r>
  <r>
    <n v="2552"/>
    <x v="28"/>
    <s v="N/A"/>
    <d v="2025-09-24T00:00:00"/>
    <s v="AAAA"/>
    <n v="1"/>
    <s v="HSA-1"/>
    <s v="MAVİÇAM"/>
    <m/>
    <m/>
    <m/>
    <m/>
    <x v="19"/>
    <x v="0"/>
    <x v="0"/>
    <x v="8"/>
  </r>
  <r>
    <n v="2552"/>
    <x v="28"/>
    <s v="N/A"/>
    <d v="2025-09-24T00:00:00"/>
    <s v="AAAA"/>
    <n v="1"/>
    <s v="HSA-1"/>
    <s v="MAVİÇAM"/>
    <m/>
    <m/>
    <m/>
    <m/>
    <x v="19"/>
    <x v="0"/>
    <x v="0"/>
    <x v="8"/>
  </r>
  <r>
    <n v="2552"/>
    <x v="28"/>
    <s v="N/A"/>
    <d v="2025-09-24T00:00:00"/>
    <s v="AAAA"/>
    <n v="1"/>
    <s v="HSA-1"/>
    <s v="MAVİÇAM"/>
    <m/>
    <m/>
    <m/>
    <m/>
    <x v="19"/>
    <x v="0"/>
    <x v="0"/>
    <x v="8"/>
  </r>
  <r>
    <n v="2552"/>
    <x v="28"/>
    <s v="N/A"/>
    <d v="2025-09-24T00:00:00"/>
    <s v="AAAA"/>
    <n v="1"/>
    <s v="HSA-1"/>
    <s v="MAVİÇAM"/>
    <m/>
    <m/>
    <m/>
    <m/>
    <x v="19"/>
    <x v="0"/>
    <x v="0"/>
    <x v="8"/>
  </r>
  <r>
    <n v="2552"/>
    <x v="28"/>
    <s v="N/A"/>
    <d v="2025-09-24T00:00:00"/>
    <s v="AAAA"/>
    <n v="1"/>
    <s v="HSA-1"/>
    <s v="MAVİÇAM"/>
    <m/>
    <m/>
    <m/>
    <m/>
    <x v="19"/>
    <x v="0"/>
    <x v="0"/>
    <x v="8"/>
  </r>
  <r>
    <n v="2552"/>
    <x v="28"/>
    <s v="N/A"/>
    <d v="2025-09-24T00:00:00"/>
    <s v="AAAA"/>
    <n v="1"/>
    <s v="HSA-1"/>
    <s v="MAVİÇAM"/>
    <m/>
    <m/>
    <m/>
    <m/>
    <x v="19"/>
    <x v="0"/>
    <x v="0"/>
    <x v="8"/>
  </r>
  <r>
    <n v="2552"/>
    <x v="28"/>
    <s v="N/A"/>
    <d v="2025-09-24T00:00:00"/>
    <s v="AAAA"/>
    <n v="1"/>
    <s v="HSA-1"/>
    <s v="MAVİÇAM"/>
    <m/>
    <m/>
    <m/>
    <m/>
    <x v="19"/>
    <x v="0"/>
    <x v="0"/>
    <x v="8"/>
  </r>
  <r>
    <n v="2552"/>
    <x v="28"/>
    <s v="N/A"/>
    <d v="2025-09-24T00:00:00"/>
    <s v="AAAA"/>
    <n v="1"/>
    <s v="HSA-1"/>
    <s v="MAVİÇAM"/>
    <m/>
    <m/>
    <m/>
    <m/>
    <x v="19"/>
    <x v="0"/>
    <x v="0"/>
    <x v="8"/>
  </r>
  <r>
    <n v="2552"/>
    <x v="28"/>
    <s v="N/A"/>
    <d v="2025-09-24T00:00:00"/>
    <s v="AAAA"/>
    <n v="1"/>
    <s v="HSA-1"/>
    <s v="MAVİÇAM"/>
    <m/>
    <m/>
    <m/>
    <m/>
    <x v="19"/>
    <x v="0"/>
    <x v="0"/>
    <x v="8"/>
  </r>
  <r>
    <n v="2552"/>
    <x v="28"/>
    <s v="N/A"/>
    <d v="2025-09-24T00:00:00"/>
    <s v="AAAA"/>
    <n v="1"/>
    <s v="HSA-1"/>
    <s v="MAVİÇAM"/>
    <m/>
    <m/>
    <m/>
    <m/>
    <x v="19"/>
    <x v="0"/>
    <x v="0"/>
    <x v="8"/>
  </r>
  <r>
    <n v="2552"/>
    <x v="28"/>
    <s v="N/A"/>
    <d v="2025-09-24T00:00:00"/>
    <s v="AAAA"/>
    <n v="1"/>
    <s v="HSA-1"/>
    <s v="MAVİÇAM"/>
    <m/>
    <m/>
    <m/>
    <m/>
    <x v="19"/>
    <x v="0"/>
    <x v="0"/>
    <x v="8"/>
  </r>
  <r>
    <n v="2552"/>
    <x v="28"/>
    <s v="N/A"/>
    <d v="2025-09-24T00:00:00"/>
    <s v="AAAA"/>
    <n v="1"/>
    <s v="HSA-1"/>
    <s v="MAVİÇAM"/>
    <m/>
    <m/>
    <m/>
    <m/>
    <x v="19"/>
    <x v="0"/>
    <x v="0"/>
    <x v="8"/>
  </r>
  <r>
    <n v="2552"/>
    <x v="28"/>
    <s v="N/A"/>
    <d v="2025-09-24T00:00:00"/>
    <s v="AAAA"/>
    <n v="1"/>
    <s v="HSA-1"/>
    <s v="MAVİÇAM"/>
    <m/>
    <m/>
    <m/>
    <m/>
    <x v="19"/>
    <x v="0"/>
    <x v="0"/>
    <x v="8"/>
  </r>
  <r>
    <n v="2552"/>
    <x v="28"/>
    <s v="N/A"/>
    <d v="2025-09-24T00:00:00"/>
    <s v="AAAA"/>
    <n v="1"/>
    <s v="HSA-1"/>
    <s v="MAVİÇAM"/>
    <m/>
    <m/>
    <m/>
    <m/>
    <x v="19"/>
    <x v="0"/>
    <x v="0"/>
    <x v="8"/>
  </r>
  <r>
    <n v="2552"/>
    <x v="28"/>
    <s v="N/A"/>
    <d v="2025-09-24T00:00:00"/>
    <s v="AAAA"/>
    <n v="1"/>
    <s v="HSA-1"/>
    <s v="MAVİÇAM"/>
    <m/>
    <m/>
    <m/>
    <m/>
    <x v="19"/>
    <x v="0"/>
    <x v="0"/>
    <x v="8"/>
  </r>
  <r>
    <n v="2552"/>
    <x v="28"/>
    <s v="N/A"/>
    <d v="2025-09-24T00:00:00"/>
    <s v="AAAA"/>
    <n v="1"/>
    <s v="HSA-1"/>
    <s v="MAVİÇAM"/>
    <m/>
    <m/>
    <m/>
    <m/>
    <x v="19"/>
    <x v="0"/>
    <x v="0"/>
    <x v="8"/>
  </r>
  <r>
    <n v="2552"/>
    <x v="28"/>
    <s v="N/A"/>
    <d v="2025-09-24T00:00:00"/>
    <s v="AAAA"/>
    <n v="1"/>
    <s v="HSA-1"/>
    <s v="MAVİÇAM"/>
    <m/>
    <m/>
    <m/>
    <m/>
    <x v="19"/>
    <x v="0"/>
    <x v="0"/>
    <x v="8"/>
  </r>
  <r>
    <n v="2552"/>
    <x v="28"/>
    <s v="N/A"/>
    <d v="2025-09-24T00:00:00"/>
    <s v="AAAA"/>
    <n v="1"/>
    <s v="HSA-1"/>
    <s v="MAVİÇAM"/>
    <m/>
    <m/>
    <m/>
    <m/>
    <x v="19"/>
    <x v="0"/>
    <x v="0"/>
    <x v="8"/>
  </r>
  <r>
    <n v="2552"/>
    <x v="28"/>
    <s v="N/A"/>
    <d v="2025-09-24T00:00:00"/>
    <s v="AAAA"/>
    <n v="1"/>
    <s v="HSA-1"/>
    <s v="MAVİÇAM"/>
    <m/>
    <m/>
    <m/>
    <m/>
    <x v="19"/>
    <x v="0"/>
    <x v="0"/>
    <x v="8"/>
  </r>
  <r>
    <n v="2552"/>
    <x v="28"/>
    <s v="N/A"/>
    <d v="2025-09-24T00:00:00"/>
    <s v="AAAA"/>
    <n v="1"/>
    <s v="HSA-1"/>
    <s v="MAVİÇAM"/>
    <m/>
    <m/>
    <m/>
    <m/>
    <x v="19"/>
    <x v="0"/>
    <x v="0"/>
    <x v="8"/>
  </r>
  <r>
    <n v="2552"/>
    <x v="28"/>
    <s v="N/A"/>
    <d v="2025-09-24T00:00:00"/>
    <s v="AAAA"/>
    <n v="1"/>
    <s v="HSA-1"/>
    <s v="MAVİÇAM"/>
    <m/>
    <m/>
    <m/>
    <m/>
    <x v="19"/>
    <x v="0"/>
    <x v="0"/>
    <x v="8"/>
  </r>
  <r>
    <n v="2552"/>
    <x v="28"/>
    <s v="N/A"/>
    <d v="2025-09-24T00:00:00"/>
    <s v="AAAA"/>
    <n v="1"/>
    <s v="HSA-1"/>
    <s v="MAVİÇAM"/>
    <m/>
    <m/>
    <m/>
    <m/>
    <x v="19"/>
    <x v="0"/>
    <x v="0"/>
    <x v="8"/>
  </r>
  <r>
    <n v="2552"/>
    <x v="28"/>
    <s v="N/A"/>
    <d v="2025-09-24T00:00:00"/>
    <s v="AAAA"/>
    <n v="1"/>
    <s v="HSA-1"/>
    <s v="MAVİÇAM"/>
    <m/>
    <m/>
    <m/>
    <m/>
    <x v="19"/>
    <x v="0"/>
    <x v="0"/>
    <x v="8"/>
  </r>
  <r>
    <n v="2552"/>
    <x v="28"/>
    <s v="N/A"/>
    <d v="2025-09-24T00:00:00"/>
    <s v="AAAA"/>
    <n v="1"/>
    <s v="HSA-1"/>
    <s v="MAVİÇAM"/>
    <m/>
    <m/>
    <m/>
    <m/>
    <x v="19"/>
    <x v="0"/>
    <x v="0"/>
    <x v="8"/>
  </r>
  <r>
    <n v="2552"/>
    <x v="28"/>
    <s v="N/A"/>
    <d v="2025-09-24T00:00:00"/>
    <s v="AAAA"/>
    <n v="1"/>
    <s v="HSA-1"/>
    <s v="MAVİÇAM"/>
    <m/>
    <m/>
    <m/>
    <m/>
    <x v="19"/>
    <x v="0"/>
    <x v="0"/>
    <x v="8"/>
  </r>
  <r>
    <n v="2552"/>
    <x v="28"/>
    <s v="N/A"/>
    <d v="2025-09-24T00:00:00"/>
    <s v="AAAA"/>
    <n v="1"/>
    <s v="HSA-1"/>
    <s v="MAVİÇAM"/>
    <m/>
    <m/>
    <m/>
    <m/>
    <x v="19"/>
    <x v="0"/>
    <x v="0"/>
    <x v="8"/>
  </r>
  <r>
    <n v="2552"/>
    <x v="28"/>
    <s v="N/A"/>
    <d v="2025-09-24T00:00:00"/>
    <s v="AAAA"/>
    <n v="1"/>
    <s v="HSA-1"/>
    <s v="MAVİÇAM"/>
    <m/>
    <m/>
    <m/>
    <m/>
    <x v="19"/>
    <x v="0"/>
    <x v="0"/>
    <x v="8"/>
  </r>
  <r>
    <n v="2552"/>
    <x v="28"/>
    <s v="N/A"/>
    <d v="2025-09-24T00:00:00"/>
    <s v="AAAA"/>
    <n v="1"/>
    <s v="HSA-1"/>
    <s v="MAVİÇAM"/>
    <m/>
    <m/>
    <m/>
    <m/>
    <x v="19"/>
    <x v="0"/>
    <x v="0"/>
    <x v="8"/>
  </r>
  <r>
    <n v="2552"/>
    <x v="28"/>
    <s v="N/A"/>
    <d v="2025-09-24T00:00:00"/>
    <s v="AAAA"/>
    <n v="1"/>
    <s v="HSA-1"/>
    <s v="MAVİÇAM"/>
    <m/>
    <m/>
    <m/>
    <m/>
    <x v="19"/>
    <x v="0"/>
    <x v="0"/>
    <x v="8"/>
  </r>
  <r>
    <n v="2553"/>
    <x v="29"/>
    <s v="ÖZCIVATA GES"/>
    <d v="2025-10-02T00:00:00"/>
    <s v="AAAA"/>
    <n v="1"/>
    <s v="HSA-2"/>
    <m/>
    <m/>
    <m/>
    <m/>
    <m/>
    <x v="2"/>
    <x v="1"/>
    <x v="0"/>
    <x v="9"/>
  </r>
  <r>
    <n v="2553"/>
    <x v="29"/>
    <s v="ÖZCIVATA GES"/>
    <d v="2025-10-02T00:00:00"/>
    <s v="AAAA"/>
    <n v="1"/>
    <s v="HSA-2"/>
    <m/>
    <m/>
    <m/>
    <m/>
    <m/>
    <x v="2"/>
    <x v="1"/>
    <x v="0"/>
    <x v="9"/>
  </r>
  <r>
    <n v="2553"/>
    <x v="29"/>
    <s v="ÖZCIVATA GES"/>
    <d v="2025-10-02T00:00:00"/>
    <s v="AAAA"/>
    <n v="1"/>
    <s v="HSA-2"/>
    <m/>
    <m/>
    <m/>
    <m/>
    <m/>
    <x v="2"/>
    <x v="1"/>
    <x v="0"/>
    <x v="9"/>
  </r>
  <r>
    <n v="2553"/>
    <x v="29"/>
    <s v="ÖZCIVATA GES"/>
    <d v="2025-10-02T00:00:00"/>
    <s v="AAAA"/>
    <n v="1"/>
    <s v="HSA-2"/>
    <m/>
    <m/>
    <m/>
    <m/>
    <m/>
    <x v="2"/>
    <x v="1"/>
    <x v="0"/>
    <x v="9"/>
  </r>
  <r>
    <n v="2553"/>
    <x v="29"/>
    <s v="ÖZCIVATA GES"/>
    <d v="2025-10-02T00:00:00"/>
    <s v="AAAA"/>
    <n v="1"/>
    <s v="HSA-2"/>
    <m/>
    <m/>
    <m/>
    <m/>
    <m/>
    <x v="2"/>
    <x v="1"/>
    <x v="0"/>
    <x v="9"/>
  </r>
  <r>
    <n v="2553"/>
    <x v="29"/>
    <s v="ÖZCIVATA GES"/>
    <d v="2025-10-02T00:00:00"/>
    <s v="AAAA"/>
    <n v="1"/>
    <s v="HSA-2"/>
    <m/>
    <m/>
    <m/>
    <m/>
    <m/>
    <x v="2"/>
    <x v="1"/>
    <x v="0"/>
    <x v="9"/>
  </r>
  <r>
    <n v="2553"/>
    <x v="29"/>
    <s v="ÖZCIVATA GES"/>
    <d v="2025-10-02T00:00:00"/>
    <s v="AAAA"/>
    <n v="1"/>
    <s v="HSA-2"/>
    <m/>
    <m/>
    <m/>
    <m/>
    <m/>
    <x v="2"/>
    <x v="1"/>
    <x v="0"/>
    <x v="9"/>
  </r>
  <r>
    <n v="2553"/>
    <x v="29"/>
    <s v="ÖZCIVATA GES"/>
    <d v="2025-10-02T00:00:00"/>
    <s v="AAAA"/>
    <n v="1"/>
    <s v="HSA-2"/>
    <m/>
    <m/>
    <m/>
    <m/>
    <m/>
    <x v="2"/>
    <x v="1"/>
    <x v="0"/>
    <x v="9"/>
  </r>
  <r>
    <n v="2553"/>
    <x v="29"/>
    <s v="ÖZCIVATA GES"/>
    <d v="2025-10-02T00:00:00"/>
    <s v="AAAA"/>
    <n v="1"/>
    <s v="HSA-2"/>
    <m/>
    <m/>
    <m/>
    <m/>
    <m/>
    <x v="2"/>
    <x v="1"/>
    <x v="0"/>
    <x v="9"/>
  </r>
  <r>
    <n v="2553"/>
    <x v="29"/>
    <s v="ÖZCIVATA GES"/>
    <d v="2025-10-02T00:00:00"/>
    <s v="AAAA"/>
    <n v="1"/>
    <s v="HSA-2"/>
    <m/>
    <m/>
    <m/>
    <m/>
    <m/>
    <x v="2"/>
    <x v="1"/>
    <x v="0"/>
    <x v="9"/>
  </r>
  <r>
    <n v="2553"/>
    <x v="29"/>
    <s v="ÖZCIVATA GES"/>
    <d v="2025-10-02T00:00:00"/>
    <s v="AAAA"/>
    <n v="1"/>
    <s v="HSA-2"/>
    <m/>
    <m/>
    <m/>
    <m/>
    <m/>
    <x v="2"/>
    <x v="1"/>
    <x v="0"/>
    <x v="9"/>
  </r>
  <r>
    <n v="2553"/>
    <x v="29"/>
    <s v="ÖZCIVATA GES"/>
    <d v="2025-10-02T00:00:00"/>
    <s v="AAAA"/>
    <n v="1"/>
    <s v="HSA-2"/>
    <m/>
    <m/>
    <m/>
    <m/>
    <m/>
    <x v="2"/>
    <x v="1"/>
    <x v="0"/>
    <x v="9"/>
  </r>
  <r>
    <n v="2553"/>
    <x v="29"/>
    <s v="ÖZCIVATA GES"/>
    <d v="2025-10-02T00:00:00"/>
    <s v="AAAA"/>
    <n v="1"/>
    <s v="HSA-2"/>
    <m/>
    <m/>
    <m/>
    <m/>
    <m/>
    <x v="2"/>
    <x v="1"/>
    <x v="0"/>
    <x v="9"/>
  </r>
  <r>
    <n v="2553"/>
    <x v="29"/>
    <s v="ÖZCIVATA GES"/>
    <d v="2025-10-02T00:00:00"/>
    <s v="AAAA"/>
    <n v="1"/>
    <s v="HSA-2"/>
    <m/>
    <m/>
    <m/>
    <m/>
    <m/>
    <x v="2"/>
    <x v="1"/>
    <x v="0"/>
    <x v="9"/>
  </r>
  <r>
    <n v="2553"/>
    <x v="29"/>
    <s v="ÖZCIVATA GES"/>
    <d v="2025-10-02T00:00:00"/>
    <s v="AAAA"/>
    <n v="1"/>
    <s v="HSA-2"/>
    <m/>
    <m/>
    <m/>
    <m/>
    <m/>
    <x v="2"/>
    <x v="1"/>
    <x v="0"/>
    <x v="9"/>
  </r>
  <r>
    <n v="2553"/>
    <x v="29"/>
    <s v="ÖZCIVATA GES"/>
    <d v="2025-10-02T00:00:00"/>
    <s v="AAAA"/>
    <n v="1"/>
    <s v="HSA-2"/>
    <m/>
    <m/>
    <m/>
    <m/>
    <m/>
    <x v="2"/>
    <x v="1"/>
    <x v="0"/>
    <x v="9"/>
  </r>
  <r>
    <n v="2553"/>
    <x v="29"/>
    <s v="ÖZCIVATA GES"/>
    <d v="2025-10-02T00:00:00"/>
    <s v="AAAA"/>
    <n v="1"/>
    <s v="HSA-2"/>
    <m/>
    <m/>
    <m/>
    <m/>
    <m/>
    <x v="2"/>
    <x v="1"/>
    <x v="0"/>
    <x v="9"/>
  </r>
  <r>
    <n v="2553"/>
    <x v="29"/>
    <s v="ÖZCIVATA GES"/>
    <d v="2025-10-02T00:00:00"/>
    <s v="AAAA"/>
    <n v="1"/>
    <s v="HSA-2"/>
    <m/>
    <m/>
    <m/>
    <m/>
    <m/>
    <x v="2"/>
    <x v="1"/>
    <x v="0"/>
    <x v="9"/>
  </r>
  <r>
    <n v="2553"/>
    <x v="29"/>
    <s v="ÖZCIVATA GES"/>
    <d v="2025-10-02T00:00:00"/>
    <s v="AAAA"/>
    <n v="1"/>
    <s v="HSA-2"/>
    <m/>
    <m/>
    <m/>
    <m/>
    <m/>
    <x v="2"/>
    <x v="1"/>
    <x v="0"/>
    <x v="9"/>
  </r>
  <r>
    <n v="2553"/>
    <x v="29"/>
    <s v="ÖZCIVATA GES"/>
    <d v="2025-10-02T00:00:00"/>
    <s v="AAAA"/>
    <n v="1"/>
    <s v="HSA-2"/>
    <m/>
    <m/>
    <m/>
    <m/>
    <m/>
    <x v="2"/>
    <x v="1"/>
    <x v="0"/>
    <x v="9"/>
  </r>
  <r>
    <n v="2553"/>
    <x v="29"/>
    <s v="ÖZCIVATA GES"/>
    <d v="2025-10-02T00:00:00"/>
    <s v="AAAA"/>
    <n v="1"/>
    <s v="HSA-2"/>
    <m/>
    <m/>
    <m/>
    <m/>
    <m/>
    <x v="2"/>
    <x v="1"/>
    <x v="0"/>
    <x v="9"/>
  </r>
  <r>
    <n v="2553"/>
    <x v="29"/>
    <s v="ÖZCIVATA GES"/>
    <d v="2025-10-02T00:00:00"/>
    <s v="AAAA"/>
    <n v="1"/>
    <s v="HSA-2"/>
    <m/>
    <m/>
    <m/>
    <m/>
    <m/>
    <x v="2"/>
    <x v="1"/>
    <x v="0"/>
    <x v="9"/>
  </r>
  <r>
    <n v="2553"/>
    <x v="29"/>
    <s v="ÖZCIVATA GES"/>
    <d v="2025-10-02T00:00:00"/>
    <s v="AAAA"/>
    <n v="1"/>
    <s v="HSA-2"/>
    <m/>
    <m/>
    <m/>
    <m/>
    <m/>
    <x v="2"/>
    <x v="1"/>
    <x v="0"/>
    <x v="9"/>
  </r>
  <r>
    <n v="2553"/>
    <x v="29"/>
    <s v="ÖZCIVATA GES"/>
    <d v="2025-10-02T00:00:00"/>
    <s v="AAAA"/>
    <n v="1"/>
    <s v="HSA-2"/>
    <m/>
    <m/>
    <m/>
    <m/>
    <m/>
    <x v="2"/>
    <x v="1"/>
    <x v="0"/>
    <x v="9"/>
  </r>
  <r>
    <n v="2553"/>
    <x v="29"/>
    <s v="ÖZCIVATA GES"/>
    <d v="2025-10-02T00:00:00"/>
    <s v="AAAA"/>
    <n v="1"/>
    <s v="HSA-2"/>
    <m/>
    <m/>
    <m/>
    <m/>
    <m/>
    <x v="2"/>
    <x v="1"/>
    <x v="0"/>
    <x v="9"/>
  </r>
  <r>
    <n v="2554"/>
    <x v="29"/>
    <s v="ÖZCIVATA GES"/>
    <d v="2025-10-02T00:00:00"/>
    <s v="AAAA"/>
    <n v="1"/>
    <s v="HSA-1"/>
    <m/>
    <m/>
    <m/>
    <m/>
    <m/>
    <x v="2"/>
    <x v="1"/>
    <x v="0"/>
    <x v="9"/>
  </r>
  <r>
    <n v="2554"/>
    <x v="29"/>
    <s v="ÖZCIVATA GES"/>
    <d v="2025-10-02T00:00:00"/>
    <s v="AAAA"/>
    <n v="1"/>
    <s v="HSA-1"/>
    <m/>
    <m/>
    <m/>
    <m/>
    <m/>
    <x v="2"/>
    <x v="1"/>
    <x v="0"/>
    <x v="9"/>
  </r>
  <r>
    <n v="2554"/>
    <x v="29"/>
    <s v="ÖZCIVATA GES"/>
    <d v="2025-10-02T00:00:00"/>
    <s v="AAAA"/>
    <n v="1"/>
    <s v="HSA-1"/>
    <m/>
    <m/>
    <m/>
    <m/>
    <m/>
    <x v="2"/>
    <x v="0"/>
    <x v="0"/>
    <x v="9"/>
  </r>
  <r>
    <n v="2555"/>
    <x v="30"/>
    <s v="AS OFİS"/>
    <d v="2025-10-17T00:00:00"/>
    <s v="2320108MC2000750"/>
    <n v="1"/>
    <s v="HSA-2"/>
    <s v="MAVİÇAM"/>
    <m/>
    <m/>
    <m/>
    <m/>
    <x v="2"/>
    <x v="1"/>
    <x v="0"/>
    <x v="9"/>
  </r>
  <r>
    <n v="2557"/>
    <x v="31"/>
    <s v="ÖZKOYUNCU"/>
    <d v="2025-10-02T00:00:00"/>
    <s v="2370108MC1007554"/>
    <n v="1"/>
    <s v="HSA-1"/>
    <m/>
    <m/>
    <m/>
    <m/>
    <m/>
    <x v="2"/>
    <x v="2"/>
    <x v="2"/>
    <x v="9"/>
  </r>
  <r>
    <n v="2557"/>
    <x v="31"/>
    <s v="ÖZKOYUNCU"/>
    <d v="2025-10-02T00:00:00"/>
    <s v="2370108MC1018922"/>
    <n v="1"/>
    <s v="HSA-1"/>
    <m/>
    <m/>
    <m/>
    <m/>
    <m/>
    <x v="2"/>
    <x v="2"/>
    <x v="2"/>
    <x v="9"/>
  </r>
  <r>
    <n v="2557"/>
    <x v="31"/>
    <s v="ÖZKOYUNCU"/>
    <d v="2025-10-02T00:00:00"/>
    <s v="2370108MC1012533"/>
    <n v="1"/>
    <s v="HSA-1"/>
    <m/>
    <m/>
    <m/>
    <m/>
    <m/>
    <x v="2"/>
    <x v="2"/>
    <x v="2"/>
    <x v="9"/>
  </r>
  <r>
    <n v="2557"/>
    <x v="31"/>
    <s v="ÖZKOYUNCU"/>
    <d v="2025-10-02T00:00:00"/>
    <s v="2370108MC1018436"/>
    <n v="1"/>
    <s v="HSA-1"/>
    <m/>
    <m/>
    <m/>
    <m/>
    <m/>
    <x v="2"/>
    <x v="2"/>
    <x v="2"/>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8"/>
    <x v="32"/>
    <s v="KARADAĞ MÜHENDİSLİK"/>
    <d v="2025-10-20T00:00:00"/>
    <s v="AAAA"/>
    <n v="1"/>
    <s v="HSA-2"/>
    <s v="JINKOSOLAR"/>
    <m/>
    <m/>
    <m/>
    <m/>
    <x v="20"/>
    <x v="2"/>
    <x v="1"/>
    <x v="9"/>
  </r>
  <r>
    <n v="2559"/>
    <x v="0"/>
    <s v="ENTEGRO"/>
    <d v="2025-10-22T00:00:00"/>
    <s v="2520107BW0011982"/>
    <n v="1"/>
    <s v="HSA-1"/>
    <s v="JASOLAR"/>
    <m/>
    <m/>
    <m/>
    <m/>
    <x v="21"/>
    <x v="0"/>
    <x v="0"/>
    <x v="9"/>
  </r>
  <r>
    <n v="2560"/>
    <x v="0"/>
    <s v="ENTEGRO"/>
    <d v="2025-10-22T00:00:00"/>
    <s v="2520107BW0009769"/>
    <n v="1"/>
    <s v="HSA-1"/>
    <s v="JASOLAR"/>
    <m/>
    <m/>
    <m/>
    <m/>
    <x v="22"/>
    <x v="2"/>
    <x v="1"/>
    <x v="9"/>
  </r>
  <r>
    <n v="2560"/>
    <x v="0"/>
    <s v="ENTEGRO"/>
    <d v="2025-10-22T00:00:00"/>
    <s v="2520107BW0010124"/>
    <n v="1"/>
    <s v="HSA-1"/>
    <s v="JASOLAR"/>
    <m/>
    <m/>
    <m/>
    <m/>
    <x v="22"/>
    <x v="2"/>
    <x v="1"/>
    <x v="9"/>
  </r>
  <r>
    <n v="2561"/>
    <x v="1"/>
    <s v="TİRSAN-KARDAN"/>
    <d v="2025-10-22T00:00:00"/>
    <s v="AAAA"/>
    <n v="1"/>
    <s v="HSA-2"/>
    <s v="MAVİÇAM"/>
    <m/>
    <m/>
    <m/>
    <m/>
    <x v="3"/>
    <x v="2"/>
    <x v="2"/>
    <x v="9"/>
  </r>
  <r>
    <n v="2561"/>
    <x v="1"/>
    <s v="TİRSAN-KARDAN"/>
    <d v="2025-10-22T00:00:00"/>
    <s v="AAAA"/>
    <n v="1"/>
    <s v="HSA-2"/>
    <s v="MAVİÇAM"/>
    <m/>
    <m/>
    <m/>
    <m/>
    <x v="3"/>
    <x v="2"/>
    <x v="2"/>
    <x v="9"/>
  </r>
  <r>
    <n v="2561"/>
    <x v="1"/>
    <s v="TİRSAN-KARDAN"/>
    <d v="2025-10-22T00:00:00"/>
    <s v="AAAA"/>
    <n v="1"/>
    <s v="HSA-2"/>
    <s v="MAVİÇAM"/>
    <m/>
    <m/>
    <m/>
    <m/>
    <x v="3"/>
    <x v="2"/>
    <x v="2"/>
    <x v="9"/>
  </r>
  <r>
    <n v="2561"/>
    <x v="1"/>
    <s v="TİRSAN-KARDAN"/>
    <d v="2025-10-22T00:00:00"/>
    <s v="AAAA"/>
    <n v="1"/>
    <s v="HSA-2"/>
    <s v="MAVİÇAM"/>
    <m/>
    <m/>
    <m/>
    <m/>
    <x v="3"/>
    <x v="2"/>
    <x v="2"/>
    <x v="9"/>
  </r>
  <r>
    <n v="2561"/>
    <x v="1"/>
    <s v="TİRSAN-KARDAN"/>
    <d v="2025-10-22T00:00:00"/>
    <s v="AAAA"/>
    <n v="1"/>
    <s v="HSA-2"/>
    <s v="MAVİÇAM"/>
    <m/>
    <m/>
    <m/>
    <m/>
    <x v="3"/>
    <x v="2"/>
    <x v="2"/>
    <x v="9"/>
  </r>
  <r>
    <n v="2561"/>
    <x v="1"/>
    <s v="TİRSAN-KARDAN"/>
    <d v="2025-10-22T00:00:00"/>
    <s v="AAAA"/>
    <n v="1"/>
    <s v="HSA-2"/>
    <s v="MAVİÇAM"/>
    <m/>
    <m/>
    <m/>
    <m/>
    <x v="3"/>
    <x v="2"/>
    <x v="2"/>
    <x v="9"/>
  </r>
  <r>
    <n v="2561"/>
    <x v="1"/>
    <s v="TİRSAN-KARDAN"/>
    <d v="2025-10-22T00:00:00"/>
    <s v="AAAA"/>
    <n v="1"/>
    <s v="HSA-2"/>
    <s v="MAVİÇAM"/>
    <m/>
    <m/>
    <m/>
    <m/>
    <x v="3"/>
    <x v="2"/>
    <x v="2"/>
    <x v="9"/>
  </r>
  <r>
    <n v="2561"/>
    <x v="1"/>
    <s v="TİRSAN-KARDAN"/>
    <d v="2025-10-22T00:00:00"/>
    <s v="AAAA"/>
    <n v="1"/>
    <s v="HSA-2"/>
    <s v="MAVİÇAM"/>
    <m/>
    <m/>
    <m/>
    <m/>
    <x v="3"/>
    <x v="2"/>
    <x v="2"/>
    <x v="9"/>
  </r>
  <r>
    <n v="2561"/>
    <x v="1"/>
    <s v="TİRSAN-KARDAN"/>
    <d v="2025-10-22T00:00:00"/>
    <s v="AAAA"/>
    <n v="1"/>
    <s v="HSA-2"/>
    <s v="MAVİÇAM"/>
    <m/>
    <m/>
    <m/>
    <m/>
    <x v="3"/>
    <x v="2"/>
    <x v="2"/>
    <x v="9"/>
  </r>
  <r>
    <n v="2561"/>
    <x v="1"/>
    <s v="TİRSAN-KARDAN"/>
    <d v="2025-10-22T00:00:00"/>
    <s v="AAAA"/>
    <n v="1"/>
    <s v="HSA-2"/>
    <s v="MAVİÇAM"/>
    <m/>
    <m/>
    <m/>
    <m/>
    <x v="3"/>
    <x v="2"/>
    <x v="2"/>
    <x v="9"/>
  </r>
  <r>
    <n v="2562"/>
    <x v="23"/>
    <s v="GENBA ENERJİ"/>
    <d v="2025-10-30T00:00:00"/>
    <s v=" 2490108BX0013640"/>
    <n v="1"/>
    <s v="HSA-2"/>
    <s v="MAVİÇAM"/>
    <m/>
    <m/>
    <m/>
    <m/>
    <x v="1"/>
    <x v="2"/>
    <x v="1"/>
    <x v="9"/>
  </r>
  <r>
    <n v="2562"/>
    <x v="23"/>
    <s v="GENBA ENERJİ"/>
    <d v="2025-10-30T00:00:00"/>
    <s v=" 2470108BX0012478"/>
    <n v="1"/>
    <s v="HSA-2"/>
    <s v="MAVİÇAM"/>
    <m/>
    <m/>
    <m/>
    <m/>
    <x v="1"/>
    <x v="2"/>
    <x v="1"/>
    <x v="9"/>
  </r>
  <r>
    <n v="2563"/>
    <x v="17"/>
    <s v="ALUFEM"/>
    <d v="2025-10-30T00:00:00"/>
    <s v="22C0108BW0031649"/>
    <n v="1"/>
    <s v="HSA-1"/>
    <s v="?"/>
    <m/>
    <m/>
    <m/>
    <m/>
    <x v="2"/>
    <x v="2"/>
    <x v="2"/>
    <x v="9"/>
  </r>
  <r>
    <n v="2563"/>
    <x v="17"/>
    <s v="ALUFEM"/>
    <d v="2025-10-30T00:00:00"/>
    <s v="22C0108BW0031702"/>
    <n v="1"/>
    <s v="HSA-1"/>
    <s v="?"/>
    <m/>
    <m/>
    <m/>
    <m/>
    <x v="2"/>
    <x v="2"/>
    <x v="2"/>
    <x v="9"/>
  </r>
  <r>
    <n v="2564"/>
    <x v="1"/>
    <s v="DAIKIN"/>
    <d v="2025-11-03T00:00:00"/>
    <s v="AAAA"/>
    <n v="1"/>
    <s v="HSA-2"/>
    <s v="MAVİÇAM"/>
    <m/>
    <m/>
    <m/>
    <m/>
    <x v="2"/>
    <x v="1"/>
    <x v="0"/>
    <x v="10"/>
  </r>
  <r>
    <n v="2564"/>
    <x v="1"/>
    <s v="DAIKIN"/>
    <d v="2025-11-03T00:00:00"/>
    <s v="AAAA"/>
    <n v="1"/>
    <s v="HSA-2"/>
    <s v="MAVİÇAM"/>
    <m/>
    <m/>
    <m/>
    <m/>
    <x v="2"/>
    <x v="1"/>
    <x v="0"/>
    <x v="10"/>
  </r>
  <r>
    <n v="2564"/>
    <x v="1"/>
    <s v="DAIKIN"/>
    <d v="2025-11-03T00:00:00"/>
    <s v="AAAA"/>
    <n v="1"/>
    <s v="HSA-2"/>
    <s v="MAVİÇAM"/>
    <m/>
    <m/>
    <m/>
    <m/>
    <x v="2"/>
    <x v="1"/>
    <x v="0"/>
    <x v="10"/>
  </r>
  <r>
    <n v="2564"/>
    <x v="1"/>
    <s v="DAIKIN"/>
    <d v="2025-11-03T00:00:00"/>
    <s v="AAAA"/>
    <n v="1"/>
    <s v="HSA-2"/>
    <s v="MAVİÇAM"/>
    <m/>
    <m/>
    <m/>
    <m/>
    <x v="2"/>
    <x v="1"/>
    <x v="0"/>
    <x v="10"/>
  </r>
  <r>
    <n v="2564"/>
    <x v="1"/>
    <s v="DAIKIN"/>
    <d v="2025-11-03T00:00:00"/>
    <s v="AAAA"/>
    <n v="1"/>
    <s v="HSA-2"/>
    <s v="MAVİÇAM"/>
    <m/>
    <m/>
    <m/>
    <m/>
    <x v="2"/>
    <x v="1"/>
    <x v="0"/>
    <x v="10"/>
  </r>
  <r>
    <n v="2564"/>
    <x v="1"/>
    <s v="DAIKIN"/>
    <d v="2025-11-03T00:00:00"/>
    <s v="AAAA"/>
    <n v="1"/>
    <s v="HSA-2"/>
    <s v="MAVİÇAM"/>
    <m/>
    <m/>
    <m/>
    <m/>
    <x v="2"/>
    <x v="1"/>
    <x v="0"/>
    <x v="10"/>
  </r>
  <r>
    <n v="2564"/>
    <x v="1"/>
    <s v="DAIKIN"/>
    <d v="2025-11-03T00:00:00"/>
    <s v="AAAA"/>
    <n v="1"/>
    <s v="HSA-2"/>
    <s v="MAVİÇAM"/>
    <m/>
    <m/>
    <m/>
    <m/>
    <x v="2"/>
    <x v="1"/>
    <x v="0"/>
    <x v="10"/>
  </r>
  <r>
    <n v="2564"/>
    <x v="1"/>
    <s v="DAIKIN"/>
    <d v="2025-11-03T00:00:00"/>
    <s v="AAAA"/>
    <n v="1"/>
    <s v="HSA-2"/>
    <s v="MAVİÇAM"/>
    <m/>
    <m/>
    <m/>
    <m/>
    <x v="2"/>
    <x v="1"/>
    <x v="0"/>
    <x v="10"/>
  </r>
  <r>
    <n v="2564"/>
    <x v="1"/>
    <s v="DAIKIN"/>
    <d v="2025-11-03T00:00:00"/>
    <s v="AAAA"/>
    <n v="1"/>
    <s v="HSA-2"/>
    <s v="MAVİÇAM"/>
    <m/>
    <m/>
    <m/>
    <m/>
    <x v="2"/>
    <x v="1"/>
    <x v="0"/>
    <x v="10"/>
  </r>
  <r>
    <n v="2564"/>
    <x v="1"/>
    <s v="DAIKIN"/>
    <d v="2025-11-03T00:00:00"/>
    <s v="AAAA"/>
    <n v="1"/>
    <s v="HSA-2"/>
    <s v="MAVİÇAM"/>
    <m/>
    <m/>
    <m/>
    <m/>
    <x v="2"/>
    <x v="1"/>
    <x v="0"/>
    <x v="10"/>
  </r>
  <r>
    <n v="2564"/>
    <x v="1"/>
    <s v="DAIKIN"/>
    <d v="2025-11-03T00:00:00"/>
    <s v="AAAA"/>
    <n v="1"/>
    <s v="HSA-2"/>
    <s v="MAVİÇAM"/>
    <m/>
    <m/>
    <m/>
    <m/>
    <x v="2"/>
    <x v="1"/>
    <x v="0"/>
    <x v="10"/>
  </r>
  <r>
    <n v="2564"/>
    <x v="1"/>
    <s v="DAIKIN"/>
    <d v="2025-11-03T00:00:00"/>
    <s v="AAAA"/>
    <n v="1"/>
    <s v="HSA-2"/>
    <s v="MAVİÇAM"/>
    <m/>
    <m/>
    <m/>
    <m/>
    <x v="2"/>
    <x v="1"/>
    <x v="0"/>
    <x v="10"/>
  </r>
  <r>
    <n v="2564"/>
    <x v="1"/>
    <s v="DAIKIN"/>
    <d v="2025-11-03T00:00:00"/>
    <s v="AAAA"/>
    <n v="1"/>
    <s v="HSA-2"/>
    <s v="MAVİÇAM"/>
    <m/>
    <m/>
    <m/>
    <m/>
    <x v="2"/>
    <x v="1"/>
    <x v="0"/>
    <x v="10"/>
  </r>
  <r>
    <n v="2564"/>
    <x v="1"/>
    <s v="DAIKIN"/>
    <d v="2025-11-03T00:00:00"/>
    <s v="AAAA"/>
    <n v="1"/>
    <s v="HSA-2"/>
    <s v="MAVİÇAM"/>
    <m/>
    <m/>
    <m/>
    <m/>
    <x v="2"/>
    <x v="1"/>
    <x v="0"/>
    <x v="10"/>
  </r>
  <r>
    <n v="2564"/>
    <x v="1"/>
    <s v="DAIKIN"/>
    <d v="2025-11-03T00:00:00"/>
    <s v="AAAA"/>
    <n v="1"/>
    <s v="HSA-2"/>
    <s v="MAVİÇAM"/>
    <m/>
    <m/>
    <m/>
    <m/>
    <x v="2"/>
    <x v="1"/>
    <x v="0"/>
    <x v="10"/>
  </r>
  <r>
    <n v="2564"/>
    <x v="1"/>
    <s v="DAIKIN"/>
    <d v="2025-11-03T00:00:00"/>
    <s v="AAAA"/>
    <n v="1"/>
    <s v="HSA-2"/>
    <s v="MAVİÇAM"/>
    <m/>
    <m/>
    <m/>
    <m/>
    <x v="2"/>
    <x v="1"/>
    <x v="0"/>
    <x v="10"/>
  </r>
  <r>
    <n v="2564"/>
    <x v="1"/>
    <s v="DAIKIN"/>
    <d v="2025-11-03T00:00:00"/>
    <s v="AAAA"/>
    <n v="1"/>
    <s v="HSA-2"/>
    <s v="MAVİÇAM"/>
    <m/>
    <m/>
    <m/>
    <m/>
    <x v="2"/>
    <x v="1"/>
    <x v="0"/>
    <x v="10"/>
  </r>
  <r>
    <n v="2564"/>
    <x v="1"/>
    <s v="DAIKIN"/>
    <d v="2025-11-03T00:00:00"/>
    <s v="AAAA"/>
    <n v="1"/>
    <s v="HSA-2"/>
    <s v="MAVİÇAM"/>
    <m/>
    <m/>
    <m/>
    <m/>
    <x v="2"/>
    <x v="1"/>
    <x v="0"/>
    <x v="10"/>
  </r>
  <r>
    <n v="2564"/>
    <x v="1"/>
    <s v="DAIKIN"/>
    <d v="2025-11-03T00:00:00"/>
    <s v="AAAA"/>
    <n v="1"/>
    <s v="HSA-2"/>
    <s v="MAVİÇAM"/>
    <m/>
    <m/>
    <m/>
    <m/>
    <x v="2"/>
    <x v="1"/>
    <x v="0"/>
    <x v="10"/>
  </r>
  <r>
    <n v="2564"/>
    <x v="1"/>
    <s v="DAIKIN"/>
    <d v="2025-11-03T00:00:00"/>
    <s v="AAAA"/>
    <n v="1"/>
    <s v="HSA-2"/>
    <s v="MAVİÇAM"/>
    <m/>
    <m/>
    <m/>
    <m/>
    <x v="2"/>
    <x v="1"/>
    <x v="0"/>
    <x v="10"/>
  </r>
  <r>
    <n v="2564"/>
    <x v="1"/>
    <s v="DAIKIN"/>
    <d v="2025-11-03T00:00:00"/>
    <s v="AAAA"/>
    <n v="1"/>
    <s v="HSA-2"/>
    <s v="MAVİÇAM"/>
    <m/>
    <m/>
    <m/>
    <m/>
    <x v="2"/>
    <x v="1"/>
    <x v="0"/>
    <x v="10"/>
  </r>
  <r>
    <n v="2564"/>
    <x v="1"/>
    <s v="DAIKIN"/>
    <d v="2025-11-03T00:00:00"/>
    <s v="AAAA"/>
    <n v="1"/>
    <s v="HSA-2"/>
    <s v="MAVİÇAM"/>
    <m/>
    <m/>
    <m/>
    <m/>
    <x v="2"/>
    <x v="1"/>
    <x v="0"/>
    <x v="10"/>
  </r>
  <r>
    <n v="2564"/>
    <x v="1"/>
    <s v="DAIKIN"/>
    <d v="2025-11-03T00:00:00"/>
    <s v="AAAA"/>
    <n v="1"/>
    <s v="HSA-2"/>
    <s v="MAVİÇAM"/>
    <m/>
    <m/>
    <m/>
    <m/>
    <x v="2"/>
    <x v="1"/>
    <x v="0"/>
    <x v="10"/>
  </r>
  <r>
    <n v="2564"/>
    <x v="1"/>
    <s v="DAIKIN"/>
    <d v="2025-11-03T00:00:00"/>
    <s v="AAAA"/>
    <n v="1"/>
    <s v="HSA-2"/>
    <s v="MAVİÇAM"/>
    <m/>
    <m/>
    <m/>
    <m/>
    <x v="2"/>
    <x v="1"/>
    <x v="0"/>
    <x v="10"/>
  </r>
  <r>
    <n v="2564"/>
    <x v="1"/>
    <s v="DAIKIN"/>
    <d v="2025-11-03T00:00:00"/>
    <s v="AAAA"/>
    <n v="1"/>
    <s v="HSA-2"/>
    <s v="MAVİÇAM"/>
    <m/>
    <m/>
    <m/>
    <m/>
    <x v="2"/>
    <x v="1"/>
    <x v="0"/>
    <x v="10"/>
  </r>
  <r>
    <n v="2564"/>
    <x v="1"/>
    <s v="DAIKIN"/>
    <d v="2025-11-03T00:00:00"/>
    <s v="AAAA"/>
    <n v="1"/>
    <s v="HSA-2"/>
    <s v="MAVİÇAM"/>
    <m/>
    <m/>
    <m/>
    <m/>
    <x v="2"/>
    <x v="1"/>
    <x v="0"/>
    <x v="10"/>
  </r>
  <r>
    <n v="2564"/>
    <x v="1"/>
    <s v="DAIKIN"/>
    <d v="2025-11-03T00:00:00"/>
    <s v="AAAA"/>
    <n v="1"/>
    <s v="HSA-2"/>
    <s v="MAVİÇAM"/>
    <m/>
    <m/>
    <m/>
    <m/>
    <x v="2"/>
    <x v="1"/>
    <x v="0"/>
    <x v="10"/>
  </r>
  <r>
    <n v="2564"/>
    <x v="1"/>
    <s v="DAIKIN"/>
    <d v="2025-11-03T00:00:00"/>
    <s v="AAAA"/>
    <n v="1"/>
    <s v="HSA-2"/>
    <s v="MAVİÇAM"/>
    <m/>
    <m/>
    <m/>
    <m/>
    <x v="2"/>
    <x v="1"/>
    <x v="0"/>
    <x v="10"/>
  </r>
  <r>
    <n v="2564"/>
    <x v="1"/>
    <s v="DAIKIN"/>
    <d v="2025-11-03T00:00:00"/>
    <s v="AAAA"/>
    <n v="1"/>
    <s v="HSA-2"/>
    <s v="MAVİÇAM"/>
    <m/>
    <m/>
    <m/>
    <m/>
    <x v="2"/>
    <x v="1"/>
    <x v="0"/>
    <x v="10"/>
  </r>
  <r>
    <n v="2564"/>
    <x v="1"/>
    <s v="DAIKIN"/>
    <d v="2025-11-03T00:00:00"/>
    <s v="AAAA"/>
    <n v="1"/>
    <s v="HSA-2"/>
    <s v="MAVİÇAM"/>
    <m/>
    <m/>
    <m/>
    <m/>
    <x v="2"/>
    <x v="1"/>
    <x v="0"/>
    <x v="10"/>
  </r>
  <r>
    <n v="2564"/>
    <x v="1"/>
    <s v="DAIKIN"/>
    <d v="2025-11-03T00:00:00"/>
    <s v="AAAA"/>
    <n v="1"/>
    <s v="HSA-2"/>
    <s v="MAVİÇAM"/>
    <m/>
    <m/>
    <m/>
    <m/>
    <x v="2"/>
    <x v="1"/>
    <x v="0"/>
    <x v="10"/>
  </r>
  <r>
    <n v="2564"/>
    <x v="1"/>
    <s v="DAIKIN"/>
    <d v="2025-11-03T00:00:00"/>
    <s v="AAAA"/>
    <n v="1"/>
    <s v="HSA-2"/>
    <s v="MAVİÇAM"/>
    <m/>
    <m/>
    <m/>
    <m/>
    <x v="2"/>
    <x v="1"/>
    <x v="0"/>
    <x v="10"/>
  </r>
  <r>
    <n v="2564"/>
    <x v="1"/>
    <s v="DAIKIN"/>
    <d v="2025-11-03T00:00:00"/>
    <s v="AAAA"/>
    <n v="1"/>
    <s v="HSA-2"/>
    <s v="MAVİÇAM"/>
    <m/>
    <m/>
    <m/>
    <m/>
    <x v="2"/>
    <x v="1"/>
    <x v="0"/>
    <x v="10"/>
  </r>
  <r>
    <n v="2564"/>
    <x v="1"/>
    <s v="DAIKIN"/>
    <d v="2025-11-03T00:00:00"/>
    <s v="AAAA"/>
    <n v="1"/>
    <s v="HSA-2"/>
    <s v="MAVİÇAM"/>
    <m/>
    <m/>
    <m/>
    <m/>
    <x v="2"/>
    <x v="1"/>
    <x v="0"/>
    <x v="10"/>
  </r>
  <r>
    <n v="2564"/>
    <x v="1"/>
    <s v="DAIKIN"/>
    <d v="2025-11-03T00:00:00"/>
    <s v="AAAA"/>
    <n v="1"/>
    <s v="HSA-2"/>
    <s v="MAVİÇAM"/>
    <m/>
    <m/>
    <m/>
    <m/>
    <x v="2"/>
    <x v="1"/>
    <x v="0"/>
    <x v="10"/>
  </r>
  <r>
    <n v="2564"/>
    <x v="1"/>
    <s v="DAIKIN"/>
    <d v="2025-11-03T00:00:00"/>
    <s v="AAAA"/>
    <n v="1"/>
    <s v="HSA-2"/>
    <s v="MAVİÇAM"/>
    <m/>
    <m/>
    <m/>
    <m/>
    <x v="2"/>
    <x v="1"/>
    <x v="0"/>
    <x v="10"/>
  </r>
  <r>
    <n v="2564"/>
    <x v="1"/>
    <s v="DAIKIN"/>
    <d v="2025-11-03T00:00:00"/>
    <s v="AAAA"/>
    <n v="1"/>
    <s v="HSA-2"/>
    <s v="MAVİÇAM"/>
    <m/>
    <m/>
    <m/>
    <m/>
    <x v="2"/>
    <x v="1"/>
    <x v="0"/>
    <x v="10"/>
  </r>
  <r>
    <n v="2564"/>
    <x v="1"/>
    <s v="DAIKIN"/>
    <d v="2025-11-03T00:00:00"/>
    <s v="AAAA"/>
    <n v="1"/>
    <s v="HSA-2"/>
    <s v="MAVİÇAM"/>
    <m/>
    <m/>
    <m/>
    <m/>
    <x v="2"/>
    <x v="1"/>
    <x v="0"/>
    <x v="10"/>
  </r>
  <r>
    <n v="2564"/>
    <x v="1"/>
    <s v="DAIKIN"/>
    <d v="2025-11-03T00:00:00"/>
    <s v="AAAA"/>
    <n v="1"/>
    <s v="HSA-2"/>
    <s v="MAVİÇAM"/>
    <m/>
    <m/>
    <m/>
    <m/>
    <x v="2"/>
    <x v="1"/>
    <x v="0"/>
    <x v="10"/>
  </r>
  <r>
    <n v="2564"/>
    <x v="1"/>
    <s v="DAIKIN"/>
    <d v="2025-11-03T00:00:00"/>
    <s v="AAAA"/>
    <n v="1"/>
    <s v="HSA-2"/>
    <s v="MAVİÇAM"/>
    <m/>
    <m/>
    <m/>
    <m/>
    <x v="2"/>
    <x v="1"/>
    <x v="0"/>
    <x v="10"/>
  </r>
  <r>
    <n v="2564"/>
    <x v="1"/>
    <s v="DAIKIN"/>
    <d v="2025-11-03T00:00:00"/>
    <s v="AAAA"/>
    <n v="1"/>
    <s v="HSA-2"/>
    <s v="MAVİÇAM"/>
    <m/>
    <m/>
    <m/>
    <m/>
    <x v="2"/>
    <x v="1"/>
    <x v="0"/>
    <x v="10"/>
  </r>
  <r>
    <n v="2564"/>
    <x v="1"/>
    <s v="DAIKIN"/>
    <d v="2025-11-03T00:00:00"/>
    <s v="AAAA"/>
    <n v="1"/>
    <s v="HSA-2"/>
    <s v="MAVİÇAM"/>
    <m/>
    <m/>
    <m/>
    <m/>
    <x v="2"/>
    <x v="1"/>
    <x v="0"/>
    <x v="10"/>
  </r>
  <r>
    <n v="2564"/>
    <x v="1"/>
    <s v="DAIKIN"/>
    <d v="2025-11-03T00:00:00"/>
    <s v="AAAA"/>
    <n v="1"/>
    <s v="HSA-2"/>
    <s v="MAVİÇAM"/>
    <m/>
    <m/>
    <m/>
    <m/>
    <x v="2"/>
    <x v="1"/>
    <x v="0"/>
    <x v="10"/>
  </r>
  <r>
    <n v="2564"/>
    <x v="1"/>
    <s v="DAIKIN"/>
    <d v="2025-11-03T00:00:00"/>
    <s v="AAAA"/>
    <n v="1"/>
    <s v="HSA-2"/>
    <s v="MAVİÇAM"/>
    <m/>
    <m/>
    <m/>
    <m/>
    <x v="2"/>
    <x v="1"/>
    <x v="0"/>
    <x v="10"/>
  </r>
  <r>
    <n v="2564"/>
    <x v="1"/>
    <s v="DAIKIN"/>
    <d v="2025-11-03T00:00:00"/>
    <s v="AAAA"/>
    <n v="1"/>
    <s v="HSA-2"/>
    <s v="MAVİÇAM"/>
    <m/>
    <m/>
    <m/>
    <m/>
    <x v="2"/>
    <x v="1"/>
    <x v="0"/>
    <x v="10"/>
  </r>
  <r>
    <n v="2564"/>
    <x v="1"/>
    <s v="DAIKIN"/>
    <d v="2025-11-03T00:00:00"/>
    <s v="AAAA"/>
    <n v="1"/>
    <s v="HSA-2"/>
    <s v="MAVİÇAM"/>
    <m/>
    <m/>
    <m/>
    <m/>
    <x v="2"/>
    <x v="1"/>
    <x v="0"/>
    <x v="10"/>
  </r>
  <r>
    <n v="2564"/>
    <x v="1"/>
    <s v="DAIKIN"/>
    <d v="2025-11-03T00:00:00"/>
    <s v="AAAA"/>
    <n v="1"/>
    <s v="HSA-2"/>
    <s v="MAVİÇAM"/>
    <m/>
    <m/>
    <m/>
    <m/>
    <x v="2"/>
    <x v="1"/>
    <x v="0"/>
    <x v="10"/>
  </r>
  <r>
    <n v="2564"/>
    <x v="1"/>
    <s v="DAIKIN"/>
    <d v="2025-11-03T00:00:00"/>
    <s v="AAAA"/>
    <n v="1"/>
    <s v="HSA-2"/>
    <s v="MAVİÇAM"/>
    <m/>
    <m/>
    <m/>
    <m/>
    <x v="2"/>
    <x v="1"/>
    <x v="0"/>
    <x v="10"/>
  </r>
  <r>
    <n v="2564"/>
    <x v="1"/>
    <s v="DAIKIN"/>
    <d v="2025-11-03T00:00:00"/>
    <s v="AAAA"/>
    <n v="1"/>
    <s v="HSA-2"/>
    <s v="MAVİÇAM"/>
    <m/>
    <m/>
    <m/>
    <m/>
    <x v="2"/>
    <x v="1"/>
    <x v="0"/>
    <x v="10"/>
  </r>
  <r>
    <n v="2564"/>
    <x v="1"/>
    <s v="DAIKIN"/>
    <d v="2025-11-03T00:00:00"/>
    <s v="AAAA"/>
    <n v="1"/>
    <s v="HSA-2"/>
    <s v="MAVİÇAM"/>
    <m/>
    <m/>
    <m/>
    <m/>
    <x v="2"/>
    <x v="1"/>
    <x v="0"/>
    <x v="10"/>
  </r>
  <r>
    <n v="2564"/>
    <x v="1"/>
    <s v="DAIKIN"/>
    <d v="2025-11-03T00:00:00"/>
    <s v="AAAA"/>
    <n v="1"/>
    <s v="HSA-2"/>
    <s v="MAVİÇAM"/>
    <m/>
    <m/>
    <m/>
    <m/>
    <x v="2"/>
    <x v="1"/>
    <x v="0"/>
    <x v="10"/>
  </r>
  <r>
    <n v="2564"/>
    <x v="1"/>
    <s v="DAIKIN"/>
    <d v="2025-11-03T00:00:00"/>
    <s v="AAAA"/>
    <n v="1"/>
    <s v="HSA-2"/>
    <s v="MAVİÇAM"/>
    <m/>
    <m/>
    <m/>
    <m/>
    <x v="2"/>
    <x v="1"/>
    <x v="0"/>
    <x v="10"/>
  </r>
  <r>
    <n v="2564"/>
    <x v="1"/>
    <s v="DAIKIN"/>
    <d v="2025-11-03T00:00:00"/>
    <s v="AAAA"/>
    <n v="1"/>
    <s v="HSA-2"/>
    <s v="MAVİÇAM"/>
    <m/>
    <m/>
    <m/>
    <m/>
    <x v="2"/>
    <x v="1"/>
    <x v="0"/>
    <x v="10"/>
  </r>
  <r>
    <n v="2564"/>
    <x v="1"/>
    <s v="DAIKIN"/>
    <d v="2025-11-03T00:00:00"/>
    <s v="AAAA"/>
    <n v="1"/>
    <s v="HSA-2"/>
    <s v="MAVİÇAM"/>
    <m/>
    <m/>
    <m/>
    <m/>
    <x v="2"/>
    <x v="1"/>
    <x v="0"/>
    <x v="10"/>
  </r>
  <r>
    <n v="2564"/>
    <x v="1"/>
    <s v="DAIKIN"/>
    <d v="2025-11-03T00:00:00"/>
    <s v="AAAA"/>
    <n v="1"/>
    <s v="HSA-2"/>
    <s v="MAVİÇAM"/>
    <m/>
    <m/>
    <m/>
    <m/>
    <x v="2"/>
    <x v="1"/>
    <x v="0"/>
    <x v="10"/>
  </r>
  <r>
    <n v="2564"/>
    <x v="1"/>
    <s v="DAIKIN"/>
    <d v="2025-11-03T00:00:00"/>
    <s v="AAAA"/>
    <n v="1"/>
    <s v="HSA-2"/>
    <s v="MAVİÇAM"/>
    <m/>
    <m/>
    <m/>
    <m/>
    <x v="2"/>
    <x v="1"/>
    <x v="0"/>
    <x v="10"/>
  </r>
  <r>
    <n v="2564"/>
    <x v="1"/>
    <s v="DAIKIN"/>
    <d v="2025-11-03T00:00:00"/>
    <s v="AAAA"/>
    <n v="1"/>
    <s v="HSA-2"/>
    <s v="MAVİÇAM"/>
    <m/>
    <m/>
    <m/>
    <m/>
    <x v="2"/>
    <x v="1"/>
    <x v="0"/>
    <x v="10"/>
  </r>
  <r>
    <n v="2564"/>
    <x v="1"/>
    <s v="DAIKIN"/>
    <d v="2025-11-03T00:00:00"/>
    <s v="AAAA"/>
    <n v="1"/>
    <s v="HSA-2"/>
    <s v="MAVİÇAM"/>
    <m/>
    <m/>
    <m/>
    <m/>
    <x v="2"/>
    <x v="1"/>
    <x v="0"/>
    <x v="10"/>
  </r>
  <r>
    <n v="2564"/>
    <x v="1"/>
    <s v="DAIKIN"/>
    <d v="2025-11-03T00:00:00"/>
    <s v="AAAA"/>
    <n v="1"/>
    <s v="HSA-2"/>
    <s v="MAVİÇAM"/>
    <m/>
    <m/>
    <m/>
    <m/>
    <x v="2"/>
    <x v="1"/>
    <x v="0"/>
    <x v="10"/>
  </r>
  <r>
    <n v="2564"/>
    <x v="1"/>
    <s v="DAIKIN"/>
    <d v="2025-11-03T00:00:00"/>
    <s v="AAAA"/>
    <n v="1"/>
    <s v="HSA-2"/>
    <s v="MAVİÇAM"/>
    <m/>
    <m/>
    <m/>
    <m/>
    <x v="2"/>
    <x v="1"/>
    <x v="0"/>
    <x v="10"/>
  </r>
  <r>
    <n v="2564"/>
    <x v="1"/>
    <s v="DAIKIN"/>
    <d v="2025-11-03T00:00:00"/>
    <s v="AAAA"/>
    <n v="1"/>
    <s v="HSA-2"/>
    <s v="MAVİÇAM"/>
    <m/>
    <m/>
    <m/>
    <m/>
    <x v="2"/>
    <x v="1"/>
    <x v="0"/>
    <x v="10"/>
  </r>
  <r>
    <n v="2564"/>
    <x v="1"/>
    <s v="DAIKIN"/>
    <d v="2025-11-03T00:00:00"/>
    <s v="AAAA"/>
    <n v="1"/>
    <s v="HSA-2"/>
    <s v="MAVİÇAM"/>
    <m/>
    <m/>
    <m/>
    <m/>
    <x v="2"/>
    <x v="1"/>
    <x v="0"/>
    <x v="10"/>
  </r>
  <r>
    <n v="2564"/>
    <x v="1"/>
    <s v="DAIKIN"/>
    <d v="2025-11-03T00:00:00"/>
    <s v="AAAA"/>
    <n v="1"/>
    <s v="HSA-2"/>
    <s v="MAVİÇAM"/>
    <m/>
    <m/>
    <m/>
    <m/>
    <x v="2"/>
    <x v="1"/>
    <x v="0"/>
    <x v="10"/>
  </r>
  <r>
    <n v="2564"/>
    <x v="1"/>
    <s v="DAIKIN"/>
    <d v="2025-11-03T00:00:00"/>
    <s v="AAAA"/>
    <n v="1"/>
    <s v="HSA-2"/>
    <s v="MAVİÇAM"/>
    <m/>
    <m/>
    <m/>
    <m/>
    <x v="2"/>
    <x v="1"/>
    <x v="0"/>
    <x v="10"/>
  </r>
  <r>
    <n v="2564"/>
    <x v="1"/>
    <s v="DAIKIN"/>
    <d v="2025-11-03T00:00:00"/>
    <s v="AAAA"/>
    <n v="1"/>
    <s v="HSA-2"/>
    <s v="MAVİÇAM"/>
    <m/>
    <m/>
    <m/>
    <m/>
    <x v="2"/>
    <x v="1"/>
    <x v="0"/>
    <x v="10"/>
  </r>
  <r>
    <n v="2564"/>
    <x v="1"/>
    <s v="DAIKIN"/>
    <d v="2025-11-03T00:00:00"/>
    <s v="AAAA"/>
    <n v="1"/>
    <s v="HSA-2"/>
    <s v="MAVİÇAM"/>
    <m/>
    <m/>
    <m/>
    <m/>
    <x v="2"/>
    <x v="1"/>
    <x v="0"/>
    <x v="10"/>
  </r>
  <r>
    <n v="2564"/>
    <x v="1"/>
    <s v="DAIKIN"/>
    <d v="2025-11-03T00:00:00"/>
    <s v="AAAA"/>
    <n v="1"/>
    <s v="HSA-2"/>
    <s v="MAVİÇAM"/>
    <m/>
    <m/>
    <m/>
    <m/>
    <x v="2"/>
    <x v="1"/>
    <x v="0"/>
    <x v="10"/>
  </r>
  <r>
    <n v="2564"/>
    <x v="1"/>
    <s v="DAIKIN"/>
    <d v="2025-11-03T00:00:00"/>
    <s v="AAAA"/>
    <n v="1"/>
    <s v="HSA-2"/>
    <s v="MAVİÇAM"/>
    <m/>
    <m/>
    <m/>
    <m/>
    <x v="2"/>
    <x v="1"/>
    <x v="0"/>
    <x v="10"/>
  </r>
  <r>
    <n v="2564"/>
    <x v="1"/>
    <s v="DAIKIN"/>
    <d v="2025-11-03T00:00:00"/>
    <s v="AAAA"/>
    <n v="1"/>
    <s v="HSA-2"/>
    <s v="MAVİÇAM"/>
    <m/>
    <m/>
    <m/>
    <m/>
    <x v="2"/>
    <x v="1"/>
    <x v="0"/>
    <x v="10"/>
  </r>
  <r>
    <n v="2564"/>
    <x v="1"/>
    <s v="DAIKIN"/>
    <d v="2025-11-03T00:00:00"/>
    <s v="AAAA"/>
    <n v="1"/>
    <s v="HSA-2"/>
    <s v="MAVİÇAM"/>
    <m/>
    <m/>
    <m/>
    <m/>
    <x v="2"/>
    <x v="1"/>
    <x v="0"/>
    <x v="10"/>
  </r>
  <r>
    <n v="2564"/>
    <x v="1"/>
    <s v="DAIKIN"/>
    <d v="2025-11-03T00:00:00"/>
    <s v="AAAA"/>
    <n v="1"/>
    <s v="HSA-2"/>
    <s v="MAVİÇAM"/>
    <m/>
    <m/>
    <m/>
    <m/>
    <x v="2"/>
    <x v="1"/>
    <x v="0"/>
    <x v="10"/>
  </r>
  <r>
    <n v="2564"/>
    <x v="1"/>
    <s v="DAIKIN"/>
    <d v="2025-11-03T00:00:00"/>
    <s v="AAAA"/>
    <n v="1"/>
    <s v="HSA-2"/>
    <s v="MAVİÇAM"/>
    <m/>
    <m/>
    <m/>
    <m/>
    <x v="2"/>
    <x v="1"/>
    <x v="0"/>
    <x v="10"/>
  </r>
  <r>
    <n v="2564"/>
    <x v="1"/>
    <s v="DAIKIN"/>
    <d v="2025-11-03T00:00:00"/>
    <s v="AAAA"/>
    <n v="1"/>
    <s v="HSA-2"/>
    <s v="MAVİÇAM"/>
    <m/>
    <m/>
    <m/>
    <m/>
    <x v="2"/>
    <x v="1"/>
    <x v="0"/>
    <x v="10"/>
  </r>
  <r>
    <n v="2564"/>
    <x v="1"/>
    <s v="DAIKIN"/>
    <d v="2025-11-03T00:00:00"/>
    <s v="AAAA"/>
    <n v="1"/>
    <s v="HSA-2"/>
    <s v="MAVİÇAM"/>
    <m/>
    <m/>
    <m/>
    <m/>
    <x v="2"/>
    <x v="1"/>
    <x v="0"/>
    <x v="10"/>
  </r>
  <r>
    <n v="2564"/>
    <x v="1"/>
    <s v="DAIKIN"/>
    <d v="2025-11-03T00:00:00"/>
    <s v="AAAA"/>
    <n v="1"/>
    <s v="HSA-2"/>
    <s v="MAVİÇAM"/>
    <m/>
    <m/>
    <m/>
    <m/>
    <x v="2"/>
    <x v="1"/>
    <x v="0"/>
    <x v="10"/>
  </r>
  <r>
    <n v="2564"/>
    <x v="1"/>
    <s v="DAIKIN"/>
    <d v="2025-11-03T00:00:00"/>
    <s v="AAAA"/>
    <n v="1"/>
    <s v="HSA-2"/>
    <s v="MAVİÇAM"/>
    <m/>
    <m/>
    <m/>
    <m/>
    <x v="2"/>
    <x v="1"/>
    <x v="0"/>
    <x v="10"/>
  </r>
  <r>
    <n v="2564"/>
    <x v="1"/>
    <s v="DAIKIN"/>
    <d v="2025-11-03T00:00:00"/>
    <s v="AAAA"/>
    <n v="1"/>
    <s v="HSA-2"/>
    <s v="MAVİÇAM"/>
    <m/>
    <m/>
    <m/>
    <m/>
    <x v="2"/>
    <x v="1"/>
    <x v="0"/>
    <x v="10"/>
  </r>
  <r>
    <n v="2564"/>
    <x v="1"/>
    <s v="DAIKIN"/>
    <d v="2025-11-03T00:00:00"/>
    <s v="AAAA"/>
    <n v="1"/>
    <s v="HSA-2"/>
    <s v="MAVİÇAM"/>
    <m/>
    <m/>
    <m/>
    <m/>
    <x v="2"/>
    <x v="1"/>
    <x v="0"/>
    <x v="10"/>
  </r>
  <r>
    <n v="2564"/>
    <x v="1"/>
    <s v="DAIKIN"/>
    <d v="2025-11-03T00:00:00"/>
    <s v="AAAA"/>
    <n v="1"/>
    <s v="HSA-2"/>
    <s v="MAVİÇAM"/>
    <m/>
    <m/>
    <m/>
    <m/>
    <x v="2"/>
    <x v="1"/>
    <x v="0"/>
    <x v="10"/>
  </r>
  <r>
    <n v="2564"/>
    <x v="1"/>
    <s v="DAIKIN"/>
    <d v="2025-11-03T00:00:00"/>
    <s v="AAAA"/>
    <n v="1"/>
    <s v="HSA-2"/>
    <s v="MAVİÇAM"/>
    <m/>
    <m/>
    <m/>
    <m/>
    <x v="2"/>
    <x v="1"/>
    <x v="0"/>
    <x v="10"/>
  </r>
  <r>
    <n v="2564"/>
    <x v="1"/>
    <s v="DAIKIN"/>
    <d v="2025-11-03T00:00:00"/>
    <s v="AAAA"/>
    <n v="1"/>
    <s v="HSA-2"/>
    <s v="MAVİÇAM"/>
    <m/>
    <m/>
    <m/>
    <m/>
    <x v="2"/>
    <x v="1"/>
    <x v="0"/>
    <x v="10"/>
  </r>
  <r>
    <n v="2564"/>
    <x v="1"/>
    <s v="DAIKIN"/>
    <d v="2025-11-03T00:00:00"/>
    <s v="AAAA"/>
    <n v="1"/>
    <s v="HSA-2"/>
    <s v="MAVİÇAM"/>
    <m/>
    <m/>
    <m/>
    <m/>
    <x v="2"/>
    <x v="1"/>
    <x v="0"/>
    <x v="10"/>
  </r>
  <r>
    <n v="2564"/>
    <x v="1"/>
    <s v="DAIKIN"/>
    <d v="2025-11-03T00:00:00"/>
    <s v="AAAA"/>
    <n v="1"/>
    <s v="HSA-2"/>
    <s v="MAVİÇAM"/>
    <m/>
    <m/>
    <m/>
    <m/>
    <x v="2"/>
    <x v="1"/>
    <x v="0"/>
    <x v="10"/>
  </r>
  <r>
    <n v="2564"/>
    <x v="1"/>
    <s v="DAIKIN"/>
    <d v="2025-11-03T00:00:00"/>
    <s v="AAAA"/>
    <n v="1"/>
    <s v="HSA-2"/>
    <s v="MAVİÇAM"/>
    <m/>
    <m/>
    <m/>
    <m/>
    <x v="2"/>
    <x v="1"/>
    <x v="0"/>
    <x v="10"/>
  </r>
  <r>
    <n v="2564"/>
    <x v="1"/>
    <s v="DAIKIN"/>
    <d v="2025-11-03T00:00:00"/>
    <s v="AAAA"/>
    <n v="1"/>
    <s v="HSA-2"/>
    <s v="MAVİÇAM"/>
    <m/>
    <m/>
    <m/>
    <m/>
    <x v="2"/>
    <x v="1"/>
    <x v="0"/>
    <x v="10"/>
  </r>
  <r>
    <n v="2564"/>
    <x v="1"/>
    <s v="DAIKIN"/>
    <d v="2025-11-03T00:00:00"/>
    <s v="AAAA"/>
    <n v="1"/>
    <s v="HSA-2"/>
    <s v="MAVİÇAM"/>
    <m/>
    <m/>
    <m/>
    <m/>
    <x v="2"/>
    <x v="1"/>
    <x v="0"/>
    <x v="10"/>
  </r>
  <r>
    <n v="2564"/>
    <x v="1"/>
    <s v="DAIKIN"/>
    <d v="2025-11-03T00:00:00"/>
    <s v="AAAA"/>
    <n v="1"/>
    <s v="HSA-2"/>
    <s v="MAVİÇAM"/>
    <m/>
    <m/>
    <m/>
    <m/>
    <x v="2"/>
    <x v="1"/>
    <x v="0"/>
    <x v="10"/>
  </r>
  <r>
    <n v="2564"/>
    <x v="1"/>
    <s v="DAIKIN"/>
    <d v="2025-11-03T00:00:00"/>
    <s v="AAAA"/>
    <n v="1"/>
    <s v="HSA-2"/>
    <s v="MAVİÇAM"/>
    <m/>
    <m/>
    <m/>
    <m/>
    <x v="2"/>
    <x v="1"/>
    <x v="0"/>
    <x v="10"/>
  </r>
  <r>
    <n v="2565"/>
    <x v="0"/>
    <s v="ENTEGRO"/>
    <d v="2025-11-20T00:00:00"/>
    <s v="2320108MC2011418"/>
    <n v="1"/>
    <s v="HSA-2"/>
    <s v="MAVİÇAM"/>
    <m/>
    <m/>
    <m/>
    <m/>
    <x v="2"/>
    <x v="1"/>
    <x v="0"/>
    <x v="10"/>
  </r>
  <r>
    <n v="2565"/>
    <x v="0"/>
    <s v="ENTEGRO"/>
    <d v="2025-11-20T00:00:00"/>
    <s v="2320108MC2019769"/>
    <n v="1"/>
    <s v="HSA-2"/>
    <s v="MAVİÇAM"/>
    <m/>
    <m/>
    <m/>
    <m/>
    <x v="2"/>
    <x v="1"/>
    <x v="0"/>
    <x v="10"/>
  </r>
  <r>
    <n v="2566"/>
    <x v="16"/>
    <s v="CANSUYUHAYVANCILIK"/>
    <d v="2025-12-08T00:00:00"/>
    <s v="2520107BW0001100"/>
    <n v="1"/>
    <s v="HSA-1"/>
    <s v="JASOLAR"/>
    <m/>
    <m/>
    <m/>
    <m/>
    <x v="1"/>
    <x v="2"/>
    <x v="1"/>
    <x v="11"/>
  </r>
  <r>
    <n v="2566"/>
    <x v="16"/>
    <s v="CANSUYUHAYVANCILIK"/>
    <d v="2025-12-08T00:00:00"/>
    <s v="2520107BW005987"/>
    <n v="1"/>
    <s v="HSA-1"/>
    <s v="JASOLAR"/>
    <m/>
    <m/>
    <m/>
    <m/>
    <x v="1"/>
    <x v="2"/>
    <x v="1"/>
    <x v="11"/>
  </r>
  <r>
    <n v="2566"/>
    <x v="16"/>
    <s v="CANSUYUHAYVANCILIK"/>
    <d v="2025-12-08T00:00:00"/>
    <s v="2520107BW0006137"/>
    <n v="1"/>
    <s v="HSA-1"/>
    <s v="JASOLAR"/>
    <m/>
    <m/>
    <m/>
    <m/>
    <x v="1"/>
    <x v="2"/>
    <x v="1"/>
    <x v="11"/>
  </r>
  <r>
    <n v="2566"/>
    <x v="16"/>
    <s v="CANSUYUHAYVANCILIK"/>
    <d v="2025-12-08T00:00:00"/>
    <s v="2520107BW0006224"/>
    <n v="1"/>
    <s v="HSA-1"/>
    <s v="JASOLAR"/>
    <m/>
    <m/>
    <m/>
    <m/>
    <x v="1"/>
    <x v="2"/>
    <x v="1"/>
    <x v="11"/>
  </r>
  <r>
    <n v="2566"/>
    <x v="16"/>
    <s v="CANSUYUHAYVANCILIK"/>
    <d v="2025-12-08T00:00:00"/>
    <s v="2520107BW0001793"/>
    <n v="1"/>
    <s v="HSA-1"/>
    <s v="JASOLAR"/>
    <m/>
    <m/>
    <m/>
    <m/>
    <x v="1"/>
    <x v="2"/>
    <x v="1"/>
    <x v="11"/>
  </r>
  <r>
    <n v="2566"/>
    <x v="16"/>
    <s v="CANSUYUHAYVANCILIK"/>
    <d v="2025-12-08T00:00:00"/>
    <s v="2520107BW0000889"/>
    <n v="1"/>
    <s v="HSA-1"/>
    <s v="JASOLAR"/>
    <m/>
    <m/>
    <m/>
    <m/>
    <x v="1"/>
    <x v="2"/>
    <x v="1"/>
    <x v="11"/>
  </r>
  <r>
    <n v="2567"/>
    <x v="33"/>
    <s v="METİNAYAZ"/>
    <d v="2025-12-09T00:00:00"/>
    <s v="24C0107BW0027728"/>
    <n v="1"/>
    <s v="HSA-1"/>
    <s v="MAVİÇAM"/>
    <m/>
    <m/>
    <m/>
    <m/>
    <x v="8"/>
    <x v="2"/>
    <x v="2"/>
    <x v="11"/>
  </r>
  <r>
    <n v="2567"/>
    <x v="33"/>
    <s v="METİNAYAZ"/>
    <d v="2025-12-09T00:00:00"/>
    <s v="24C0107BW0034300"/>
    <n v="1"/>
    <s v="HSA-1"/>
    <s v="MAVİÇAM"/>
    <m/>
    <m/>
    <m/>
    <m/>
    <x v="8"/>
    <x v="2"/>
    <x v="2"/>
    <x v="11"/>
  </r>
  <r>
    <n v="2567"/>
    <x v="33"/>
    <s v="METİNAYAZ"/>
    <d v="2025-12-09T00:00:00"/>
    <s v="24A0107BW0043630"/>
    <n v="1"/>
    <s v="HSA-1"/>
    <s v="MAVİÇAM"/>
    <m/>
    <m/>
    <m/>
    <m/>
    <x v="8"/>
    <x v="2"/>
    <x v="2"/>
    <x v="11"/>
  </r>
  <r>
    <n v="2567"/>
    <x v="33"/>
    <s v="METİNAYAZ"/>
    <d v="2025-12-09T00:00:00"/>
    <s v="24A0107BW0050063"/>
    <n v="1"/>
    <s v="HSA-1"/>
    <s v="MAVİÇAM"/>
    <m/>
    <m/>
    <m/>
    <m/>
    <x v="8"/>
    <x v="2"/>
    <x v="2"/>
    <x v="11"/>
  </r>
  <r>
    <n v="2567"/>
    <x v="33"/>
    <s v="METİNAYAZ"/>
    <d v="2025-12-09T00:00:00"/>
    <s v="24B0107BW0004714"/>
    <n v="1"/>
    <s v="HSA-1"/>
    <s v="MAVİÇAM"/>
    <m/>
    <m/>
    <m/>
    <m/>
    <x v="8"/>
    <x v="2"/>
    <x v="2"/>
    <x v="11"/>
  </r>
  <r>
    <n v="2567"/>
    <x v="33"/>
    <s v="METİNAYAZ"/>
    <d v="2025-12-09T00:00:00"/>
    <s v="24C0107BW0043841"/>
    <n v="1"/>
    <s v="HSA-1"/>
    <s v="MAVİÇAM"/>
    <m/>
    <m/>
    <m/>
    <m/>
    <x v="8"/>
    <x v="2"/>
    <x v="2"/>
    <x v="11"/>
  </r>
  <r>
    <n v="2567"/>
    <x v="33"/>
    <s v="METİNAYAZ"/>
    <d v="2025-12-09T00:00:00"/>
    <s v="24C0107BW0027872"/>
    <n v="1"/>
    <s v="HSA-1"/>
    <s v="MAVİÇAM"/>
    <m/>
    <m/>
    <m/>
    <m/>
    <x v="8"/>
    <x v="2"/>
    <x v="2"/>
    <x v="11"/>
  </r>
  <r>
    <n v="2567"/>
    <x v="33"/>
    <s v="METİNAYAZ"/>
    <d v="2025-12-09T00:00:00"/>
    <s v="24C0107BW0034613"/>
    <n v="1"/>
    <s v="HSA-1"/>
    <s v="MAVİÇAM"/>
    <m/>
    <m/>
    <m/>
    <m/>
    <x v="8"/>
    <x v="2"/>
    <x v="2"/>
    <x v="11"/>
  </r>
  <r>
    <n v="2567"/>
    <x v="33"/>
    <s v="METİNAYAZ"/>
    <d v="2025-12-09T00:00:00"/>
    <s v="24C0107BW0037853"/>
    <n v="1"/>
    <s v="HSA-1"/>
    <s v="MAVİÇAM"/>
    <m/>
    <m/>
    <m/>
    <m/>
    <x v="8"/>
    <x v="2"/>
    <x v="2"/>
    <x v="11"/>
  </r>
  <r>
    <n v="2567"/>
    <x v="33"/>
    <s v="METİNAYAZ"/>
    <d v="2025-12-09T00:00:00"/>
    <s v="2460307MC1002108"/>
    <n v="1"/>
    <s v="HSA-1"/>
    <s v="MAVİÇAM"/>
    <m/>
    <m/>
    <m/>
    <m/>
    <x v="8"/>
    <x v="2"/>
    <x v="2"/>
    <x v="11"/>
  </r>
  <r>
    <n v="2567"/>
    <x v="33"/>
    <s v="METİNAYAZ"/>
    <d v="2025-12-09T00:00:00"/>
    <s v="24B0107BW0004716"/>
    <n v="1"/>
    <s v="HSA-1"/>
    <s v="MAVİÇAM"/>
    <m/>
    <m/>
    <m/>
    <m/>
    <x v="8"/>
    <x v="2"/>
    <x v="2"/>
    <x v="11"/>
  </r>
  <r>
    <n v="2567"/>
    <x v="33"/>
    <s v="METİNAYAZ"/>
    <d v="2025-12-09T00:00:00"/>
    <s v="24B0107BW0000567"/>
    <n v="1"/>
    <s v="HSA-1"/>
    <s v="MAVİÇAM"/>
    <m/>
    <m/>
    <m/>
    <m/>
    <x v="8"/>
    <x v="2"/>
    <x v="2"/>
    <x v="11"/>
  </r>
  <r>
    <n v="2567"/>
    <x v="33"/>
    <s v="METİNAYAZ"/>
    <d v="2025-12-09T00:00:00"/>
    <s v="24A0107BW0022015"/>
    <n v="1"/>
    <s v="HSA-1"/>
    <s v="MAVİÇAM"/>
    <m/>
    <m/>
    <m/>
    <m/>
    <x v="8"/>
    <x v="2"/>
    <x v="2"/>
    <x v="11"/>
  </r>
  <r>
    <n v="2567"/>
    <x v="33"/>
    <s v="METİNAYAZ"/>
    <d v="2025-12-09T00:00:00"/>
    <s v="24C0107BW0029465"/>
    <n v="1"/>
    <s v="HSA-1"/>
    <s v="MAVİÇAM"/>
    <m/>
    <m/>
    <m/>
    <m/>
    <x v="8"/>
    <x v="2"/>
    <x v="2"/>
    <x v="11"/>
  </r>
  <r>
    <n v="2567"/>
    <x v="33"/>
    <s v="METİNAYAZ"/>
    <d v="2025-12-09T00:00:00"/>
    <s v="24C0107BW0032557"/>
    <n v="1"/>
    <s v="HSA-1"/>
    <s v="MAVİÇAM"/>
    <m/>
    <m/>
    <m/>
    <m/>
    <x v="8"/>
    <x v="2"/>
    <x v="2"/>
    <x v="11"/>
  </r>
  <r>
    <n v="2567"/>
    <x v="33"/>
    <s v="METİNAYAZ"/>
    <d v="2025-12-09T00:00:00"/>
    <s v="24C0107BW0032329"/>
    <n v="1"/>
    <s v="HSA-1"/>
    <s v="MAVİÇAM"/>
    <m/>
    <m/>
    <m/>
    <m/>
    <x v="8"/>
    <x v="2"/>
    <x v="2"/>
    <x v="11"/>
  </r>
  <r>
    <n v="2567"/>
    <x v="33"/>
    <s v="METİNAYAZ"/>
    <d v="2025-12-09T00:00:00"/>
    <s v="24C0107BW0031126"/>
    <n v="1"/>
    <s v="HSA-1"/>
    <s v="MAVİÇAM"/>
    <m/>
    <m/>
    <m/>
    <m/>
    <x v="8"/>
    <x v="2"/>
    <x v="2"/>
    <x v="11"/>
  </r>
  <r>
    <n v="2567"/>
    <x v="33"/>
    <s v="METİNAYAZ"/>
    <d v="2025-12-09T00:00:00"/>
    <s v="24C0107BW0031193"/>
    <n v="1"/>
    <s v="HSA-1"/>
    <s v="MAVİÇAM"/>
    <m/>
    <m/>
    <m/>
    <m/>
    <x v="8"/>
    <x v="2"/>
    <x v="2"/>
    <x v="11"/>
  </r>
  <r>
    <n v="2567"/>
    <x v="33"/>
    <s v="METİNAYAZ"/>
    <d v="2025-12-09T00:00:00"/>
    <s v="24C0107BW0029697"/>
    <n v="1"/>
    <s v="HSA-1"/>
    <s v="MAVİÇAM"/>
    <m/>
    <m/>
    <m/>
    <m/>
    <x v="8"/>
    <x v="2"/>
    <x v="2"/>
    <x v="11"/>
  </r>
  <r>
    <n v="2567"/>
    <x v="33"/>
    <s v="METİNAYAZ"/>
    <d v="2025-12-09T00:00:00"/>
    <s v="24C0107BW0029688"/>
    <n v="1"/>
    <s v="HSA-1"/>
    <s v="MAVİÇAM"/>
    <m/>
    <m/>
    <m/>
    <m/>
    <x v="8"/>
    <x v="2"/>
    <x v="2"/>
    <x v="11"/>
  </r>
  <r>
    <n v="2567"/>
    <x v="33"/>
    <s v="METİNAYAZ"/>
    <d v="2025-12-09T00:00:00"/>
    <s v="24C0107BW0041841"/>
    <n v="1"/>
    <s v="HSA-1"/>
    <s v="MAVİÇAM"/>
    <m/>
    <m/>
    <m/>
    <m/>
    <x v="8"/>
    <x v="2"/>
    <x v="2"/>
    <x v="11"/>
  </r>
  <r>
    <n v="2567"/>
    <x v="33"/>
    <s v="METİNAYAZ"/>
    <d v="2025-12-09T00:00:00"/>
    <s v="24C0107BW0042050"/>
    <n v="1"/>
    <s v="HSA-1"/>
    <s v="MAVİÇAM"/>
    <m/>
    <m/>
    <m/>
    <m/>
    <x v="8"/>
    <x v="2"/>
    <x v="2"/>
    <x v="11"/>
  </r>
  <r>
    <n v="2567"/>
    <x v="33"/>
    <s v="METİNAYAZ"/>
    <d v="2025-12-09T00:00:00"/>
    <s v="24C0107BW0041866"/>
    <n v="1"/>
    <s v="HSA-1"/>
    <s v="MAVİÇAM"/>
    <m/>
    <m/>
    <m/>
    <m/>
    <x v="8"/>
    <x v="2"/>
    <x v="2"/>
    <x v="11"/>
  </r>
  <r>
    <n v="2567"/>
    <x v="33"/>
    <s v="METİNAYAZ"/>
    <d v="2025-12-09T00:00:00"/>
    <s v="24C0107BW0044461"/>
    <n v="1"/>
    <s v="HSA-1"/>
    <s v="MAVİÇAM"/>
    <m/>
    <m/>
    <m/>
    <m/>
    <x v="8"/>
    <x v="2"/>
    <x v="2"/>
    <x v="11"/>
  </r>
  <r>
    <n v="2567"/>
    <x v="33"/>
    <s v="METİNAYAZ"/>
    <d v="2025-12-09T00:00:00"/>
    <s v="24C0107BW0044503"/>
    <n v="1"/>
    <s v="HSA-1"/>
    <s v="MAVİÇAM"/>
    <m/>
    <m/>
    <m/>
    <m/>
    <x v="8"/>
    <x v="2"/>
    <x v="2"/>
    <x v="11"/>
  </r>
  <r>
    <n v="2567"/>
    <x v="33"/>
    <s v="METİNAYAZ"/>
    <d v="2025-12-09T00:00:00"/>
    <s v="24C0107BW0044521"/>
    <n v="1"/>
    <s v="HSA-1"/>
    <s v="MAVİÇAM"/>
    <m/>
    <m/>
    <m/>
    <m/>
    <x v="8"/>
    <x v="2"/>
    <x v="2"/>
    <x v="11"/>
  </r>
  <r>
    <n v="2567"/>
    <x v="33"/>
    <s v="METİNAYAZ"/>
    <d v="2025-12-09T00:00:00"/>
    <s v="24C0107BW0044501"/>
    <n v="1"/>
    <s v="HSA-1"/>
    <s v="MAVİÇAM"/>
    <m/>
    <m/>
    <m/>
    <m/>
    <x v="8"/>
    <x v="2"/>
    <x v="2"/>
    <x v="11"/>
  </r>
  <r>
    <n v="2567"/>
    <x v="33"/>
    <s v="METİNAYAZ"/>
    <d v="2025-12-09T00:00:00"/>
    <s v="24C0107BW0037782"/>
    <n v="1"/>
    <s v="HSA-1"/>
    <s v="MAVİÇAM"/>
    <m/>
    <m/>
    <m/>
    <m/>
    <x v="8"/>
    <x v="2"/>
    <x v="2"/>
    <x v="11"/>
  </r>
  <r>
    <n v="2567"/>
    <x v="33"/>
    <s v="METİNAYAZ"/>
    <d v="2025-12-09T00:00:00"/>
    <s v="2460307MC1001661"/>
    <n v="1"/>
    <s v="HSA-1"/>
    <s v="MAVİÇAM"/>
    <m/>
    <m/>
    <m/>
    <m/>
    <x v="8"/>
    <x v="2"/>
    <x v="2"/>
    <x v="11"/>
  </r>
  <r>
    <n v="2567"/>
    <x v="33"/>
    <s v="METİNAYAZ"/>
    <d v="2025-12-09T00:00:00"/>
    <s v="2460307MC1003139"/>
    <n v="1"/>
    <s v="HSA-1"/>
    <s v="MAVİÇAM"/>
    <m/>
    <m/>
    <m/>
    <m/>
    <x v="8"/>
    <x v="2"/>
    <x v="2"/>
    <x v="11"/>
  </r>
  <r>
    <n v="2567"/>
    <x v="33"/>
    <s v="METİNAYAZ"/>
    <d v="2025-12-09T00:00:00"/>
    <s v="2460307MC1002101"/>
    <n v="1"/>
    <s v="HSA-1"/>
    <s v="MAVİÇAM"/>
    <m/>
    <m/>
    <m/>
    <m/>
    <x v="8"/>
    <x v="2"/>
    <x v="2"/>
    <x v="11"/>
  </r>
  <r>
    <n v="2567"/>
    <x v="33"/>
    <s v="METİNAYAZ"/>
    <d v="2025-12-09T00:00:00"/>
    <s v="24C0107BW0026069"/>
    <n v="1"/>
    <s v="HSA-1"/>
    <s v="MAVİÇAM"/>
    <m/>
    <m/>
    <m/>
    <m/>
    <x v="8"/>
    <x v="2"/>
    <x v="2"/>
    <x v="11"/>
  </r>
  <r>
    <n v="2567"/>
    <x v="33"/>
    <s v="METİNAYAZ"/>
    <d v="2025-12-09T00:00:00"/>
    <s v="24C0107BW0014022"/>
    <n v="1"/>
    <s v="HSA-1"/>
    <s v="MAVİÇAM"/>
    <m/>
    <m/>
    <m/>
    <m/>
    <x v="8"/>
    <x v="2"/>
    <x v="2"/>
    <x v="11"/>
  </r>
  <r>
    <n v="2567"/>
    <x v="33"/>
    <s v="METİNAYAZ"/>
    <d v="2025-12-09T00:00:00"/>
    <s v="24C0107BW0015584"/>
    <n v="1"/>
    <s v="HSA-1"/>
    <s v="MAVİÇAM"/>
    <m/>
    <m/>
    <m/>
    <m/>
    <x v="8"/>
    <x v="2"/>
    <x v="2"/>
    <x v="11"/>
  </r>
  <r>
    <n v="2567"/>
    <x v="33"/>
    <s v="METİNAYAZ"/>
    <d v="2025-12-09T00:00:00"/>
    <s v="24C0107BW0029875"/>
    <n v="1"/>
    <s v="HSA-1"/>
    <s v="MAVİÇAM"/>
    <m/>
    <m/>
    <m/>
    <m/>
    <x v="8"/>
    <x v="2"/>
    <x v="2"/>
    <x v="11"/>
  </r>
  <r>
    <n v="2567"/>
    <x v="33"/>
    <s v="METİNAYAZ"/>
    <d v="2025-12-09T00:00:00"/>
    <s v="24C0107BW0029519"/>
    <n v="1"/>
    <s v="HSA-1"/>
    <s v="MAVİÇAM"/>
    <m/>
    <m/>
    <m/>
    <m/>
    <x v="8"/>
    <x v="2"/>
    <x v="2"/>
    <x v="11"/>
  </r>
  <r>
    <n v="2567"/>
    <x v="33"/>
    <s v="METİNAYAZ"/>
    <d v="2025-12-09T00:00:00"/>
    <s v="24C0107BW0029535"/>
    <n v="1"/>
    <s v="HSA-1"/>
    <s v="MAVİÇAM"/>
    <m/>
    <m/>
    <m/>
    <m/>
    <x v="8"/>
    <x v="2"/>
    <x v="2"/>
    <x v="11"/>
  </r>
  <r>
    <n v="2567"/>
    <x v="33"/>
    <s v="METİNAYAZ"/>
    <d v="2025-12-09T00:00:00"/>
    <s v="24C0107BW0011979"/>
    <n v="1"/>
    <s v="HSA-1"/>
    <s v="MAVİÇAM"/>
    <m/>
    <m/>
    <m/>
    <m/>
    <x v="8"/>
    <x v="2"/>
    <x v="2"/>
    <x v="11"/>
  </r>
  <r>
    <n v="2567"/>
    <x v="33"/>
    <s v="METİNAYAZ"/>
    <d v="2025-12-09T00:00:00"/>
    <s v="24C0107BW0032240"/>
    <n v="1"/>
    <s v="HSA-1"/>
    <s v="MAVİÇAM"/>
    <m/>
    <m/>
    <m/>
    <m/>
    <x v="8"/>
    <x v="2"/>
    <x v="2"/>
    <x v="11"/>
  </r>
  <r>
    <n v="2567"/>
    <x v="33"/>
    <s v="METİNAYAZ"/>
    <d v="2025-12-09T00:00:00"/>
    <s v="24C0107BW0031946"/>
    <n v="1"/>
    <s v="HSA-1"/>
    <s v="MAVİÇAM"/>
    <m/>
    <m/>
    <m/>
    <m/>
    <x v="8"/>
    <x v="2"/>
    <x v="2"/>
    <x v="11"/>
  </r>
  <r>
    <n v="2567"/>
    <x v="33"/>
    <s v="METİNAYAZ"/>
    <d v="2025-12-09T00:00:00"/>
    <s v="24B0107BW0054082"/>
    <n v="1"/>
    <s v="HSA-1"/>
    <s v="MAVİÇAM"/>
    <m/>
    <m/>
    <m/>
    <m/>
    <x v="8"/>
    <x v="2"/>
    <x v="2"/>
    <x v="11"/>
  </r>
  <r>
    <n v="2567"/>
    <x v="33"/>
    <s v="METİNAYAZ"/>
    <d v="2025-12-09T00:00:00"/>
    <s v="24B0107BW0054332"/>
    <n v="1"/>
    <s v="HSA-1"/>
    <s v="MAVİÇAM"/>
    <m/>
    <m/>
    <m/>
    <m/>
    <x v="8"/>
    <x v="2"/>
    <x v="2"/>
    <x v="11"/>
  </r>
  <r>
    <n v="2567"/>
    <x v="33"/>
    <s v="METİNAYAZ"/>
    <d v="2025-12-09T00:00:00"/>
    <s v="24C0107BW0022519"/>
    <n v="1"/>
    <s v="HSA-1"/>
    <s v="MAVİÇAM"/>
    <m/>
    <m/>
    <m/>
    <m/>
    <x v="8"/>
    <x v="2"/>
    <x v="2"/>
    <x v="11"/>
  </r>
  <r>
    <n v="2567"/>
    <x v="33"/>
    <s v="METİNAYAZ"/>
    <d v="2025-12-09T00:00:00"/>
    <s v="24C0107BW0033831"/>
    <n v="1"/>
    <s v="HSA-1"/>
    <s v="MAVİÇAM"/>
    <m/>
    <m/>
    <m/>
    <m/>
    <x v="8"/>
    <x v="2"/>
    <x v="2"/>
    <x v="11"/>
  </r>
  <r>
    <n v="2567"/>
    <x v="33"/>
    <s v="METİNAYAZ"/>
    <d v="2025-12-09T00:00:00"/>
    <s v="24C0107BW0019377"/>
    <n v="1"/>
    <s v="HSA-1"/>
    <s v="MAVİÇAM"/>
    <m/>
    <m/>
    <m/>
    <m/>
    <x v="8"/>
    <x v="2"/>
    <x v="2"/>
    <x v="11"/>
  </r>
  <r>
    <n v="2567"/>
    <x v="33"/>
    <s v="METİNAYAZ"/>
    <d v="2025-12-09T00:00:00"/>
    <s v="2450308MC1000039"/>
    <n v="1"/>
    <s v="HSA-1"/>
    <s v="MAVİÇAM"/>
    <m/>
    <m/>
    <m/>
    <m/>
    <x v="8"/>
    <x v="2"/>
    <x v="2"/>
    <x v="11"/>
  </r>
  <r>
    <n v="2567"/>
    <x v="33"/>
    <s v="METİNAYAZ"/>
    <d v="2025-12-09T00:00:00"/>
    <s v="2450308MC1000359"/>
    <n v="1"/>
    <s v="HSA-1"/>
    <s v="MAVİÇAM"/>
    <m/>
    <m/>
    <m/>
    <m/>
    <x v="8"/>
    <x v="2"/>
    <x v="2"/>
    <x v="11"/>
  </r>
  <r>
    <n v="2567"/>
    <x v="33"/>
    <s v="METİNAYAZ"/>
    <d v="2025-12-09T00:00:00"/>
    <s v="2450308MC1004874"/>
    <n v="1"/>
    <s v="HSA-1"/>
    <s v="MAVİÇAM"/>
    <m/>
    <m/>
    <m/>
    <m/>
    <x v="8"/>
    <x v="2"/>
    <x v="2"/>
    <x v="11"/>
  </r>
  <r>
    <n v="2567"/>
    <x v="33"/>
    <s v="METİNAYAZ"/>
    <d v="2025-12-09T00:00:00"/>
    <s v="2450308MC1004897"/>
    <n v="1"/>
    <s v="HSA-1"/>
    <s v="MAVİÇAM"/>
    <m/>
    <m/>
    <m/>
    <m/>
    <x v="8"/>
    <x v="2"/>
    <x v="2"/>
    <x v="11"/>
  </r>
  <r>
    <n v="2567"/>
    <x v="33"/>
    <s v="METİNAYAZ"/>
    <d v="2025-12-09T00:00:00"/>
    <s v="2450308MC1004675"/>
    <n v="1"/>
    <s v="HSA-1"/>
    <s v="MAVİÇAM"/>
    <m/>
    <m/>
    <m/>
    <m/>
    <x v="8"/>
    <x v="2"/>
    <x v="2"/>
    <x v="11"/>
  </r>
  <r>
    <n v="2567"/>
    <x v="33"/>
    <s v="METİNAYAZ"/>
    <d v="2025-12-09T00:00:00"/>
    <s v="2450308MC1004640"/>
    <n v="1"/>
    <s v="HSA-1"/>
    <s v="MAVİÇAM"/>
    <m/>
    <m/>
    <m/>
    <m/>
    <x v="8"/>
    <x v="2"/>
    <x v="2"/>
    <x v="11"/>
  </r>
  <r>
    <n v="2567"/>
    <x v="33"/>
    <s v="METİNAYAZ"/>
    <d v="2025-12-09T00:00:00"/>
    <s v="2450308MC1004795"/>
    <n v="1"/>
    <s v="HSA-1"/>
    <s v="MAVİÇAM"/>
    <m/>
    <m/>
    <m/>
    <m/>
    <x v="8"/>
    <x v="2"/>
    <x v="2"/>
    <x v="11"/>
  </r>
  <r>
    <n v="2567"/>
    <x v="33"/>
    <s v="METİNAYAZ"/>
    <d v="2025-12-09T00:00:00"/>
    <s v="2450308MC1005038"/>
    <n v="1"/>
    <s v="HSA-1"/>
    <s v="MAVİÇAM"/>
    <m/>
    <m/>
    <m/>
    <m/>
    <x v="8"/>
    <x v="2"/>
    <x v="2"/>
    <x v="11"/>
  </r>
  <r>
    <n v="2567"/>
    <x v="33"/>
    <s v="METİNAYAZ"/>
    <d v="2025-12-09T00:00:00"/>
    <s v="2450308MC1004711"/>
    <n v="1"/>
    <s v="HSA-1"/>
    <s v="MAVİÇAM"/>
    <m/>
    <m/>
    <m/>
    <m/>
    <x v="8"/>
    <x v="2"/>
    <x v="2"/>
    <x v="11"/>
  </r>
  <r>
    <n v="2567"/>
    <x v="33"/>
    <s v="METİNAYAZ"/>
    <d v="2025-12-09T00:00:00"/>
    <s v="2450308MC1006868"/>
    <n v="1"/>
    <s v="HSA-1"/>
    <s v="MAVİÇAM"/>
    <m/>
    <m/>
    <m/>
    <m/>
    <x v="8"/>
    <x v="2"/>
    <x v="2"/>
    <x v="11"/>
  </r>
  <r>
    <n v="2567"/>
    <x v="33"/>
    <s v="METİNAYAZ"/>
    <d v="2025-12-09T00:00:00"/>
    <s v="2450308MC1003927"/>
    <n v="1"/>
    <s v="HSA-1"/>
    <s v="MAVİÇAM"/>
    <m/>
    <m/>
    <m/>
    <m/>
    <x v="8"/>
    <x v="2"/>
    <x v="2"/>
    <x v="11"/>
  </r>
  <r>
    <n v="2567"/>
    <x v="33"/>
    <s v="METİNAYAZ"/>
    <d v="2025-12-09T00:00:00"/>
    <s v="2450308MC1007642"/>
    <n v="1"/>
    <s v="HSA-1"/>
    <s v="MAVİÇAM"/>
    <m/>
    <m/>
    <m/>
    <m/>
    <x v="8"/>
    <x v="2"/>
    <x v="2"/>
    <x v="11"/>
  </r>
  <r>
    <n v="2567"/>
    <x v="33"/>
    <s v="METİNAYAZ"/>
    <d v="2025-12-09T00:00:00"/>
    <s v="2450308MC1007514"/>
    <n v="1"/>
    <s v="HSA-1"/>
    <s v="MAVİÇAM"/>
    <m/>
    <m/>
    <m/>
    <m/>
    <x v="8"/>
    <x v="2"/>
    <x v="2"/>
    <x v="11"/>
  </r>
  <r>
    <n v="2567"/>
    <x v="33"/>
    <s v="METİNAYAZ"/>
    <d v="2025-12-09T00:00:00"/>
    <s v="2450308MC1007661"/>
    <n v="1"/>
    <s v="HSA-1"/>
    <s v="MAVİÇAM"/>
    <m/>
    <m/>
    <m/>
    <m/>
    <x v="8"/>
    <x v="2"/>
    <x v="2"/>
    <x v="11"/>
  </r>
  <r>
    <n v="2567"/>
    <x v="33"/>
    <s v="METİNAYAZ"/>
    <d v="2025-12-09T00:00:00"/>
    <s v="2450308MC1008985"/>
    <n v="1"/>
    <s v="HSA-1"/>
    <s v="MAVİÇAM"/>
    <m/>
    <m/>
    <m/>
    <m/>
    <x v="8"/>
    <x v="2"/>
    <x v="2"/>
    <x v="11"/>
  </r>
  <r>
    <n v="2567"/>
    <x v="33"/>
    <s v="METİNAYAZ"/>
    <d v="2025-12-09T00:00:00"/>
    <s v="2440308MC1001417"/>
    <n v="1"/>
    <s v="HSA-1"/>
    <s v="MAVİÇAM"/>
    <m/>
    <m/>
    <m/>
    <m/>
    <x v="8"/>
    <x v="2"/>
    <x v="2"/>
    <x v="11"/>
  </r>
  <r>
    <n v="2567"/>
    <x v="33"/>
    <s v="METİNAYAZ"/>
    <d v="2025-12-09T00:00:00"/>
    <s v="2450308MC1008787"/>
    <n v="1"/>
    <s v="HSA-1"/>
    <s v="MAVİÇAM"/>
    <m/>
    <m/>
    <m/>
    <m/>
    <x v="8"/>
    <x v="2"/>
    <x v="2"/>
    <x v="11"/>
  </r>
  <r>
    <n v="2567"/>
    <x v="33"/>
    <s v="METİNAYAZ"/>
    <d v="2025-12-09T00:00:00"/>
    <s v="2450308MC1010322"/>
    <n v="1"/>
    <s v="HSA-1"/>
    <s v="MAVİÇAM"/>
    <m/>
    <m/>
    <m/>
    <m/>
    <x v="8"/>
    <x v="2"/>
    <x v="2"/>
    <x v="11"/>
  </r>
  <r>
    <n v="2567"/>
    <x v="33"/>
    <s v="METİNAYAZ"/>
    <d v="2025-12-09T00:00:00"/>
    <s v="2450308MC1008823"/>
    <n v="1"/>
    <s v="HSA-1"/>
    <s v="MAVİÇAM"/>
    <m/>
    <m/>
    <m/>
    <m/>
    <x v="8"/>
    <x v="2"/>
    <x v="2"/>
    <x v="11"/>
  </r>
  <r>
    <n v="2567"/>
    <x v="33"/>
    <s v="METİNAYAZ"/>
    <d v="2025-12-09T00:00:00"/>
    <s v="2450308MC1010493"/>
    <n v="1"/>
    <s v="HSA-1"/>
    <s v="MAVİÇAM"/>
    <m/>
    <m/>
    <m/>
    <m/>
    <x v="8"/>
    <x v="2"/>
    <x v="2"/>
    <x v="11"/>
  </r>
  <r>
    <n v="2567"/>
    <x v="33"/>
    <s v="METİNAYAZ"/>
    <d v="2025-12-09T00:00:00"/>
    <s v="2450308MC1010456"/>
    <n v="1"/>
    <s v="HSA-1"/>
    <s v="MAVİÇAM"/>
    <m/>
    <m/>
    <m/>
    <m/>
    <x v="8"/>
    <x v="2"/>
    <x v="2"/>
    <x v="11"/>
  </r>
  <r>
    <n v="2567"/>
    <x v="33"/>
    <s v="METİNAYAZ"/>
    <d v="2025-12-09T00:00:00"/>
    <s v="2450308MC1010159"/>
    <n v="1"/>
    <s v="HSA-1"/>
    <s v="MAVİÇAM"/>
    <m/>
    <m/>
    <m/>
    <m/>
    <x v="8"/>
    <x v="2"/>
    <x v="2"/>
    <x v="11"/>
  </r>
  <r>
    <n v="2567"/>
    <x v="33"/>
    <s v="METİNAYAZ"/>
    <d v="2025-12-09T00:00:00"/>
    <s v="2450308MC1012379"/>
    <n v="1"/>
    <s v="HSA-1"/>
    <s v="MAVİÇAM"/>
    <m/>
    <m/>
    <m/>
    <m/>
    <x v="8"/>
    <x v="2"/>
    <x v="2"/>
    <x v="11"/>
  </r>
  <r>
    <n v="2567"/>
    <x v="33"/>
    <s v="METİNAYAZ"/>
    <d v="2025-12-09T00:00:00"/>
    <s v="2450308MC1009639"/>
    <n v="1"/>
    <s v="HSA-1"/>
    <s v="MAVİÇAM"/>
    <m/>
    <m/>
    <m/>
    <m/>
    <x v="8"/>
    <x v="2"/>
    <x v="2"/>
    <x v="11"/>
  </r>
  <r>
    <n v="2567"/>
    <x v="33"/>
    <s v="METİNAYAZ"/>
    <d v="2025-12-09T00:00:00"/>
    <s v="2450308MC1011964"/>
    <n v="1"/>
    <s v="HSA-1"/>
    <s v="MAVİÇAM"/>
    <m/>
    <m/>
    <m/>
    <m/>
    <x v="8"/>
    <x v="2"/>
    <x v="2"/>
    <x v="11"/>
  </r>
  <r>
    <n v="2567"/>
    <x v="33"/>
    <s v="METİNAYAZ"/>
    <d v="2025-12-09T00:00:00"/>
    <s v="2450308MC1011561"/>
    <n v="1"/>
    <s v="HSA-1"/>
    <s v="MAVİÇAM"/>
    <m/>
    <m/>
    <m/>
    <m/>
    <x v="8"/>
    <x v="2"/>
    <x v="2"/>
    <x v="11"/>
  </r>
  <r>
    <n v="2567"/>
    <x v="33"/>
    <s v="METİNAYAZ"/>
    <d v="2025-12-09T00:00:00"/>
    <s v="2450308MC1011633"/>
    <n v="1"/>
    <s v="HSA-1"/>
    <s v="MAVİÇAM"/>
    <m/>
    <m/>
    <m/>
    <m/>
    <x v="8"/>
    <x v="2"/>
    <x v="2"/>
    <x v="11"/>
  </r>
  <r>
    <n v="2567"/>
    <x v="33"/>
    <s v="METİNAYAZ"/>
    <d v="2025-12-09T00:00:00"/>
    <s v="2450308MC1009897"/>
    <n v="1"/>
    <s v="HSA-1"/>
    <s v="MAVİÇAM"/>
    <m/>
    <m/>
    <m/>
    <m/>
    <x v="8"/>
    <x v="2"/>
    <x v="2"/>
    <x v="11"/>
  </r>
  <r>
    <n v="2567"/>
    <x v="33"/>
    <s v="METİNAYAZ"/>
    <d v="2025-12-09T00:00:00"/>
    <s v="2450308MC1011339"/>
    <n v="1"/>
    <s v="HSA-1"/>
    <s v="MAVİÇAM"/>
    <m/>
    <m/>
    <m/>
    <m/>
    <x v="8"/>
    <x v="2"/>
    <x v="2"/>
    <x v="11"/>
  </r>
  <r>
    <n v="2567"/>
    <x v="33"/>
    <s v="METİNAYAZ"/>
    <d v="2025-12-09T00:00:00"/>
    <s v="2450308MC1011298"/>
    <n v="1"/>
    <s v="HSA-1"/>
    <s v="MAVİÇAM"/>
    <m/>
    <m/>
    <m/>
    <m/>
    <x v="8"/>
    <x v="2"/>
    <x v="2"/>
    <x v="11"/>
  </r>
  <r>
    <n v="2567"/>
    <x v="33"/>
    <s v="METİNAYAZ"/>
    <d v="2025-12-09T00:00:00"/>
    <s v="2450308MC1011236"/>
    <n v="1"/>
    <s v="HSA-1"/>
    <s v="MAVİÇAM"/>
    <m/>
    <m/>
    <m/>
    <m/>
    <x v="8"/>
    <x v="2"/>
    <x v="2"/>
    <x v="11"/>
  </r>
  <r>
    <n v="2567"/>
    <x v="33"/>
    <s v="METİNAYAZ"/>
    <d v="2025-12-09T00:00:00"/>
    <s v="2450308MC1011919"/>
    <n v="1"/>
    <s v="HSA-1"/>
    <s v="MAVİÇAM"/>
    <m/>
    <m/>
    <m/>
    <m/>
    <x v="8"/>
    <x v="2"/>
    <x v="2"/>
    <x v="11"/>
  </r>
  <r>
    <n v="2567"/>
    <x v="33"/>
    <s v="METİNAYAZ"/>
    <d v="2025-12-09T00:00:00"/>
    <s v="24A0107BW0010682"/>
    <n v="1"/>
    <s v="HSA-1"/>
    <s v="MAVİÇAM"/>
    <m/>
    <m/>
    <m/>
    <m/>
    <x v="8"/>
    <x v="2"/>
    <x v="2"/>
    <x v="11"/>
  </r>
  <r>
    <n v="2567"/>
    <x v="33"/>
    <s v="METİNAYAZ"/>
    <d v="2025-12-09T00:00:00"/>
    <s v="24A0107BW0033256"/>
    <n v="1"/>
    <s v="HSA-1"/>
    <s v="MAVİÇAM"/>
    <m/>
    <m/>
    <m/>
    <m/>
    <x v="8"/>
    <x v="2"/>
    <x v="2"/>
    <x v="11"/>
  </r>
  <r>
    <n v="2567"/>
    <x v="33"/>
    <s v="METİNAYAZ"/>
    <d v="2025-12-09T00:00:00"/>
    <s v="24A0107BW0050016"/>
    <n v="1"/>
    <s v="HSA-1"/>
    <s v="MAVİÇAM"/>
    <m/>
    <m/>
    <m/>
    <m/>
    <x v="8"/>
    <x v="2"/>
    <x v="2"/>
    <x v="11"/>
  </r>
  <r>
    <n v="2567"/>
    <x v="33"/>
    <s v="METİNAYAZ"/>
    <d v="2025-12-09T00:00:00"/>
    <s v="24A0107BW0010319"/>
    <n v="1"/>
    <s v="HSA-1"/>
    <s v="MAVİÇAM"/>
    <m/>
    <m/>
    <m/>
    <m/>
    <x v="8"/>
    <x v="2"/>
    <x v="2"/>
    <x v="11"/>
  </r>
  <r>
    <n v="2567"/>
    <x v="33"/>
    <s v="METİNAYAZ"/>
    <d v="2025-12-09T00:00:00"/>
    <s v="24B0107BW0004719"/>
    <n v="1"/>
    <s v="HSA-1"/>
    <s v="MAVİÇAM"/>
    <m/>
    <m/>
    <m/>
    <m/>
    <x v="8"/>
    <x v="2"/>
    <x v="2"/>
    <x v="11"/>
  </r>
  <r>
    <n v="2567"/>
    <x v="33"/>
    <s v="METİNAYAZ"/>
    <d v="2025-12-09T00:00:00"/>
    <s v="24A0107BW0053020"/>
    <n v="1"/>
    <s v="HSA-1"/>
    <s v="MAVİÇAM"/>
    <m/>
    <m/>
    <m/>
    <m/>
    <x v="8"/>
    <x v="2"/>
    <x v="2"/>
    <x v="11"/>
  </r>
  <r>
    <n v="2567"/>
    <x v="33"/>
    <s v="METİNAYAZ"/>
    <d v="2025-12-09T00:00:00"/>
    <s v="24B0107BW0004529"/>
    <n v="1"/>
    <s v="HSA-1"/>
    <s v="MAVİÇAM"/>
    <m/>
    <m/>
    <m/>
    <m/>
    <x v="8"/>
    <x v="2"/>
    <x v="2"/>
    <x v="11"/>
  </r>
  <r>
    <n v="2567"/>
    <x v="33"/>
    <s v="METİNAYAZ"/>
    <d v="2025-12-09T00:00:00"/>
    <s v="24A0107BW0019468"/>
    <n v="1"/>
    <s v="HSA-1"/>
    <s v="MAVİÇAM"/>
    <m/>
    <m/>
    <m/>
    <m/>
    <x v="8"/>
    <x v="2"/>
    <x v="2"/>
    <x v="11"/>
  </r>
  <r>
    <n v="2567"/>
    <x v="33"/>
    <s v="METİNAYAZ"/>
    <d v="2025-12-09T00:00:00"/>
    <s v="2460307MC1004632"/>
    <n v="1"/>
    <s v="HSA-1"/>
    <s v="MAVİÇAM"/>
    <m/>
    <m/>
    <m/>
    <m/>
    <x v="8"/>
    <x v="2"/>
    <x v="2"/>
    <x v="11"/>
  </r>
  <r>
    <n v="2567"/>
    <x v="33"/>
    <s v="METİNAYAZ"/>
    <d v="2025-12-09T00:00:00"/>
    <s v="2460307MC1000982"/>
    <n v="1"/>
    <s v="HSA-1"/>
    <s v="MAVİÇAM"/>
    <m/>
    <m/>
    <m/>
    <m/>
    <x v="8"/>
    <x v="2"/>
    <x v="2"/>
    <x v="11"/>
  </r>
  <r>
    <n v="2567"/>
    <x v="33"/>
    <s v="METİNAYAZ"/>
    <d v="2025-12-09T00:00:00"/>
    <s v="24C0107BW0020568"/>
    <n v="1"/>
    <s v="HSA-1"/>
    <s v="MAVİÇAM"/>
    <m/>
    <m/>
    <m/>
    <m/>
    <x v="8"/>
    <x v="2"/>
    <x v="2"/>
    <x v="11"/>
  </r>
  <r>
    <n v="2567"/>
    <x v="33"/>
    <s v="METİNAYAZ"/>
    <d v="2025-12-09T00:00:00"/>
    <s v="2450308MC1002671"/>
    <n v="1"/>
    <s v="HSA-1"/>
    <s v="MAVİÇAM"/>
    <m/>
    <m/>
    <m/>
    <m/>
    <x v="8"/>
    <x v="2"/>
    <x v="2"/>
    <x v="11"/>
  </r>
  <r>
    <n v="2568"/>
    <x v="0"/>
    <s v="GÜRALSERAMİK"/>
    <d v="2025-12-24T00:00:00"/>
    <s v="2490108MC2023041"/>
    <n v="1"/>
    <s v="HSA-2"/>
    <s v="MAVİÇAM"/>
    <m/>
    <m/>
    <m/>
    <m/>
    <x v="2"/>
    <x v="2"/>
    <x v="2"/>
    <x v="11"/>
  </r>
  <r>
    <n v="2568"/>
    <x v="0"/>
    <s v="GÜRALSERAMİK"/>
    <d v="2025-12-24T00:00:00"/>
    <s v="2490108MC2004858"/>
    <n v="1"/>
    <s v="HSA-2"/>
    <s v="MAVİÇAM"/>
    <m/>
    <m/>
    <m/>
    <m/>
    <x v="2"/>
    <x v="2"/>
    <x v="2"/>
    <x v="11"/>
  </r>
  <r>
    <n v="2568"/>
    <x v="0"/>
    <s v="GÜRALSERAMİK"/>
    <d v="2025-12-24T00:00:00"/>
    <s v="2490108MC2008298"/>
    <n v="1"/>
    <s v="HSA-2"/>
    <s v="MAVİÇAM"/>
    <m/>
    <m/>
    <m/>
    <m/>
    <x v="2"/>
    <x v="2"/>
    <x v="2"/>
    <x v="11"/>
  </r>
  <r>
    <n v="2568"/>
    <x v="0"/>
    <s v="GÜRALSERAMİK"/>
    <d v="2025-12-24T00:00:00"/>
    <s v="2490108MC2015963"/>
    <n v="1"/>
    <s v="HSA-2"/>
    <s v="MAVİÇAM"/>
    <m/>
    <m/>
    <m/>
    <m/>
    <x v="2"/>
    <x v="2"/>
    <x v="2"/>
    <x v="11"/>
  </r>
  <r>
    <n v="2568"/>
    <x v="0"/>
    <s v="GÜRALSERAMİK"/>
    <d v="2025-12-24T00:00:00"/>
    <s v="2490108MC2003459"/>
    <n v="1"/>
    <s v="HSA-2"/>
    <s v="MAVİÇAM"/>
    <m/>
    <m/>
    <m/>
    <m/>
    <x v="2"/>
    <x v="2"/>
    <x v="2"/>
    <x v="11"/>
  </r>
  <r>
    <n v="2568"/>
    <x v="0"/>
    <s v="GÜRALSERAMİK"/>
    <d v="2025-12-24T00:00:00"/>
    <s v="2490108MC200299"/>
    <n v="1"/>
    <s v="HSA-2"/>
    <s v="MAVİÇAM"/>
    <m/>
    <m/>
    <m/>
    <m/>
    <x v="2"/>
    <x v="2"/>
    <x v="2"/>
    <x v="11"/>
  </r>
  <r>
    <n v="2601"/>
    <x v="34"/>
    <s v="LEOSOLAR"/>
    <d v="2026-01-19T00:00:00"/>
    <s v="AAAA"/>
    <n v="1"/>
    <m/>
    <s v="SUNPWT"/>
    <m/>
    <m/>
    <m/>
    <m/>
    <x v="6"/>
    <x v="2"/>
    <x v="0"/>
    <x v="0"/>
  </r>
  <r>
    <n v="2602"/>
    <x v="35"/>
    <s v="ARITEKSTİL"/>
    <d v="2026-01-19T00:00:00"/>
    <s v="E4FXT425H199990048611714"/>
    <n v="1"/>
    <s v="HSA-2"/>
    <s v="JINKOSOLAR"/>
    <m/>
    <m/>
    <m/>
    <m/>
    <x v="1"/>
    <x v="2"/>
    <x v="1"/>
    <x v="0"/>
  </r>
  <r>
    <n v="2602"/>
    <x v="35"/>
    <s v="ARITEKSTİL"/>
    <d v="2026-01-19T00:00:00"/>
    <s v="E4FXT325H129990048205538"/>
    <n v="1"/>
    <s v="HSA-1"/>
    <s v="JINKOSOLAR"/>
    <m/>
    <m/>
    <m/>
    <m/>
    <x v="1"/>
    <x v="2"/>
    <x v="1"/>
    <x v="0"/>
  </r>
  <r>
    <n v="2602"/>
    <x v="35"/>
    <s v="ARITEKSTİL"/>
    <d v="2026-01-19T00:00:00"/>
    <s v="E4FXT425H169990048608721"/>
    <n v="1"/>
    <s v="HSA-2"/>
    <s v="JINKOSOLAR"/>
    <m/>
    <m/>
    <m/>
    <m/>
    <x v="1"/>
    <x v="2"/>
    <x v="1"/>
    <x v="0"/>
  </r>
  <r>
    <n v="2602"/>
    <x v="35"/>
    <s v="ARITEKSTİL"/>
    <d v="2026-01-19T00:00:00"/>
    <s v="E4FXT425H159990048607296"/>
    <n v="1"/>
    <s v="HSA-2"/>
    <s v="JINKOSOLAR"/>
    <m/>
    <m/>
    <m/>
    <m/>
    <x v="1"/>
    <x v="2"/>
    <x v="1"/>
    <x v="0"/>
  </r>
  <r>
    <n v="2602"/>
    <x v="35"/>
    <s v="ARITEKSTİL"/>
    <d v="2026-01-19T00:00:00"/>
    <s v="E4FXT325H129990048205207"/>
    <n v="1"/>
    <s v="HSA-1"/>
    <s v="JINKOSOLAR"/>
    <m/>
    <m/>
    <m/>
    <m/>
    <x v="1"/>
    <x v="2"/>
    <x v="1"/>
    <x v="0"/>
  </r>
  <r>
    <n v="2602"/>
    <x v="35"/>
    <s v="ARITEKSTİL"/>
    <d v="2026-01-19T00:00:00"/>
    <s v="E4FXT325H099990048203055"/>
    <n v="1"/>
    <s v="HSA-1"/>
    <s v="JINKOSOLAR"/>
    <m/>
    <m/>
    <m/>
    <m/>
    <x v="1"/>
    <x v="2"/>
    <x v="1"/>
    <x v="0"/>
  </r>
  <r>
    <n v="2603"/>
    <x v="21"/>
    <s v="TEKSAN"/>
    <d v="2026-02-17T00:00:00"/>
    <s v="AAAA"/>
    <n v="1"/>
    <s v="1&amp;2"/>
    <s v="SUNPWT"/>
    <m/>
    <m/>
    <m/>
    <m/>
    <x v="23"/>
    <x v="2"/>
    <x v="0"/>
    <x v="1"/>
  </r>
  <r>
    <n v="2603"/>
    <x v="21"/>
    <s v="TEKSAN"/>
    <d v="2026-02-17T00:00:00"/>
    <s v="AAAA"/>
    <n v="1"/>
    <s v="1&amp;2"/>
    <s v="SUNPWT"/>
    <m/>
    <m/>
    <m/>
    <m/>
    <x v="23"/>
    <x v="2"/>
    <x v="0"/>
    <x v="1"/>
  </r>
  <r>
    <n v="2603"/>
    <x v="21"/>
    <s v="TEKSAN"/>
    <d v="2026-02-17T00:00:00"/>
    <s v="AAAA"/>
    <n v="1"/>
    <s v="1&amp;2"/>
    <s v="SUNPWT"/>
    <m/>
    <m/>
    <m/>
    <m/>
    <x v="23"/>
    <x v="2"/>
    <x v="0"/>
    <x v="1"/>
  </r>
  <r>
    <n v="2603"/>
    <x v="21"/>
    <s v="TEKSAN"/>
    <d v="2026-02-17T00:00:00"/>
    <s v="AAAA"/>
    <n v="1"/>
    <s v="1&amp;2"/>
    <s v="SUNPWT"/>
    <m/>
    <m/>
    <m/>
    <m/>
    <x v="23"/>
    <x v="2"/>
    <x v="0"/>
    <x v="1"/>
  </r>
  <r>
    <n v="2603"/>
    <x v="21"/>
    <s v="TEKSAN"/>
    <d v="2026-02-17T00:00:00"/>
    <s v="AAAA"/>
    <n v="1"/>
    <s v="1&amp;2"/>
    <s v="SUNPWT"/>
    <m/>
    <m/>
    <m/>
    <m/>
    <x v="23"/>
    <x v="2"/>
    <x v="0"/>
    <x v="1"/>
  </r>
  <r>
    <n v="2603"/>
    <x v="21"/>
    <s v="TEKSAN"/>
    <d v="2026-02-17T00:00:00"/>
    <s v="AAAA"/>
    <n v="1"/>
    <s v="1&amp;2"/>
    <s v="SUNPWT"/>
    <m/>
    <m/>
    <m/>
    <m/>
    <x v="23"/>
    <x v="2"/>
    <x v="0"/>
    <x v="1"/>
  </r>
  <r>
    <n v="2603"/>
    <x v="21"/>
    <s v="TEKSAN"/>
    <d v="2026-02-17T00:00:00"/>
    <s v="AAAA"/>
    <n v="1"/>
    <s v="1&amp;2"/>
    <s v="SUNPWT"/>
    <m/>
    <m/>
    <m/>
    <m/>
    <x v="23"/>
    <x v="2"/>
    <x v="0"/>
    <x v="1"/>
  </r>
  <r>
    <n v="2603"/>
    <x v="21"/>
    <s v="TEKSAN"/>
    <d v="2026-02-17T00:00:00"/>
    <s v="AAAA"/>
    <n v="1"/>
    <s v="1&amp;2"/>
    <s v="SUNPWT"/>
    <m/>
    <m/>
    <m/>
    <m/>
    <x v="23"/>
    <x v="2"/>
    <x v="0"/>
    <x v="1"/>
  </r>
  <r>
    <n v="2603"/>
    <x v="21"/>
    <s v="TEKSAN"/>
    <d v="2026-02-17T00:00:00"/>
    <s v="AAAA"/>
    <n v="1"/>
    <s v="1&amp;2"/>
    <s v="SUNPWT"/>
    <m/>
    <m/>
    <m/>
    <m/>
    <x v="23"/>
    <x v="2"/>
    <x v="0"/>
    <x v="1"/>
  </r>
  <r>
    <n v="2603"/>
    <x v="21"/>
    <s v="TEKSAN"/>
    <d v="2026-02-17T00:00:00"/>
    <s v="AAAA"/>
    <n v="1"/>
    <s v="1&amp;2"/>
    <s v="SUNPWT"/>
    <m/>
    <m/>
    <m/>
    <m/>
    <x v="23"/>
    <x v="2"/>
    <x v="0"/>
    <x v="1"/>
  </r>
  <r>
    <n v="2603"/>
    <x v="21"/>
    <s v="TEKSAN"/>
    <d v="2026-02-17T00:00:00"/>
    <s v="AAAA"/>
    <n v="1"/>
    <s v="1&amp;2"/>
    <s v="SUNPWT"/>
    <m/>
    <m/>
    <m/>
    <m/>
    <x v="23"/>
    <x v="2"/>
    <x v="0"/>
    <x v="1"/>
  </r>
  <r>
    <n v="2603"/>
    <x v="21"/>
    <s v="TEKSAN"/>
    <d v="2026-02-17T00:00:00"/>
    <s v="AAAA"/>
    <n v="1"/>
    <s v="1&amp;2"/>
    <s v="SUNPWT"/>
    <m/>
    <m/>
    <m/>
    <m/>
    <x v="23"/>
    <x v="2"/>
    <x v="0"/>
    <x v="1"/>
  </r>
  <r>
    <n v="2603"/>
    <x v="21"/>
    <s v="TEKSAN"/>
    <d v="2026-02-17T00:00:00"/>
    <s v="AAAA"/>
    <n v="1"/>
    <s v="1&amp;2"/>
    <s v="SUNPWT"/>
    <m/>
    <m/>
    <m/>
    <m/>
    <x v="23"/>
    <x v="2"/>
    <x v="0"/>
    <x v="1"/>
  </r>
  <r>
    <n v="2603"/>
    <x v="21"/>
    <s v="TEKSAN"/>
    <d v="2026-02-17T00:00:00"/>
    <s v="AAAA"/>
    <n v="1"/>
    <s v="1&amp;2"/>
    <s v="SUNPWT"/>
    <m/>
    <m/>
    <m/>
    <m/>
    <x v="23"/>
    <x v="2"/>
    <x v="0"/>
    <x v="1"/>
  </r>
  <r>
    <n v="2603"/>
    <x v="21"/>
    <s v="TEKSAN"/>
    <d v="2026-02-17T00:00:00"/>
    <s v="AAAA"/>
    <n v="1"/>
    <s v="1&amp;2"/>
    <s v="SUNPWT"/>
    <m/>
    <m/>
    <m/>
    <m/>
    <x v="23"/>
    <x v="2"/>
    <x v="0"/>
    <x v="1"/>
  </r>
  <r>
    <n v="2603"/>
    <x v="21"/>
    <s v="TEKSAN"/>
    <d v="2026-02-17T00:00:00"/>
    <s v="AAAA"/>
    <n v="1"/>
    <s v="1&amp;2"/>
    <s v="SUNPWT"/>
    <m/>
    <m/>
    <m/>
    <m/>
    <x v="23"/>
    <x v="2"/>
    <x v="0"/>
    <x v="1"/>
  </r>
  <r>
    <n v="2603"/>
    <x v="21"/>
    <s v="TEKSAN"/>
    <d v="2026-02-17T00:00:00"/>
    <s v="AAAA"/>
    <n v="1"/>
    <s v="1&amp;2"/>
    <s v="SUNPWT"/>
    <m/>
    <m/>
    <m/>
    <m/>
    <x v="23"/>
    <x v="2"/>
    <x v="0"/>
    <x v="1"/>
  </r>
  <r>
    <n v="2603"/>
    <x v="21"/>
    <s v="TEKSAN"/>
    <d v="2026-02-17T00:00:00"/>
    <s v="AAAA"/>
    <n v="1"/>
    <s v="1&amp;2"/>
    <s v="SUNPWT"/>
    <m/>
    <m/>
    <m/>
    <m/>
    <x v="23"/>
    <x v="2"/>
    <x v="0"/>
    <x v="1"/>
  </r>
  <r>
    <n v="2603"/>
    <x v="21"/>
    <s v="TEKSAN"/>
    <d v="2026-02-17T00:00:00"/>
    <s v="AAAA"/>
    <n v="1"/>
    <s v="1&amp;2"/>
    <s v="SUNPWT"/>
    <m/>
    <m/>
    <m/>
    <m/>
    <x v="23"/>
    <x v="2"/>
    <x v="0"/>
    <x v="1"/>
  </r>
  <r>
    <n v="2603"/>
    <x v="21"/>
    <s v="TEKSAN"/>
    <d v="2026-02-17T00:00:00"/>
    <s v="AAAA"/>
    <n v="1"/>
    <s v="1&amp;2"/>
    <s v="SUNPWT"/>
    <m/>
    <m/>
    <m/>
    <m/>
    <x v="23"/>
    <x v="2"/>
    <x v="0"/>
    <x v="1"/>
  </r>
  <r>
    <n v="2603"/>
    <x v="21"/>
    <s v="TEKSAN"/>
    <d v="2026-02-17T00:00:00"/>
    <s v="AAAA"/>
    <n v="1"/>
    <s v="1&amp;2"/>
    <s v="SUNPWT"/>
    <m/>
    <m/>
    <m/>
    <m/>
    <x v="23"/>
    <x v="2"/>
    <x v="0"/>
    <x v="1"/>
  </r>
  <r>
    <n v="2603"/>
    <x v="21"/>
    <s v="TEKSAN"/>
    <d v="2026-02-17T00:00:00"/>
    <s v="AAAA"/>
    <n v="1"/>
    <s v="1&amp;2"/>
    <s v="SUNPWT"/>
    <m/>
    <m/>
    <m/>
    <m/>
    <x v="23"/>
    <x v="2"/>
    <x v="0"/>
    <x v="1"/>
  </r>
  <r>
    <n v="2603"/>
    <x v="21"/>
    <s v="TEKSAN"/>
    <d v="2026-02-17T00:00:00"/>
    <s v="AAAA"/>
    <n v="1"/>
    <s v="1&amp;2"/>
    <s v="SUNPWT"/>
    <m/>
    <m/>
    <m/>
    <m/>
    <x v="23"/>
    <x v="2"/>
    <x v="0"/>
    <x v="1"/>
  </r>
  <r>
    <n v="2603"/>
    <x v="21"/>
    <s v="TEKSAN"/>
    <d v="2026-02-17T00:00:00"/>
    <s v="AAAA"/>
    <n v="1"/>
    <s v="1&amp;2"/>
    <s v="SUNPWT"/>
    <m/>
    <m/>
    <m/>
    <m/>
    <x v="23"/>
    <x v="2"/>
    <x v="0"/>
    <x v="1"/>
  </r>
  <r>
    <n v="2603"/>
    <x v="21"/>
    <s v="TEKSAN"/>
    <d v="2026-02-17T00:00:00"/>
    <s v="AAAA"/>
    <n v="1"/>
    <s v="1&amp;2"/>
    <s v="SUNPWT"/>
    <m/>
    <m/>
    <m/>
    <m/>
    <x v="23"/>
    <x v="2"/>
    <x v="0"/>
    <x v="1"/>
  </r>
  <r>
    <n v="2603"/>
    <x v="21"/>
    <s v="TEKSAN"/>
    <d v="2026-02-17T00:00:00"/>
    <s v="AAAA"/>
    <n v="1"/>
    <s v="1&amp;2"/>
    <s v="SUNPWT"/>
    <m/>
    <m/>
    <m/>
    <m/>
    <x v="23"/>
    <x v="2"/>
    <x v="0"/>
    <x v="1"/>
  </r>
  <r>
    <n v="2603"/>
    <x v="21"/>
    <s v="TEKSAN"/>
    <d v="2026-02-17T00:00:00"/>
    <s v="AAAA"/>
    <n v="1"/>
    <s v="1&amp;2"/>
    <s v="SUNPWT"/>
    <m/>
    <m/>
    <m/>
    <m/>
    <x v="23"/>
    <x v="2"/>
    <x v="0"/>
    <x v="1"/>
  </r>
  <r>
    <n v="2603"/>
    <x v="21"/>
    <s v="TEKSAN"/>
    <d v="2026-02-17T00:00:00"/>
    <s v="AAAA"/>
    <n v="1"/>
    <s v="1&amp;2"/>
    <s v="SUNPWT"/>
    <m/>
    <m/>
    <m/>
    <m/>
    <x v="23"/>
    <x v="2"/>
    <x v="0"/>
    <x v="1"/>
  </r>
  <r>
    <n v="2603"/>
    <x v="21"/>
    <s v="TEKSAN"/>
    <d v="2026-02-17T00:00:00"/>
    <s v="AAAA"/>
    <n v="1"/>
    <s v="1&amp;2"/>
    <s v="SUNPWT"/>
    <m/>
    <m/>
    <m/>
    <m/>
    <x v="23"/>
    <x v="2"/>
    <x v="0"/>
    <x v="1"/>
  </r>
  <r>
    <n v="2603"/>
    <x v="21"/>
    <s v="TEKSAN"/>
    <d v="2026-02-17T00:00:00"/>
    <s v="AAAA"/>
    <n v="1"/>
    <s v="1&amp;2"/>
    <s v="SUNPWT"/>
    <m/>
    <m/>
    <m/>
    <m/>
    <x v="23"/>
    <x v="2"/>
    <x v="0"/>
    <x v="1"/>
  </r>
  <r>
    <n v="2603"/>
    <x v="21"/>
    <s v="TEKSAN"/>
    <d v="2026-02-17T00:00:00"/>
    <s v="AAAA"/>
    <n v="1"/>
    <s v="1&amp;2"/>
    <s v="SUNPWT"/>
    <m/>
    <m/>
    <m/>
    <m/>
    <x v="23"/>
    <x v="2"/>
    <x v="0"/>
    <x v="1"/>
  </r>
  <r>
    <n v="2603"/>
    <x v="21"/>
    <s v="TEKSAN"/>
    <d v="2026-02-17T00:00:00"/>
    <s v="AAAA"/>
    <n v="1"/>
    <s v="1&amp;2"/>
    <s v="SUNPWT"/>
    <m/>
    <m/>
    <m/>
    <m/>
    <x v="23"/>
    <x v="2"/>
    <x v="0"/>
    <x v="1"/>
  </r>
  <r>
    <n v="2603"/>
    <x v="21"/>
    <s v="TEKSAN"/>
    <d v="2026-02-17T00:00:00"/>
    <s v="AAAA"/>
    <n v="1"/>
    <s v="1&amp;2"/>
    <s v="SUNPWT"/>
    <m/>
    <m/>
    <m/>
    <m/>
    <x v="23"/>
    <x v="2"/>
    <x v="0"/>
    <x v="1"/>
  </r>
  <r>
    <n v="2603"/>
    <x v="21"/>
    <s v="TEKSAN"/>
    <d v="2026-02-17T00:00:00"/>
    <s v="AAAA"/>
    <n v="1"/>
    <s v="1&amp;2"/>
    <s v="SUNPWT"/>
    <m/>
    <m/>
    <m/>
    <m/>
    <x v="23"/>
    <x v="2"/>
    <x v="0"/>
    <x v="1"/>
  </r>
  <r>
    <n v="2603"/>
    <x v="21"/>
    <s v="TEKSAN"/>
    <d v="2026-02-17T00:00:00"/>
    <s v="AAAA"/>
    <n v="1"/>
    <s v="1&amp;2"/>
    <s v="SUNPWT"/>
    <m/>
    <m/>
    <m/>
    <m/>
    <x v="23"/>
    <x v="2"/>
    <x v="0"/>
    <x v="1"/>
  </r>
  <r>
    <n v="2603"/>
    <x v="21"/>
    <s v="TEKSAN"/>
    <d v="2026-02-17T00:00:00"/>
    <s v="AAAA"/>
    <n v="1"/>
    <s v="1&amp;2"/>
    <s v="SUNPWT"/>
    <m/>
    <m/>
    <m/>
    <m/>
    <x v="23"/>
    <x v="2"/>
    <x v="0"/>
    <x v="1"/>
  </r>
  <r>
    <n v="2603"/>
    <x v="21"/>
    <s v="TEKSAN"/>
    <d v="2026-02-17T00:00:00"/>
    <s v="AAAA"/>
    <n v="1"/>
    <s v="1&amp;2"/>
    <s v="SUNPWT"/>
    <m/>
    <m/>
    <m/>
    <m/>
    <x v="23"/>
    <x v="2"/>
    <x v="0"/>
    <x v="1"/>
  </r>
  <r>
    <n v="2603"/>
    <x v="21"/>
    <s v="TEKSAN"/>
    <d v="2026-02-17T00:00:00"/>
    <s v="AAAA"/>
    <n v="1"/>
    <s v="1&amp;2"/>
    <s v="SUNPWT"/>
    <m/>
    <m/>
    <m/>
    <m/>
    <x v="23"/>
    <x v="2"/>
    <x v="0"/>
    <x v="1"/>
  </r>
  <r>
    <n v="2603"/>
    <x v="21"/>
    <s v="TEKSAN"/>
    <d v="2026-02-17T00:00:00"/>
    <s v="AAAA"/>
    <n v="1"/>
    <s v="1&amp;2"/>
    <s v="SUNPWT"/>
    <m/>
    <m/>
    <m/>
    <m/>
    <x v="23"/>
    <x v="2"/>
    <x v="0"/>
    <x v="1"/>
  </r>
  <r>
    <n v="2603"/>
    <x v="21"/>
    <s v="TEKSAN"/>
    <d v="2026-02-17T00:00:00"/>
    <s v="AAAA"/>
    <n v="1"/>
    <s v="1&amp;2"/>
    <s v="SUNPWT"/>
    <m/>
    <m/>
    <m/>
    <m/>
    <x v="23"/>
    <x v="2"/>
    <x v="0"/>
    <x v="1"/>
  </r>
  <r>
    <n v="2603"/>
    <x v="21"/>
    <s v="TEKSAN"/>
    <d v="2026-02-17T00:00:00"/>
    <s v="AAAA"/>
    <n v="1"/>
    <s v="1&amp;2"/>
    <s v="SUNPWT"/>
    <m/>
    <m/>
    <m/>
    <m/>
    <x v="23"/>
    <x v="2"/>
    <x v="0"/>
    <x v="1"/>
  </r>
  <r>
    <n v="2603"/>
    <x v="21"/>
    <s v="TEKSAN"/>
    <d v="2026-02-17T00:00:00"/>
    <s v="AAAA"/>
    <n v="1"/>
    <s v="1&amp;2"/>
    <s v="SUNPWT"/>
    <m/>
    <m/>
    <m/>
    <m/>
    <x v="23"/>
    <x v="2"/>
    <x v="0"/>
    <x v="1"/>
  </r>
  <r>
    <n v="2603"/>
    <x v="21"/>
    <s v="TEKSAN"/>
    <d v="2026-02-17T00:00:00"/>
    <s v="AAAA"/>
    <n v="1"/>
    <s v="1&amp;2"/>
    <s v="SUNPWT"/>
    <m/>
    <m/>
    <m/>
    <m/>
    <x v="23"/>
    <x v="2"/>
    <x v="0"/>
    <x v="1"/>
  </r>
  <r>
    <n v="2603"/>
    <x v="21"/>
    <s v="TEKSAN"/>
    <d v="2026-02-17T00:00:00"/>
    <s v="AAAA"/>
    <n v="1"/>
    <s v="1&amp;2"/>
    <s v="SUNPWT"/>
    <m/>
    <m/>
    <m/>
    <m/>
    <x v="23"/>
    <x v="2"/>
    <x v="0"/>
    <x v="1"/>
  </r>
  <r>
    <n v="2603"/>
    <x v="21"/>
    <s v="TEKSAN"/>
    <d v="2026-02-17T00:00:00"/>
    <s v="AAAA"/>
    <n v="1"/>
    <s v="1&amp;2"/>
    <s v="SUNPWT"/>
    <m/>
    <m/>
    <m/>
    <m/>
    <x v="23"/>
    <x v="2"/>
    <x v="0"/>
    <x v="1"/>
  </r>
  <r>
    <n v="2603"/>
    <x v="21"/>
    <s v="TEKSAN"/>
    <d v="2026-02-17T00:00:00"/>
    <s v="AAAA"/>
    <n v="1"/>
    <s v="1&amp;2"/>
    <s v="SUNPWT"/>
    <m/>
    <m/>
    <m/>
    <m/>
    <x v="23"/>
    <x v="2"/>
    <x v="0"/>
    <x v="1"/>
  </r>
  <r>
    <n v="2603"/>
    <x v="21"/>
    <s v="TEKSAN"/>
    <d v="2026-02-17T00:00:00"/>
    <s v="AAAA"/>
    <n v="1"/>
    <s v="1&amp;2"/>
    <s v="SUNPWT"/>
    <m/>
    <m/>
    <m/>
    <m/>
    <x v="23"/>
    <x v="2"/>
    <x v="0"/>
    <x v="1"/>
  </r>
  <r>
    <n v="2603"/>
    <x v="21"/>
    <s v="TEKSAN"/>
    <d v="2026-02-17T00:00:00"/>
    <s v="AAAA"/>
    <n v="1"/>
    <s v="1&amp;2"/>
    <s v="SUNPWT"/>
    <m/>
    <m/>
    <m/>
    <m/>
    <x v="23"/>
    <x v="2"/>
    <x v="0"/>
    <x v="1"/>
  </r>
  <r>
    <n v="2603"/>
    <x v="21"/>
    <s v="TEKSAN"/>
    <d v="2026-02-17T00:00:00"/>
    <s v="AAAA"/>
    <n v="1"/>
    <s v="1&amp;2"/>
    <s v="SUNPWT"/>
    <m/>
    <m/>
    <m/>
    <m/>
    <x v="23"/>
    <x v="2"/>
    <x v="0"/>
    <x v="1"/>
  </r>
  <r>
    <n v="2603"/>
    <x v="21"/>
    <s v="TEKSAN"/>
    <d v="2026-02-17T00:00:00"/>
    <s v="AAAA"/>
    <n v="1"/>
    <s v="1&amp;2"/>
    <s v="SUNPWT"/>
    <m/>
    <m/>
    <m/>
    <m/>
    <x v="23"/>
    <x v="2"/>
    <x v="0"/>
    <x v="1"/>
  </r>
  <r>
    <n v="2603"/>
    <x v="21"/>
    <s v="TEKSAN"/>
    <d v="2026-02-17T00:00:00"/>
    <s v="AAAA"/>
    <n v="1"/>
    <s v="1&amp;2"/>
    <s v="SUNPWT"/>
    <m/>
    <m/>
    <m/>
    <m/>
    <x v="23"/>
    <x v="2"/>
    <x v="0"/>
    <x v="1"/>
  </r>
  <r>
    <n v="2603"/>
    <x v="21"/>
    <s v="TEKSAN"/>
    <d v="2026-02-17T00:00:00"/>
    <s v="AAAA"/>
    <n v="1"/>
    <s v="1&amp;2"/>
    <s v="SUNPWT"/>
    <m/>
    <m/>
    <m/>
    <m/>
    <x v="23"/>
    <x v="2"/>
    <x v="0"/>
    <x v="1"/>
  </r>
  <r>
    <n v="2603"/>
    <x v="21"/>
    <s v="TEKSAN"/>
    <d v="2026-02-17T00:00:00"/>
    <s v="AAAA"/>
    <n v="1"/>
    <s v="1&amp;2"/>
    <s v="SUNPWT"/>
    <m/>
    <m/>
    <m/>
    <m/>
    <x v="23"/>
    <x v="2"/>
    <x v="0"/>
    <x v="1"/>
  </r>
  <r>
    <n v="2603"/>
    <x v="21"/>
    <s v="TEKSAN"/>
    <d v="2026-02-17T00:00:00"/>
    <s v="AAAA"/>
    <n v="1"/>
    <s v="1&amp;2"/>
    <s v="SUNPWT"/>
    <m/>
    <m/>
    <m/>
    <m/>
    <x v="23"/>
    <x v="2"/>
    <x v="0"/>
    <x v="1"/>
  </r>
  <r>
    <n v="2603"/>
    <x v="21"/>
    <s v="TEKSAN"/>
    <d v="2026-02-17T00:00:00"/>
    <s v="AAAA"/>
    <n v="1"/>
    <s v="1&amp;2"/>
    <s v="SUNPWT"/>
    <m/>
    <m/>
    <m/>
    <m/>
    <x v="23"/>
    <x v="2"/>
    <x v="0"/>
    <x v="1"/>
  </r>
  <r>
    <n v="2603"/>
    <x v="21"/>
    <s v="TEKSAN"/>
    <d v="2026-02-17T00:00:00"/>
    <s v="AAAA"/>
    <n v="1"/>
    <s v="1&amp;2"/>
    <s v="SUNPWT"/>
    <m/>
    <m/>
    <m/>
    <m/>
    <x v="23"/>
    <x v="2"/>
    <x v="0"/>
    <x v="1"/>
  </r>
  <r>
    <n v="2603"/>
    <x v="21"/>
    <s v="TEKSAN"/>
    <d v="2026-02-17T00:00:00"/>
    <s v="AAAA"/>
    <n v="1"/>
    <s v="1&amp;2"/>
    <s v="SUNPWT"/>
    <m/>
    <m/>
    <m/>
    <m/>
    <x v="23"/>
    <x v="2"/>
    <x v="0"/>
    <x v="1"/>
  </r>
  <r>
    <n v="2603"/>
    <x v="21"/>
    <s v="TEKSAN"/>
    <d v="2026-02-17T00:00:00"/>
    <s v="AAAA"/>
    <n v="1"/>
    <s v="1&amp;2"/>
    <s v="SUNPWT"/>
    <m/>
    <m/>
    <m/>
    <m/>
    <x v="23"/>
    <x v="2"/>
    <x v="0"/>
    <x v="1"/>
  </r>
  <r>
    <n v="2603"/>
    <x v="21"/>
    <s v="TEKSAN"/>
    <d v="2026-02-17T00:00:00"/>
    <s v="AAAA"/>
    <n v="1"/>
    <s v="1&amp;2"/>
    <s v="SUNPWT"/>
    <m/>
    <m/>
    <m/>
    <m/>
    <x v="23"/>
    <x v="2"/>
    <x v="0"/>
    <x v="1"/>
  </r>
  <r>
    <n v="2603"/>
    <x v="21"/>
    <s v="TEKSAN"/>
    <d v="2026-02-17T00:00:00"/>
    <s v="AAAA"/>
    <n v="1"/>
    <s v="1&amp;2"/>
    <s v="SUNPWT"/>
    <m/>
    <m/>
    <m/>
    <m/>
    <x v="23"/>
    <x v="2"/>
    <x v="0"/>
    <x v="1"/>
  </r>
  <r>
    <n v="2603"/>
    <x v="21"/>
    <s v="TEKSAN"/>
    <d v="2026-02-17T00:00:00"/>
    <s v="AAAA"/>
    <n v="1"/>
    <s v="1&amp;2"/>
    <s v="SUNPWT"/>
    <m/>
    <m/>
    <m/>
    <m/>
    <x v="23"/>
    <x v="2"/>
    <x v="0"/>
    <x v="1"/>
  </r>
  <r>
    <n v="2603"/>
    <x v="21"/>
    <s v="TEKSAN"/>
    <d v="2026-02-17T00:00:00"/>
    <s v="AAAA"/>
    <n v="1"/>
    <s v="1&amp;2"/>
    <s v="SUNPWT"/>
    <m/>
    <m/>
    <m/>
    <m/>
    <x v="23"/>
    <x v="2"/>
    <x v="0"/>
    <x v="1"/>
  </r>
  <r>
    <n v="2538"/>
    <x v="19"/>
    <s v="ACACIA"/>
    <d v="2025-08-20T00:00:00"/>
    <s v="24A0107BW0017630"/>
    <n v="1"/>
    <s v="HSA-1"/>
    <s v="JASOLAR"/>
    <m/>
    <m/>
    <m/>
    <m/>
    <x v="2"/>
    <x v="1"/>
    <x v="0"/>
    <x v="7"/>
  </r>
  <r>
    <n v="2538"/>
    <x v="19"/>
    <s v="ACACIA"/>
    <d v="2025-08-20T00:00:00"/>
    <s v="24C0107BW0006532"/>
    <n v="1"/>
    <s v="HSA-1"/>
    <s v="JASOLAR"/>
    <m/>
    <m/>
    <m/>
    <m/>
    <x v="2"/>
    <x v="1"/>
    <x v="0"/>
    <x v="7"/>
  </r>
  <r>
    <n v="2538"/>
    <x v="19"/>
    <s v="ACACIA"/>
    <d v="2025-08-20T00:00:00"/>
    <s v="24C0107BW0029422"/>
    <n v="1"/>
    <s v="HSA-1"/>
    <s v="JASOLAR"/>
    <m/>
    <m/>
    <m/>
    <m/>
    <x v="2"/>
    <x v="1"/>
    <x v="0"/>
    <x v="7"/>
  </r>
  <r>
    <n v="2538"/>
    <x v="19"/>
    <s v="ACACIA"/>
    <d v="2025-08-20T00:00:00"/>
    <s v="2510107BW0002346"/>
    <n v="1"/>
    <s v="HSA-1"/>
    <s v="JASOLAR"/>
    <s v="Diyot Hatası"/>
    <s v="Tamir"/>
    <s v="Haklı"/>
    <m/>
    <x v="2"/>
    <x v="1"/>
    <x v="0"/>
    <x v="7"/>
  </r>
  <r>
    <n v="2538"/>
    <x v="19"/>
    <s v="ACACIA"/>
    <d v="2025-08-20T00:00:00"/>
    <s v="2420107BW0003183"/>
    <n v="1"/>
    <s v="HSA-1"/>
    <s v="JASOLAR"/>
    <m/>
    <m/>
    <m/>
    <m/>
    <x v="2"/>
    <x v="1"/>
    <x v="0"/>
    <x v="7"/>
  </r>
  <r>
    <n v="2538"/>
    <x v="19"/>
    <s v="ACACIA"/>
    <d v="2025-08-20T00:00:00"/>
    <s v="2480107BW0023523 "/>
    <n v="1"/>
    <s v="HSA-1"/>
    <s v="JASOLAR"/>
    <m/>
    <m/>
    <m/>
    <m/>
    <x v="2"/>
    <x v="1"/>
    <x v="0"/>
    <x v="7"/>
  </r>
  <r>
    <n v="2538"/>
    <x v="19"/>
    <s v="ACACIA"/>
    <d v="2025-08-20T00:00:00"/>
    <s v="2480107BW0018063"/>
    <n v="1"/>
    <s v="HSA-1"/>
    <s v="JASOLAR"/>
    <m/>
    <m/>
    <m/>
    <m/>
    <x v="2"/>
    <x v="1"/>
    <x v="0"/>
    <x v="7"/>
  </r>
  <r>
    <n v="2538"/>
    <x v="19"/>
    <s v="ACACIA"/>
    <d v="2025-08-20T00:00:00"/>
    <s v="24C0107BW0048348 "/>
    <n v="1"/>
    <s v="HSA-1"/>
    <s v="JASOLAR"/>
    <m/>
    <m/>
    <m/>
    <m/>
    <x v="2"/>
    <x v="1"/>
    <x v="0"/>
    <x v="7"/>
  </r>
  <r>
    <n v="2538"/>
    <x v="19"/>
    <s v="ACACIA"/>
    <d v="2025-08-20T00:00:00"/>
    <s v="2430107BW0018320"/>
    <n v="1"/>
    <s v="HSA-1"/>
    <s v="JASOLAR"/>
    <m/>
    <m/>
    <m/>
    <m/>
    <x v="2"/>
    <x v="1"/>
    <x v="0"/>
    <x v="7"/>
  </r>
  <r>
    <n v="2538"/>
    <x v="19"/>
    <s v="ACACIA"/>
    <d v="2025-08-20T00:00:00"/>
    <s v="2460107BW0058471"/>
    <n v="1"/>
    <s v="HSA-1"/>
    <s v="JASOLAR"/>
    <m/>
    <m/>
    <m/>
    <m/>
    <x v="2"/>
    <x v="1"/>
    <x v="0"/>
    <x v="7"/>
  </r>
  <r>
    <n v="2556"/>
    <x v="30"/>
    <s v="AS OFİS"/>
    <d v="2025-10-17T00:00:00"/>
    <s v="2320108MC2028589"/>
    <n v="1"/>
    <s v="HSA-2"/>
    <s v="MAVİÇAM"/>
    <m/>
    <m/>
    <m/>
    <m/>
    <x v="2"/>
    <x v="1"/>
    <x v="0"/>
    <x v="9"/>
  </r>
  <r>
    <n v="2556"/>
    <x v="30"/>
    <s v="AS OFİS"/>
    <d v="2025-10-17T00:00:00"/>
    <s v="2310108BW0030699"/>
    <n v="1"/>
    <s v="HSA-1"/>
    <s v="MAVİÇAM"/>
    <m/>
    <m/>
    <m/>
    <m/>
    <x v="2"/>
    <x v="1"/>
    <x v="0"/>
    <x v="9"/>
  </r>
  <r>
    <n v="2556"/>
    <x v="30"/>
    <s v="AS OFİS"/>
    <d v="2025-10-17T00:00:00"/>
    <s v="2310908BW0031046 "/>
    <n v="1"/>
    <s v="HSA-1"/>
    <s v="MAVİÇAM"/>
    <m/>
    <m/>
    <m/>
    <m/>
    <x v="2"/>
    <x v="1"/>
    <x v="0"/>
    <x v="9"/>
  </r>
  <r>
    <n v="2556"/>
    <x v="30"/>
    <s v="AS OFİS"/>
    <d v="2025-10-17T00:00:00"/>
    <s v="2310108BW0031161"/>
    <n v="1"/>
    <s v="HSA-1"/>
    <s v="MAVİÇAM"/>
    <m/>
    <m/>
    <m/>
    <m/>
    <x v="2"/>
    <x v="1"/>
    <x v="0"/>
    <x v="9"/>
  </r>
  <r>
    <n v="2556"/>
    <x v="30"/>
    <s v="AS OFİS"/>
    <d v="2025-10-17T00:00:00"/>
    <s v="2310108BW0031341"/>
    <n v="1"/>
    <s v="HSA-1"/>
    <s v="MAVİÇAM"/>
    <m/>
    <m/>
    <m/>
    <m/>
    <x v="2"/>
    <x v="1"/>
    <x v="0"/>
    <x v="9"/>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r>
    <m/>
    <x v="36"/>
    <m/>
    <m/>
    <m/>
    <m/>
    <m/>
    <m/>
    <m/>
    <m/>
    <m/>
    <m/>
    <x v="24"/>
    <x v="2"/>
    <x v="3"/>
    <x v="1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5">
  <r>
    <d v="2025-01-21T00:00:00"/>
    <x v="0"/>
    <s v="HSA-2"/>
    <s v="N/A"/>
    <n v="9"/>
    <s v="Cam Çiziği"/>
    <s v="Haklı"/>
    <s v="Cam çiziği_x000a_Paketten çizik çıkmıştır._x000a__x000a_Hat üzerinden geçerken VI görüntüleri temiz. Çizikler paketlemede elleçlemede oluşmuş olabilir. C sınıfının birtanesi forklift bıçağı girmesi nedeniyle oluşmuş. Diğeri önyüzeyden darbe almış, son C sınıfı ise belli olmuyor videodan modülü incelemek gerek. Çiziklerin hepsi uzun ve çerçeve sürtmesi kaynaklı kalın. P sınıfı düzeyinde. Dolayısıyla geri dönüş olarak değiştirmek uygun olacaktır."/>
    <d v="2025-01-28T00:00:00"/>
    <x v="0"/>
    <x v="0"/>
    <n v="4"/>
    <m/>
  </r>
  <r>
    <d v="2025-01-29T00:00:00"/>
    <x v="0"/>
    <s v="HSA-1"/>
    <n v="540"/>
    <n v="19"/>
    <s v="Diyot Hatası"/>
    <s v="Haklı"/>
    <s v="Diyot hatası_x000a__x000a_Ürünün EL ve VI larına bakılacak. Akabinde saha organizasyonu yapılacak._x000a__x000a_30.10.25'de saha ziyareti yapıldı. 2 değişim, 17 modül tamir olarak sonuçlandı."/>
    <d v="2025-10-30T00:00:00"/>
    <x v="0"/>
    <x v="0"/>
    <n v="5"/>
    <m/>
  </r>
  <r>
    <d v="2025-01-29T00:00:00"/>
    <x v="0"/>
    <s v="HSA-2"/>
    <n v="545"/>
    <n v="11"/>
    <s v="Diyot Hatası"/>
    <s v="Haklı"/>
    <s v="Diyot hatası_x000a__x000a_Ürünün EL veVI ların abakılacak. Akabinde saha organizasyonu yapılacak."/>
    <d v="2025-11-21T00:00:00"/>
    <x v="0"/>
    <x v="0"/>
    <n v="5"/>
    <m/>
  </r>
  <r>
    <d v="2025-01-29T00:00:00"/>
    <x v="0"/>
    <s v="HSA-1"/>
    <n v="540"/>
    <n v="7"/>
    <s v="Diyot Hatası"/>
    <s v="Haklı"/>
    <s v="Diyot hatası_x000a__x000a_Ürünün EL ve VI larına bakılacak. Akabinde saha organizasyonu yapılacak."/>
    <d v="2025-11-21T00:00:00"/>
    <x v="0"/>
    <x v="0"/>
    <n v="5"/>
    <m/>
  </r>
  <r>
    <d v="2025-01-29T00:00:00"/>
    <x v="0"/>
    <s v="HSA-2"/>
    <n v="545"/>
    <n v="3"/>
    <s v="Diyot Hatası"/>
    <s v="Haklı"/>
    <s v="Diyot hatası_x000a__x000a_Ürünün EL ve VI larına bakılacak. Akabinde saha organizasyonu yapılacak._x000a__x000a_31.10.25'de saha ziyareti yapıldı. 1 değişim, 2 modül tamir olarak sonuçlandı."/>
    <m/>
    <x v="0"/>
    <x v="0"/>
    <n v="5"/>
    <m/>
  </r>
  <r>
    <d v="2025-02-04T00:00:00"/>
    <x v="0"/>
    <s v="HSA-1"/>
    <n v="545"/>
    <n v="3"/>
    <s v="Diyot Hatası"/>
    <s v="Haksız"/>
    <s v="12.12.25'de saha ziyareti yapıldı. Arızalı olduğu beyan edilen modüllerde yapılas ölçümlerde Volt degerleri 49,7'den düşük olduğu görslmöştür. Modaller tam kpasite Galışır doromdadır, Haksız şikayet olarak degerlendirilmiştir."/>
    <d v="2025-12-12T00:00:00"/>
    <x v="0"/>
    <x v="1"/>
    <n v="6"/>
    <m/>
  </r>
  <r>
    <d v="2025-02-04T00:00:00"/>
    <x v="0"/>
    <s v="HSA-2"/>
    <n v="555"/>
    <n v="2"/>
    <s v="Diyot Hatası"/>
    <s v="Haklı"/>
    <s v="Diyot hatası_x000a__x000a_Ürünün EL ve VI larına bakılacak. Akabinde saha organizasyonu yapılacak."/>
    <d v="2025-10-20T00:00:00"/>
    <x v="0"/>
    <x v="1"/>
    <n v="6"/>
    <m/>
  </r>
  <r>
    <d v="2025-01-28T00:00:00"/>
    <x v="1"/>
    <s v="HSA-1"/>
    <s v="N/A"/>
    <n v="1"/>
    <s v="Backsheet Hatası"/>
    <s v="Haksız"/>
    <s v="Backsheet hatası_x000a__x000a_EL ve VI larında problemgörünmemektedir. Sahada şartlarından kaynaklı deformasyon."/>
    <m/>
    <x v="0"/>
    <x v="0"/>
    <n v="5"/>
    <m/>
  </r>
  <r>
    <d v="2025-02-26T00:00:00"/>
    <x v="2"/>
    <s v="HSA-2"/>
    <s v="N/A"/>
    <n v="1"/>
    <s v="Ribon Kayması"/>
    <s v="Haklı"/>
    <s v="Ribbon kayması_x000a__x000a_Değişim yapılacak._x000a_Projenin tamaminin serilmesini beklemekistiyorlar, baska bir talep de olursa tek seferde isleme baslayacagiz"/>
    <d v="2025-02-28T00:00:00"/>
    <x v="0"/>
    <x v="1"/>
    <n v="9"/>
    <m/>
  </r>
  <r>
    <d v="2025-03-13T00:00:00"/>
    <x v="2"/>
    <s v="HSA-2"/>
    <s v="N/A"/>
    <n v="4"/>
    <s v="Konnektör Hatası"/>
    <s v="Haklı"/>
    <s v="Konnektör hatası _x000a_Kendilerine doğru çekip parçayı çıkarmaları talebinde bulunduk. Üretimde kullanılan aparatınparçası üzerinde kalmış."/>
    <d v="2025-03-14T00:00:00"/>
    <x v="0"/>
    <x v="2"/>
    <n v="11"/>
    <m/>
  </r>
  <r>
    <d v="2025-03-21T00:00:00"/>
    <x v="0"/>
    <s v="HSA-1"/>
    <s v="N/A"/>
    <n v="2"/>
    <s v="Kırık"/>
    <s v="Haklı"/>
    <s v="Kırık cam - panelin köşesinde kırık tespit edilmiştir."/>
    <d v="2025-04-03T00:00:00"/>
    <x v="0"/>
    <x v="2"/>
    <n v="12"/>
    <m/>
  </r>
  <r>
    <d v="2025-04-03T00:00:00"/>
    <x v="0"/>
    <s v="HSA-2"/>
    <s v="N/A"/>
    <n v="11"/>
    <s v="JB Lehim Hatası"/>
    <s v="Haklı"/>
    <s v="Diyot hatası_x000a__x000a_J.B lehim yenilendi"/>
    <m/>
    <x v="0"/>
    <x v="3"/>
    <n v="14"/>
    <m/>
  </r>
  <r>
    <d v="2025-04-04T00:00:00"/>
    <x v="1"/>
    <s v="HSA-1"/>
    <s v="N/A"/>
    <n v="2"/>
    <s v="Etiket Hatası"/>
    <s v="Haklı"/>
    <s v="Sahaya giden modüllerin güç etiketlerindesözleşme dışında güc saptanmıştır. 545w-&gt;550w, 580w-&gt;585w olarak yazılmıştır, saha tam kaç adet olduğu konusunda emin değil ancak 10 adet modülün 2 adetinde buna denk geldiklerini söylediler."/>
    <m/>
    <x v="0"/>
    <x v="3"/>
    <n v="14"/>
    <m/>
  </r>
  <r>
    <d v="2025-04-08T00:00:00"/>
    <x v="0"/>
    <s v="HSA-1"/>
    <s v="N/A"/>
    <n v="9"/>
    <s v="Etiket Hatası"/>
    <s v="Haklı"/>
    <m/>
    <m/>
    <x v="0"/>
    <x v="3"/>
    <n v="15"/>
    <m/>
  </r>
  <r>
    <d v="2025-04-18T00:00:00"/>
    <x v="0"/>
    <s v="HSA-1"/>
    <s v="N/A"/>
    <n v="16"/>
    <s v="JB Lehim Hatası"/>
    <s v="Haklı"/>
    <m/>
    <m/>
    <x v="0"/>
    <x v="3"/>
    <n v="16"/>
    <m/>
  </r>
  <r>
    <d v="2025-04-24T00:00:00"/>
    <x v="3"/>
    <s v="HSA-1"/>
    <s v="N/A"/>
    <n v="35"/>
    <s v="Etiket Hatası"/>
    <s v="Haklı"/>
    <s v="Satışı T-20 yapılmı şürünlerin paketinin içinden T-10 çıkması"/>
    <m/>
    <x v="0"/>
    <x v="3"/>
    <n v="17"/>
    <m/>
  </r>
  <r>
    <d v="2025-05-09T00:00:00"/>
    <x v="1"/>
    <s v="HSA-2"/>
    <s v="N/A"/>
    <n v="10"/>
    <s v="Hot-spot"/>
    <s v="Haksız"/>
    <s v="Hot-spot"/>
    <m/>
    <x v="0"/>
    <x v="4"/>
    <n v="19"/>
    <m/>
  </r>
  <r>
    <d v="2025-05-08T00:00:00"/>
    <x v="2"/>
    <s v="HSA-2"/>
    <s v="N/A"/>
    <n v="33"/>
    <s v="Ribon Kayması"/>
    <s v="Haksız"/>
    <s v="Ribbon sapması - _x000a__x000a_13.05.2025: İletilmiş olan görsellerdeki hataların hangi modüle ait olduğu eşleştirilememiştir. Müşteri tarafından hücre çiziği olarak ifade edilen tanımın incelemelerimiz sonucunda cam çiziği olduğu tespit edilmiştir. Prosesimizde paketleme istasyonu öncesinde görsel kontrol uygulaması 100% yapılmakta olup, bu seri numaralarına ait herhangi bir gözlem olmamıştır. Ayrıca üretim içerisindeki görsel kontrol kamera kontrol kayıtlarında da hata görülmemiştir. Ribon uçlarında sapma kriteri 3.5mmdir. İletilen iki görseldeki modüllerin biri kriter içindeyken, diğeri kriter dışıdır ve bu hata tipinin modül performansı üzerinde etkisi bulunmamaktadır. Mesh hatası için görsel olmadığı için yorum yapılamamıştır."/>
    <m/>
    <x v="0"/>
    <x v="4"/>
    <n v="19"/>
    <m/>
  </r>
  <r>
    <d v="2025-05-05T00:00:00"/>
    <x v="3"/>
    <s v="HSA-1"/>
    <s v="N/A"/>
    <n v="36"/>
    <s v="Etiket Hatası"/>
    <s v="Haklı"/>
    <m/>
    <m/>
    <x v="0"/>
    <x v="4"/>
    <n v="19"/>
    <m/>
  </r>
  <r>
    <d v="2025-05-22T00:00:00"/>
    <x v="1"/>
    <s v="HSA-2"/>
    <s v="N/A"/>
    <n v="49"/>
    <s v="JB Lehim Hatası"/>
    <s v="Haklı"/>
    <s v="27.05.25: Raporda mevzu bahis olan 36 adet modül ziyaretimizöncesinde demonte edilebilir mi? 220V enerji temini, çalışılacak uygun bir alan ve modülleri koyabileceğimiz bir masa sağlanabilirse çok seviniriz. Bu modülleri yerinde inceleme ve müdahale gerçekleştirmek istiyoruz. Ayrıca diğer 13 modülü ise paraleldeçalışır iken incelemeyi isteriz. Öngörümüz burada 2 iş günü çalışma gerçekleştirmek. Uygun olursa bunu önümüzdeki hafta Ptesi, Salı günü gerçekleştirmeyi istiyoruz._x000a__x000a_12.06.2025'te saha ziyareti yapılmıştır. 49 adet tamir edildi. Hepsi zayıf lehim."/>
    <d v="2025-06-13T00:00:00"/>
    <x v="0"/>
    <x v="4"/>
    <n v="21"/>
    <m/>
  </r>
  <r>
    <d v="2025-05-22T00:00:00"/>
    <x v="0"/>
    <s v="HSA-1"/>
    <s v="N/A"/>
    <n v="16"/>
    <s v="JB Lehim Hatası"/>
    <s v="Haklı"/>
    <s v="27.05.2025tarihinde saha ziyareti yapılacak._x000a__x000a_Lehim tazelendi."/>
    <d v="2025-05-27T00:00:00"/>
    <x v="0"/>
    <x v="4"/>
    <n v="21"/>
    <m/>
  </r>
  <r>
    <d v="2025-05-28T00:00:00"/>
    <x v="0"/>
    <s v="HSA-1"/>
    <n v="575"/>
    <n v="1"/>
    <s v="Düşük Voltaj"/>
    <s v="Haksız"/>
    <s v="4 batchten oluşan (1069+1295+1012+1132) HSA66M1AGGNS-575w kodlu 1 tırlık malzemeden müşteri şikayeti gelmiştir. Müşterinin şikayeti panellerin başka x markanın alt serisine göre düşük voltaj üretmesidir._x000a__x000a_Görkem Bey merhaba; Mesut Bey ile gündüz telefonda görüştük, akşamda kendisini tekrararadım. Kendisinden telefonda da aynı talepte bulundum. Bir stringde kaç modül var? Problem yaşanılan stringdeki panellerin barkod bilgileri? Farklı 2 tip panel aynı stringe konulmuş olabilir mi? 66tip vs 72tip. Problem yaşanılan stringdeki panellerin aynı miktarda güneş aldığına emin olup, her bir panel j.box kablolarından ayrı ayrı açık devre voltajı ölçebilir mi?_x000a_Şu an için bilgileri anladığım bugün yarın temin edemeyecekler. Haftaya tekrar haberleşeceğiz gibi görünüyor._x000a__x000a_Elekta şikayetini buyuk olcude çozduk, pompa sistemine az panel bagladiklari icin sistem calismayip tekesiyor. Simdilik aksiyonumuz yok."/>
    <d v="2025-05-29T00:00:00"/>
    <x v="0"/>
    <x v="4"/>
    <n v="22"/>
    <m/>
  </r>
  <r>
    <d v="2025-06-17T00:00:00"/>
    <x v="0"/>
    <s v="HSA-2"/>
    <s v="N/A"/>
    <n v="14"/>
    <s v="Diyot Hatası"/>
    <s v="Devam ediyor"/>
    <s v="Termal görüntü iletildi sadece, yorum yok_x000a__x000a_23.09.25: Satışa araması için hatırlatma yapıldı._x000a__x000a_22.10.25'de satış ekibine tekrar hatırlatma yapıldı._x000a__x000a_02.03.25: Satış ekibi tarafından organizasyon bilgi gelecek. Kemal Bey, Mehmet Bey ile kontak kişi bilgilerini paylaşacak._x000a__x000a_16.03.26: Mehmet Bey saha tarafındaki sorunmlu ile görüşmüş. Yeo'dan dönüş bekleniyor."/>
    <m/>
    <x v="0"/>
    <x v="5"/>
    <n v="25"/>
    <m/>
  </r>
  <r>
    <d v="2025-06-19T00:00:00"/>
    <x v="0"/>
    <s v="HSA-2"/>
    <s v="N/A"/>
    <n v="1"/>
    <s v="Kırık"/>
    <s v="?"/>
    <s v="Panelleri sizlerden uzun zaman önce teslim almıştık fakat ilgili paneller yatırımcının abonelik işlemleri tamamlanmadığından ürünleri sahaya sevk etmemiş depomuzda bekletmiştik. Bu ay yatırımcının abonelik işlemleri tamamlandı ve ürünleri paletli şekilde yatırımcının evine gönderdik. Panel montajı sırasında 12.06.2025 tarihinde 1 adet panelin paletten kırık çıktığı görülmüş ve ilgili panelin fotoğrafı çekilmiştir."/>
    <m/>
    <x v="0"/>
    <x v="5"/>
    <n v="25"/>
    <m/>
  </r>
  <r>
    <d v="2025-06-19T00:00:00"/>
    <x v="0"/>
    <s v="HSA-1"/>
    <s v="N/A"/>
    <n v="2"/>
    <s v="JB Lehim Hatası"/>
    <s v="Haklı"/>
    <s v="2 adet panelde diyot arızası tespit edilmiştir. Süreci en geç Perşembe gününe kadar netleştirmemiz gerekiyor._x000a__x000a_25.06.25 tarihinde sahada JB değişim ve lehim tazeleme yapıldı."/>
    <d v="2025-06-25T00:00:00"/>
    <x v="0"/>
    <x v="5"/>
    <n v="25"/>
    <m/>
  </r>
  <r>
    <d v="2025-06-19T00:00:00"/>
    <x v="0"/>
    <s v="HSA-2"/>
    <s v="N/A"/>
    <n v="1"/>
    <s v="Diyot Hatası"/>
    <s v="Haklı"/>
    <s v="Diyot hatası_x000a__x000a_26.06.2025 tarihinde JB değişimi yapıldı."/>
    <d v="2025-06-25T00:00:00"/>
    <x v="0"/>
    <x v="5"/>
    <n v="25"/>
    <m/>
  </r>
  <r>
    <d v="2025-07-01T00:00:00"/>
    <x v="0"/>
    <s v="HSA-1"/>
    <s v="N/A"/>
    <n v="4"/>
    <s v="Hot-spot"/>
    <s v="Haklı"/>
    <s v="Yapılan termal drone kontrolünde 4 adet panelde arıza tespit edildi._x000a__x000a_Modül değişimi yapıldı."/>
    <d v="2025-07-22T00:00:00"/>
    <x v="0"/>
    <x v="6"/>
    <n v="27"/>
    <m/>
  </r>
  <r>
    <d v="2025-07-01T00:00:00"/>
    <x v="0"/>
    <s v="HSA-2"/>
    <s v="N/A"/>
    <n v="1"/>
    <s v="Toz Tutma"/>
    <s v="Haksız"/>
    <s v="Tirsan Kardan GES santralinde yapılan kontrollerde,HSA marka bir PV panelde sıcaklık anomalisine (hotspot)rastlanmıştır. Panelde gözle görülür şekilde hücre hasarı ve yerel ısınma tespit edilmiştir. Termal kamera görüntüsünde ilgili hücrelerde maksimum sıcaklık 89.7°C’ye kadar çıkmaktadır. Multimetre ile yapılan ölçümlerde panelin DC gerilimi 45.4V olarak ölçülmüştür. Pane lyüzeyinde gözle görülür şekilde lokal yanık izleri mevcuttur. Bu durum enerji üretiminde kayba yol açmaktave panel yangın riski taşımaktadır._x000a__x000a_Fabrikayageriçağırıldı._x000a__x000a_Çatıya modül takıldı. Temizlik sonrası bir problem görülmedi. Düzenli temizlik önerildi."/>
    <d v="2025-07-25T00:00:00"/>
    <x v="0"/>
    <x v="6"/>
    <n v="27"/>
    <m/>
  </r>
  <r>
    <d v="2025-07-25T00:00:00"/>
    <x v="0"/>
    <s v="HSA-2"/>
    <s v="N/A"/>
    <n v="12"/>
    <s v="Hot-spot"/>
    <s v="Haksız"/>
    <s v="İlgilipanellerinüzerindegerçekleştirilentermalkameraincelemesisonucunda,panelyüzeylerindebelirginsıcak-soğukfarklarıtespitedilmiştir.Termalgörüntüde,bazıhücrelerinsıcaklıkdeğerlerininpanelingenelsıcaklıkyapısınakıyaslaanormalderecededüşükolduğugözlemlenmiştir._x000a_Budurum,sözkonusupanellerdebazıhücrelerinüretimyapmadığınıveyatamamendevredışıkaldığını(ölühücre-deadcell)göstermektedir.Hücreseldüzeydemeydanagelenbutürarızalar,panellerinperformansınıolumsuzetkilemekteolup,sistemingenelverimliliğindekayıplaranedenolmaktadır._x000a_Bunedenle,arızalıolduğutespitedilenpanellerindetaylışekildekontroledilmesivegerekiyorsaonarılmasıyadadeğiştirilmesiiçingerekliişlemlerinivediliklebaşlatılmasınıarzederim._x000a__x000a_14.08.25: EL incelemeleri sonucunda modüllerde bir hataya rastlanılmamıştır._x000a_Hata fotoğrafları incelendiğinde modüller üzerindeki kirlilik nedeniyle hotspot yapıldığı tespit edilmiştir._x000a_Fabrikasyon bir hata bulunmamaktadır. "/>
    <d v="2025-08-14T00:00:00"/>
    <x v="0"/>
    <x v="6"/>
    <n v="30"/>
    <m/>
  </r>
  <r>
    <d v="2025-08-04T00:00:00"/>
    <x v="0"/>
    <s v="HSA-2"/>
    <s v="N/A"/>
    <n v="1"/>
    <s v="Kırık"/>
    <s v="Haksız"/>
    <s v="Palet açılışı sırasında orta sıralarda bulunan 1 adet panelin kırık olduğu tespit edilmiştir."/>
    <d v="2025-08-19T00:00:00"/>
    <x v="0"/>
    <x v="7"/>
    <n v="32"/>
    <m/>
  </r>
  <r>
    <d v="2025-07-28T00:00:00"/>
    <x v="4"/>
    <s v="HSA-1"/>
    <s v="N/A"/>
    <n v="6"/>
    <s v="Lekeli Cam"/>
    <s v="Haksız"/>
    <s v="20.08.25: Kağan Bey tarafından geribildirim formu paylaşıldı."/>
    <m/>
    <x v="0"/>
    <x v="6"/>
    <n v="31"/>
    <m/>
  </r>
  <r>
    <d v="2025-07-30T00:00:00"/>
    <x v="1"/>
    <s v="HSA-2"/>
    <s v="N/A"/>
    <n v="150"/>
    <s v="Hot-spot"/>
    <s v="Haksız"/>
    <s v=" 30.07.25: TRHSA240326GCA_V26_R1 sipariş numaralı onaylı teklifte belirtilen 3484 adet 585Wp ve 5746 adet 580Wp panellerin içinde termal görüntüleme sonucunda toplam 156 adet panelde hücre hatası olduğu görülmüştür. _x000a__x000a_12.08.25: 400 adedi bulmuş hatalı panel adedi._x000a__x000a_12.08.25:_x000a_1.Termal kontrolde hücre arızası tespit edildiğini belirtmiş olduğunuz paneller hep aynı dizgilere denk gelmiş.. _x000a_Üretim kaynaklı bir hata olması çok olası gelmiyor. Zira bu sayıda hatalı panelin sahada aynı dizgiye denk gelmesi pek mümkün değil gibi._x000a_2.Bildiğiniz üzere EL fotoğrafları müşterilerimizden önce hem HSA teknisyen ve mühendisleri hem JA mühendisleri tarafından kontrolleri sağlanmakta.  Dolayısıyla pekçok kontrolden sonra bu sayıda bir hata olması çok olası değil._x000a_Fakat, 156 adet EL fotoğrafını tekrar bir tur daha inceleyip sizlere geri dönüş en kısa sürede sağlayacağız._x000a_3.Saha ziyareti gerçekleştirebiliriz. Bu hafta içerisinde ziyareti karşılıklı planlayacağız._x000a__x000a_15.08.25: Müşteri saha ziyareti_x000a_HSA Enerjiye iletilen 156 barkodun haricinde hotspot olduğu beyan edilen modüller incelendi. Herhangi bir görsel kusur görülmedi. EL görontüleeri incelendi ve temiz çıkt. Panellerde herhangi bir kirlilik görülmedi. Aynı zamanda görülen hotspotların farklı saatlerde her zaman görülmediği beyan edildi. Ayrıca panellerde belirgin sıcaklık farkı gözlenmedi. String bağlantılarının ve alınan değerlerin de sorunsuz olduğu belirtildi. Invertörlerde herhangi bir güç düşüşü yok. Üretici kaynaklı kusur saptanmadı._x000a_"/>
    <d v="2025-08-21T00:00:00"/>
    <x v="0"/>
    <x v="6"/>
    <n v="31"/>
    <m/>
  </r>
  <r>
    <d v="2025-08-15T00:00:00"/>
    <x v="0"/>
    <s v="HSA-1"/>
    <n v="545"/>
    <n v="18"/>
    <s v="Hot-spot"/>
    <s v="Haklı"/>
    <s v="Barkod ve şikayet formu bekleniyor_x000a__x000a_10.09.25: Saha ziyareti yapıldı. 18 modüle tamir yapıldı."/>
    <m/>
    <x v="0"/>
    <x v="7"/>
    <n v="33"/>
    <m/>
  </r>
  <r>
    <d v="2025-07-30T00:00:00"/>
    <x v="0"/>
    <s v="HSA-1"/>
    <n v="540"/>
    <n v="60"/>
    <s v="Tozlu Hücre"/>
    <s v="Haksız"/>
    <s v="21:08.25: Sahaya yakın bir noktada bulunan taş ocağı nedeniyle modüllerin yoğun toza maruz kaldığı,_x000a_Hücre bazlı tozlanmaların yoğun olduğu bölgede birçok gölge unsurunun olduğu (baca,paratoner vs.),_x000a_Tozlanan hücreler kısa sürede temizlenmediği için daha da ısınarak daha fazla toz topladığı,"/>
    <d v="2025-08-21T00:00:00"/>
    <x v="0"/>
    <x v="6"/>
    <n v="31"/>
    <m/>
  </r>
  <r>
    <d v="2025-08-19T00:00:00"/>
    <x v="0"/>
    <s v="HSA-2"/>
    <n v="580"/>
    <n v="1"/>
    <s v="Köşe Açıklığı"/>
    <s v="Haklı"/>
    <s v="19:08.25: Modül değişimi onaylandı"/>
    <d v="2025-08-19T00:00:00"/>
    <x v="0"/>
    <x v="7"/>
    <n v="34"/>
    <m/>
  </r>
  <r>
    <d v="2025-08-20T00:00:00"/>
    <x v="0"/>
    <s v="HSA-1"/>
    <n v="580"/>
    <n v="2"/>
    <s v="Diyot Hatası"/>
    <s v="Haklı"/>
    <s v="22.08.25: Termal görüntüleri de talep edebilir misinzi ?_x000a_22.08.25: Çizmeci Projesi, Beylikova, Eskişehir. Ellerinde 2 adet yedek var. İlerleyen zaman diliminde planlama yapmamız gerekecek._x000a_27.02.26: MKV: 11.haftada tamamlanması hedefleniyor._x000a_13.03.26: 2 det panel sahada tamir edildi. 2 adet de bildirilmemiş panel tamiri yapıldı. (2510307MC1000847, 2510107BW0029935)"/>
    <d v="2026-03-13T00:00:00"/>
    <x v="0"/>
    <x v="7"/>
    <n v="34"/>
    <m/>
  </r>
  <r>
    <d v="2025-08-20T00:00:00"/>
    <x v="0"/>
    <s v="HSA-1"/>
    <n v="545"/>
    <n v="3"/>
    <s v="Diyot Hatası"/>
    <s v="Haklı"/>
    <s v="22.08.25: Termal görüntüleri de talep edebilir misinzi ?_x000a_22.08.25: Balsu Projesi, Hendek, Sakarya. Sadece 1 yedek panelleri kaldığı için acil olmamakla birlikte bir plan yapmalıyız derler._x000a_02.03.26: W11 için tamamlanması hedeflenecek._x000a_13.03.26: 3 det panel sahada tamir edildi."/>
    <d v="2026-03-13T00:00:00"/>
    <x v="0"/>
    <x v="7"/>
    <n v="34"/>
    <m/>
  </r>
  <r>
    <d v="2025-08-20T00:00:00"/>
    <x v="1"/>
    <s v="HSA-1"/>
    <s v="N/A"/>
    <n v="25"/>
    <s v="Diyot Hatası"/>
    <s v="Haklı"/>
    <s v="22.08.25: Termal görüntüleri de talep edebilir misinzi ?_x000a_22.08.25: Acacia Projesi, Polatlı Ankara tarafında Eylül ayı sonunda bir planlı bakım daha gerçekleştirecekler imiş. Buradaki servis desteğinizi akabinde planlayabiliriz der._x000a_12.01.26 için saha organizasyonu yapıldı. Saha organizasyonu hava şartlarından dolayı iptal edildi._x000a_09.01.26: SBŞ: Ankara-Polatlı ve Karabük sahalarını tek seferde bitireceğiz. Önümüzdeki hafta için plan yapmıştık ancak Karabük’te iletişimde olduğumuz yetkili hava durumundan dolayı ertelememiz gerektiğini belirtti. Daha ileri bir tarihe planlayacağız._x000a_27.01.26: MKV: 04.03.2026 Çarşamba günü sabah gidiş, 05.03.2026 Perşembe günü dönüş. Ziyaret kapsamında Ankara (Citus Power) ve Karabük (Point Enerji) firmaları ziyaret edilecek ve servis hizmeti verilecektir._x000a_05.03.26'da saha ziyareti Serdar Burak Şanal tarafından tamamlanmıştır."/>
    <m/>
    <x v="0"/>
    <x v="7"/>
    <n v="34"/>
    <m/>
  </r>
  <r>
    <d v="2025-08-22T00:00:00"/>
    <x v="0"/>
    <s v="HSA-1"/>
    <n v="585"/>
    <n v="740"/>
    <s v="Silikon Lekesi"/>
    <s v="Haksız"/>
    <s v="28:08.25: Ürünleri temizleyip garanti kapsamında kullanmaya devam edebilirler."/>
    <d v="2025-08-28T00:00:00"/>
    <x v="0"/>
    <x v="7"/>
    <n v="34"/>
    <m/>
  </r>
  <r>
    <d v="2025-08-15T00:00:00"/>
    <x v="2"/>
    <s v="HSA-2"/>
    <n v="590"/>
    <n v="42"/>
    <s v="Çerçeve Açıklığı"/>
    <s v="Haklı"/>
    <s v="28.08.25: 42 adet değişim için gönderildi, 42 adet iade alınacak (37 çerçeve açıklığı, 5 kırık hücre)"/>
    <d v="2025-08-28T00:00:00"/>
    <x v="0"/>
    <x v="7"/>
    <n v="33"/>
    <s v="8D"/>
  </r>
  <r>
    <d v="2025-08-15T00:00:00"/>
    <x v="2"/>
    <s v="HSA-2"/>
    <n v="585"/>
    <n v="96"/>
    <s v="Görsel Kusur"/>
    <s v="Haksız"/>
    <s v="Darbeli kırık ve çizik çok fazla modül var."/>
    <m/>
    <x v="0"/>
    <x v="7"/>
    <n v="33"/>
    <m/>
  </r>
  <r>
    <d v="2025-08-28T00:00:00"/>
    <x v="3"/>
    <s v="HSA-1"/>
    <s v="Karışık"/>
    <n v="243"/>
    <s v="Etiket Hatası"/>
    <s v="Haksız"/>
    <s v="28.08.25: Ürün güçleri doğrudur, bu şekilde kullanılabilir (Okan Aktaş)_x000a__x000a_03.09.25: Okan ve Serdar sahada paket etiketi değişimi yaptılar."/>
    <d v="2025-09-03T00:00:00"/>
    <x v="0"/>
    <x v="7"/>
    <n v="35"/>
    <m/>
  </r>
  <r>
    <d v="2025-09-05T00:00:00"/>
    <x v="0"/>
    <s v="HSA-2"/>
    <n v="615"/>
    <n v="6"/>
    <s v="Kırık"/>
    <s v="Haksız"/>
    <s v="09.09.25: 3 adet panel garanti kapsaminda 3 adet panel de bedelsiz olarak musteriye kesilecektir ve teslim edilecektir (Mehmet Aybaş)_x000a__x000a_Müşteri ile geribildirim formu paylaşılmadı._x000a__x000a_12.09.25 yeniler teslim edildi, eskiler alındı."/>
    <m/>
    <x v="0"/>
    <x v="8"/>
    <n v="36"/>
    <m/>
  </r>
  <r>
    <d v="2025-09-03T00:00:00"/>
    <x v="1"/>
    <s v="HSA-2"/>
    <s v="N/A"/>
    <n v="37"/>
    <s v="Kırık"/>
    <s v="Haksız"/>
    <s v="11.09.25: Saha ziyareti yapıldı."/>
    <m/>
    <x v="0"/>
    <x v="8"/>
    <n v="36"/>
    <m/>
  </r>
  <r>
    <d v="2025-09-12T00:00:00"/>
    <x v="0"/>
    <s v="HSA-2"/>
    <n v="550"/>
    <n v="186"/>
    <s v="Ölçü Farklılığı"/>
    <s v="Haksız"/>
    <s v="12.09.25:  Sahaya sevk edilen 186 adet güneş panelinin çoğunda Panel çaplarında ve diyagonal ile ilgili ölçülerde eşitsizlik söz konusu. Montaj konusunda ilk panel ile son panel arasında ciddi farklılıklar oluşmaktadır. Diyagonal ölçümlerde 3-4 mm farklar söz konusu. Panelde 3 farklı noktadan dikey bir şekilde ölçümler yapıldığında ise ölçümlerde tolerans değerlerinden daha fazla farklıklar almaktayız."/>
    <m/>
    <x v="0"/>
    <x v="8"/>
    <n v="37"/>
    <m/>
  </r>
  <r>
    <d v="2025-09-06T00:00:00"/>
    <x v="1"/>
    <s v="HSA-2"/>
    <n v="545"/>
    <n v="37"/>
    <s v="Diyot Hatası"/>
    <s v="Haklı"/>
    <s v="18.09.25: Here are comments of HSA._x000a_1. 39pcs of modules junction box may repair on site. But, if the customer not accept repair on sire, they may send us modules to HSA Factory, modules j.boxes can be repaired on HSA Factory._x000a_2. HSA may make a favour to run EL test for 213pcs of modules free of charge. It may lasted around 3weeks cause of line and labour availability. _x000a_But, we have to underline: Transportation process and modules failures (glass scracthes, frame scracthes, broken etc) will not under responsibility of HSA. Process must be run under JA representatives and customer responsibility. Warranty should be given by JA, not HSA. If customer provide proper packaging materials and tools, HSA teach them how to pack of modules online or on site. (M. Kemal Varol)_x000a__x000a_22.09.25: İlk gelen 52 adet idi hot spotlar listeden çıkarıldı. 39 j box + 220 yardım (M. Kemal Varol)_x000a_Paketleme öğretmek için gideceğiz, paneller buraya gelecek EL bakılıp bilgi verilecek._x000a__x000a_02.10.25'de paneller 253 adet olarak HSA'ya indirildi._x000a__x000a_Müşteri tarafından gelen dl: 04.11.25."/>
    <m/>
    <x v="0"/>
    <x v="8"/>
    <n v="36"/>
    <m/>
  </r>
  <r>
    <d v="2025-09-18T00:00:00"/>
    <x v="1"/>
    <s v="HSA-2"/>
    <s v="N/A"/>
    <n v="23"/>
    <s v="Diyot Hatası"/>
    <s v="Haklı"/>
    <s v="02.10.25: Dears; Customer visited and all modules which were shown HSA team were fixed j.box issues._x000a_Modules are good condition currently. Here I attached signed form about. In addition, observation notes on site;_x000a_*Deformed j.boxes were replaced with new ones. Please see attached pictures._x000a_*Birddroppings must be cleaned, also weeding is needed.  Please see attached images. (Mustafa Kemal Varol)_x000a__x000a_7 tanesine de j box kablo'dan dolayı değişim yapıldı. Toplam 30 modül işlem gördü."/>
    <d v="2025-10-02T00:00:00"/>
    <x v="0"/>
    <x v="8"/>
    <n v="38"/>
    <m/>
  </r>
  <r>
    <d v="2025-09-23T00:00:00"/>
    <x v="1"/>
    <s v="HSA-1"/>
    <n v="575"/>
    <n v="59"/>
    <s v="Diyot Hatası"/>
    <s v="Haklı"/>
    <s v="23.09.25: Alex'ten şikayet geldi_x000a__x000a_01.10.25 ve 02.10.25'de Serdar Bey tarafından tamir işlemi yapıldı. 81 adet olarak ilk bildirilen sayı 59'a düştü. 1 tane de modülde diyot hatası olmamasına rağmen lehim tazeleme yapıldı."/>
    <d v="2025-10-02T00:00:00"/>
    <x v="0"/>
    <x v="8"/>
    <n v="39"/>
    <m/>
  </r>
  <r>
    <d v="2025-09-24T00:00:00"/>
    <x v="0"/>
    <s v="HSA-1"/>
    <n v="580"/>
    <n v="72"/>
    <s v="İkinci Sınıf Modül"/>
    <s v="Haklı"/>
    <s v="ABC solar firmasından Mart.25’de iade alınan paletler A kalite olarak paketlenip stoğa alınmıştı. İade geliyor."/>
    <m/>
    <x v="0"/>
    <x v="8"/>
    <n v="39"/>
    <m/>
  </r>
  <r>
    <d v="2025-09-29T00:00:00"/>
    <x v="1"/>
    <s v="HSA-2"/>
    <n v="545"/>
    <n v="23"/>
    <s v="Diyot Hatası"/>
    <s v="Haklı"/>
    <s v="29.09.25: Servis planlaması için 15 Ekim 2025 tarihi sonrası için sizlerden destek talep etmekteyiz. Arızalı tüm paneller şuanda demonte edildi ve idari bina yanına alınarak işlem yapılmak üzere besleme vs hazır halde bulunmaktadır. (Deniz Sir)"/>
    <m/>
    <x v="0"/>
    <x v="8"/>
    <n v="40"/>
    <m/>
  </r>
  <r>
    <d v="2025-09-30T00:00:00"/>
    <x v="0"/>
    <s v="HSA-2"/>
    <s v="N/A"/>
    <n v="6"/>
    <s v="Diyot Hatası"/>
    <s v="Haklı"/>
    <s v="01.10.25'de sahada tamir yapıldı."/>
    <d v="2025-10-01T00:00:00"/>
    <x v="0"/>
    <x v="8"/>
    <n v="40"/>
    <m/>
  </r>
  <r>
    <d v="2025-09-24T00:00:00"/>
    <x v="0"/>
    <s v="HSA-1"/>
    <n v="580"/>
    <n v="36"/>
    <s v="İkinci Sınıf Modül"/>
    <s v="Haklı"/>
    <s v="ABC solar firmasından Mart.25’de iade alınan paletler A kalite olarak paketlenip stoğa alınmıştı. İade geliyor."/>
    <m/>
    <x v="0"/>
    <x v="8"/>
    <n v="39"/>
    <m/>
  </r>
  <r>
    <d v="2025-10-02T00:00:00"/>
    <x v="0"/>
    <s v="HSA-2"/>
    <n v="540"/>
    <n v="25"/>
    <s v="Diyot Hatası"/>
    <s v="Haklı"/>
    <s v="Şikayet formunda  16.09.2025 fakat satıştan bize 02.10.25'de geldi. 13.10.25'de saha ziyareti tamamlandı."/>
    <d v="2025-10-13T00:00:00"/>
    <x v="0"/>
    <x v="9"/>
    <n v="40"/>
    <m/>
  </r>
  <r>
    <d v="2025-10-02T00:00:00"/>
    <x v="0"/>
    <s v="HSA-1"/>
    <n v="540"/>
    <n v="3"/>
    <s v="Diyot Hatası"/>
    <s v="Haklı"/>
    <s v="Şikayet formunda  16.09.2025 fakat satıştan bize 02.10.25'de geldi. 13.10.25'de saha ziyareti tamamlandı."/>
    <d v="2025-10-13T00:00:00"/>
    <x v="0"/>
    <x v="9"/>
    <n v="40"/>
    <m/>
  </r>
  <r>
    <d v="2025-10-17T00:00:00"/>
    <x v="0"/>
    <s v="HSA-2"/>
    <n v="540"/>
    <n v="3"/>
    <s v="Diyot Hatası"/>
    <s v="Haklı"/>
    <s v="Şikayet formunda  07.08.2025._x000a_12.01.26 için saha organizasyonu yapıldı. Saha organizasyonu hava şartlarından dolayı iptal edildi._x000a_09.01.26: SBŞ: Ankara-Polatlı ve Karabük sahalarını tek seferde bitireceğiz. Önümüzdeki hafta için plan yapmıştık ancak Karabük’te iletişimde olduğumuz yetkili hava durumundan dolayı ertelememiz gerektiğini belirtti. Daha ileri bir tarihe planlayacağız_x000a_27.01.26: MKV: 04.03.2026 Çarşamba günü sabah gidiş, 05.03.2026 Perşembe günü dönüş. Ziyaret kapsamında Ankara (Citus Power) ve Karabük (Point Enerji) firmaları ziyaret edilecek ve servis hizmeti verilecektir._x000a_04.03.26'da saha ziyareti Serdar Burak Şanal tarafından tamamlanmıştır."/>
    <m/>
    <x v="0"/>
    <x v="9"/>
    <n v="42"/>
    <m/>
  </r>
  <r>
    <d v="2025-10-17T00:00:00"/>
    <x v="0"/>
    <s v="HSA-1"/>
    <n v="540"/>
    <n v="3"/>
    <s v="Diyot Hatası"/>
    <s v="Haklı"/>
    <s v="Şikayet formunda  07.08.2025._x000a_12.01.26 için saha organizasyonu yapıldı. Saha organizasyonu hava şartlarından dolayı iptal edildi._x000a_09.01.26: SBŞ: Ankara-Polatlı ve Karabük sahalarını tek seferde bitireceğiz. Önümüzdeki hafta için plan yapmıştık ancak Karabük’te iletişimde olduğumuz yetkili hava durumundan dolayı ertelememiz gerektiğini belirtti. Daha ileri bir tarihe planlayacağız_x000a_27.01.26: MKV: 04.03.2026 Çarşamba günü sabah gidiş, 05.03.2026 Perşembe günü dönüş. Ziyaret kapsamında Ankara (Citus Power) ve Karabük (Point Enerji) firmaları ziyaret edilecek ve servis hizmeti verilecektir._x000a_04.03.26'da saha ziyareti Serdar Burak Şanal tarafından tamamlanmıştır."/>
    <m/>
    <x v="0"/>
    <x v="9"/>
    <n v="42"/>
    <m/>
  </r>
  <r>
    <d v="2025-10-02T00:00:00"/>
    <x v="0"/>
    <s v="HSA-1"/>
    <n v="545"/>
    <n v="4"/>
    <s v="Diyot Hatası"/>
    <s v="Haklı"/>
    <s v="04.10.25: MKV: Hasan Bey ile görüştüm. 4 panel için plan yapmak makul olmayabilir diye izah ettim. _x000a_Kendilerinde yedek panel mevcut olduğunu, değiştirildiğini ve acil olmadığını söyledi._x000a_Kayseri tarafına plan yaptığımızda uğramak üzere iş listemizde olacağını belirttim._x000a_02.03.26: W12 için organizasyon yapılacak. Bayram haftası olması nedeni ile W13'e de ertelenebilir._x000a_16.03.26: 17.03.26'da Serdar Bey ziyaret için sahada olacak._x000a_17.03.26'da Serdar Bey tarafından saha ziyareti gerçekleştirildi."/>
    <d v="2026-03-17T00:00:00"/>
    <x v="0"/>
    <x v="9"/>
    <n v="40"/>
    <m/>
  </r>
  <r>
    <d v="2025-10-20T00:00:00"/>
    <x v="2"/>
    <s v="HSA-2"/>
    <n v="600"/>
    <n v="300"/>
    <s v="Kablo Boyu Kısa"/>
    <s v="Haksız"/>
    <s v="20.10.25: Müşteri: Bu konuda aksiyon almak için zamanımız kısıtlıdır. İade ve değişim talep etmiyoruz. Fakat sehpa başlarındaki paneller için mc4 konnektör talebimiz vardır. 600 addet sehpa başı panelleri için konnektör temini rica ederim.  Konnektörler takılı paneller için de garanti kapsamında herhangi bir değişiklilik olmamasını talep ediyoruz.  Bu konuda yardımlarınızı ve acilen teknik ekipten bu konuda yardımcı olmalarını talep etmekteyiz._x000a_21.10.25: Mahmut Gül: Müşterimizin proje öncesinde bir özel talebi şartnamesi var mıydı ?  Bu özellikle belirtilmedi ise bir hata yok, BOM List’e göre üretim gerçekleştirilmiş. Bununla birlikte müşterimize gönderdiğimiz ürünler içerisinde 1,4m olan kablolar da olduğunu görüyorum._x000a_Aşağıdaki barkod numarasında kırmızı ile işaretlediğim numaranın 454 ve üzeri olanları kullanılır ise problem yaşamayacaklardır. Bunun için FR raporu kullanılabilir. @Serdar Bey arkadaşım size iletecektir. Bu yapılabilir değil derse müşterimiz satış ekibinin konnektör temini değerlendirmesi uygun olacaktır. Ek konnektör yapılan yerde bir bağlantı problemi olur ise garanti kapsamına alamayız doğal olarak."/>
    <m/>
    <x v="0"/>
    <x v="9"/>
    <n v="43"/>
    <m/>
  </r>
  <r>
    <d v="2025-10-22T00:00:00"/>
    <x v="1"/>
    <s v="HSA-1"/>
    <n v="585"/>
    <n v="1"/>
    <s v="String Ara Mesafe"/>
    <s v="Haklı"/>
    <s v="22.10.25: Kağan Onar: VI fotoğrafına baktığımızda(*11982)  A12 de ara mesafe hatası mevcut. Fabrikasyon bir hata.  *9769 barkod nolu modülü incelediğimizde köşelerde herhangi bir deformasyon mevcut değildir. Fabrikasyon bir hata yoktur. Çerçevede kırık olan modülde ise (*10124) bu açıyı gören bir kamera yoktur fakat hata fotoğrafına göre değerlendirmek gerekir ise kurulum esnasında oluştuğu düşüncesindeyim. Bölge belirtilmemiş fakat klemp bölgesine benziyor. _x000a_22.10.25: MKV: Dear Alex; As you defined 1pcs of module is out of JA criteria. Can be considerable replacement according to inventory status. But, deformed modules are not manufacturing faults. Here I attached pictures about._x000a_23.10.25:Okan Aktaş: Dear JA Team, Update, Based on my conversation with the site, the shipment is currently not suitable due to the ongoing rainfall in the region. The organization will be arranged upon confirmation from the site."/>
    <m/>
    <x v="0"/>
    <x v="9"/>
    <n v="43"/>
    <m/>
  </r>
  <r>
    <d v="2025-10-22T00:00:00"/>
    <x v="1"/>
    <s v="HSA-1"/>
    <n v="585"/>
    <n v="2"/>
    <s v="Çerçeve Deformasyonu"/>
    <s v="Haksız"/>
    <s v="22.10.25: Kağan Onar: VI fotoğrafına baktığımızda(*11982)  A12 de ara mesafe hatası mevcut. Fabrikasyon bir hata.  *9769 barkod nolu modülü incelediğimizde köşelerde herhangi bir deformasyon mevcut değildir. Fabrikasyon bir hata yoktur. Çerçevede kırık olan modülde ise (*10124) bu açıyı gören bir kamera yoktur fakat hata fotoğrafına göre değerlendirmek gerekir ise kurulum esnasında oluştuğu düşüncesindeyim. Bölge belirtilmemiş fakat klemp bölgesine benziyor. _x000a_22.10.25: MKV: Dear Alex; As you defined 1pcs of module is out of JA criteria. Can be considerable replacement according to inventory status. But, deformed modules are not manufacturing faults. Here I attached pictures about._x000a_23.10.25:Okan Aktaş: Dear JA Team, Update, Based on my conversation with the site, the shipment is currently not suitable due to the ongoing rainfall in the region. The organization will be arranged upon confirmation from the site."/>
    <m/>
    <x v="0"/>
    <x v="9"/>
    <n v="43"/>
    <m/>
  </r>
  <r>
    <d v="2025-10-22T00:00:00"/>
    <x v="0"/>
    <s v="HSA-2"/>
    <n v="550"/>
    <n v="8"/>
    <s v="Backsheet Hatası"/>
    <s v="Haklı"/>
    <s v="Şikayet Serdar Burak Şanal'a geldi. Ek bilgiler bekleniyor._x000a_23.10.25'de izolasyon hatasını tanımlamak için paneller fabrikaya geri alındı. (2 adet) Geri kalan 8 adet bekleniyor._x000a_Değişim için gönderilen 10'lu yanlış gönderilip geri çekildi. Yenisi gönderildi._x000a_09.01.26: SBŞ: Hatalı modüllerin iadesi bekleniyor._x000a_02.03.26: İade modüllerin bugün ulaşması bekleniyor. / İade modüller 6 adet ulaştı. "/>
    <m/>
    <x v="0"/>
    <x v="9"/>
    <n v="43"/>
    <m/>
  </r>
  <r>
    <d v="2025-10-30T00:00:00"/>
    <x v="0"/>
    <s v="HSA-2"/>
    <n v="550"/>
    <n v="2"/>
    <s v="Kırık"/>
    <s v="Haksız"/>
    <s v="Şikayet formunda 13.10.2025, bize gelişi 30.10.25_x000a__x000a_31.10.2025'de Mahmut Bey VI fotoğraflarını paylaştı._x000a__x000a_10.12.25'de müşteri geribildirim formu paylaşıldı."/>
    <d v="2025-12-10T00:00:00"/>
    <x v="0"/>
    <x v="9"/>
    <n v="44"/>
    <m/>
  </r>
  <r>
    <d v="2025-10-30T00:00:00"/>
    <x v="1"/>
    <s v="HSA-1"/>
    <n v="540"/>
    <n v="2"/>
    <s v="Diyot Hatası"/>
    <s v="Haklı"/>
    <s v="30.10.25: MKV: Deniz Bey merhaba, İlerleyen zamanlarda bir Kayseri planı yaptığımız durumunda buradaki müşterimize de j.box değişimi için planımızı yapalım. Şu an müşteri geribildirimi olarak listemize ekleyelim. Mümkünse bu zaman diliminde yedek panel takarlar ise uygun olacaktır._x000a_02.03.26: W12 için organizasyon yapılacak. Bayram haftası olması nedeni ile W13'e de ertelenebilir._x000a_02.03.26: W12 için organizasyon yapılacak. Bayram haftası olması nedeni ile W13'e de ertelenebilir._x000a_16.03.26: 17.03.26'da Serdar Bey ziyaret için sahada olacak._x000a_17.03.26'da Serdar Bey tarafından saha ziyareti gerçekleştirildi."/>
    <d v="2026-03-17T00:00:00"/>
    <x v="0"/>
    <x v="9"/>
    <n v="44"/>
    <m/>
  </r>
  <r>
    <d v="2025-11-03T00:00:00"/>
    <x v="0"/>
    <s v="HSA-2"/>
    <s v="540/545/550"/>
    <n v="88"/>
    <s v="Diyot Hatası"/>
    <s v="Haklı"/>
    <s v="04.11.25: Okan Aktaş: * İlgili Modüllerin Seri Numaralarının Karşısına Hata Modlarının yazılmasını rica ederim.* Substring arızası olan Modüller için yerinde inceleme yapılacaktır, İnceleme öncesinde panellerin sökülmesi halinde Modüller Sahada uygun duruma getirilebilecektir. * Akım yok hataları için bağlantı noktaları kontrol edilmiş midir ? Hata Modunun bu şekilde belirlenmesinin bulgusu nedir ?"/>
    <m/>
    <x v="0"/>
    <x v="10"/>
    <n v="45"/>
    <m/>
  </r>
  <r>
    <d v="2025-11-20T00:00:00"/>
    <x v="0"/>
    <s v="HSA-2"/>
    <n v="550"/>
    <n v="2"/>
    <s v="Diyot Hatası"/>
    <s v="Haklı"/>
    <s v="12.12.2025'de saha ziyareti yapıldı, iki modül tamir edildi."/>
    <d v="2025-12-12T00:00:00"/>
    <x v="0"/>
    <x v="10"/>
    <n v="47"/>
    <m/>
  </r>
  <r>
    <d v="2025-12-08T00:00:00"/>
    <x v="1"/>
    <s v="HSA-1"/>
    <n v="580"/>
    <n v="6"/>
    <s v="Kırık"/>
    <s v="Haksız"/>
    <s v="08.12.25: OA: 6 Adet üründe kurulum aşaması sırasında hasarlar ile karşılaşılmıştır. Montajın tamamlanıp santralin_x000a_devreye alınabilmesi için gerekli süreçlerin ivedilikle yürütülmesini rica ederiz. "/>
    <m/>
    <x v="0"/>
    <x v="11"/>
    <n v="50"/>
    <m/>
  </r>
  <r>
    <d v="2025-12-09T00:00:00"/>
    <x v="0"/>
    <s v="HSA-1"/>
    <n v="575"/>
    <n v="89"/>
    <s v="Düşük Voltaj"/>
    <s v="Devam ediyor"/>
    <s v="Müşteri: Panellerin gerilim, güç ve akım etikette belirtilen değerlerin çok altında çalışması. _x000a__x000a_21.01.26: Elekta Enerji için gerçekleşecek sevkiyat detayı aşağıdaki gibidir. (88 adet panel sevki). Akabinde şikayete konu olan modüller fabrikaya gelecek._x000a__x000a_Modüllerin fabrikaya gelmesi bekleniyor._x000a__x000a_02.03.26: İki hafta sonraki değerlendirme toplantısında Görkem Çam tarafından bilgi paylaşılacak._x000a__x000a_16.03.26: Tekrar değerlendirilecek."/>
    <m/>
    <x v="0"/>
    <x v="11"/>
    <n v="50"/>
    <m/>
  </r>
  <r>
    <d v="2025-12-24T00:00:00"/>
    <x v="0"/>
    <s v="HSA-2"/>
    <n v="550"/>
    <n v="6"/>
    <s v="Diyot Hatası"/>
    <s v="Haklı"/>
    <s v="16.01.26: MKV: Hava koşulları nedeniyle saha ziyaretini Ocak ayı başlangıcında gerçekleştiremedik. Şubat ayı içerisinde program yapacağız. Hangi gün gerçekleştireceğimiz ile ilgili olarak ayrıca haberleşiyor oluruz._x000a_27.02.26: MKV: 11.haftada tamamlanması hedefleniyor._x000a_12.03.26: 6 det panel sahada tamir edildi."/>
    <d v="2026-03-12T00:00:00"/>
    <x v="0"/>
    <x v="11"/>
    <n v="52"/>
    <m/>
  </r>
  <r>
    <d v="2026-01-19T00:00:00"/>
    <x v="3"/>
    <s v="1&amp;2"/>
    <n v="575"/>
    <n v="50"/>
    <s v="Etiket Hatası"/>
    <s v="Haklı"/>
    <s v="19.01.26: GÇ: Geçen hafta Leo Solar firmasına gönderdiğimiz 575W T-20 ürünlerin palet içerisinden ürünlerin tamamı 545W çıkmıştır. Ayrıca gönderilen 615W T-10 ürünlerinden de içerisinden 610W T-20 çıkmıştır. Ödemeler Watt değerine göre yapıldığı için bu durum müşterilerle aramızda sıkıntı oluşturmaktadır._x000a_02.03.26: İki hafta sonraki değerlendirme toplantısında Görkem Çam tarafından bilgi paylaşılacak."/>
    <m/>
    <x v="1"/>
    <x v="0"/>
    <n v="4"/>
    <m/>
  </r>
  <r>
    <d v="2026-01-19T00:00:00"/>
    <x v="2"/>
    <s v="1&amp;2"/>
    <n v="615"/>
    <n v="6"/>
    <s v="Kırık"/>
    <s v="Haksız"/>
    <s v="Şikayet formunda tarih 12.01.26. 3 adet HSA1, 3 adet HSA2._x000a__x000a_21.01.26'da Kağan Onar geribldirim formunu paylaştı."/>
    <m/>
    <x v="1"/>
    <x v="0"/>
    <n v="4"/>
    <m/>
  </r>
  <r>
    <d v="2026-02-17T00:00:00"/>
    <x v="3"/>
    <s v="1&amp;2"/>
    <n v="545"/>
    <n v="62"/>
    <s v="P Sınıfı Kartı ile Sevk"/>
    <s v="Haklı"/>
    <s v="18.02.26: EK: Müşteriye ürünlerin fabrikaya gönderilmesi konusunda bilgi verildi._x000a__x000a_23.02.26: Müşteri ile tekrar görüşüldü, kendi müşterilerinden ürünleri bekliyorlar. Adet de düşecek._x000a__x000a_02.03.26'da Emre Bey'den bilgi alınacak."/>
    <m/>
    <x v="1"/>
    <x v="1"/>
    <n v="8"/>
    <m/>
  </r>
  <r>
    <d v="2026-03-11T00:00:00"/>
    <x v="1"/>
    <s v="HSA-2"/>
    <s v="N/A"/>
    <n v="22"/>
    <s v="Kırık Cam"/>
    <s v="Devam ediyor"/>
    <s v="Benzer şikayetin aynı müşteriden ikinci tekrarı_x000a__x000a_16.03.26: KI: JA konuya dahil edilsin. MKV: Bayramdan sonra saha ziyareti organize edilecek."/>
    <m/>
    <x v="1"/>
    <x v="2"/>
    <n v="11"/>
    <m/>
  </r>
  <r>
    <d v="2026-03-17T00:00:00"/>
    <x v="0"/>
    <s v="HSA-1"/>
    <n v="545"/>
    <n v="1"/>
    <s v="Diyot Hatası"/>
    <s v="Haklı"/>
    <s v="17.03.26'da Serdar Bey tarafından saha ziyareti sırasında görüldü. İlgili panel C class."/>
    <m/>
    <x v="1"/>
    <x v="2"/>
    <n v="12"/>
    <m/>
  </r>
  <r>
    <m/>
    <x v="5"/>
    <m/>
    <m/>
    <m/>
    <m/>
    <m/>
    <m/>
    <m/>
    <x v="2"/>
    <x v="12"/>
    <m/>
    <m/>
  </r>
  <r>
    <m/>
    <x v="5"/>
    <m/>
    <m/>
    <m/>
    <m/>
    <m/>
    <m/>
    <m/>
    <x v="2"/>
    <x v="12"/>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61">
  <r>
    <n v="2501"/>
    <x v="0"/>
    <s v="GÜRALSERAMİK"/>
    <d v="2025-01-21T00:00:00"/>
    <s v="2490108MC2016345"/>
    <n v="1"/>
    <s v="HSA-2"/>
    <m/>
    <d v="2024-09-01T00:00:00"/>
    <n v="2024"/>
    <n v="9"/>
    <n v="142"/>
    <x v="0"/>
    <s v="Değişim"/>
    <s v="Haklı"/>
    <x v="0"/>
    <x v="0"/>
  </r>
  <r>
    <n v="2501"/>
    <x v="0"/>
    <s v="GÜRALSERAMİK"/>
    <d v="2025-01-21T00:00:00"/>
    <s v="2490108MC2021386"/>
    <n v="1"/>
    <s v="HSA-2"/>
    <m/>
    <d v="2024-09-01T00:00:00"/>
    <n v="2024"/>
    <n v="9"/>
    <n v="142"/>
    <x v="0"/>
    <s v="Değişim"/>
    <s v="Haklı"/>
    <x v="0"/>
    <x v="0"/>
  </r>
  <r>
    <n v="2501"/>
    <x v="0"/>
    <s v="GÜRALSERAMİK"/>
    <d v="2025-01-21T00:00:00"/>
    <s v="2490108MC2005647"/>
    <n v="1"/>
    <s v="HSA-2"/>
    <m/>
    <d v="2024-09-01T00:00:00"/>
    <n v="2024"/>
    <n v="9"/>
    <n v="142"/>
    <x v="0"/>
    <s v="Değişim"/>
    <s v="Haklı"/>
    <x v="0"/>
    <x v="0"/>
  </r>
  <r>
    <n v="2501"/>
    <x v="0"/>
    <s v="GÜRALSERAMİK"/>
    <d v="2025-01-21T00:00:00"/>
    <s v="2490108MC2004636"/>
    <n v="1"/>
    <s v="HSA-2"/>
    <m/>
    <d v="2024-09-01T00:00:00"/>
    <n v="2024"/>
    <n v="9"/>
    <n v="142"/>
    <x v="1"/>
    <s v="Değişim"/>
    <s v="Haklı"/>
    <x v="0"/>
    <x v="0"/>
  </r>
  <r>
    <n v="2501"/>
    <x v="0"/>
    <s v="GÜRALSERAMİK"/>
    <d v="2025-01-21T00:00:00"/>
    <s v="2490108MC2004749"/>
    <n v="1"/>
    <s v="HSA-2"/>
    <m/>
    <d v="2024-09-01T00:00:00"/>
    <n v="2024"/>
    <n v="9"/>
    <n v="142"/>
    <x v="1"/>
    <s v="Değişim"/>
    <s v="Haklı"/>
    <x v="0"/>
    <x v="0"/>
  </r>
  <r>
    <n v="2501"/>
    <x v="0"/>
    <s v="GÜRALSERAMİK"/>
    <d v="2025-01-21T00:00:00"/>
    <s v="2490108MC2003126"/>
    <n v="1"/>
    <s v="HSA-2"/>
    <m/>
    <d v="2024-09-01T00:00:00"/>
    <n v="2024"/>
    <n v="9"/>
    <n v="142"/>
    <x v="0"/>
    <s v="Değişim"/>
    <s v="Haklı"/>
    <x v="0"/>
    <x v="0"/>
  </r>
  <r>
    <n v="2501"/>
    <x v="0"/>
    <s v="GÜRALSERAMİK"/>
    <d v="2025-01-21T00:00:00"/>
    <s v="2490108MC2019829"/>
    <n v="1"/>
    <s v="HSA-2"/>
    <m/>
    <d v="2024-09-01T00:00:00"/>
    <n v="2024"/>
    <n v="9"/>
    <n v="142"/>
    <x v="1"/>
    <s v="Değişim"/>
    <s v="Haklı"/>
    <x v="0"/>
    <x v="0"/>
  </r>
  <r>
    <n v="2501"/>
    <x v="0"/>
    <s v="GÜRALSERAMİK"/>
    <d v="2025-01-21T00:00:00"/>
    <s v="2490108MC2019421"/>
    <n v="1"/>
    <s v="HSA-2"/>
    <m/>
    <d v="2024-09-01T00:00:00"/>
    <n v="2024"/>
    <n v="9"/>
    <n v="142"/>
    <x v="0"/>
    <s v="Değişim"/>
    <s v="Haklı"/>
    <x v="0"/>
    <x v="0"/>
  </r>
  <r>
    <n v="2501"/>
    <x v="0"/>
    <s v="GÜRALSERAMİK"/>
    <d v="2025-01-21T00:00:00"/>
    <s v="2490108MC2019180"/>
    <n v="1"/>
    <s v="HSA-2"/>
    <m/>
    <d v="2024-09-01T00:00:00"/>
    <n v="2024"/>
    <n v="9"/>
    <n v="142"/>
    <x v="0"/>
    <s v="Değişim"/>
    <s v="Haklı"/>
    <x v="0"/>
    <x v="0"/>
  </r>
  <r>
    <n v="2502"/>
    <x v="1"/>
    <s v="JANTSA"/>
    <d v="2025-01-29T00:00:00"/>
    <s v="HSA1122020400297"/>
    <n v="1"/>
    <s v="HSA-1"/>
    <m/>
    <d v="2021-11-01T00:00:00"/>
    <n v="2021"/>
    <n v="11"/>
    <n v="1185"/>
    <x v="2"/>
    <s v="Tamir"/>
    <s v="Haklı"/>
    <x v="0"/>
    <x v="0"/>
  </r>
  <r>
    <n v="2502"/>
    <x v="1"/>
    <s v="JANTSA"/>
    <d v="2025-01-29T00:00:00"/>
    <s v="HSA1122020100500"/>
    <n v="1"/>
    <s v="HSA-1"/>
    <m/>
    <d v="2021-11-01T00:00:00"/>
    <n v="2021"/>
    <n v="11"/>
    <n v="1185"/>
    <x v="2"/>
    <s v="Tamir"/>
    <s v="Haklı"/>
    <x v="0"/>
    <x v="0"/>
  </r>
  <r>
    <n v="2502"/>
    <x v="1"/>
    <s v="JANTSA"/>
    <d v="2025-01-29T00:00:00"/>
    <s v="HSA1122011900909"/>
    <n v="1"/>
    <s v="HSA-1"/>
    <m/>
    <d v="2021-11-01T00:00:00"/>
    <n v="2021"/>
    <n v="11"/>
    <n v="1185"/>
    <x v="2"/>
    <s v="Tamir"/>
    <s v="Haklı"/>
    <x v="0"/>
    <x v="0"/>
  </r>
  <r>
    <n v="2502"/>
    <x v="1"/>
    <s v="JANTSA"/>
    <d v="2025-01-29T00:00:00"/>
    <s v="HSA1122020200504"/>
    <n v="1"/>
    <s v="HSA-1"/>
    <m/>
    <d v="2021-11-01T00:00:00"/>
    <n v="2021"/>
    <n v="11"/>
    <n v="1185"/>
    <x v="2"/>
    <s v="Tamir"/>
    <s v="Haklı"/>
    <x v="0"/>
    <x v="0"/>
  </r>
  <r>
    <n v="2502"/>
    <x v="1"/>
    <s v="JANTSA"/>
    <d v="2025-01-29T00:00:00"/>
    <s v="HSA1122012700437"/>
    <n v="1"/>
    <s v="HSA-1"/>
    <m/>
    <d v="2021-11-01T00:00:00"/>
    <n v="2021"/>
    <n v="11"/>
    <n v="1185"/>
    <x v="2"/>
    <s v="Tamir"/>
    <s v="Haklı"/>
    <x v="0"/>
    <x v="0"/>
  </r>
  <r>
    <n v="2502"/>
    <x v="1"/>
    <s v="JANTSA"/>
    <d v="2025-01-29T00:00:00"/>
    <s v="HSA1122020200579"/>
    <n v="1"/>
    <s v="HSA-1"/>
    <m/>
    <d v="2021-11-01T00:00:00"/>
    <n v="2021"/>
    <n v="11"/>
    <n v="1185"/>
    <x v="2"/>
    <s v="Tamir"/>
    <s v="Haklı"/>
    <x v="0"/>
    <x v="0"/>
  </r>
  <r>
    <n v="2502"/>
    <x v="1"/>
    <s v="JANTSA"/>
    <d v="2025-01-29T00:00:00"/>
    <s v="HSA1122012900108"/>
    <n v="1"/>
    <s v="HSA-1"/>
    <m/>
    <d v="2021-11-01T00:00:00"/>
    <n v="2021"/>
    <n v="11"/>
    <n v="1185"/>
    <x v="2"/>
    <s v="Tamir"/>
    <s v="Haklı"/>
    <x v="0"/>
    <x v="0"/>
  </r>
  <r>
    <n v="2502"/>
    <x v="1"/>
    <s v="JANTSA"/>
    <d v="2025-01-29T00:00:00"/>
    <s v="HSA1121083100123"/>
    <n v="1"/>
    <s v="HSA-1"/>
    <m/>
    <d v="2021-11-01T00:00:00"/>
    <n v="2021"/>
    <n v="11"/>
    <n v="1185"/>
    <x v="2"/>
    <s v="Tamir"/>
    <s v="Haklı"/>
    <x v="0"/>
    <x v="0"/>
  </r>
  <r>
    <n v="2502"/>
    <x v="1"/>
    <s v="JANTSA"/>
    <d v="2025-01-29T00:00:00"/>
    <s v="HSA1122011900611"/>
    <n v="1"/>
    <s v="HSA-1"/>
    <m/>
    <d v="2021-11-01T00:00:00"/>
    <n v="2021"/>
    <n v="11"/>
    <n v="1185"/>
    <x v="2"/>
    <s v="Tamir"/>
    <s v="Haklı"/>
    <x v="0"/>
    <x v="0"/>
  </r>
  <r>
    <n v="2502"/>
    <x v="1"/>
    <s v="JANTSA"/>
    <d v="2025-01-29T00:00:00"/>
    <s v="HSA1122020400057"/>
    <n v="1"/>
    <s v="HSA-1"/>
    <m/>
    <d v="2021-11-01T00:00:00"/>
    <n v="2021"/>
    <n v="11"/>
    <n v="1185"/>
    <x v="2"/>
    <s v="Tamir"/>
    <s v="Haklı"/>
    <x v="0"/>
    <x v="0"/>
  </r>
  <r>
    <n v="2502"/>
    <x v="1"/>
    <s v="JANTSA"/>
    <d v="2025-01-29T00:00:00"/>
    <s v="HSA1122012700615"/>
    <n v="1"/>
    <s v="HSA-1"/>
    <m/>
    <d v="2021-11-01T00:00:00"/>
    <n v="2021"/>
    <n v="11"/>
    <n v="1185"/>
    <x v="2"/>
    <s v="Değişim"/>
    <s v="Haklı"/>
    <x v="0"/>
    <x v="0"/>
  </r>
  <r>
    <n v="2502"/>
    <x v="1"/>
    <s v="JANTSA"/>
    <d v="2025-01-29T00:00:00"/>
    <s v="HSA1122020400105"/>
    <n v="1"/>
    <s v="HSA-1"/>
    <m/>
    <d v="2021-11-01T00:00:00"/>
    <n v="2021"/>
    <n v="11"/>
    <n v="1185"/>
    <x v="2"/>
    <s v="Değişim"/>
    <s v="Haklı"/>
    <x v="0"/>
    <x v="0"/>
  </r>
  <r>
    <n v="2502"/>
    <x v="1"/>
    <s v="JANTSA"/>
    <d v="2025-01-29T00:00:00"/>
    <s v="HSA1122012800440"/>
    <n v="1"/>
    <s v="HSA-1"/>
    <m/>
    <d v="2021-11-01T00:00:00"/>
    <n v="2021"/>
    <n v="11"/>
    <n v="1185"/>
    <x v="2"/>
    <s v="Tamir"/>
    <s v="Haklı"/>
    <x v="0"/>
    <x v="0"/>
  </r>
  <r>
    <n v="2502"/>
    <x v="1"/>
    <s v="JANTSA"/>
    <d v="2025-01-29T00:00:00"/>
    <s v="HSA1122020300559"/>
    <n v="1"/>
    <s v="HSA-1"/>
    <m/>
    <d v="2021-11-01T00:00:00"/>
    <n v="2021"/>
    <n v="11"/>
    <n v="1185"/>
    <x v="2"/>
    <s v="Tamir"/>
    <s v="Haklı"/>
    <x v="0"/>
    <x v="0"/>
  </r>
  <r>
    <n v="2502"/>
    <x v="1"/>
    <s v="JANTSA"/>
    <d v="2025-01-29T00:00:00"/>
    <s v="HSA1122020400474"/>
    <n v="1"/>
    <s v="HSA-1"/>
    <m/>
    <d v="2021-11-01T00:00:00"/>
    <n v="2021"/>
    <n v="11"/>
    <n v="1185"/>
    <x v="2"/>
    <s v="Tamir"/>
    <s v="Haklı"/>
    <x v="0"/>
    <x v="0"/>
  </r>
  <r>
    <n v="2502"/>
    <x v="1"/>
    <s v="JANTSA"/>
    <d v="2025-01-29T00:00:00"/>
    <s v="HSA1122012900866"/>
    <n v="1"/>
    <s v="HSA-1"/>
    <m/>
    <d v="2021-11-01T00:00:00"/>
    <n v="2021"/>
    <n v="11"/>
    <n v="1185"/>
    <x v="2"/>
    <s v="Tamir"/>
    <s v="Haklı"/>
    <x v="0"/>
    <x v="0"/>
  </r>
  <r>
    <n v="2502"/>
    <x v="1"/>
    <s v="JANTSA"/>
    <d v="2025-01-29T00:00:00"/>
    <s v="HSA1122020400019"/>
    <n v="1"/>
    <s v="HSA-1"/>
    <m/>
    <d v="2021-11-01T00:00:00"/>
    <n v="2021"/>
    <n v="11"/>
    <n v="1185"/>
    <x v="2"/>
    <s v="Tamir"/>
    <s v="Haklı"/>
    <x v="0"/>
    <x v="0"/>
  </r>
  <r>
    <n v="2502"/>
    <x v="1"/>
    <s v="JANTSA"/>
    <d v="2025-01-29T00:00:00"/>
    <s v="HSA1122020200864"/>
    <n v="1"/>
    <s v="HSA-1"/>
    <m/>
    <d v="2021-11-01T00:00:00"/>
    <n v="2021"/>
    <n v="11"/>
    <n v="1185"/>
    <x v="2"/>
    <s v="Tamir"/>
    <s v="Haklı"/>
    <x v="0"/>
    <x v="0"/>
  </r>
  <r>
    <n v="2502"/>
    <x v="1"/>
    <s v="JANTSA"/>
    <d v="2025-01-29T00:00:00"/>
    <s v="HSA1122012800828"/>
    <n v="1"/>
    <s v="HSA-1"/>
    <m/>
    <d v="2021-11-01T00:00:00"/>
    <n v="2021"/>
    <n v="11"/>
    <n v="1185"/>
    <x v="2"/>
    <s v="Tamir"/>
    <s v="Haklı"/>
    <x v="0"/>
    <x v="0"/>
  </r>
  <r>
    <n v="2503"/>
    <x v="1"/>
    <s v="JANTSA-HADDEHANE"/>
    <d v="2025-01-29T00:00:00"/>
    <s v="2320108MC2010500"/>
    <n v="1"/>
    <s v="HSA-2"/>
    <m/>
    <d v="2023-02-01T00:00:00"/>
    <n v="2023"/>
    <n v="2"/>
    <n v="728"/>
    <x v="2"/>
    <s v="Tamir"/>
    <s v="Haklı"/>
    <x v="0"/>
    <x v="0"/>
  </r>
  <r>
    <n v="2503"/>
    <x v="1"/>
    <s v="JANTSA-HADDEHANE"/>
    <d v="2025-01-29T00:00:00"/>
    <s v="2320108MC2012795"/>
    <n v="1"/>
    <s v="HSA-2"/>
    <m/>
    <d v="2023-02-01T00:00:00"/>
    <n v="2023"/>
    <n v="2"/>
    <n v="728"/>
    <x v="2"/>
    <s v="Tamir"/>
    <s v="Haklı"/>
    <x v="0"/>
    <x v="0"/>
  </r>
  <r>
    <n v="2503"/>
    <x v="1"/>
    <s v="JANTSA-HADDEHANE"/>
    <d v="2025-01-29T00:00:00"/>
    <s v="2320108MC2012647"/>
    <n v="1"/>
    <s v="HSA-2"/>
    <m/>
    <d v="2023-02-01T00:00:00"/>
    <n v="2023"/>
    <n v="2"/>
    <n v="728"/>
    <x v="2"/>
    <s v="Tamir"/>
    <s v="Haklı"/>
    <x v="0"/>
    <x v="0"/>
  </r>
  <r>
    <n v="2503"/>
    <x v="1"/>
    <s v="JANTSA-HADDEHANE"/>
    <d v="2025-01-29T00:00:00"/>
    <s v="2320108MC2012329"/>
    <n v="1"/>
    <s v="HSA-2"/>
    <m/>
    <d v="2023-02-01T00:00:00"/>
    <n v="2023"/>
    <n v="2"/>
    <n v="728"/>
    <x v="2"/>
    <s v="Tamir"/>
    <s v="Haklı"/>
    <x v="0"/>
    <x v="0"/>
  </r>
  <r>
    <n v="2503"/>
    <x v="1"/>
    <s v="JANTSA-HADDEHANE"/>
    <d v="2025-01-29T00:00:00"/>
    <s v="2320108MC2011805"/>
    <n v="1"/>
    <s v="HSA-2"/>
    <m/>
    <d v="2023-02-01T00:00:00"/>
    <n v="2023"/>
    <n v="2"/>
    <n v="728"/>
    <x v="2"/>
    <s v="Tamir"/>
    <s v="Haklı"/>
    <x v="0"/>
    <x v="0"/>
  </r>
  <r>
    <n v="2503"/>
    <x v="1"/>
    <s v="JANTSA-HADDEHANE"/>
    <d v="2025-01-29T00:00:00"/>
    <s v="2320108MC2012482"/>
    <n v="1"/>
    <s v="HSA-2"/>
    <m/>
    <d v="2023-02-01T00:00:00"/>
    <n v="2023"/>
    <n v="2"/>
    <n v="728"/>
    <x v="2"/>
    <s v="Tamir"/>
    <s v="Haklı"/>
    <x v="0"/>
    <x v="0"/>
  </r>
  <r>
    <n v="2503"/>
    <x v="1"/>
    <s v="JANTSA-HADDEHANE"/>
    <d v="2025-01-29T00:00:00"/>
    <s v="2320108MC2012408"/>
    <n v="1"/>
    <s v="HSA-2"/>
    <m/>
    <d v="2023-02-01T00:00:00"/>
    <n v="2023"/>
    <n v="2"/>
    <n v="728"/>
    <x v="2"/>
    <s v="Tamir"/>
    <s v="Haklı"/>
    <x v="0"/>
    <x v="0"/>
  </r>
  <r>
    <n v="2503"/>
    <x v="1"/>
    <s v="JANTSA-HADDEHANE"/>
    <d v="2025-01-29T00:00:00"/>
    <s v="2320108MC2012620"/>
    <n v="1"/>
    <s v="HSA-2"/>
    <m/>
    <d v="2023-02-01T00:00:00"/>
    <n v="2023"/>
    <n v="2"/>
    <n v="728"/>
    <x v="2"/>
    <s v="Tamir"/>
    <s v="Haklı"/>
    <x v="0"/>
    <x v="0"/>
  </r>
  <r>
    <n v="2503"/>
    <x v="1"/>
    <s v="JANTSA-HADDEHANE"/>
    <d v="2025-01-29T00:00:00"/>
    <s v="2320108MC2012798"/>
    <n v="1"/>
    <s v="HSA-2"/>
    <m/>
    <d v="2023-02-01T00:00:00"/>
    <n v="2023"/>
    <n v="2"/>
    <n v="728"/>
    <x v="2"/>
    <s v="Tamir"/>
    <s v="Haklı"/>
    <x v="0"/>
    <x v="0"/>
  </r>
  <r>
    <n v="2503"/>
    <x v="1"/>
    <s v="JANTSA-HADDEHANE"/>
    <d v="2025-01-29T00:00:00"/>
    <s v="2320108MC2012417"/>
    <n v="1"/>
    <s v="HSA-2"/>
    <m/>
    <d v="2023-02-01T00:00:00"/>
    <n v="2023"/>
    <n v="2"/>
    <n v="728"/>
    <x v="2"/>
    <s v="Tamir"/>
    <s v="Haklı"/>
    <x v="0"/>
    <x v="0"/>
  </r>
  <r>
    <n v="2503"/>
    <x v="1"/>
    <s v="JANTSA-HADDEHANE"/>
    <d v="2025-01-29T00:00:00"/>
    <s v="2320108MC2013065"/>
    <n v="1"/>
    <s v="HSA-2"/>
    <m/>
    <d v="2023-02-01T00:00:00"/>
    <n v="2023"/>
    <n v="2"/>
    <n v="728"/>
    <x v="2"/>
    <s v="Tamir"/>
    <s v="Haklı"/>
    <x v="0"/>
    <x v="0"/>
  </r>
  <r>
    <n v="2504"/>
    <x v="1"/>
    <s v="JANTSA-ORTAKLAR"/>
    <d v="2025-01-29T00:00:00"/>
    <s v="2310108MC2016899"/>
    <n v="1"/>
    <s v="HSA-2"/>
    <m/>
    <d v="2023-01-01T00:00:00"/>
    <n v="2023"/>
    <n v="1"/>
    <n v="759"/>
    <x v="2"/>
    <s v="Tamir"/>
    <s v="Haklı"/>
    <x v="0"/>
    <x v="0"/>
  </r>
  <r>
    <n v="2504"/>
    <x v="1"/>
    <s v="JANTSA-ORTAKLAR"/>
    <d v="2025-01-29T00:00:00"/>
    <s v="2310108MC2009246"/>
    <n v="1"/>
    <s v="HSA-2"/>
    <m/>
    <d v="2023-01-01T00:00:00"/>
    <n v="2023"/>
    <n v="1"/>
    <n v="759"/>
    <x v="2"/>
    <s v="Tamir"/>
    <s v="Haklı"/>
    <x v="0"/>
    <x v="0"/>
  </r>
  <r>
    <n v="2504"/>
    <x v="1"/>
    <s v="JANTSA-ORTAKLAR"/>
    <d v="2025-01-29T00:00:00"/>
    <s v="2310108MC2010330"/>
    <n v="1"/>
    <s v="HSA-2"/>
    <m/>
    <d v="2023-01-01T00:00:00"/>
    <n v="2023"/>
    <n v="1"/>
    <n v="759"/>
    <x v="2"/>
    <s v="Değişim"/>
    <s v="Haklı"/>
    <x v="0"/>
    <x v="0"/>
  </r>
  <r>
    <n v="2504"/>
    <x v="1"/>
    <s v="JANTSA-ORTAKLAR"/>
    <d v="2025-01-29T00:00:00"/>
    <s v="2320108MC2012554"/>
    <n v="1"/>
    <s v="HSA-2"/>
    <m/>
    <d v="2023-02-01T00:00:00"/>
    <n v="2023"/>
    <n v="2"/>
    <n v="728"/>
    <x v="2"/>
    <s v="Tamir"/>
    <s v="Haklı"/>
    <x v="0"/>
    <x v="0"/>
  </r>
  <r>
    <n v="2504"/>
    <x v="1"/>
    <s v="JANTSA-ORTAKLAR"/>
    <d v="2025-01-29T00:00:00"/>
    <s v="2320108MC2011577"/>
    <n v="1"/>
    <s v="HSA-2"/>
    <m/>
    <d v="2023-02-01T00:00:00"/>
    <n v="2023"/>
    <n v="2"/>
    <n v="728"/>
    <x v="2"/>
    <s v="Tamir"/>
    <s v="Haklı"/>
    <x v="0"/>
    <x v="0"/>
  </r>
  <r>
    <n v="2504"/>
    <x v="1"/>
    <s v="JANTSA-ORTAKLAR"/>
    <d v="2025-01-29T00:00:00"/>
    <s v="2320108MC2012977"/>
    <n v="1"/>
    <s v="HSA-2"/>
    <m/>
    <d v="2023-02-01T00:00:00"/>
    <n v="2023"/>
    <n v="2"/>
    <n v="728"/>
    <x v="2"/>
    <s v="Tamir"/>
    <s v="Haklı"/>
    <x v="0"/>
    <x v="0"/>
  </r>
  <r>
    <n v="2504"/>
    <x v="1"/>
    <s v="JANTSA-ORTAKLAR"/>
    <d v="2025-01-29T00:00:00"/>
    <s v="2320108MC2012272"/>
    <n v="1"/>
    <s v="HSA-2"/>
    <m/>
    <d v="2023-02-01T00:00:00"/>
    <n v="2023"/>
    <n v="2"/>
    <n v="728"/>
    <x v="2"/>
    <s v="Tamir"/>
    <s v="Haklı"/>
    <x v="0"/>
    <x v="0"/>
  </r>
  <r>
    <n v="2505"/>
    <x v="1"/>
    <s v="PMI"/>
    <d v="2025-01-29T00:00:00"/>
    <s v="2390108BX0025745"/>
    <n v="1"/>
    <s v="HSA-2"/>
    <m/>
    <d v="2024-09-01T00:00:00"/>
    <n v="2024"/>
    <n v="9"/>
    <n v="150"/>
    <x v="2"/>
    <s v="Değişim"/>
    <s v="Haklı"/>
    <x v="0"/>
    <x v="0"/>
  </r>
  <r>
    <n v="2505"/>
    <x v="1"/>
    <s v="PMI"/>
    <d v="2025-01-29T00:00:00"/>
    <s v="2320108MC2020259"/>
    <n v="1"/>
    <s v="HSA-2"/>
    <m/>
    <d v="2023-02-01T00:00:00"/>
    <n v="2023"/>
    <n v="2"/>
    <n v="728"/>
    <x v="2"/>
    <s v="Tamir"/>
    <s v="Haklı"/>
    <x v="0"/>
    <x v="0"/>
  </r>
  <r>
    <n v="2505"/>
    <x v="1"/>
    <s v="PMI"/>
    <d v="2025-01-29T00:00:00"/>
    <s v="2320108MC2020309"/>
    <n v="1"/>
    <s v="HSA-2"/>
    <m/>
    <d v="2023-02-01T00:00:00"/>
    <n v="2023"/>
    <n v="2"/>
    <n v="728"/>
    <x v="2"/>
    <s v="Tamir"/>
    <s v="Haklı"/>
    <x v="0"/>
    <x v="0"/>
  </r>
  <r>
    <n v="2506"/>
    <x v="1"/>
    <s v="ARNES"/>
    <d v="2025-02-04T00:00:00"/>
    <s v="HSA1122020500313"/>
    <n v="1"/>
    <s v="HSA-1"/>
    <m/>
    <d v="2021-11-01T00:00:00"/>
    <n v="2021"/>
    <n v="11"/>
    <n v="1191"/>
    <x v="2"/>
    <m/>
    <s v="Haksız"/>
    <x v="1"/>
    <x v="0"/>
  </r>
  <r>
    <n v="2506"/>
    <x v="1"/>
    <s v="ARNES"/>
    <d v="2025-02-04T00:00:00"/>
    <s v="2240108BW0019160"/>
    <n v="1"/>
    <s v="HSA-1"/>
    <m/>
    <d v="2022-04-01T00:00:00"/>
    <n v="2022"/>
    <n v="4"/>
    <n v="1040"/>
    <x v="2"/>
    <m/>
    <s v="Haksız"/>
    <x v="1"/>
    <x v="0"/>
  </r>
  <r>
    <n v="2506"/>
    <x v="1"/>
    <s v="ARNES"/>
    <d v="2025-02-04T00:00:00"/>
    <s v="HSA1122020500082"/>
    <n v="1"/>
    <s v="HSA-1"/>
    <m/>
    <d v="2021-11-01T00:00:00"/>
    <n v="2021"/>
    <n v="11"/>
    <n v="1191"/>
    <x v="2"/>
    <m/>
    <s v="Haksız"/>
    <x v="1"/>
    <x v="0"/>
  </r>
  <r>
    <n v="2507"/>
    <x v="1"/>
    <s v="MAYTEKS"/>
    <d v="2025-02-04T00:00:00"/>
    <s v="2350108BXD009285"/>
    <n v="1"/>
    <s v="HSA-2"/>
    <m/>
    <d v="2023-05-01T00:00:00"/>
    <n v="2023"/>
    <n v="5"/>
    <n v="645"/>
    <x v="2"/>
    <s v="Tamir"/>
    <s v="Haklı"/>
    <x v="1"/>
    <x v="0"/>
  </r>
  <r>
    <n v="2507"/>
    <x v="1"/>
    <s v="MAYTEKS"/>
    <d v="2025-02-04T00:00:00"/>
    <s v="2340108BXD030775"/>
    <n v="1"/>
    <s v="HSA-2"/>
    <m/>
    <d v="2023-04-01T00:00:00"/>
    <n v="2023"/>
    <n v="4"/>
    <n v="675"/>
    <x v="2"/>
    <s v="Tamir"/>
    <s v="Haklı"/>
    <x v="1"/>
    <x v="0"/>
  </r>
  <r>
    <n v="2508"/>
    <x v="2"/>
    <s v="MELİKETEKSTİL"/>
    <d v="2025-01-28T00:00:00"/>
    <s v="2330108BW0021986"/>
    <n v="1"/>
    <s v="HSA-1"/>
    <m/>
    <d v="2023-03-01T00:00:00"/>
    <n v="2023"/>
    <n v="3"/>
    <n v="699"/>
    <x v="3"/>
    <m/>
    <s v="Haksız"/>
    <x v="0"/>
    <x v="0"/>
  </r>
  <r>
    <n v="2509"/>
    <x v="3"/>
    <s v="LİMAK"/>
    <d v="2025-02-26T00:00:00"/>
    <s v="E3FXT425A219990037902616"/>
    <n v="1"/>
    <s v="HSA-2"/>
    <m/>
    <d v="2025-01-01T00:00:00"/>
    <n v="2025"/>
    <n v="1"/>
    <n v="56"/>
    <x v="4"/>
    <m/>
    <s v="Haklı"/>
    <x v="1"/>
    <x v="0"/>
  </r>
  <r>
    <n v="2510"/>
    <x v="3"/>
    <s v="LİMAK"/>
    <d v="2025-03-13T00:00:00"/>
    <s v="E3FXT425A22999"/>
    <n v="1"/>
    <s v="HSA-2"/>
    <m/>
    <d v="2025-01-01T00:00:00"/>
    <n v="2025"/>
    <n v="1"/>
    <n v="71"/>
    <x v="5"/>
    <m/>
    <s v="Haklı"/>
    <x v="2"/>
    <x v="0"/>
  </r>
  <r>
    <n v="2510"/>
    <x v="3"/>
    <s v="LİMAK"/>
    <d v="2025-03-13T00:00:00"/>
    <s v="E3FXT425A22999"/>
    <n v="1"/>
    <s v="HSA-2"/>
    <m/>
    <d v="2025-01-01T00:00:00"/>
    <n v="2025"/>
    <n v="1"/>
    <n v="71"/>
    <x v="5"/>
    <m/>
    <s v="Haklı"/>
    <x v="2"/>
    <x v="0"/>
  </r>
  <r>
    <n v="2510"/>
    <x v="3"/>
    <s v="LİMAK"/>
    <d v="2025-03-13T00:00:00"/>
    <s v="E3FXT425A22999"/>
    <n v="1"/>
    <s v="HSA-2"/>
    <m/>
    <d v="2025-01-01T00:00:00"/>
    <n v="2025"/>
    <n v="1"/>
    <n v="71"/>
    <x v="5"/>
    <m/>
    <s v="Haklı"/>
    <x v="2"/>
    <x v="0"/>
  </r>
  <r>
    <n v="2510"/>
    <x v="3"/>
    <s v="LİMAK"/>
    <d v="2025-03-13T00:00:00"/>
    <s v="E3FXT425A22999"/>
    <n v="1"/>
    <s v="HSA-2"/>
    <m/>
    <d v="2025-01-01T00:00:00"/>
    <n v="2025"/>
    <n v="1"/>
    <n v="71"/>
    <x v="5"/>
    <m/>
    <s v="Haklı"/>
    <x v="2"/>
    <x v="0"/>
  </r>
  <r>
    <n v="2511"/>
    <x v="4"/>
    <s v="IDAMARMERMER"/>
    <d v="2025-03-21T00:00:00"/>
    <s v="2450308MC1023912"/>
    <n v="1"/>
    <s v="HSA-1"/>
    <m/>
    <d v="2024-05-01T00:00:00"/>
    <n v="2024"/>
    <n v="5"/>
    <n v="324"/>
    <x v="1"/>
    <m/>
    <s v="Haklı"/>
    <x v="2"/>
    <x v="0"/>
  </r>
  <r>
    <n v="2511"/>
    <x v="4"/>
    <s v="IDAMARMERMER"/>
    <d v="2025-03-21T00:00:00"/>
    <s v="2450308MC1020363"/>
    <n v="1"/>
    <s v="HSA-1"/>
    <m/>
    <d v="2024-05-01T00:00:00"/>
    <n v="2024"/>
    <n v="5"/>
    <n v="324"/>
    <x v="1"/>
    <m/>
    <s v="Haklı"/>
    <x v="2"/>
    <x v="0"/>
  </r>
  <r>
    <n v="2512"/>
    <x v="0"/>
    <s v="GÜRALSERAMİK"/>
    <d v="2025-04-03T00:00:00"/>
    <s v="2490108MC2022367"/>
    <n v="1"/>
    <s v="HSA-2"/>
    <m/>
    <d v="2024-09-01T00:00:00"/>
    <n v="2024"/>
    <n v="9"/>
    <n v="214"/>
    <x v="2"/>
    <s v="Tamir"/>
    <s v="Haklı"/>
    <x v="3"/>
    <x v="0"/>
  </r>
  <r>
    <n v="2512"/>
    <x v="0"/>
    <s v="GÜRALSERAMİK"/>
    <d v="2025-04-03T00:00:00"/>
    <s v="2490108MC2017322"/>
    <n v="1"/>
    <s v="HSA-2"/>
    <m/>
    <d v="2024-09-01T00:00:00"/>
    <n v="2024"/>
    <n v="9"/>
    <n v="214"/>
    <x v="2"/>
    <s v="Tamir"/>
    <s v="Haklı"/>
    <x v="3"/>
    <x v="0"/>
  </r>
  <r>
    <n v="2512"/>
    <x v="0"/>
    <s v="GÜRALSERAMİK"/>
    <d v="2025-04-03T00:00:00"/>
    <s v="2490108MC2022358"/>
    <n v="1"/>
    <s v="HSA-2"/>
    <m/>
    <d v="2024-09-01T00:00:00"/>
    <n v="2024"/>
    <n v="9"/>
    <n v="214"/>
    <x v="2"/>
    <s v="Tamir"/>
    <s v="Haklı"/>
    <x v="3"/>
    <x v="0"/>
  </r>
  <r>
    <n v="2512"/>
    <x v="0"/>
    <s v="GÜRALSERAMİK"/>
    <d v="2025-04-03T00:00:00"/>
    <s v="2490108MC2012706"/>
    <n v="1"/>
    <s v="HSA-2"/>
    <m/>
    <d v="2024-09-01T00:00:00"/>
    <n v="2024"/>
    <n v="9"/>
    <n v="214"/>
    <x v="2"/>
    <s v="Tamir"/>
    <s v="Haklı"/>
    <x v="3"/>
    <x v="0"/>
  </r>
  <r>
    <n v="2512"/>
    <x v="0"/>
    <s v="GÜRALSERAMİK"/>
    <d v="2025-04-03T00:00:00"/>
    <s v="2490108MC2020108"/>
    <n v="1"/>
    <s v="HSA-2"/>
    <m/>
    <d v="2024-09-01T00:00:00"/>
    <n v="2024"/>
    <n v="9"/>
    <n v="214"/>
    <x v="2"/>
    <s v="Tamir"/>
    <s v="Haklı"/>
    <x v="3"/>
    <x v="0"/>
  </r>
  <r>
    <n v="2512"/>
    <x v="0"/>
    <s v="GÜRALSERAMİK"/>
    <d v="2025-04-03T00:00:00"/>
    <s v="2490108MC2002082"/>
    <n v="1"/>
    <s v="HSA-2"/>
    <m/>
    <d v="2024-09-01T00:00:00"/>
    <n v="2024"/>
    <n v="9"/>
    <n v="214"/>
    <x v="2"/>
    <s v="Tamir"/>
    <s v="Haklı"/>
    <x v="3"/>
    <x v="0"/>
  </r>
  <r>
    <n v="2512"/>
    <x v="0"/>
    <s v="GÜRALSERAMİK"/>
    <d v="2025-04-03T00:00:00"/>
    <s v="2490108MC2010651"/>
    <n v="1"/>
    <s v="HSA-2"/>
    <m/>
    <d v="2024-09-01T00:00:00"/>
    <n v="2024"/>
    <n v="9"/>
    <n v="214"/>
    <x v="2"/>
    <s v="Tamir"/>
    <s v="Haklı"/>
    <x v="3"/>
    <x v="0"/>
  </r>
  <r>
    <n v="2512"/>
    <x v="0"/>
    <s v="GÜRALSERAMİK"/>
    <d v="2025-04-03T00:00:00"/>
    <s v="2490108MC2007180"/>
    <n v="1"/>
    <s v="HSA-2"/>
    <m/>
    <d v="2024-09-01T00:00:00"/>
    <n v="2024"/>
    <n v="9"/>
    <n v="214"/>
    <x v="2"/>
    <s v="Tamir"/>
    <s v="Haklı"/>
    <x v="3"/>
    <x v="0"/>
  </r>
  <r>
    <n v="2512"/>
    <x v="0"/>
    <s v="GÜRALSERAMİK"/>
    <d v="2025-04-03T00:00:00"/>
    <s v="2490108MC2017832"/>
    <n v="1"/>
    <s v="HSA-2"/>
    <m/>
    <d v="2024-09-01T00:00:00"/>
    <n v="2024"/>
    <n v="9"/>
    <n v="214"/>
    <x v="2"/>
    <s v="Tamir"/>
    <s v="Haklı"/>
    <x v="3"/>
    <x v="0"/>
  </r>
  <r>
    <n v="2512"/>
    <x v="0"/>
    <s v="GÜRALSERAMİK"/>
    <d v="2025-04-03T00:00:00"/>
    <s v="2490108MC2006709"/>
    <n v="1"/>
    <s v="HSA-2"/>
    <m/>
    <d v="2024-09-01T00:00:00"/>
    <n v="2024"/>
    <n v="9"/>
    <n v="214"/>
    <x v="2"/>
    <s v="Tamir"/>
    <s v="Haklı"/>
    <x v="3"/>
    <x v="0"/>
  </r>
  <r>
    <n v="2512"/>
    <x v="0"/>
    <s v="GÜRALSERAMİK"/>
    <d v="2025-04-03T00:00:00"/>
    <s v="2490108MC2006770"/>
    <n v="1"/>
    <s v="HSA-2"/>
    <m/>
    <d v="2024-09-01T00:00:00"/>
    <n v="2024"/>
    <n v="9"/>
    <n v="214"/>
    <x v="2"/>
    <s v="Tamir"/>
    <s v="Haklı"/>
    <x v="3"/>
    <x v="0"/>
  </r>
  <r>
    <n v="2513"/>
    <x v="5"/>
    <s v="YEŞİLYURT"/>
    <d v="2025-04-04T00:00:00"/>
    <s v="2520107BW0036999"/>
    <n v="1"/>
    <s v="HSA-1"/>
    <m/>
    <d v="2025-02-01T00:00:00"/>
    <n v="2025"/>
    <n v="2"/>
    <n v="62"/>
    <x v="6"/>
    <m/>
    <s v="Haklı"/>
    <x v="3"/>
    <x v="0"/>
  </r>
  <r>
    <n v="2513"/>
    <x v="5"/>
    <s v="YEŞİLYURT"/>
    <d v="2025-04-04T00:00:00"/>
    <s v="2530108BW0003978"/>
    <n v="1"/>
    <s v="HSA-1"/>
    <m/>
    <d v="2025-02-01T00:00:00"/>
    <n v="2025"/>
    <n v="2"/>
    <n v="62"/>
    <x v="6"/>
    <m/>
    <s v="Haklı"/>
    <x v="3"/>
    <x v="0"/>
  </r>
  <r>
    <n v="2514"/>
    <x v="6"/>
    <s v="ABCSOLAR"/>
    <d v="2025-04-08T00:00:00"/>
    <s v="2510107BW0034660"/>
    <n v="1"/>
    <s v="HSA-1"/>
    <m/>
    <m/>
    <n v="1900"/>
    <n v="1"/>
    <n v="45755"/>
    <x v="6"/>
    <m/>
    <s v="Haklı"/>
    <x v="3"/>
    <x v="0"/>
  </r>
  <r>
    <n v="2514"/>
    <x v="6"/>
    <s v="ABCSOLAR"/>
    <d v="2025-04-08T00:00:00"/>
    <s v="2510107BW0037356"/>
    <n v="1"/>
    <s v="HSA-1"/>
    <m/>
    <m/>
    <n v="1900"/>
    <n v="1"/>
    <n v="45755"/>
    <x v="6"/>
    <m/>
    <s v="Haklı"/>
    <x v="3"/>
    <x v="0"/>
  </r>
  <r>
    <n v="2514"/>
    <x v="6"/>
    <s v="ABCSOLAR"/>
    <d v="2025-04-08T00:00:00"/>
    <s v="2510107BW0038320"/>
    <n v="1"/>
    <s v="HSA-1"/>
    <m/>
    <m/>
    <n v="1900"/>
    <n v="1"/>
    <n v="45755"/>
    <x v="6"/>
    <m/>
    <s v="Haklı"/>
    <x v="3"/>
    <x v="0"/>
  </r>
  <r>
    <n v="2514"/>
    <x v="6"/>
    <s v="ABCSOLAR"/>
    <d v="2025-04-08T00:00:00"/>
    <s v="2510107BW0038404"/>
    <n v="1"/>
    <s v="HSA-1"/>
    <m/>
    <m/>
    <n v="1900"/>
    <n v="1"/>
    <n v="45755"/>
    <x v="6"/>
    <m/>
    <s v="Haklı"/>
    <x v="3"/>
    <x v="0"/>
  </r>
  <r>
    <n v="2514"/>
    <x v="6"/>
    <s v="ABCSOLAR"/>
    <d v="2025-04-08T00:00:00"/>
    <s v="2510107BW0038097"/>
    <n v="1"/>
    <s v="HSA-1"/>
    <m/>
    <m/>
    <n v="1900"/>
    <n v="1"/>
    <n v="45755"/>
    <x v="6"/>
    <m/>
    <s v="Haklı"/>
    <x v="3"/>
    <x v="0"/>
  </r>
  <r>
    <n v="2514"/>
    <x v="6"/>
    <s v="ABCSOLAR"/>
    <d v="2025-04-08T00:00:00"/>
    <s v="2510107BW0037184"/>
    <n v="1"/>
    <s v="HSA-1"/>
    <m/>
    <m/>
    <n v="1900"/>
    <n v="1"/>
    <n v="45755"/>
    <x v="6"/>
    <m/>
    <s v="Haklı"/>
    <x v="3"/>
    <x v="0"/>
  </r>
  <r>
    <n v="2514"/>
    <x v="6"/>
    <s v="ABCSOLAR"/>
    <d v="2025-04-08T00:00:00"/>
    <s v="2510107BW0037220"/>
    <n v="1"/>
    <s v="HSA-1"/>
    <m/>
    <m/>
    <n v="1900"/>
    <n v="1"/>
    <n v="45755"/>
    <x v="6"/>
    <m/>
    <s v="Haklı"/>
    <x v="3"/>
    <x v="0"/>
  </r>
  <r>
    <n v="2514"/>
    <x v="6"/>
    <s v="ABCSOLAR"/>
    <d v="2025-04-08T00:00:00"/>
    <s v="2510107BW0034800"/>
    <n v="1"/>
    <s v="HSA-1"/>
    <m/>
    <m/>
    <n v="1900"/>
    <n v="1"/>
    <n v="45755"/>
    <x v="6"/>
    <m/>
    <s v="Haklı"/>
    <x v="3"/>
    <x v="0"/>
  </r>
  <r>
    <n v="2514"/>
    <x v="6"/>
    <s v="ABCSOLAR"/>
    <d v="2025-04-08T00:00:00"/>
    <s v="2510107BW0034672"/>
    <n v="1"/>
    <s v="HSA-1"/>
    <m/>
    <m/>
    <n v="1900"/>
    <n v="1"/>
    <n v="45755"/>
    <x v="6"/>
    <m/>
    <s v="Haklı"/>
    <x v="3"/>
    <x v="0"/>
  </r>
  <r>
    <n v="2515"/>
    <x v="7"/>
    <s v="CIZMELIGIDA"/>
    <d v="2025-04-18T00:00:00"/>
    <s v="2510307MC1000617"/>
    <n v="1"/>
    <s v="HSA-1"/>
    <m/>
    <d v="2025-02-01T00:00:00"/>
    <n v="2025"/>
    <n v="2"/>
    <n v="76"/>
    <x v="2"/>
    <m/>
    <s v="Haklı"/>
    <x v="3"/>
    <x v="0"/>
  </r>
  <r>
    <n v="2515"/>
    <x v="7"/>
    <s v="CIZMELIGIDA"/>
    <d v="2025-04-18T00:00:00"/>
    <s v="2510307MC1005245"/>
    <n v="1"/>
    <s v="HSA-1"/>
    <m/>
    <d v="2025-02-01T00:00:00"/>
    <n v="2025"/>
    <n v="2"/>
    <n v="76"/>
    <x v="2"/>
    <m/>
    <s v="Haklı"/>
    <x v="3"/>
    <x v="0"/>
  </r>
  <r>
    <n v="2515"/>
    <x v="7"/>
    <s v="CIZMELIGIDA"/>
    <d v="2025-04-18T00:00:00"/>
    <s v="2510307MC1003820"/>
    <n v="1"/>
    <s v="HSA-1"/>
    <m/>
    <d v="2025-02-01T00:00:00"/>
    <n v="2025"/>
    <n v="2"/>
    <n v="76"/>
    <x v="2"/>
    <m/>
    <s v="Haklı"/>
    <x v="3"/>
    <x v="0"/>
  </r>
  <r>
    <n v="2515"/>
    <x v="7"/>
    <s v="CIZMELIGIDA"/>
    <d v="2025-04-18T00:00:00"/>
    <s v="2510307MC1003705"/>
    <n v="1"/>
    <s v="HSA-1"/>
    <m/>
    <d v="2025-02-01T00:00:00"/>
    <n v="2025"/>
    <n v="2"/>
    <n v="76"/>
    <x v="2"/>
    <m/>
    <s v="Haklı"/>
    <x v="3"/>
    <x v="0"/>
  </r>
  <r>
    <n v="2515"/>
    <x v="7"/>
    <s v="CIZMELIGIDA"/>
    <d v="2025-04-18T00:00:00"/>
    <s v="2510107BW0031752"/>
    <n v="1"/>
    <s v="HSA-1"/>
    <m/>
    <d v="2025-02-01T00:00:00"/>
    <n v="2025"/>
    <n v="2"/>
    <n v="76"/>
    <x v="2"/>
    <m/>
    <s v="Haklı"/>
    <x v="3"/>
    <x v="0"/>
  </r>
  <r>
    <n v="2515"/>
    <x v="7"/>
    <s v="CIZMELIGIDA"/>
    <d v="2025-04-18T00:00:00"/>
    <s v="2510107BW0031776"/>
    <n v="1"/>
    <s v="HSA-1"/>
    <m/>
    <d v="2025-02-01T00:00:00"/>
    <n v="2025"/>
    <n v="2"/>
    <n v="76"/>
    <x v="2"/>
    <m/>
    <s v="Haklı"/>
    <x v="3"/>
    <x v="0"/>
  </r>
  <r>
    <n v="2515"/>
    <x v="7"/>
    <s v="CIZMELIGIDA"/>
    <d v="2025-04-18T00:00:00"/>
    <s v="2510307MC1000802"/>
    <n v="1"/>
    <s v="HSA-1"/>
    <m/>
    <d v="2025-02-01T00:00:00"/>
    <n v="2025"/>
    <n v="2"/>
    <n v="76"/>
    <x v="2"/>
    <m/>
    <s v="Haklı"/>
    <x v="3"/>
    <x v="0"/>
  </r>
  <r>
    <n v="2515"/>
    <x v="7"/>
    <s v="CIZMELIGIDA"/>
    <d v="2025-04-18T00:00:00"/>
    <s v="2510107BW0031206"/>
    <n v="1"/>
    <s v="HSA-1"/>
    <m/>
    <d v="2025-02-01T00:00:00"/>
    <n v="2025"/>
    <n v="2"/>
    <n v="76"/>
    <x v="2"/>
    <m/>
    <s v="Haklı"/>
    <x v="3"/>
    <x v="0"/>
  </r>
  <r>
    <n v="2515"/>
    <x v="7"/>
    <s v="CIZMELIGIDA"/>
    <d v="2025-04-18T00:00:00"/>
    <s v="2510307MC1000857"/>
    <n v="1"/>
    <s v="HSA-1"/>
    <m/>
    <d v="2025-02-01T00:00:00"/>
    <n v="2025"/>
    <n v="2"/>
    <n v="76"/>
    <x v="2"/>
    <m/>
    <s v="Haklı"/>
    <x v="3"/>
    <x v="0"/>
  </r>
  <r>
    <n v="2515"/>
    <x v="7"/>
    <s v="CIZMELIGIDA"/>
    <d v="2025-04-18T00:00:00"/>
    <s v="2510307MC1001642"/>
    <n v="1"/>
    <s v="HSA-1"/>
    <m/>
    <d v="2025-02-01T00:00:00"/>
    <n v="2025"/>
    <n v="2"/>
    <n v="76"/>
    <x v="2"/>
    <m/>
    <s v="Haklı"/>
    <x v="3"/>
    <x v="0"/>
  </r>
  <r>
    <n v="2515"/>
    <x v="7"/>
    <s v="CIZMELIGIDA"/>
    <d v="2025-04-18T00:00:00"/>
    <s v="2510307MC1000074"/>
    <n v="1"/>
    <s v="HSA-1"/>
    <m/>
    <d v="2025-02-01T00:00:00"/>
    <n v="2025"/>
    <n v="2"/>
    <n v="76"/>
    <x v="2"/>
    <m/>
    <s v="Haklı"/>
    <x v="3"/>
    <x v="0"/>
  </r>
  <r>
    <n v="2515"/>
    <x v="7"/>
    <s v="CIZMELIGIDA"/>
    <d v="2025-04-18T00:00:00"/>
    <s v="2510307MC1004564"/>
    <n v="1"/>
    <s v="HSA-1"/>
    <m/>
    <d v="2025-02-01T00:00:00"/>
    <n v="2025"/>
    <n v="2"/>
    <n v="76"/>
    <x v="2"/>
    <m/>
    <s v="Haklı"/>
    <x v="3"/>
    <x v="0"/>
  </r>
  <r>
    <n v="2515"/>
    <x v="7"/>
    <s v="CIZMELIGIDA"/>
    <d v="2025-04-18T00:00:00"/>
    <s v="2510307MC1004611"/>
    <n v="1"/>
    <s v="HSA-1"/>
    <m/>
    <d v="2025-02-01T00:00:00"/>
    <n v="2025"/>
    <n v="2"/>
    <n v="76"/>
    <x v="2"/>
    <m/>
    <s v="Haklı"/>
    <x v="3"/>
    <x v="0"/>
  </r>
  <r>
    <n v="2515"/>
    <x v="7"/>
    <s v="CIZMELIGIDA"/>
    <d v="2025-04-18T00:00:00"/>
    <s v="2510307MC1002349"/>
    <n v="1"/>
    <s v="HSA-1"/>
    <m/>
    <d v="2025-02-01T00:00:00"/>
    <n v="2025"/>
    <n v="2"/>
    <n v="76"/>
    <x v="2"/>
    <m/>
    <s v="Haklı"/>
    <x v="3"/>
    <x v="0"/>
  </r>
  <r>
    <n v="2515"/>
    <x v="7"/>
    <s v="CIZMELIGIDA"/>
    <d v="2025-04-18T00:00:00"/>
    <s v="2510107BW0031963"/>
    <n v="1"/>
    <s v="HSA-1"/>
    <m/>
    <d v="2025-02-01T00:00:00"/>
    <n v="2025"/>
    <n v="2"/>
    <n v="76"/>
    <x v="2"/>
    <m/>
    <s v="Haklı"/>
    <x v="3"/>
    <x v="0"/>
  </r>
  <r>
    <n v="2515"/>
    <x v="7"/>
    <s v="CIZMELIGIDA"/>
    <d v="2025-04-18T00:00:00"/>
    <s v="2510107BW0031842"/>
    <n v="1"/>
    <s v="HSA-1"/>
    <m/>
    <d v="2025-02-01T00:00:00"/>
    <n v="2025"/>
    <n v="2"/>
    <n v="76"/>
    <x v="2"/>
    <m/>
    <s v="Haklı"/>
    <x v="3"/>
    <x v="0"/>
  </r>
  <r>
    <n v="2516"/>
    <x v="8"/>
    <s v="ERTEKNİKSULAMA"/>
    <d v="2025-04-24T00:00:00"/>
    <s v="24A0107BW0037591"/>
    <n v="1"/>
    <s v="HSA-1"/>
    <m/>
    <d v="2024-10-01T00:00:00"/>
    <n v="2024"/>
    <n v="10"/>
    <n v="205"/>
    <x v="6"/>
    <m/>
    <s v="Haklı"/>
    <x v="3"/>
    <x v="0"/>
  </r>
  <r>
    <n v="2516"/>
    <x v="8"/>
    <s v="ERTEKNİKSULAMA"/>
    <d v="2025-04-24T00:00:00"/>
    <s v="24A0107BW0023879"/>
    <n v="1"/>
    <s v="HSA-1"/>
    <m/>
    <d v="2024-10-01T00:00:00"/>
    <n v="2024"/>
    <n v="10"/>
    <n v="205"/>
    <x v="6"/>
    <m/>
    <s v="Haklı"/>
    <x v="3"/>
    <x v="0"/>
  </r>
  <r>
    <n v="2516"/>
    <x v="8"/>
    <s v="ERTEKNİKSULAMA"/>
    <d v="2025-04-24T00:00:00"/>
    <s v="24A0107BW0036754"/>
    <n v="1"/>
    <s v="HSA-1"/>
    <m/>
    <d v="2024-10-01T00:00:00"/>
    <n v="2024"/>
    <n v="10"/>
    <n v="205"/>
    <x v="6"/>
    <m/>
    <s v="Haklı"/>
    <x v="3"/>
    <x v="0"/>
  </r>
  <r>
    <n v="2516"/>
    <x v="8"/>
    <s v="ERTEKNİKSULAMA"/>
    <d v="2025-04-24T00:00:00"/>
    <s v="24A0107BW0038553"/>
    <n v="1"/>
    <s v="HSA-1"/>
    <m/>
    <d v="2024-10-01T00:00:00"/>
    <n v="2024"/>
    <n v="10"/>
    <n v="205"/>
    <x v="6"/>
    <m/>
    <s v="Haklı"/>
    <x v="3"/>
    <x v="0"/>
  </r>
  <r>
    <n v="2516"/>
    <x v="8"/>
    <s v="ERTEKNİKSULAMA"/>
    <d v="2025-04-24T00:00:00"/>
    <s v="24A0107BW0038688"/>
    <n v="1"/>
    <s v="HSA-1"/>
    <m/>
    <d v="2024-10-01T00:00:00"/>
    <n v="2024"/>
    <n v="10"/>
    <n v="205"/>
    <x v="6"/>
    <m/>
    <s v="Haklı"/>
    <x v="3"/>
    <x v="0"/>
  </r>
  <r>
    <n v="2516"/>
    <x v="8"/>
    <s v="ERTEKNİKSULAMA"/>
    <d v="2025-04-24T00:00:00"/>
    <s v="24A0107BW0040704"/>
    <n v="1"/>
    <s v="HSA-1"/>
    <m/>
    <d v="2024-10-01T00:00:00"/>
    <n v="2024"/>
    <n v="10"/>
    <n v="205"/>
    <x v="6"/>
    <m/>
    <s v="Haklı"/>
    <x v="3"/>
    <x v="0"/>
  </r>
  <r>
    <n v="2516"/>
    <x v="8"/>
    <s v="ERTEKNİKSULAMA"/>
    <d v="2025-04-24T00:00:00"/>
    <s v="24A0107BW0044245"/>
    <n v="1"/>
    <s v="HSA-1"/>
    <m/>
    <d v="2024-10-01T00:00:00"/>
    <n v="2024"/>
    <n v="10"/>
    <n v="205"/>
    <x v="6"/>
    <m/>
    <s v="Haklı"/>
    <x v="3"/>
    <x v="0"/>
  </r>
  <r>
    <n v="2516"/>
    <x v="8"/>
    <s v="ERTEKNİKSULAMA"/>
    <d v="2025-04-24T00:00:00"/>
    <s v="24A0107BW0046355"/>
    <n v="1"/>
    <s v="HSA-1"/>
    <m/>
    <d v="2024-10-01T00:00:00"/>
    <n v="2024"/>
    <n v="10"/>
    <n v="205"/>
    <x v="6"/>
    <m/>
    <s v="Haklı"/>
    <x v="3"/>
    <x v="0"/>
  </r>
  <r>
    <n v="2516"/>
    <x v="8"/>
    <s v="ERTEKNİKSULAMA"/>
    <d v="2025-04-24T00:00:00"/>
    <s v="24A0107BW0044666"/>
    <n v="1"/>
    <s v="HSA-1"/>
    <m/>
    <d v="2024-10-01T00:00:00"/>
    <n v="2024"/>
    <n v="10"/>
    <n v="205"/>
    <x v="6"/>
    <m/>
    <s v="Haklı"/>
    <x v="3"/>
    <x v="0"/>
  </r>
  <r>
    <n v="2516"/>
    <x v="8"/>
    <s v="ERTEKNİKSULAMA"/>
    <d v="2025-04-24T00:00:00"/>
    <s v="24A0107BW0044698"/>
    <n v="1"/>
    <s v="HSA-1"/>
    <m/>
    <d v="2024-10-01T00:00:00"/>
    <n v="2024"/>
    <n v="10"/>
    <n v="205"/>
    <x v="6"/>
    <m/>
    <s v="Haklı"/>
    <x v="3"/>
    <x v="0"/>
  </r>
  <r>
    <n v="2516"/>
    <x v="8"/>
    <s v="ERTEKNİKSULAMA"/>
    <d v="2025-04-24T00:00:00"/>
    <s v="24A0107BW0046508"/>
    <n v="1"/>
    <s v="HSA-1"/>
    <m/>
    <d v="2024-10-01T00:00:00"/>
    <n v="2024"/>
    <n v="10"/>
    <n v="205"/>
    <x v="6"/>
    <m/>
    <s v="Haklı"/>
    <x v="3"/>
    <x v="0"/>
  </r>
  <r>
    <n v="2516"/>
    <x v="8"/>
    <s v="ERTEKNİKSULAMA"/>
    <d v="2025-04-24T00:00:00"/>
    <s v="24A0107BW0046588"/>
    <n v="1"/>
    <s v="HSA-1"/>
    <m/>
    <d v="2024-10-01T00:00:00"/>
    <n v="2024"/>
    <n v="10"/>
    <n v="205"/>
    <x v="6"/>
    <m/>
    <s v="Haklı"/>
    <x v="3"/>
    <x v="0"/>
  </r>
  <r>
    <n v="2516"/>
    <x v="8"/>
    <s v="ERTEKNİKSULAMA"/>
    <d v="2025-04-24T00:00:00"/>
    <s v="24A0107BW0046790"/>
    <n v="1"/>
    <s v="HSA-1"/>
    <m/>
    <d v="2024-10-01T00:00:00"/>
    <n v="2024"/>
    <n v="10"/>
    <n v="205"/>
    <x v="6"/>
    <m/>
    <s v="Haklı"/>
    <x v="3"/>
    <x v="0"/>
  </r>
  <r>
    <n v="2516"/>
    <x v="8"/>
    <s v="ERTEKNİKSULAMA"/>
    <d v="2025-04-24T00:00:00"/>
    <s v="24A0107BW0047635"/>
    <n v="1"/>
    <s v="HSA-1"/>
    <m/>
    <d v="2024-10-01T00:00:00"/>
    <n v="2024"/>
    <n v="10"/>
    <n v="205"/>
    <x v="6"/>
    <m/>
    <s v="Haklı"/>
    <x v="3"/>
    <x v="0"/>
  </r>
  <r>
    <n v="2516"/>
    <x v="8"/>
    <s v="ERTEKNİKSULAMA"/>
    <d v="2025-04-24T00:00:00"/>
    <s v="24A0107BW0047745"/>
    <n v="1"/>
    <s v="HSA-1"/>
    <m/>
    <d v="2024-10-01T00:00:00"/>
    <n v="2024"/>
    <n v="10"/>
    <n v="205"/>
    <x v="6"/>
    <m/>
    <s v="Haklı"/>
    <x v="3"/>
    <x v="0"/>
  </r>
  <r>
    <n v="2516"/>
    <x v="8"/>
    <s v="ERTEKNİKSULAMA"/>
    <d v="2025-04-24T00:00:00"/>
    <s v="24A0107BW0047827"/>
    <n v="1"/>
    <s v="HSA-1"/>
    <m/>
    <d v="2024-10-01T00:00:00"/>
    <n v="2024"/>
    <n v="10"/>
    <n v="205"/>
    <x v="6"/>
    <m/>
    <s v="Haklı"/>
    <x v="3"/>
    <x v="0"/>
  </r>
  <r>
    <n v="2516"/>
    <x v="8"/>
    <s v="ERTEKNİKSULAMA"/>
    <d v="2025-04-24T00:00:00"/>
    <s v="24A0107BW0047849"/>
    <n v="1"/>
    <s v="HSA-1"/>
    <m/>
    <d v="2024-10-01T00:00:00"/>
    <n v="2024"/>
    <n v="10"/>
    <n v="205"/>
    <x v="6"/>
    <m/>
    <s v="Haklı"/>
    <x v="3"/>
    <x v="0"/>
  </r>
  <r>
    <n v="2516"/>
    <x v="8"/>
    <s v="ERTEKNİKSULAMA"/>
    <d v="2025-04-24T00:00:00"/>
    <s v="24A0107BW0048141"/>
    <n v="1"/>
    <s v="HSA-1"/>
    <m/>
    <d v="2024-10-01T00:00:00"/>
    <n v="2024"/>
    <n v="10"/>
    <n v="205"/>
    <x v="6"/>
    <m/>
    <s v="Haklı"/>
    <x v="3"/>
    <x v="0"/>
  </r>
  <r>
    <n v="2516"/>
    <x v="8"/>
    <s v="ERTEKNİKSULAMA"/>
    <d v="2025-04-24T00:00:00"/>
    <s v="24A0107BW0048142"/>
    <n v="1"/>
    <s v="HSA-1"/>
    <m/>
    <d v="2024-10-01T00:00:00"/>
    <n v="2024"/>
    <n v="10"/>
    <n v="205"/>
    <x v="6"/>
    <m/>
    <s v="Haklı"/>
    <x v="3"/>
    <x v="0"/>
  </r>
  <r>
    <n v="2516"/>
    <x v="8"/>
    <s v="ERTEKNİKSULAMA"/>
    <d v="2025-04-24T00:00:00"/>
    <s v="24A0107BW0048167"/>
    <n v="1"/>
    <s v="HSA-1"/>
    <m/>
    <d v="2024-10-01T00:00:00"/>
    <n v="2024"/>
    <n v="10"/>
    <n v="205"/>
    <x v="6"/>
    <m/>
    <s v="Haklı"/>
    <x v="3"/>
    <x v="0"/>
  </r>
  <r>
    <n v="2516"/>
    <x v="8"/>
    <s v="ERTEKNİKSULAMA"/>
    <d v="2025-04-24T00:00:00"/>
    <s v="24A0107BW0048255"/>
    <n v="1"/>
    <s v="HSA-1"/>
    <m/>
    <d v="2024-10-01T00:00:00"/>
    <n v="2024"/>
    <n v="10"/>
    <n v="205"/>
    <x v="6"/>
    <m/>
    <s v="Haklı"/>
    <x v="3"/>
    <x v="0"/>
  </r>
  <r>
    <n v="2516"/>
    <x v="8"/>
    <s v="ERTEKNİKSULAMA"/>
    <d v="2025-04-24T00:00:00"/>
    <s v="24A0107BW0048372"/>
    <n v="1"/>
    <s v="HSA-1"/>
    <m/>
    <d v="2024-10-01T00:00:00"/>
    <n v="2024"/>
    <n v="10"/>
    <n v="205"/>
    <x v="6"/>
    <m/>
    <s v="Haklı"/>
    <x v="3"/>
    <x v="0"/>
  </r>
  <r>
    <n v="2516"/>
    <x v="8"/>
    <s v="ERTEKNİKSULAMA"/>
    <d v="2025-04-24T00:00:00"/>
    <s v="24A0107BW0048429"/>
    <n v="1"/>
    <s v="HSA-1"/>
    <m/>
    <d v="2024-10-01T00:00:00"/>
    <n v="2024"/>
    <n v="10"/>
    <n v="205"/>
    <x v="6"/>
    <m/>
    <s v="Haklı"/>
    <x v="3"/>
    <x v="0"/>
  </r>
  <r>
    <n v="2516"/>
    <x v="8"/>
    <s v="ERTEKNİKSULAMA"/>
    <d v="2025-04-24T00:00:00"/>
    <s v="24A0107BW0048632"/>
    <n v="1"/>
    <s v="HSA-1"/>
    <m/>
    <d v="2024-10-01T00:00:00"/>
    <n v="2024"/>
    <n v="10"/>
    <n v="205"/>
    <x v="6"/>
    <m/>
    <s v="Haklı"/>
    <x v="3"/>
    <x v="0"/>
  </r>
  <r>
    <n v="2516"/>
    <x v="8"/>
    <s v="ERTEKNİKSULAMA"/>
    <d v="2025-04-24T00:00:00"/>
    <s v="24A0107BW0049024"/>
    <n v="1"/>
    <s v="HSA-1"/>
    <m/>
    <d v="2024-10-01T00:00:00"/>
    <n v="2024"/>
    <n v="10"/>
    <n v="205"/>
    <x v="6"/>
    <m/>
    <s v="Haklı"/>
    <x v="3"/>
    <x v="0"/>
  </r>
  <r>
    <n v="2516"/>
    <x v="8"/>
    <s v="ERTEKNİKSULAMA"/>
    <d v="2025-04-24T00:00:00"/>
    <s v="24A0107BW0049058"/>
    <n v="1"/>
    <s v="HSA-1"/>
    <m/>
    <d v="2024-10-01T00:00:00"/>
    <n v="2024"/>
    <n v="10"/>
    <n v="205"/>
    <x v="6"/>
    <m/>
    <s v="Haklı"/>
    <x v="3"/>
    <x v="0"/>
  </r>
  <r>
    <n v="2516"/>
    <x v="8"/>
    <s v="ERTEKNİKSULAMA"/>
    <d v="2025-04-24T00:00:00"/>
    <s v="24A0107BW0049177"/>
    <n v="1"/>
    <s v="HSA-1"/>
    <m/>
    <d v="2024-10-01T00:00:00"/>
    <n v="2024"/>
    <n v="10"/>
    <n v="205"/>
    <x v="6"/>
    <m/>
    <s v="Haklı"/>
    <x v="3"/>
    <x v="0"/>
  </r>
  <r>
    <n v="2516"/>
    <x v="8"/>
    <s v="ERTEKNİKSULAMA"/>
    <d v="2025-04-24T00:00:00"/>
    <s v="24A0107BW0049355"/>
    <n v="1"/>
    <s v="HSA-1"/>
    <m/>
    <d v="2024-10-01T00:00:00"/>
    <n v="2024"/>
    <n v="10"/>
    <n v="205"/>
    <x v="6"/>
    <m/>
    <s v="Haklı"/>
    <x v="3"/>
    <x v="0"/>
  </r>
  <r>
    <n v="2516"/>
    <x v="8"/>
    <s v="ERTEKNİKSULAMA"/>
    <d v="2025-04-24T00:00:00"/>
    <s v="24A0107BW0049468"/>
    <n v="1"/>
    <s v="HSA-1"/>
    <m/>
    <d v="2024-10-01T00:00:00"/>
    <n v="2024"/>
    <n v="10"/>
    <n v="205"/>
    <x v="6"/>
    <m/>
    <s v="Haklı"/>
    <x v="3"/>
    <x v="0"/>
  </r>
  <r>
    <n v="2516"/>
    <x v="8"/>
    <s v="ERTEKNİKSULAMA"/>
    <d v="2025-04-24T00:00:00"/>
    <s v="24A0107BW0049625"/>
    <n v="1"/>
    <s v="HSA-1"/>
    <m/>
    <d v="2024-10-01T00:00:00"/>
    <n v="2024"/>
    <n v="10"/>
    <n v="205"/>
    <x v="6"/>
    <m/>
    <s v="Haklı"/>
    <x v="3"/>
    <x v="0"/>
  </r>
  <r>
    <n v="2516"/>
    <x v="8"/>
    <s v="ERTEKNİKSULAMA"/>
    <d v="2025-04-24T00:00:00"/>
    <s v="24A0107BW0049742"/>
    <n v="1"/>
    <s v="HSA-1"/>
    <m/>
    <d v="2024-10-01T00:00:00"/>
    <n v="2024"/>
    <n v="10"/>
    <n v="205"/>
    <x v="6"/>
    <m/>
    <s v="Haklı"/>
    <x v="3"/>
    <x v="0"/>
  </r>
  <r>
    <n v="2516"/>
    <x v="8"/>
    <s v="ERTEKNİKSULAMA"/>
    <d v="2025-04-24T00:00:00"/>
    <s v="24A0107BW0049800"/>
    <n v="1"/>
    <s v="HSA-1"/>
    <m/>
    <d v="2024-10-01T00:00:00"/>
    <n v="2024"/>
    <n v="10"/>
    <n v="205"/>
    <x v="6"/>
    <m/>
    <s v="Haklı"/>
    <x v="3"/>
    <x v="0"/>
  </r>
  <r>
    <n v="2516"/>
    <x v="8"/>
    <s v="ERTEKNİKSULAMA"/>
    <d v="2025-04-24T00:00:00"/>
    <s v="24A0107BW0049901"/>
    <n v="1"/>
    <s v="HSA-1"/>
    <m/>
    <d v="2024-10-01T00:00:00"/>
    <n v="2024"/>
    <n v="10"/>
    <n v="205"/>
    <x v="6"/>
    <m/>
    <s v="Haklı"/>
    <x v="3"/>
    <x v="0"/>
  </r>
  <r>
    <n v="2516"/>
    <x v="8"/>
    <s v="ERTEKNİKSULAMA"/>
    <d v="2025-04-24T00:00:00"/>
    <s v="24A0107BW0049904"/>
    <n v="1"/>
    <s v="HSA-1"/>
    <m/>
    <d v="2024-10-01T00:00:00"/>
    <n v="2024"/>
    <n v="10"/>
    <n v="205"/>
    <x v="6"/>
    <m/>
    <s v="Haklı"/>
    <x v="3"/>
    <x v="0"/>
  </r>
  <r>
    <n v="2516"/>
    <x v="8"/>
    <s v="ERTEKNİKSULAMA"/>
    <d v="2025-04-24T00:00:00"/>
    <s v="24A0107BW0049728"/>
    <n v="1"/>
    <s v="HSA-1"/>
    <m/>
    <d v="2024-10-01T00:00:00"/>
    <n v="2024"/>
    <n v="10"/>
    <n v="205"/>
    <x v="6"/>
    <m/>
    <s v="Haklı"/>
    <x v="3"/>
    <x v="0"/>
  </r>
  <r>
    <n v="2517"/>
    <x v="1"/>
    <s v="PENGUENGES"/>
    <d v="2025-05-09T00:00:00"/>
    <s v="24A0107BW0049793"/>
    <n v="1"/>
    <s v="HSA-2"/>
    <m/>
    <d v="2024-04-01T00:00:00"/>
    <n v="2024"/>
    <n v="4"/>
    <n v="403"/>
    <x v="7"/>
    <m/>
    <s v="Haksız"/>
    <x v="4"/>
    <x v="0"/>
  </r>
  <r>
    <n v="2517"/>
    <x v="1"/>
    <s v="PENGUENGES"/>
    <d v="2025-05-09T00:00:00"/>
    <s v="2450108BX0038413"/>
    <n v="1"/>
    <s v="HSA-2"/>
    <m/>
    <d v="2024-04-01T00:00:00"/>
    <n v="2024"/>
    <n v="4"/>
    <n v="403"/>
    <x v="7"/>
    <m/>
    <s v="Haksız"/>
    <x v="4"/>
    <x v="0"/>
  </r>
  <r>
    <n v="2517"/>
    <x v="1"/>
    <s v="PENGUENGES"/>
    <d v="2025-05-09T00:00:00"/>
    <s v="2450108BX0038706"/>
    <n v="1"/>
    <s v="HSA-2"/>
    <m/>
    <d v="2024-05-01T00:00:00"/>
    <n v="2024"/>
    <n v="5"/>
    <n v="373"/>
    <x v="7"/>
    <m/>
    <s v="Haksız"/>
    <x v="4"/>
    <x v="0"/>
  </r>
  <r>
    <n v="2517"/>
    <x v="1"/>
    <s v="PENGUENGES"/>
    <d v="2025-05-09T00:00:00"/>
    <s v="2470108BX0004939"/>
    <n v="1"/>
    <s v="HSA-2"/>
    <m/>
    <d v="2024-07-01T00:00:00"/>
    <n v="2024"/>
    <n v="7"/>
    <n v="312"/>
    <x v="7"/>
    <m/>
    <s v="Haksız"/>
    <x v="4"/>
    <x v="0"/>
  </r>
  <r>
    <n v="2517"/>
    <x v="1"/>
    <s v="PENGUENGES"/>
    <d v="2025-05-09T00:00:00"/>
    <s v="2480108BX0017301"/>
    <n v="1"/>
    <s v="HSA-2"/>
    <m/>
    <d v="2024-08-01T00:00:00"/>
    <n v="2024"/>
    <n v="8"/>
    <n v="281"/>
    <x v="7"/>
    <m/>
    <s v="Haksız"/>
    <x v="4"/>
    <x v="0"/>
  </r>
  <r>
    <n v="2517"/>
    <x v="1"/>
    <s v="PENGUENGES"/>
    <d v="2025-05-09T00:00:00"/>
    <s v="2440108BX0019797"/>
    <n v="1"/>
    <s v="HSA-2"/>
    <m/>
    <d v="2024-04-01T00:00:00"/>
    <n v="2024"/>
    <n v="4"/>
    <n v="403"/>
    <x v="7"/>
    <m/>
    <s v="Haksız"/>
    <x v="4"/>
    <x v="0"/>
  </r>
  <r>
    <n v="2517"/>
    <x v="1"/>
    <s v="PENGUENGES"/>
    <d v="2025-05-09T00:00:00"/>
    <s v="2480108BX0017507"/>
    <n v="1"/>
    <s v="HSA-2"/>
    <m/>
    <d v="2024-08-01T00:00:00"/>
    <n v="2024"/>
    <n v="8"/>
    <n v="281"/>
    <x v="7"/>
    <m/>
    <s v="Haksız"/>
    <x v="4"/>
    <x v="0"/>
  </r>
  <r>
    <n v="2517"/>
    <x v="1"/>
    <s v="PENGUENGES"/>
    <d v="2025-05-09T00:00:00"/>
    <s v="2480108BX0017168"/>
    <n v="1"/>
    <s v="HSA-2"/>
    <m/>
    <d v="2024-08-01T00:00:00"/>
    <n v="2024"/>
    <n v="8"/>
    <n v="281"/>
    <x v="7"/>
    <m/>
    <s v="Haksız"/>
    <x v="4"/>
    <x v="0"/>
  </r>
  <r>
    <n v="2517"/>
    <x v="1"/>
    <s v="PENGUENGES"/>
    <d v="2025-05-09T00:00:00"/>
    <s v="2480108BX0018279"/>
    <n v="1"/>
    <s v="HSA-2"/>
    <m/>
    <d v="2024-08-01T00:00:00"/>
    <n v="2024"/>
    <n v="8"/>
    <n v="281"/>
    <x v="7"/>
    <m/>
    <s v="Haksız"/>
    <x v="4"/>
    <x v="0"/>
  </r>
  <r>
    <n v="2517"/>
    <x v="1"/>
    <s v="PENGUENGES"/>
    <d v="2025-05-09T00:00:00"/>
    <s v="2480108BX0016370"/>
    <n v="1"/>
    <s v="HSA-2"/>
    <m/>
    <d v="2024-08-01T00:00:00"/>
    <n v="2024"/>
    <n v="8"/>
    <n v="281"/>
    <x v="7"/>
    <m/>
    <s v="Haksız"/>
    <x v="4"/>
    <x v="0"/>
  </r>
  <r>
    <n v="2518"/>
    <x v="3"/>
    <s v="LİMAK"/>
    <d v="2025-05-08T00:00:00"/>
    <s v="E3FXT425A189990037405856"/>
    <n v="1"/>
    <s v="HSA-2"/>
    <m/>
    <m/>
    <n v="1900"/>
    <n v="1"/>
    <n v="45785"/>
    <x v="4"/>
    <m/>
    <s v="Haksız"/>
    <x v="4"/>
    <x v="0"/>
  </r>
  <r>
    <n v="2518"/>
    <x v="3"/>
    <s v="LİMAK"/>
    <d v="2025-05-08T00:00:00"/>
    <s v="E3FXT425A239990038103489"/>
    <n v="1"/>
    <s v="HSA-2"/>
    <m/>
    <m/>
    <n v="1900"/>
    <n v="1"/>
    <n v="45785"/>
    <x v="4"/>
    <m/>
    <s v="Haksız"/>
    <x v="4"/>
    <x v="0"/>
  </r>
  <r>
    <n v="2518"/>
    <x v="3"/>
    <s v="LİMAK"/>
    <d v="2025-05-08T00:00:00"/>
    <s v="E3FXT425A139990036204868"/>
    <n v="1"/>
    <s v="HSA-2"/>
    <m/>
    <m/>
    <n v="1900"/>
    <n v="1"/>
    <n v="45785"/>
    <x v="4"/>
    <m/>
    <s v="Haksız"/>
    <x v="4"/>
    <x v="0"/>
  </r>
  <r>
    <n v="2518"/>
    <x v="3"/>
    <s v="LİMAK"/>
    <d v="2025-05-08T00:00:00"/>
    <s v="E3FXT425A139990036204773"/>
    <n v="1"/>
    <s v="HSA-2"/>
    <m/>
    <m/>
    <n v="1900"/>
    <n v="1"/>
    <n v="45785"/>
    <x v="4"/>
    <m/>
    <s v="Haksız"/>
    <x v="4"/>
    <x v="0"/>
  </r>
  <r>
    <n v="2518"/>
    <x v="3"/>
    <s v="LİMAK"/>
    <d v="2025-05-08T00:00:00"/>
    <s v="E3FXT425A149990036206618"/>
    <n v="1"/>
    <s v="HSA-2"/>
    <m/>
    <m/>
    <n v="1900"/>
    <n v="1"/>
    <n v="45785"/>
    <x v="4"/>
    <m/>
    <s v="Haksız"/>
    <x v="4"/>
    <x v="0"/>
  </r>
  <r>
    <n v="2518"/>
    <x v="3"/>
    <s v="LİMAK"/>
    <d v="2025-05-08T00:00:00"/>
    <s v="E3FXT425A159990037400685"/>
    <n v="1"/>
    <s v="HSA-2"/>
    <m/>
    <m/>
    <n v="1900"/>
    <n v="1"/>
    <n v="45785"/>
    <x v="4"/>
    <m/>
    <s v="Haksız"/>
    <x v="4"/>
    <x v="0"/>
  </r>
  <r>
    <n v="2518"/>
    <x v="3"/>
    <s v="LİMAK"/>
    <d v="2025-05-08T00:00:00"/>
    <s v="E3FXT425A159990037400651"/>
    <n v="1"/>
    <s v="HSA-2"/>
    <m/>
    <m/>
    <n v="1900"/>
    <n v="1"/>
    <n v="45785"/>
    <x v="4"/>
    <m/>
    <s v="Haksız"/>
    <x v="4"/>
    <x v="0"/>
  </r>
  <r>
    <n v="2518"/>
    <x v="3"/>
    <s v="LİMAK"/>
    <d v="2025-05-08T00:00:00"/>
    <s v="E3FXT425A179990037403542"/>
    <n v="1"/>
    <s v="HSA-2"/>
    <m/>
    <m/>
    <n v="1900"/>
    <n v="1"/>
    <n v="45785"/>
    <x v="4"/>
    <m/>
    <s v="Haksız"/>
    <x v="4"/>
    <x v="0"/>
  </r>
  <r>
    <n v="2518"/>
    <x v="3"/>
    <s v="LİMAK"/>
    <d v="2025-05-08T00:00:00"/>
    <s v="E3FXT425A169990037403266"/>
    <n v="1"/>
    <s v="HSA-2"/>
    <m/>
    <m/>
    <n v="1900"/>
    <n v="1"/>
    <n v="45785"/>
    <x v="4"/>
    <m/>
    <s v="Haksız"/>
    <x v="4"/>
    <x v="0"/>
  </r>
  <r>
    <n v="2518"/>
    <x v="3"/>
    <s v="LİMAK"/>
    <d v="2025-05-08T00:00:00"/>
    <s v="E3FXT425A159990037400678"/>
    <n v="1"/>
    <s v="HSA-2"/>
    <m/>
    <m/>
    <n v="1900"/>
    <n v="1"/>
    <n v="45785"/>
    <x v="4"/>
    <m/>
    <s v="Haksız"/>
    <x v="4"/>
    <x v="0"/>
  </r>
  <r>
    <n v="2518"/>
    <x v="3"/>
    <s v="LİMAK"/>
    <d v="2025-05-08T00:00:00"/>
    <s v="E3FXT425A149990037400020"/>
    <n v="1"/>
    <s v="HSA-2"/>
    <m/>
    <m/>
    <n v="1900"/>
    <n v="1"/>
    <n v="45785"/>
    <x v="4"/>
    <m/>
    <s v="Haksız"/>
    <x v="4"/>
    <x v="0"/>
  </r>
  <r>
    <n v="2518"/>
    <x v="3"/>
    <s v="LİMAK"/>
    <d v="2025-05-08T00:00:00"/>
    <s v="E3FXT425A159990037400521"/>
    <n v="1"/>
    <s v="HSA-2"/>
    <m/>
    <m/>
    <n v="1900"/>
    <n v="1"/>
    <n v="45785"/>
    <x v="4"/>
    <m/>
    <s v="Haksız"/>
    <x v="4"/>
    <x v="0"/>
  </r>
  <r>
    <n v="2518"/>
    <x v="3"/>
    <s v="LİMAK"/>
    <d v="2025-05-08T00:00:00"/>
    <s v="E3FXT425A159990037400444"/>
    <n v="1"/>
    <s v="HSA-2"/>
    <m/>
    <m/>
    <n v="1900"/>
    <n v="1"/>
    <n v="45785"/>
    <x v="4"/>
    <m/>
    <s v="Haksız"/>
    <x v="4"/>
    <x v="0"/>
  </r>
  <r>
    <n v="2518"/>
    <x v="3"/>
    <s v="LİMAK"/>
    <d v="2025-05-08T00:00:00"/>
    <s v="E3FXT425A159990037400485"/>
    <n v="1"/>
    <s v="HSA-2"/>
    <m/>
    <m/>
    <n v="1900"/>
    <n v="1"/>
    <n v="45785"/>
    <x v="4"/>
    <m/>
    <s v="Haksız"/>
    <x v="4"/>
    <x v="0"/>
  </r>
  <r>
    <n v="2518"/>
    <x v="3"/>
    <s v="LİMAK"/>
    <d v="2025-05-08T00:00:00"/>
    <s v="E3FXT425A159990037400524"/>
    <n v="1"/>
    <s v="HSA-2"/>
    <m/>
    <m/>
    <n v="1900"/>
    <n v="1"/>
    <n v="45785"/>
    <x v="4"/>
    <m/>
    <s v="Haksız"/>
    <x v="4"/>
    <x v="0"/>
  </r>
  <r>
    <n v="2518"/>
    <x v="3"/>
    <s v="LİMAK"/>
    <d v="2025-05-08T00:00:00"/>
    <s v="E3FXT425A159990037400355"/>
    <n v="1"/>
    <s v="HSA-2"/>
    <m/>
    <m/>
    <n v="1900"/>
    <n v="1"/>
    <n v="45785"/>
    <x v="4"/>
    <m/>
    <s v="Haksız"/>
    <x v="4"/>
    <x v="0"/>
  </r>
  <r>
    <n v="2518"/>
    <x v="3"/>
    <s v="LİMAK"/>
    <d v="2025-05-08T00:00:00"/>
    <s v="E3FXT425A159990037400643"/>
    <n v="1"/>
    <s v="HSA-2"/>
    <m/>
    <m/>
    <n v="1900"/>
    <n v="1"/>
    <n v="45785"/>
    <x v="4"/>
    <m/>
    <s v="Haksız"/>
    <x v="4"/>
    <x v="0"/>
  </r>
  <r>
    <n v="2518"/>
    <x v="3"/>
    <s v="LİMAK"/>
    <d v="2025-05-08T00:00:00"/>
    <s v="E3FXT425A159990037400575"/>
    <n v="1"/>
    <s v="HSA-2"/>
    <m/>
    <m/>
    <n v="1900"/>
    <n v="1"/>
    <n v="45785"/>
    <x v="4"/>
    <m/>
    <s v="Haksız"/>
    <x v="4"/>
    <x v="0"/>
  </r>
  <r>
    <n v="2518"/>
    <x v="3"/>
    <s v="LİMAK"/>
    <d v="2025-05-08T00:00:00"/>
    <s v="E3FXT425A159990037400661"/>
    <n v="1"/>
    <s v="HSA-2"/>
    <m/>
    <m/>
    <n v="1900"/>
    <n v="1"/>
    <n v="45785"/>
    <x v="4"/>
    <m/>
    <s v="Haksız"/>
    <x v="4"/>
    <x v="0"/>
  </r>
  <r>
    <n v="2518"/>
    <x v="3"/>
    <s v="LİMAK"/>
    <d v="2025-05-08T00:00:00"/>
    <s v="E3FXT425A159990037400590"/>
    <n v="1"/>
    <s v="HSA-2"/>
    <m/>
    <m/>
    <n v="1900"/>
    <n v="1"/>
    <n v="45785"/>
    <x v="4"/>
    <m/>
    <s v="Haksız"/>
    <x v="4"/>
    <x v="0"/>
  </r>
  <r>
    <n v="2518"/>
    <x v="3"/>
    <s v="LİMAK"/>
    <d v="2025-05-08T00:00:00"/>
    <s v="E3FXT425A159990037400693"/>
    <n v="1"/>
    <s v="HSA-2"/>
    <m/>
    <m/>
    <n v="1900"/>
    <n v="1"/>
    <n v="45785"/>
    <x v="4"/>
    <m/>
    <s v="Haksız"/>
    <x v="4"/>
    <x v="0"/>
  </r>
  <r>
    <n v="2518"/>
    <x v="3"/>
    <s v="LİMAK"/>
    <d v="2025-05-08T00:00:00"/>
    <s v="E3FXT425A159990037400592"/>
    <n v="1"/>
    <s v="HSA-2"/>
    <m/>
    <m/>
    <n v="1900"/>
    <n v="1"/>
    <n v="45785"/>
    <x v="4"/>
    <m/>
    <s v="Haksız"/>
    <x v="4"/>
    <x v="0"/>
  </r>
  <r>
    <n v="2518"/>
    <x v="3"/>
    <s v="LİMAK"/>
    <d v="2025-05-08T00:00:00"/>
    <s v="E3FXT425A159990037400203"/>
    <n v="1"/>
    <s v="HSA-2"/>
    <m/>
    <m/>
    <n v="1900"/>
    <n v="1"/>
    <n v="45785"/>
    <x v="4"/>
    <m/>
    <s v="Haksız"/>
    <x v="4"/>
    <x v="0"/>
  </r>
  <r>
    <n v="2518"/>
    <x v="3"/>
    <s v="LİMAK"/>
    <d v="2025-05-08T00:00:00"/>
    <s v="E3FXT425A159990037400546"/>
    <n v="1"/>
    <s v="HSA-2"/>
    <m/>
    <m/>
    <n v="1900"/>
    <n v="1"/>
    <n v="45785"/>
    <x v="4"/>
    <m/>
    <s v="Haksız"/>
    <x v="4"/>
    <x v="0"/>
  </r>
  <r>
    <n v="2518"/>
    <x v="3"/>
    <s v="LİMAK"/>
    <d v="2025-05-08T00:00:00"/>
    <s v="E3FXT425A159990037400742"/>
    <n v="1"/>
    <s v="HSA-2"/>
    <m/>
    <m/>
    <n v="1900"/>
    <n v="1"/>
    <n v="45785"/>
    <x v="4"/>
    <m/>
    <s v="Haksız"/>
    <x v="4"/>
    <x v="0"/>
  </r>
  <r>
    <n v="2518"/>
    <x v="3"/>
    <s v="LİMAK"/>
    <d v="2025-05-08T00:00:00"/>
    <s v="E3FXT425A169990037402857"/>
    <n v="1"/>
    <s v="HSA-2"/>
    <m/>
    <m/>
    <n v="1900"/>
    <n v="1"/>
    <n v="45785"/>
    <x v="4"/>
    <m/>
    <s v="Haksız"/>
    <x v="4"/>
    <x v="0"/>
  </r>
  <r>
    <n v="2518"/>
    <x v="3"/>
    <s v="LİMAK"/>
    <d v="2025-05-08T00:00:00"/>
    <s v="E3FXT425A249990038104460"/>
    <n v="1"/>
    <s v="HSA-2"/>
    <m/>
    <m/>
    <n v="1900"/>
    <n v="1"/>
    <n v="45785"/>
    <x v="4"/>
    <m/>
    <s v="Haksız"/>
    <x v="4"/>
    <x v="0"/>
  </r>
  <r>
    <n v="2518"/>
    <x v="3"/>
    <s v="LİMAK"/>
    <d v="2025-05-08T00:00:00"/>
    <s v="E3FXT425A239990038103387"/>
    <n v="1"/>
    <s v="HSA-2"/>
    <m/>
    <m/>
    <n v="1900"/>
    <n v="1"/>
    <n v="45785"/>
    <x v="4"/>
    <m/>
    <s v="Haksız"/>
    <x v="4"/>
    <x v="0"/>
  </r>
  <r>
    <n v="2518"/>
    <x v="3"/>
    <s v="LİMAK"/>
    <d v="2025-05-08T00:00:00"/>
    <s v="E3FXT425A169990037401877"/>
    <n v="1"/>
    <s v="HSA-2"/>
    <m/>
    <m/>
    <n v="1900"/>
    <n v="1"/>
    <n v="45785"/>
    <x v="4"/>
    <m/>
    <s v="Haksız"/>
    <x v="4"/>
    <x v="0"/>
  </r>
  <r>
    <n v="2518"/>
    <x v="3"/>
    <s v="LİMAK"/>
    <d v="2025-05-08T00:00:00"/>
    <s v="E3FXT425A179990037404154"/>
    <n v="1"/>
    <s v="HSA-2"/>
    <m/>
    <m/>
    <n v="1900"/>
    <n v="1"/>
    <n v="45785"/>
    <x v="4"/>
    <m/>
    <s v="Haksız"/>
    <x v="4"/>
    <x v="0"/>
  </r>
  <r>
    <n v="2518"/>
    <x v="3"/>
    <s v="LİMAK"/>
    <d v="2025-05-08T00:00:00"/>
    <s v="E3FXT425A179990037403781"/>
    <n v="1"/>
    <s v="HSA-2"/>
    <m/>
    <m/>
    <n v="1900"/>
    <n v="1"/>
    <n v="45785"/>
    <x v="4"/>
    <m/>
    <s v="Haksız"/>
    <x v="4"/>
    <x v="0"/>
  </r>
  <r>
    <n v="2518"/>
    <x v="3"/>
    <s v="LİMAK"/>
    <d v="2025-05-08T00:00:00"/>
    <s v="E3FXT425A269990038106570"/>
    <n v="1"/>
    <s v="HSA-2"/>
    <m/>
    <m/>
    <n v="1900"/>
    <n v="1"/>
    <n v="45785"/>
    <x v="4"/>
    <m/>
    <s v="Haksız"/>
    <x v="4"/>
    <x v="0"/>
  </r>
  <r>
    <n v="2518"/>
    <x v="3"/>
    <s v="LİMAK"/>
    <d v="2025-05-08T00:00:00"/>
    <s v="AAAA"/>
    <n v="1"/>
    <s v="Belirsiz"/>
    <m/>
    <m/>
    <n v="1900"/>
    <n v="1"/>
    <n v="45785"/>
    <x v="4"/>
    <m/>
    <s v="Haksız"/>
    <x v="4"/>
    <x v="0"/>
  </r>
  <r>
    <n v="2519"/>
    <x v="8"/>
    <s v="ERTEKNİK"/>
    <d v="2025-05-05T00:00:00"/>
    <s v="AAAA"/>
    <n v="1"/>
    <s v="Belirsiz"/>
    <m/>
    <m/>
    <n v="1900"/>
    <n v="1"/>
    <n v="45782"/>
    <x v="6"/>
    <m/>
    <s v="Haklı"/>
    <x v="4"/>
    <x v="0"/>
  </r>
  <r>
    <n v="2519"/>
    <x v="8"/>
    <s v="ERTEKNİK"/>
    <d v="2025-05-05T00:00:00"/>
    <s v="AAAA"/>
    <n v="1"/>
    <s v="Belirsiz"/>
    <m/>
    <m/>
    <n v="1900"/>
    <n v="1"/>
    <n v="45782"/>
    <x v="6"/>
    <m/>
    <s v="Haklı"/>
    <x v="4"/>
    <x v="0"/>
  </r>
  <r>
    <n v="2519"/>
    <x v="8"/>
    <s v="ERTEKNİK"/>
    <d v="2025-05-05T00:00:00"/>
    <s v="AAAA"/>
    <n v="1"/>
    <s v="Belirsiz"/>
    <m/>
    <m/>
    <n v="1900"/>
    <n v="1"/>
    <n v="45782"/>
    <x v="6"/>
    <m/>
    <s v="Haklı"/>
    <x v="4"/>
    <x v="0"/>
  </r>
  <r>
    <n v="2519"/>
    <x v="8"/>
    <s v="ERTEKNİK"/>
    <d v="2025-05-05T00:00:00"/>
    <s v="AAAA"/>
    <n v="1"/>
    <s v="Belirsiz"/>
    <m/>
    <m/>
    <n v="1900"/>
    <n v="1"/>
    <n v="45782"/>
    <x v="6"/>
    <m/>
    <s v="Haklı"/>
    <x v="4"/>
    <x v="0"/>
  </r>
  <r>
    <n v="2519"/>
    <x v="8"/>
    <s v="ERTEKNİK"/>
    <d v="2025-05-05T00:00:00"/>
    <s v="AAAA"/>
    <n v="1"/>
    <s v="Belirsiz"/>
    <m/>
    <m/>
    <n v="1900"/>
    <n v="1"/>
    <n v="45782"/>
    <x v="6"/>
    <m/>
    <s v="Haklı"/>
    <x v="4"/>
    <x v="0"/>
  </r>
  <r>
    <n v="2519"/>
    <x v="8"/>
    <s v="ERTEKNİK"/>
    <d v="2025-05-05T00:00:00"/>
    <s v="AAAA"/>
    <n v="1"/>
    <s v="Belirsiz"/>
    <m/>
    <m/>
    <n v="1900"/>
    <n v="1"/>
    <n v="45782"/>
    <x v="6"/>
    <m/>
    <s v="Haklı"/>
    <x v="4"/>
    <x v="0"/>
  </r>
  <r>
    <n v="2519"/>
    <x v="8"/>
    <s v="ERTEKNİK"/>
    <d v="2025-05-05T00:00:00"/>
    <s v="AAAA"/>
    <n v="1"/>
    <s v="Belirsiz"/>
    <m/>
    <m/>
    <n v="1900"/>
    <n v="1"/>
    <n v="45782"/>
    <x v="6"/>
    <m/>
    <s v="Haklı"/>
    <x v="4"/>
    <x v="0"/>
  </r>
  <r>
    <n v="2519"/>
    <x v="8"/>
    <s v="ERTEKNİK"/>
    <d v="2025-05-05T00:00:00"/>
    <s v="AAAA"/>
    <n v="1"/>
    <s v="Belirsiz"/>
    <m/>
    <m/>
    <n v="1900"/>
    <n v="1"/>
    <n v="45782"/>
    <x v="6"/>
    <m/>
    <s v="Haklı"/>
    <x v="4"/>
    <x v="0"/>
  </r>
  <r>
    <n v="2519"/>
    <x v="8"/>
    <s v="ERTEKNİK"/>
    <d v="2025-05-05T00:00:00"/>
    <s v="AAAA"/>
    <n v="1"/>
    <s v="Belirsiz"/>
    <m/>
    <m/>
    <n v="1900"/>
    <n v="1"/>
    <n v="45782"/>
    <x v="6"/>
    <m/>
    <s v="Haklı"/>
    <x v="4"/>
    <x v="0"/>
  </r>
  <r>
    <n v="2519"/>
    <x v="8"/>
    <s v="ERTEKNİK"/>
    <d v="2025-05-05T00:00:00"/>
    <s v="AAAA"/>
    <n v="1"/>
    <s v="Belirsiz"/>
    <m/>
    <m/>
    <n v="1900"/>
    <n v="1"/>
    <n v="45782"/>
    <x v="6"/>
    <m/>
    <s v="Haklı"/>
    <x v="4"/>
    <x v="0"/>
  </r>
  <r>
    <n v="2519"/>
    <x v="8"/>
    <s v="ERTEKNİK"/>
    <d v="2025-05-05T00:00:00"/>
    <s v="AAAA"/>
    <n v="1"/>
    <s v="Belirsiz"/>
    <m/>
    <m/>
    <n v="1900"/>
    <n v="1"/>
    <n v="45782"/>
    <x v="6"/>
    <m/>
    <s v="Haklı"/>
    <x v="4"/>
    <x v="0"/>
  </r>
  <r>
    <n v="2519"/>
    <x v="8"/>
    <s v="ERTEKNİK"/>
    <d v="2025-05-05T00:00:00"/>
    <s v="AAAA"/>
    <n v="1"/>
    <s v="Belirsiz"/>
    <m/>
    <m/>
    <n v="1900"/>
    <n v="1"/>
    <n v="45782"/>
    <x v="6"/>
    <m/>
    <s v="Haklı"/>
    <x v="4"/>
    <x v="0"/>
  </r>
  <r>
    <n v="2519"/>
    <x v="8"/>
    <s v="ERTEKNİK"/>
    <d v="2025-05-05T00:00:00"/>
    <s v="AAAA"/>
    <n v="1"/>
    <s v="Belirsiz"/>
    <m/>
    <m/>
    <n v="1900"/>
    <n v="1"/>
    <n v="45782"/>
    <x v="6"/>
    <m/>
    <s v="Haklı"/>
    <x v="4"/>
    <x v="0"/>
  </r>
  <r>
    <n v="2519"/>
    <x v="8"/>
    <s v="ERTEKNİK"/>
    <d v="2025-05-05T00:00:00"/>
    <s v="AAAA"/>
    <n v="1"/>
    <s v="Belirsiz"/>
    <m/>
    <m/>
    <n v="1900"/>
    <n v="1"/>
    <n v="45782"/>
    <x v="6"/>
    <m/>
    <s v="Haklı"/>
    <x v="4"/>
    <x v="0"/>
  </r>
  <r>
    <n v="2519"/>
    <x v="8"/>
    <s v="ERTEKNİK"/>
    <d v="2025-05-05T00:00:00"/>
    <s v="AAAA"/>
    <n v="1"/>
    <s v="Belirsiz"/>
    <m/>
    <m/>
    <n v="1900"/>
    <n v="1"/>
    <n v="45782"/>
    <x v="6"/>
    <m/>
    <s v="Haklı"/>
    <x v="4"/>
    <x v="0"/>
  </r>
  <r>
    <n v="2519"/>
    <x v="8"/>
    <s v="ERTEKNİK"/>
    <d v="2025-05-05T00:00:00"/>
    <s v="AAAA"/>
    <n v="1"/>
    <s v="Belirsiz"/>
    <m/>
    <m/>
    <n v="1900"/>
    <n v="1"/>
    <n v="45782"/>
    <x v="6"/>
    <m/>
    <s v="Haklı"/>
    <x v="4"/>
    <x v="0"/>
  </r>
  <r>
    <n v="2519"/>
    <x v="8"/>
    <s v="ERTEKNİK"/>
    <d v="2025-05-05T00:00:00"/>
    <s v="AAAA"/>
    <n v="1"/>
    <s v="Belirsiz"/>
    <m/>
    <m/>
    <n v="1900"/>
    <n v="1"/>
    <n v="45782"/>
    <x v="6"/>
    <m/>
    <s v="Haklı"/>
    <x v="4"/>
    <x v="0"/>
  </r>
  <r>
    <n v="2519"/>
    <x v="8"/>
    <s v="ERTEKNİK"/>
    <d v="2025-05-05T00:00:00"/>
    <s v="AAAA"/>
    <n v="1"/>
    <s v="Belirsiz"/>
    <m/>
    <m/>
    <n v="1900"/>
    <n v="1"/>
    <n v="45782"/>
    <x v="6"/>
    <m/>
    <s v="Haklı"/>
    <x v="4"/>
    <x v="0"/>
  </r>
  <r>
    <n v="2519"/>
    <x v="8"/>
    <s v="ERTEKNİK"/>
    <d v="2025-05-05T00:00:00"/>
    <s v="AAAA"/>
    <n v="1"/>
    <s v="Belirsiz"/>
    <m/>
    <m/>
    <n v="1900"/>
    <n v="1"/>
    <n v="45782"/>
    <x v="6"/>
    <m/>
    <s v="Haklı"/>
    <x v="4"/>
    <x v="0"/>
  </r>
  <r>
    <n v="2519"/>
    <x v="8"/>
    <s v="ERTEKNİK"/>
    <d v="2025-05-05T00:00:00"/>
    <s v="AAAA"/>
    <n v="1"/>
    <s v="Belirsiz"/>
    <m/>
    <m/>
    <n v="1900"/>
    <n v="1"/>
    <n v="45782"/>
    <x v="6"/>
    <m/>
    <s v="Haklı"/>
    <x v="4"/>
    <x v="0"/>
  </r>
  <r>
    <n v="2519"/>
    <x v="8"/>
    <s v="ERTEKNİK"/>
    <d v="2025-05-05T00:00:00"/>
    <s v="AAAA"/>
    <n v="1"/>
    <s v="Belirsiz"/>
    <m/>
    <m/>
    <n v="1900"/>
    <n v="1"/>
    <n v="45782"/>
    <x v="6"/>
    <m/>
    <s v="Haklı"/>
    <x v="4"/>
    <x v="0"/>
  </r>
  <r>
    <n v="2519"/>
    <x v="8"/>
    <s v="ERTEKNİK"/>
    <d v="2025-05-05T00:00:00"/>
    <s v="AAAA"/>
    <n v="1"/>
    <s v="Belirsiz"/>
    <m/>
    <m/>
    <n v="1900"/>
    <n v="1"/>
    <n v="45782"/>
    <x v="6"/>
    <m/>
    <s v="Haklı"/>
    <x v="4"/>
    <x v="0"/>
  </r>
  <r>
    <n v="2519"/>
    <x v="8"/>
    <s v="ERTEKNİK"/>
    <d v="2025-05-05T00:00:00"/>
    <s v="AAAA"/>
    <n v="1"/>
    <s v="Belirsiz"/>
    <m/>
    <m/>
    <n v="1900"/>
    <n v="1"/>
    <n v="45782"/>
    <x v="6"/>
    <m/>
    <s v="Haklı"/>
    <x v="4"/>
    <x v="0"/>
  </r>
  <r>
    <n v="2519"/>
    <x v="8"/>
    <s v="ERTEKNİK"/>
    <d v="2025-05-05T00:00:00"/>
    <s v="AAAA"/>
    <n v="1"/>
    <s v="Belirsiz"/>
    <m/>
    <m/>
    <n v="1900"/>
    <n v="1"/>
    <n v="45782"/>
    <x v="6"/>
    <m/>
    <s v="Haklı"/>
    <x v="4"/>
    <x v="0"/>
  </r>
  <r>
    <n v="2519"/>
    <x v="8"/>
    <s v="ERTEKNİK"/>
    <d v="2025-05-05T00:00:00"/>
    <s v="AAAA"/>
    <n v="1"/>
    <s v="Belirsiz"/>
    <m/>
    <m/>
    <n v="1900"/>
    <n v="1"/>
    <n v="45782"/>
    <x v="6"/>
    <m/>
    <s v="Haklı"/>
    <x v="4"/>
    <x v="0"/>
  </r>
  <r>
    <n v="2519"/>
    <x v="8"/>
    <s v="ERTEKNİK"/>
    <d v="2025-05-05T00:00:00"/>
    <s v="AAAA"/>
    <n v="1"/>
    <s v="Belirsiz"/>
    <m/>
    <m/>
    <n v="1900"/>
    <n v="1"/>
    <n v="45782"/>
    <x v="6"/>
    <m/>
    <s v="Haklı"/>
    <x v="4"/>
    <x v="0"/>
  </r>
  <r>
    <n v="2519"/>
    <x v="8"/>
    <s v="ERTEKNİK"/>
    <d v="2025-05-05T00:00:00"/>
    <s v="AAAA"/>
    <n v="1"/>
    <s v="Belirsiz"/>
    <m/>
    <m/>
    <n v="1900"/>
    <n v="1"/>
    <n v="45782"/>
    <x v="6"/>
    <m/>
    <s v="Haklı"/>
    <x v="4"/>
    <x v="0"/>
  </r>
  <r>
    <n v="2519"/>
    <x v="8"/>
    <s v="ERTEKNİK"/>
    <d v="2025-05-05T00:00:00"/>
    <s v="AAAA"/>
    <n v="1"/>
    <s v="Belirsiz"/>
    <m/>
    <m/>
    <n v="1900"/>
    <n v="1"/>
    <n v="45782"/>
    <x v="6"/>
    <m/>
    <s v="Haklı"/>
    <x v="4"/>
    <x v="0"/>
  </r>
  <r>
    <n v="2519"/>
    <x v="8"/>
    <s v="ERTEKNİK"/>
    <d v="2025-05-05T00:00:00"/>
    <s v="AAAA"/>
    <n v="1"/>
    <s v="Belirsiz"/>
    <m/>
    <m/>
    <n v="1900"/>
    <n v="1"/>
    <n v="45782"/>
    <x v="6"/>
    <m/>
    <s v="Haklı"/>
    <x v="4"/>
    <x v="0"/>
  </r>
  <r>
    <n v="2519"/>
    <x v="8"/>
    <s v="ERTEKNİK"/>
    <d v="2025-05-05T00:00:00"/>
    <s v="AAAA"/>
    <n v="1"/>
    <s v="Belirsiz"/>
    <m/>
    <m/>
    <n v="1900"/>
    <n v="1"/>
    <n v="45782"/>
    <x v="6"/>
    <m/>
    <s v="Haklı"/>
    <x v="4"/>
    <x v="0"/>
  </r>
  <r>
    <n v="2519"/>
    <x v="8"/>
    <s v="ERTEKNİK"/>
    <d v="2025-05-05T00:00:00"/>
    <s v="AAAA"/>
    <n v="1"/>
    <s v="Belirsiz"/>
    <m/>
    <m/>
    <n v="1900"/>
    <n v="1"/>
    <n v="45782"/>
    <x v="6"/>
    <m/>
    <s v="Haklı"/>
    <x v="4"/>
    <x v="0"/>
  </r>
  <r>
    <n v="2519"/>
    <x v="8"/>
    <s v="ERTEKNİK"/>
    <d v="2025-05-05T00:00:00"/>
    <s v="AAAA"/>
    <n v="1"/>
    <s v="Belirsiz"/>
    <m/>
    <m/>
    <n v="1900"/>
    <n v="1"/>
    <n v="45782"/>
    <x v="6"/>
    <m/>
    <s v="Haklı"/>
    <x v="4"/>
    <x v="0"/>
  </r>
  <r>
    <n v="2519"/>
    <x v="8"/>
    <s v="ERTEKNİK"/>
    <d v="2025-05-05T00:00:00"/>
    <s v="AAAA"/>
    <n v="1"/>
    <s v="Belirsiz"/>
    <m/>
    <m/>
    <n v="1900"/>
    <n v="1"/>
    <n v="45782"/>
    <x v="6"/>
    <m/>
    <s v="Haklı"/>
    <x v="4"/>
    <x v="0"/>
  </r>
  <r>
    <n v="2519"/>
    <x v="8"/>
    <s v="ERTEKNİK"/>
    <d v="2025-05-05T00:00:00"/>
    <s v="AAAA"/>
    <n v="1"/>
    <s v="Belirsiz"/>
    <m/>
    <m/>
    <n v="1900"/>
    <n v="1"/>
    <n v="45782"/>
    <x v="6"/>
    <m/>
    <s v="Haklı"/>
    <x v="4"/>
    <x v="0"/>
  </r>
  <r>
    <n v="2519"/>
    <x v="8"/>
    <s v="ERTEKNİK"/>
    <d v="2025-05-05T00:00:00"/>
    <s v="AAAA"/>
    <n v="1"/>
    <s v="Belirsiz"/>
    <m/>
    <m/>
    <n v="1900"/>
    <n v="1"/>
    <n v="45782"/>
    <x v="6"/>
    <m/>
    <s v="Haklı"/>
    <x v="4"/>
    <x v="0"/>
  </r>
  <r>
    <n v="2519"/>
    <x v="8"/>
    <s v="ERTEKNİK"/>
    <d v="2025-05-05T00:00:00"/>
    <s v="AAAA"/>
    <n v="1"/>
    <s v="Belirsiz"/>
    <m/>
    <m/>
    <n v="1900"/>
    <n v="1"/>
    <n v="45782"/>
    <x v="6"/>
    <m/>
    <s v="Haklı"/>
    <x v="4"/>
    <x v="0"/>
  </r>
  <r>
    <n v="2520"/>
    <x v="9"/>
    <s v="İNCİGES"/>
    <d v="2025-05-22T00:00:00"/>
    <s v="2480108BX0047544"/>
    <n v="1"/>
    <s v="HSA-2"/>
    <m/>
    <d v="2024-08-01T00:00:00"/>
    <n v="2024"/>
    <n v="8"/>
    <n v="294"/>
    <x v="2"/>
    <s v="Tamir"/>
    <s v="Haklı"/>
    <x v="4"/>
    <x v="0"/>
  </r>
  <r>
    <n v="2520"/>
    <x v="9"/>
    <s v="İNCİGES"/>
    <d v="2025-05-22T00:00:00"/>
    <s v="2480108BX0047740"/>
    <n v="1"/>
    <s v="HSA-2"/>
    <m/>
    <d v="2024-08-01T00:00:00"/>
    <n v="2024"/>
    <n v="8"/>
    <n v="294"/>
    <x v="2"/>
    <s v="Tamir"/>
    <s v="Haklı"/>
    <x v="4"/>
    <x v="0"/>
  </r>
  <r>
    <n v="2520"/>
    <x v="9"/>
    <s v="İNCİGES"/>
    <d v="2025-05-22T00:00:00"/>
    <s v="2480108BX0027047"/>
    <n v="1"/>
    <s v="HSA-2"/>
    <m/>
    <d v="2024-08-01T00:00:00"/>
    <n v="2024"/>
    <n v="8"/>
    <n v="294"/>
    <x v="2"/>
    <s v="Tamir"/>
    <s v="Haklı"/>
    <x v="4"/>
    <x v="0"/>
  </r>
  <r>
    <n v="2520"/>
    <x v="9"/>
    <s v="İNCİGES"/>
    <d v="2025-05-22T00:00:00"/>
    <s v="2480108BX0031336"/>
    <n v="1"/>
    <s v="HSA-2"/>
    <m/>
    <d v="2024-08-01T00:00:00"/>
    <n v="2024"/>
    <n v="8"/>
    <n v="294"/>
    <x v="2"/>
    <s v="Tamir"/>
    <s v="Haklı"/>
    <x v="4"/>
    <x v="0"/>
  </r>
  <r>
    <n v="2520"/>
    <x v="9"/>
    <s v="İNCİGES"/>
    <d v="2025-05-22T00:00:00"/>
    <s v="2480108BX0030061"/>
    <n v="1"/>
    <s v="HSA-2"/>
    <m/>
    <d v="2024-08-01T00:00:00"/>
    <n v="2024"/>
    <n v="8"/>
    <n v="294"/>
    <x v="2"/>
    <s v="Tamir"/>
    <s v="Haklı"/>
    <x v="4"/>
    <x v="0"/>
  </r>
  <r>
    <n v="2520"/>
    <x v="9"/>
    <s v="İNCİGES"/>
    <d v="2025-05-22T00:00:00"/>
    <s v="2490108BX0016709"/>
    <n v="1"/>
    <s v="HSA-2"/>
    <m/>
    <d v="2024-09-01T00:00:00"/>
    <n v="2024"/>
    <n v="9"/>
    <n v="263"/>
    <x v="2"/>
    <s v="Tamir"/>
    <s v="Haklı"/>
    <x v="4"/>
    <x v="0"/>
  </r>
  <r>
    <n v="2520"/>
    <x v="9"/>
    <s v="İNCİGES"/>
    <d v="2025-05-22T00:00:00"/>
    <s v="2490108BX0011610"/>
    <n v="1"/>
    <s v="HSA-2"/>
    <m/>
    <d v="2024-09-01T00:00:00"/>
    <n v="2024"/>
    <n v="9"/>
    <n v="263"/>
    <x v="2"/>
    <s v="Tamir"/>
    <s v="Haklı"/>
    <x v="4"/>
    <x v="0"/>
  </r>
  <r>
    <n v="2520"/>
    <x v="9"/>
    <s v="İNCİGES"/>
    <d v="2025-05-22T00:00:00"/>
    <s v="2490108BX0020160"/>
    <n v="1"/>
    <s v="HSA-2"/>
    <m/>
    <d v="2024-09-01T00:00:00"/>
    <n v="2024"/>
    <n v="9"/>
    <n v="263"/>
    <x v="2"/>
    <s v="Tamir"/>
    <s v="Haklı"/>
    <x v="4"/>
    <x v="0"/>
  </r>
  <r>
    <n v="2520"/>
    <x v="9"/>
    <s v="İNCİGES"/>
    <d v="2025-05-22T00:00:00"/>
    <s v="2480108BX0034358"/>
    <n v="1"/>
    <s v="HSA-2"/>
    <m/>
    <d v="2024-08-01T00:00:00"/>
    <n v="2024"/>
    <n v="8"/>
    <n v="294"/>
    <x v="2"/>
    <s v="Tamir"/>
    <s v="Haklı"/>
    <x v="4"/>
    <x v="0"/>
  </r>
  <r>
    <n v="2520"/>
    <x v="9"/>
    <s v="İNCİGES"/>
    <d v="2025-05-22T00:00:00"/>
    <s v="2480108BX0046907"/>
    <n v="1"/>
    <s v="HSA-2"/>
    <m/>
    <d v="2024-08-01T00:00:00"/>
    <n v="2024"/>
    <n v="8"/>
    <n v="294"/>
    <x v="2"/>
    <s v="Tamir"/>
    <s v="Haklı"/>
    <x v="4"/>
    <x v="0"/>
  </r>
  <r>
    <n v="2520"/>
    <x v="9"/>
    <s v="İNCİGES"/>
    <d v="2025-05-22T00:00:00"/>
    <s v="2480108BX0044180"/>
    <n v="1"/>
    <s v="HSA-2"/>
    <m/>
    <d v="2024-08-01T00:00:00"/>
    <n v="2024"/>
    <n v="8"/>
    <n v="294"/>
    <x v="2"/>
    <s v="Tamir"/>
    <s v="Haklı"/>
    <x v="4"/>
    <x v="0"/>
  </r>
  <r>
    <n v="2520"/>
    <x v="9"/>
    <s v="İNCİGES"/>
    <d v="2025-05-22T00:00:00"/>
    <s v="2480108BX0043640"/>
    <n v="1"/>
    <s v="HSA-2"/>
    <m/>
    <d v="2024-08-01T00:00:00"/>
    <n v="2024"/>
    <n v="8"/>
    <n v="294"/>
    <x v="2"/>
    <s v="Tamir"/>
    <s v="Haklı"/>
    <x v="4"/>
    <x v="0"/>
  </r>
  <r>
    <n v="2520"/>
    <x v="9"/>
    <s v="İNCİGES"/>
    <d v="2025-05-22T00:00:00"/>
    <s v="2480108BX0042613"/>
    <n v="1"/>
    <s v="HSA-2"/>
    <m/>
    <d v="2024-08-01T00:00:00"/>
    <n v="2024"/>
    <n v="8"/>
    <n v="294"/>
    <x v="2"/>
    <s v="Tamir"/>
    <s v="Haklı"/>
    <x v="4"/>
    <x v="0"/>
  </r>
  <r>
    <n v="2520"/>
    <x v="9"/>
    <s v="İNCİGES"/>
    <d v="2025-05-22T00:00:00"/>
    <s v="2480108BX0049698"/>
    <n v="1"/>
    <s v="HSA-2"/>
    <m/>
    <d v="2024-08-01T00:00:00"/>
    <n v="2024"/>
    <n v="8"/>
    <n v="294"/>
    <x v="2"/>
    <s v="Tamir"/>
    <s v="Haklı"/>
    <x v="4"/>
    <x v="0"/>
  </r>
  <r>
    <n v="2520"/>
    <x v="9"/>
    <s v="İNCİGES"/>
    <d v="2025-05-22T00:00:00"/>
    <s v="2480108BX0050247"/>
    <n v="1"/>
    <s v="HSA-2"/>
    <m/>
    <d v="2024-08-01T00:00:00"/>
    <n v="2024"/>
    <n v="8"/>
    <n v="294"/>
    <x v="2"/>
    <s v="Tamir"/>
    <s v="Haklı"/>
    <x v="4"/>
    <x v="0"/>
  </r>
  <r>
    <n v="2520"/>
    <x v="9"/>
    <s v="İNCİGES"/>
    <d v="2025-05-22T00:00:00"/>
    <s v="2480108BX0056853"/>
    <n v="1"/>
    <s v="HSA-2"/>
    <m/>
    <d v="2024-08-01T00:00:00"/>
    <n v="2024"/>
    <n v="8"/>
    <n v="294"/>
    <x v="2"/>
    <s v="Tamir"/>
    <s v="Haklı"/>
    <x v="4"/>
    <x v="0"/>
  </r>
  <r>
    <n v="2520"/>
    <x v="9"/>
    <s v="İNCİGES"/>
    <d v="2025-05-22T00:00:00"/>
    <s v="2490108BX0024543"/>
    <n v="1"/>
    <s v="HSA-2"/>
    <m/>
    <d v="2024-09-01T00:00:00"/>
    <n v="2024"/>
    <n v="9"/>
    <n v="263"/>
    <x v="2"/>
    <s v="Tamir"/>
    <s v="Haklı"/>
    <x v="4"/>
    <x v="0"/>
  </r>
  <r>
    <n v="2520"/>
    <x v="9"/>
    <s v="İNCİGES"/>
    <d v="2025-05-22T00:00:00"/>
    <s v="2490108BX0001289"/>
    <n v="1"/>
    <s v="HSA-2"/>
    <m/>
    <d v="2024-09-01T00:00:00"/>
    <n v="2024"/>
    <n v="9"/>
    <n v="263"/>
    <x v="2"/>
    <s v="Tamir"/>
    <s v="Haklı"/>
    <x v="4"/>
    <x v="0"/>
  </r>
  <r>
    <n v="2520"/>
    <x v="9"/>
    <s v="İNCİGES"/>
    <d v="2025-05-22T00:00:00"/>
    <s v="2480108BX0045050"/>
    <n v="1"/>
    <s v="HSA-2"/>
    <m/>
    <d v="2024-08-01T00:00:00"/>
    <n v="2024"/>
    <n v="8"/>
    <n v="294"/>
    <x v="2"/>
    <s v="Tamir"/>
    <s v="Haklı"/>
    <x v="4"/>
    <x v="0"/>
  </r>
  <r>
    <n v="2520"/>
    <x v="9"/>
    <s v="İNCİGES"/>
    <d v="2025-05-22T00:00:00"/>
    <s v="24A0108BX0015971"/>
    <n v="1"/>
    <s v="HSA-2"/>
    <m/>
    <d v="2024-10-01T00:00:00"/>
    <n v="2024"/>
    <n v="10"/>
    <n v="233"/>
    <x v="2"/>
    <s v="Tamir"/>
    <s v="Haklı"/>
    <x v="4"/>
    <x v="0"/>
  </r>
  <r>
    <n v="2520"/>
    <x v="9"/>
    <s v="İNCİGES"/>
    <d v="2025-05-22T00:00:00"/>
    <s v="24A0108BX0015973"/>
    <n v="1"/>
    <s v="HSA-2"/>
    <m/>
    <d v="2024-10-01T00:00:00"/>
    <n v="2024"/>
    <n v="10"/>
    <n v="233"/>
    <x v="2"/>
    <s v="Tamir"/>
    <s v="Haklı"/>
    <x v="4"/>
    <x v="0"/>
  </r>
  <r>
    <n v="2520"/>
    <x v="9"/>
    <s v="İNCİGES"/>
    <d v="2025-05-22T00:00:00"/>
    <s v="24A0108BX0015142"/>
    <n v="1"/>
    <s v="HSA-2"/>
    <m/>
    <d v="2024-10-01T00:00:00"/>
    <n v="2024"/>
    <n v="10"/>
    <n v="233"/>
    <x v="2"/>
    <s v="Tamir"/>
    <s v="Haklı"/>
    <x v="4"/>
    <x v="0"/>
  </r>
  <r>
    <n v="2520"/>
    <x v="9"/>
    <s v="İNCİGES"/>
    <d v="2025-05-22T00:00:00"/>
    <s v="24A0108BX0009494"/>
    <n v="1"/>
    <s v="HSA-2"/>
    <m/>
    <d v="2024-10-01T00:00:00"/>
    <n v="2024"/>
    <n v="10"/>
    <n v="233"/>
    <x v="2"/>
    <s v="Tamir"/>
    <s v="Haklı"/>
    <x v="4"/>
    <x v="0"/>
  </r>
  <r>
    <n v="2520"/>
    <x v="9"/>
    <s v="İNCİGES"/>
    <d v="2025-05-22T00:00:00"/>
    <s v="24A0108BX0015247"/>
    <n v="1"/>
    <s v="HSA-2"/>
    <m/>
    <d v="2024-10-01T00:00:00"/>
    <n v="2024"/>
    <n v="10"/>
    <n v="233"/>
    <x v="2"/>
    <s v="Tamir"/>
    <s v="Haklı"/>
    <x v="4"/>
    <x v="0"/>
  </r>
  <r>
    <n v="2520"/>
    <x v="9"/>
    <s v="İNCİGES"/>
    <d v="2025-05-22T00:00:00"/>
    <s v="2490108BX0008657"/>
    <n v="1"/>
    <s v="HSA-2"/>
    <m/>
    <d v="2024-09-01T00:00:00"/>
    <n v="2024"/>
    <n v="9"/>
    <n v="263"/>
    <x v="2"/>
    <s v="Tamir"/>
    <s v="Haklı"/>
    <x v="4"/>
    <x v="0"/>
  </r>
  <r>
    <n v="2520"/>
    <x v="9"/>
    <s v="İNCİGES"/>
    <d v="2025-05-22T00:00:00"/>
    <s v="24A0108BX0014796"/>
    <n v="1"/>
    <s v="HSA-2"/>
    <m/>
    <d v="2024-10-01T00:00:00"/>
    <n v="2024"/>
    <n v="10"/>
    <n v="233"/>
    <x v="2"/>
    <s v="Tamir"/>
    <s v="Haklı"/>
    <x v="4"/>
    <x v="0"/>
  </r>
  <r>
    <n v="2520"/>
    <x v="9"/>
    <s v="İNCİGES"/>
    <d v="2025-05-22T00:00:00"/>
    <s v="24A0108BX0015930"/>
    <n v="1"/>
    <s v="HSA-2"/>
    <m/>
    <d v="2024-10-01T00:00:00"/>
    <n v="2024"/>
    <n v="10"/>
    <n v="233"/>
    <x v="2"/>
    <s v="Tamir"/>
    <s v="Haklı"/>
    <x v="4"/>
    <x v="0"/>
  </r>
  <r>
    <n v="2520"/>
    <x v="9"/>
    <s v="İNCİGES"/>
    <d v="2025-05-22T00:00:00"/>
    <s v="2490108BX0024843"/>
    <n v="1"/>
    <s v="HSA-2"/>
    <m/>
    <d v="2024-09-01T00:00:00"/>
    <n v="2024"/>
    <n v="9"/>
    <n v="263"/>
    <x v="2"/>
    <s v="Tamir"/>
    <s v="Haklı"/>
    <x v="4"/>
    <x v="0"/>
  </r>
  <r>
    <n v="2520"/>
    <x v="9"/>
    <s v="İNCİGES"/>
    <d v="2025-05-22T00:00:00"/>
    <s v="24A0108BX0012400"/>
    <n v="1"/>
    <s v="HSA-2"/>
    <m/>
    <d v="2024-10-01T00:00:00"/>
    <n v="2024"/>
    <n v="10"/>
    <n v="233"/>
    <x v="2"/>
    <s v="Tamir"/>
    <s v="Haklı"/>
    <x v="4"/>
    <x v="0"/>
  </r>
  <r>
    <n v="2520"/>
    <x v="9"/>
    <s v="İNCİGES"/>
    <d v="2025-05-22T00:00:00"/>
    <s v="24A0108BX0003749"/>
    <n v="1"/>
    <s v="HSA-2"/>
    <m/>
    <d v="2024-10-01T00:00:00"/>
    <n v="2024"/>
    <n v="10"/>
    <n v="233"/>
    <x v="2"/>
    <s v="Tamir"/>
    <s v="Haklı"/>
    <x v="4"/>
    <x v="0"/>
  </r>
  <r>
    <n v="2520"/>
    <x v="9"/>
    <s v="İNCİGES"/>
    <d v="2025-05-22T00:00:00"/>
    <s v="2480108BX0052979"/>
    <n v="1"/>
    <s v="HSA-2"/>
    <m/>
    <d v="2024-08-01T00:00:00"/>
    <n v="2024"/>
    <n v="8"/>
    <n v="294"/>
    <x v="2"/>
    <s v="Tamir"/>
    <s v="Haklı"/>
    <x v="4"/>
    <x v="0"/>
  </r>
  <r>
    <n v="2520"/>
    <x v="9"/>
    <s v="İNCİGES"/>
    <d v="2025-05-22T00:00:00"/>
    <s v="2480108BX0033080"/>
    <n v="1"/>
    <s v="HSA-2"/>
    <m/>
    <d v="2024-08-01T00:00:00"/>
    <n v="2024"/>
    <n v="8"/>
    <n v="294"/>
    <x v="2"/>
    <s v="Tamir"/>
    <s v="Haklı"/>
    <x v="4"/>
    <x v="0"/>
  </r>
  <r>
    <n v="2520"/>
    <x v="9"/>
    <s v="İNCİGES"/>
    <d v="2025-05-22T00:00:00"/>
    <s v="2480108BX0037692"/>
    <n v="1"/>
    <s v="HSA-2"/>
    <m/>
    <d v="2024-08-01T00:00:00"/>
    <n v="2024"/>
    <n v="8"/>
    <n v="294"/>
    <x v="2"/>
    <s v="Tamir"/>
    <s v="Haklı"/>
    <x v="4"/>
    <x v="0"/>
  </r>
  <r>
    <n v="2520"/>
    <x v="9"/>
    <s v="İNCİGES"/>
    <d v="2025-05-22T00:00:00"/>
    <s v="2480108BX0046979"/>
    <n v="1"/>
    <s v="HSA-2"/>
    <m/>
    <d v="2024-08-01T00:00:00"/>
    <n v="2024"/>
    <n v="8"/>
    <n v="294"/>
    <x v="2"/>
    <s v="Tamir"/>
    <s v="Haklı"/>
    <x v="4"/>
    <x v="0"/>
  </r>
  <r>
    <n v="2520"/>
    <x v="9"/>
    <s v="İNCİGES"/>
    <d v="2025-05-22T00:00:00"/>
    <s v="24A0108BX0006424"/>
    <n v="1"/>
    <s v="HSA-2"/>
    <m/>
    <d v="2024-10-01T00:00:00"/>
    <n v="2024"/>
    <n v="10"/>
    <n v="233"/>
    <x v="2"/>
    <s v="Tamir"/>
    <s v="Haklı"/>
    <x v="4"/>
    <x v="0"/>
  </r>
  <r>
    <n v="2520"/>
    <x v="9"/>
    <s v="İNCİGES"/>
    <d v="2025-05-22T00:00:00"/>
    <s v="2490108BX0000299"/>
    <n v="1"/>
    <s v="HSA-2"/>
    <m/>
    <d v="2024-09-01T00:00:00"/>
    <n v="2024"/>
    <n v="9"/>
    <n v="263"/>
    <x v="2"/>
    <s v="Tamir"/>
    <s v="Haklı"/>
    <x v="4"/>
    <x v="0"/>
  </r>
  <r>
    <n v="2520"/>
    <x v="9"/>
    <s v="İNCİGES"/>
    <d v="2025-05-22T00:00:00"/>
    <s v="2490108BX0004924"/>
    <n v="1"/>
    <s v="HSA-2"/>
    <m/>
    <d v="2024-09-01T00:00:00"/>
    <n v="2024"/>
    <n v="9"/>
    <n v="263"/>
    <x v="2"/>
    <s v="Tamir"/>
    <s v="Haklı"/>
    <x v="4"/>
    <x v="0"/>
  </r>
  <r>
    <n v="2520"/>
    <x v="9"/>
    <s v="İNCİGES"/>
    <d v="2025-05-22T00:00:00"/>
    <s v="24A0108BX0012928"/>
    <n v="1"/>
    <s v="HSA-2"/>
    <m/>
    <d v="2024-10-01T00:00:00"/>
    <n v="2024"/>
    <n v="10"/>
    <n v="233"/>
    <x v="2"/>
    <s v="Tamir"/>
    <s v="Haklı"/>
    <x v="4"/>
    <x v="0"/>
  </r>
  <r>
    <n v="2520"/>
    <x v="9"/>
    <s v="İNCİGES"/>
    <d v="2025-05-22T00:00:00"/>
    <s v="2490108BX0002991"/>
    <n v="1"/>
    <s v="HSA-2"/>
    <m/>
    <d v="2024-09-01T00:00:00"/>
    <n v="2024"/>
    <n v="9"/>
    <n v="263"/>
    <x v="2"/>
    <s v="Tamir"/>
    <s v="Haklı"/>
    <x v="4"/>
    <x v="0"/>
  </r>
  <r>
    <n v="2520"/>
    <x v="9"/>
    <s v="İNCİGES"/>
    <d v="2025-05-22T00:00:00"/>
    <s v="2490108BX0013950"/>
    <n v="1"/>
    <s v="HSA-2"/>
    <m/>
    <d v="2024-09-01T00:00:00"/>
    <n v="2024"/>
    <n v="9"/>
    <n v="263"/>
    <x v="2"/>
    <s v="Tamir"/>
    <s v="Haklı"/>
    <x v="4"/>
    <x v="0"/>
  </r>
  <r>
    <n v="2520"/>
    <x v="9"/>
    <s v="İNCİGES"/>
    <d v="2025-05-22T00:00:00"/>
    <s v="24A0108BX0013205"/>
    <n v="1"/>
    <s v="HSA-2"/>
    <m/>
    <d v="2024-10-01T00:00:00"/>
    <n v="2024"/>
    <n v="10"/>
    <n v="233"/>
    <x v="2"/>
    <s v="Tamir"/>
    <s v="Haklı"/>
    <x v="4"/>
    <x v="0"/>
  </r>
  <r>
    <n v="2520"/>
    <x v="9"/>
    <s v="İNCİGES"/>
    <d v="2025-05-22T00:00:00"/>
    <s v="2490108BX0019145"/>
    <n v="1"/>
    <s v="HSA-2"/>
    <m/>
    <d v="2024-09-01T00:00:00"/>
    <n v="2024"/>
    <n v="9"/>
    <n v="263"/>
    <x v="2"/>
    <s v="Tamir"/>
    <s v="Haklı"/>
    <x v="4"/>
    <x v="0"/>
  </r>
  <r>
    <n v="2520"/>
    <x v="9"/>
    <s v="İNCİGES"/>
    <d v="2025-05-22T00:00:00"/>
    <s v="2490108BX0019252"/>
    <n v="1"/>
    <s v="HSA-2"/>
    <m/>
    <d v="2024-09-01T00:00:00"/>
    <n v="2024"/>
    <n v="9"/>
    <n v="263"/>
    <x v="2"/>
    <s v="Tamir"/>
    <s v="Haklı"/>
    <x v="4"/>
    <x v="0"/>
  </r>
  <r>
    <n v="2520"/>
    <x v="9"/>
    <s v="İNCİGES"/>
    <d v="2025-05-22T00:00:00"/>
    <s v="2490108BX0026521"/>
    <n v="1"/>
    <s v="HSA-2"/>
    <m/>
    <d v="2024-09-01T00:00:00"/>
    <n v="2024"/>
    <n v="9"/>
    <n v="263"/>
    <x v="2"/>
    <s v="Tamir"/>
    <s v="Haklı"/>
    <x v="4"/>
    <x v="0"/>
  </r>
  <r>
    <n v="2520"/>
    <x v="9"/>
    <s v="İNCİGES"/>
    <d v="2025-05-22T00:00:00"/>
    <s v="24A0108BX0002261"/>
    <n v="1"/>
    <s v="HSA-2"/>
    <m/>
    <d v="2024-10-01T00:00:00"/>
    <n v="2024"/>
    <n v="10"/>
    <n v="233"/>
    <x v="2"/>
    <s v="Tamir"/>
    <s v="Haklı"/>
    <x v="4"/>
    <x v="0"/>
  </r>
  <r>
    <n v="2520"/>
    <x v="9"/>
    <s v="İNCİGES"/>
    <d v="2025-05-22T00:00:00"/>
    <s v="24A0108BX0000157"/>
    <n v="1"/>
    <s v="HSA-2"/>
    <m/>
    <d v="2024-10-01T00:00:00"/>
    <n v="2024"/>
    <n v="10"/>
    <n v="233"/>
    <x v="2"/>
    <s v="Tamir"/>
    <s v="Haklı"/>
    <x v="4"/>
    <x v="0"/>
  </r>
  <r>
    <n v="2520"/>
    <x v="9"/>
    <s v="İNCİGES"/>
    <d v="2025-05-22T00:00:00"/>
    <s v="2490108BX0021447"/>
    <n v="1"/>
    <s v="HSA-2"/>
    <m/>
    <d v="2024-09-01T00:00:00"/>
    <n v="2024"/>
    <n v="9"/>
    <n v="263"/>
    <x v="2"/>
    <s v="Tamir"/>
    <s v="Haklı"/>
    <x v="4"/>
    <x v="0"/>
  </r>
  <r>
    <n v="2520"/>
    <x v="9"/>
    <s v="İNCİGES"/>
    <d v="2025-05-22T00:00:00"/>
    <s v="2490108BX0018462"/>
    <n v="1"/>
    <s v="HSA-2"/>
    <m/>
    <d v="2024-09-01T00:00:00"/>
    <n v="2024"/>
    <n v="9"/>
    <n v="263"/>
    <x v="2"/>
    <s v="Tamir"/>
    <s v="Haklı"/>
    <x v="4"/>
    <x v="0"/>
  </r>
  <r>
    <n v="2520"/>
    <x v="9"/>
    <s v="İNCİGES"/>
    <d v="2025-05-22T00:00:00"/>
    <s v="2490108BX0026976"/>
    <n v="1"/>
    <s v="HSA-2"/>
    <m/>
    <d v="2024-09-01T00:00:00"/>
    <n v="2024"/>
    <n v="9"/>
    <n v="263"/>
    <x v="2"/>
    <s v="Tamir"/>
    <s v="Haklı"/>
    <x v="4"/>
    <x v="0"/>
  </r>
  <r>
    <n v="2521"/>
    <x v="10"/>
    <s v="ÖRGÜGES"/>
    <d v="2025-05-22T00:00:00"/>
    <s v="2231611MC1000771"/>
    <n v="1"/>
    <s v="HSA-1"/>
    <m/>
    <d v="2022-03-01T00:00:00"/>
    <n v="2022"/>
    <n v="3"/>
    <n v="1178"/>
    <x v="2"/>
    <s v="Tamir"/>
    <s v="Haklı"/>
    <x v="4"/>
    <x v="0"/>
  </r>
  <r>
    <n v="2521"/>
    <x v="10"/>
    <s v="ÖRGÜGES"/>
    <d v="2025-05-22T00:00:00"/>
    <s v="2231711MC1000110"/>
    <n v="1"/>
    <s v="HSA-1"/>
    <m/>
    <d v="2022-03-01T00:00:00"/>
    <n v="2022"/>
    <n v="3"/>
    <n v="1178"/>
    <x v="2"/>
    <s v="Tamir"/>
    <s v="Haklı"/>
    <x v="4"/>
    <x v="0"/>
  </r>
  <r>
    <n v="2521"/>
    <x v="10"/>
    <s v="ÖRGÜGES"/>
    <d v="2025-05-22T00:00:00"/>
    <s v="2231611MC1000473"/>
    <n v="1"/>
    <s v="HSA-1"/>
    <m/>
    <d v="2022-03-01T00:00:00"/>
    <n v="2022"/>
    <n v="3"/>
    <n v="1178"/>
    <x v="2"/>
    <s v="Tamir"/>
    <s v="Haklı"/>
    <x v="4"/>
    <x v="0"/>
  </r>
  <r>
    <n v="2521"/>
    <x v="10"/>
    <s v="ÖRGÜGES"/>
    <d v="2025-05-22T00:00:00"/>
    <s v="2231111MC0000089"/>
    <n v="1"/>
    <s v="HSA-1"/>
    <m/>
    <d v="2022-03-01T00:00:00"/>
    <n v="2022"/>
    <n v="3"/>
    <n v="1178"/>
    <x v="2"/>
    <s v="Tamir"/>
    <s v="Haklı"/>
    <x v="4"/>
    <x v="0"/>
  </r>
  <r>
    <n v="2521"/>
    <x v="10"/>
    <s v="ÖRGÜGES"/>
    <d v="2025-05-22T00:00:00"/>
    <s v="2230108BW0003025"/>
    <n v="1"/>
    <s v="HSA-1"/>
    <m/>
    <d v="2022-03-01T00:00:00"/>
    <n v="2022"/>
    <n v="3"/>
    <n v="1178"/>
    <x v="2"/>
    <s v="Tamir"/>
    <s v="Haklı"/>
    <x v="4"/>
    <x v="0"/>
  </r>
  <r>
    <n v="2521"/>
    <x v="10"/>
    <s v="ÖRGÜGES"/>
    <d v="2025-05-22T00:00:00"/>
    <s v="2230108BW0002685"/>
    <n v="1"/>
    <s v="HSA-1"/>
    <m/>
    <d v="2022-03-01T00:00:00"/>
    <n v="2022"/>
    <n v="3"/>
    <n v="1178"/>
    <x v="2"/>
    <s v="Tamir"/>
    <s v="Haklı"/>
    <x v="4"/>
    <x v="0"/>
  </r>
  <r>
    <n v="2521"/>
    <x v="10"/>
    <s v="ÖRGÜGES"/>
    <d v="2025-05-22T00:00:00"/>
    <s v="2231211MC0000143"/>
    <n v="1"/>
    <s v="HSA-1"/>
    <m/>
    <d v="2022-03-01T00:00:00"/>
    <n v="2022"/>
    <n v="3"/>
    <n v="1178"/>
    <x v="2"/>
    <s v="Tamir"/>
    <s v="Haklı"/>
    <x v="4"/>
    <x v="0"/>
  </r>
  <r>
    <n v="2521"/>
    <x v="10"/>
    <s v="ÖRGÜGES"/>
    <d v="2025-05-22T00:00:00"/>
    <s v="2230108BW0002424"/>
    <n v="1"/>
    <s v="HSA-1"/>
    <m/>
    <d v="2022-03-01T00:00:00"/>
    <n v="2022"/>
    <n v="3"/>
    <n v="1178"/>
    <x v="2"/>
    <s v="Tamir"/>
    <s v="Haklı"/>
    <x v="4"/>
    <x v="0"/>
  </r>
  <r>
    <n v="2521"/>
    <x v="10"/>
    <s v="ÖRGÜGES"/>
    <d v="2025-05-22T00:00:00"/>
    <s v="2231511MC1000417"/>
    <n v="1"/>
    <s v="HSA-1"/>
    <m/>
    <d v="2022-03-01T00:00:00"/>
    <n v="2022"/>
    <n v="3"/>
    <n v="1178"/>
    <x v="2"/>
    <s v="Tamir"/>
    <s v="Haklı"/>
    <x v="4"/>
    <x v="0"/>
  </r>
  <r>
    <n v="2521"/>
    <x v="10"/>
    <s v="ÖRGÜGES"/>
    <d v="2025-05-22T00:00:00"/>
    <s v="2231611MC1000637"/>
    <n v="1"/>
    <s v="HSA-1"/>
    <m/>
    <d v="2022-03-01T00:00:00"/>
    <n v="2022"/>
    <n v="3"/>
    <n v="1178"/>
    <x v="2"/>
    <s v="Tamir"/>
    <s v="Haklı"/>
    <x v="4"/>
    <x v="0"/>
  </r>
  <r>
    <n v="2521"/>
    <x v="10"/>
    <s v="ÖRGÜGES"/>
    <d v="2025-05-22T00:00:00"/>
    <s v="2231611MC1000589"/>
    <n v="1"/>
    <s v="HSA-1"/>
    <m/>
    <d v="2022-03-01T00:00:00"/>
    <n v="2022"/>
    <n v="3"/>
    <n v="1178"/>
    <x v="2"/>
    <s v="Tamir"/>
    <s v="Haklı"/>
    <x v="4"/>
    <x v="0"/>
  </r>
  <r>
    <n v="2521"/>
    <x v="10"/>
    <s v="ÖRGÜGES"/>
    <d v="2025-05-22T00:00:00"/>
    <s v="2231611MC1000421"/>
    <n v="1"/>
    <s v="HSA-1"/>
    <m/>
    <d v="2022-03-01T00:00:00"/>
    <n v="2022"/>
    <n v="3"/>
    <n v="1178"/>
    <x v="2"/>
    <s v="Tamir"/>
    <s v="Haklı"/>
    <x v="4"/>
    <x v="0"/>
  </r>
  <r>
    <n v="2521"/>
    <x v="10"/>
    <s v="ÖRGÜGES"/>
    <d v="2025-05-22T00:00:00"/>
    <s v="2231611MC1000770"/>
    <n v="1"/>
    <s v="HSA-1"/>
    <m/>
    <d v="2022-03-01T00:00:00"/>
    <n v="2022"/>
    <n v="3"/>
    <n v="1178"/>
    <x v="2"/>
    <s v="Tamir"/>
    <s v="Haklı"/>
    <x v="4"/>
    <x v="0"/>
  </r>
  <r>
    <n v="2521"/>
    <x v="10"/>
    <s v="ÖRGÜGES"/>
    <d v="2025-05-22T00:00:00"/>
    <s v="2230811MC0000605"/>
    <n v="1"/>
    <s v="HSA-1"/>
    <m/>
    <d v="2022-03-01T00:00:00"/>
    <n v="2022"/>
    <n v="3"/>
    <n v="1178"/>
    <x v="2"/>
    <s v="Tamir"/>
    <s v="Haklı"/>
    <x v="4"/>
    <x v="0"/>
  </r>
  <r>
    <n v="2521"/>
    <x v="10"/>
    <s v="ÖRGÜGES"/>
    <d v="2025-05-22T00:00:00"/>
    <s v="2231611MC1000778"/>
    <n v="1"/>
    <s v="HSA-1"/>
    <m/>
    <d v="2022-03-01T00:00:00"/>
    <n v="2022"/>
    <n v="3"/>
    <n v="1178"/>
    <x v="2"/>
    <s v="Tamir"/>
    <s v="Haklı"/>
    <x v="4"/>
    <x v="0"/>
  </r>
  <r>
    <n v="2521"/>
    <x v="10"/>
    <s v="ÖRGÜGES"/>
    <d v="2025-05-22T00:00:00"/>
    <s v="2231511MC1000429"/>
    <n v="1"/>
    <s v="HSA-1"/>
    <m/>
    <d v="2022-03-01T00:00:00"/>
    <n v="2022"/>
    <n v="3"/>
    <n v="1178"/>
    <x v="2"/>
    <s v="Tamir"/>
    <s v="Haklı"/>
    <x v="4"/>
    <x v="0"/>
  </r>
  <r>
    <n v="2522"/>
    <x v="11"/>
    <s v="ELEKTAENERJİ"/>
    <d v="2025-05-28T00:00:00"/>
    <s v="2520107BW001889"/>
    <n v="1"/>
    <s v="HSA-1"/>
    <m/>
    <d v="2025-02-01T00:00:00"/>
    <n v="2025"/>
    <n v="2"/>
    <n v="116"/>
    <x v="8"/>
    <m/>
    <s v="Haksız"/>
    <x v="4"/>
    <x v="0"/>
  </r>
  <r>
    <n v="2523"/>
    <x v="12"/>
    <s v="BİM"/>
    <d v="2025-06-17T00:00:00"/>
    <s v="24B0108MC2003551"/>
    <n v="1"/>
    <s v="HSA-2"/>
    <m/>
    <d v="2024-11-01T00:00:00"/>
    <n v="2024"/>
    <n v="11"/>
    <n v="228"/>
    <x v="2"/>
    <m/>
    <s v="Devam Ediyor"/>
    <x v="5"/>
    <x v="0"/>
  </r>
  <r>
    <n v="2523"/>
    <x v="12"/>
    <s v="BİM"/>
    <d v="2025-06-17T00:00:00"/>
    <s v="24B0108MC2006053"/>
    <n v="1"/>
    <s v="HSA-2"/>
    <m/>
    <d v="2024-11-01T00:00:00"/>
    <n v="2024"/>
    <n v="11"/>
    <n v="228"/>
    <x v="2"/>
    <m/>
    <s v="Devam Ediyor"/>
    <x v="5"/>
    <x v="0"/>
  </r>
  <r>
    <n v="2523"/>
    <x v="12"/>
    <s v="BİM"/>
    <d v="2025-06-17T00:00:00"/>
    <s v="24B0108MC2010697"/>
    <n v="1"/>
    <s v="HSA-2"/>
    <m/>
    <d v="2024-11-01T00:00:00"/>
    <n v="2024"/>
    <n v="11"/>
    <n v="228"/>
    <x v="2"/>
    <m/>
    <s v="Devam Ediyor"/>
    <x v="5"/>
    <x v="0"/>
  </r>
  <r>
    <n v="2523"/>
    <x v="12"/>
    <s v="BİM"/>
    <d v="2025-06-17T00:00:00"/>
    <s v="24B0108MC2002559"/>
    <n v="1"/>
    <s v="HSA-2"/>
    <m/>
    <d v="2024-11-01T00:00:00"/>
    <n v="2024"/>
    <n v="11"/>
    <n v="228"/>
    <x v="2"/>
    <m/>
    <s v="Devam Ediyor"/>
    <x v="5"/>
    <x v="0"/>
  </r>
  <r>
    <n v="2523"/>
    <x v="12"/>
    <s v="BİM"/>
    <d v="2025-06-17T00:00:00"/>
    <s v="24B0108MC2001760"/>
    <n v="1"/>
    <s v="HSA-2"/>
    <m/>
    <d v="2024-11-01T00:00:00"/>
    <n v="2024"/>
    <n v="11"/>
    <n v="228"/>
    <x v="2"/>
    <m/>
    <s v="Devam Ediyor"/>
    <x v="5"/>
    <x v="0"/>
  </r>
  <r>
    <n v="2523"/>
    <x v="12"/>
    <s v="BİM"/>
    <d v="2025-06-17T00:00:00"/>
    <s v="24B0108MC2003365"/>
    <n v="1"/>
    <s v="HSA-2"/>
    <m/>
    <d v="2024-11-01T00:00:00"/>
    <n v="2024"/>
    <n v="11"/>
    <n v="228"/>
    <x v="2"/>
    <m/>
    <s v="Devam Ediyor"/>
    <x v="5"/>
    <x v="0"/>
  </r>
  <r>
    <n v="2523"/>
    <x v="12"/>
    <s v="BİM"/>
    <d v="2025-06-17T00:00:00"/>
    <s v="24B0108MC2002208"/>
    <n v="1"/>
    <s v="HSA-2"/>
    <m/>
    <d v="2024-11-01T00:00:00"/>
    <n v="2024"/>
    <n v="11"/>
    <n v="228"/>
    <x v="2"/>
    <m/>
    <s v="Devam Ediyor"/>
    <x v="5"/>
    <x v="0"/>
  </r>
  <r>
    <n v="2523"/>
    <x v="12"/>
    <s v="BİM"/>
    <d v="2025-06-17T00:00:00"/>
    <s v="24A0108MC2008619"/>
    <n v="1"/>
    <s v="HSA-2"/>
    <m/>
    <d v="2024-10-01T00:00:00"/>
    <n v="2024"/>
    <n v="10"/>
    <n v="259"/>
    <x v="2"/>
    <m/>
    <s v="Devam Ediyor"/>
    <x v="5"/>
    <x v="0"/>
  </r>
  <r>
    <n v="2523"/>
    <x v="12"/>
    <s v="BİM"/>
    <d v="2025-06-17T00:00:00"/>
    <s v="24A0108MC2004336"/>
    <n v="1"/>
    <s v="HSA-2"/>
    <m/>
    <d v="2024-10-01T00:00:00"/>
    <n v="2024"/>
    <n v="10"/>
    <n v="259"/>
    <x v="2"/>
    <m/>
    <s v="Devam Ediyor"/>
    <x v="5"/>
    <x v="0"/>
  </r>
  <r>
    <n v="2523"/>
    <x v="12"/>
    <s v="BİM"/>
    <d v="2025-06-17T00:00:00"/>
    <s v="24B0108MC2009202"/>
    <n v="1"/>
    <s v="HSA-2"/>
    <m/>
    <d v="2024-11-01T00:00:00"/>
    <n v="2024"/>
    <n v="11"/>
    <n v="228"/>
    <x v="2"/>
    <m/>
    <s v="Devam Ediyor"/>
    <x v="5"/>
    <x v="0"/>
  </r>
  <r>
    <n v="2523"/>
    <x v="12"/>
    <s v="BİM"/>
    <d v="2025-06-17T00:00:00"/>
    <s v="24B0108MC2012295"/>
    <n v="1"/>
    <s v="HSA-2"/>
    <m/>
    <d v="2024-11-01T00:00:00"/>
    <n v="2024"/>
    <n v="11"/>
    <n v="228"/>
    <x v="2"/>
    <m/>
    <s v="Devam Ediyor"/>
    <x v="5"/>
    <x v="0"/>
  </r>
  <r>
    <n v="2523"/>
    <x v="12"/>
    <s v="BİM"/>
    <d v="2025-06-17T00:00:00"/>
    <s v="24A0108MC2014957"/>
    <n v="1"/>
    <s v="HSA-2"/>
    <m/>
    <d v="2024-10-01T00:00:00"/>
    <n v="2024"/>
    <n v="10"/>
    <n v="259"/>
    <x v="2"/>
    <m/>
    <s v="Devam Ediyor"/>
    <x v="5"/>
    <x v="0"/>
  </r>
  <r>
    <n v="2523"/>
    <x v="12"/>
    <s v="BİM"/>
    <d v="2025-06-17T00:00:00"/>
    <s v="24A0108MC2011925"/>
    <n v="1"/>
    <s v="HSA-2"/>
    <m/>
    <d v="2024-10-01T00:00:00"/>
    <n v="2024"/>
    <n v="10"/>
    <n v="259"/>
    <x v="2"/>
    <m/>
    <s v="Devam Ediyor"/>
    <x v="5"/>
    <x v="0"/>
  </r>
  <r>
    <n v="2523"/>
    <x v="12"/>
    <s v="BİM"/>
    <d v="2025-06-17T00:00:00"/>
    <s v="24B0108MC2007757"/>
    <n v="1"/>
    <s v="HSA-2"/>
    <m/>
    <d v="2024-11-01T00:00:00"/>
    <n v="2024"/>
    <n v="11"/>
    <n v="228"/>
    <x v="2"/>
    <m/>
    <s v="Devam Ediyor"/>
    <x v="5"/>
    <x v="0"/>
  </r>
  <r>
    <n v="2524"/>
    <x v="0"/>
    <s v="ABMEVPROJESİ"/>
    <d v="2025-06-19T00:00:00"/>
    <s v="24B0108MC2017016"/>
    <n v="1"/>
    <s v="HSA-2"/>
    <m/>
    <d v="2024-10-01T00:00:00"/>
    <n v="2024"/>
    <n v="10"/>
    <n v="261"/>
    <x v="1"/>
    <m/>
    <s v="Haksız"/>
    <x v="5"/>
    <x v="0"/>
  </r>
  <r>
    <n v="2525"/>
    <x v="0"/>
    <s v="RAMADAARAZİGES"/>
    <d v="2025-06-19T00:00:00"/>
    <s v="2360108MC1000905"/>
    <n v="1"/>
    <s v="HSA-2"/>
    <m/>
    <d v="2023-06-01T00:00:00"/>
    <n v="2023"/>
    <n v="6"/>
    <n v="749"/>
    <x v="2"/>
    <s v="Tamir"/>
    <s v="Haklı"/>
    <x v="5"/>
    <x v="0"/>
  </r>
  <r>
    <n v="2525"/>
    <x v="0"/>
    <s v="RAMADAARAZİGES"/>
    <d v="2025-06-19T00:00:00"/>
    <s v="2350108MC1013620"/>
    <n v="1"/>
    <s v="HSA-2"/>
    <m/>
    <d v="2023-05-01T00:00:00"/>
    <n v="2023"/>
    <n v="5"/>
    <n v="780"/>
    <x v="2"/>
    <s v="Tamir"/>
    <s v="Haklı"/>
    <x v="5"/>
    <x v="0"/>
  </r>
  <r>
    <n v="2526"/>
    <x v="0"/>
    <s v="ADALYA"/>
    <d v="2025-06-19T00:00:00"/>
    <s v="2320108MC2022139"/>
    <n v="1"/>
    <s v="HSA-2"/>
    <m/>
    <d v="2023-02-01T00:00:00"/>
    <n v="2023"/>
    <n v="2"/>
    <n v="869"/>
    <x v="2"/>
    <s v="Tamir"/>
    <s v="Haklı"/>
    <x v="5"/>
    <x v="0"/>
  </r>
  <r>
    <n v="2527"/>
    <x v="13"/>
    <s v="DEMSAN"/>
    <d v="2025-07-01T00:00:00"/>
    <s v="22C0108BW0054242"/>
    <n v="1"/>
    <s v="HSA-1"/>
    <m/>
    <d v="2022-12-01T00:00:00"/>
    <n v="2022"/>
    <n v="12"/>
    <n v="943"/>
    <x v="7"/>
    <s v="Değişim"/>
    <s v="Haklı"/>
    <x v="6"/>
    <x v="0"/>
  </r>
  <r>
    <n v="2527"/>
    <x v="13"/>
    <s v="DEMSAN"/>
    <d v="2025-07-01T00:00:00"/>
    <s v="2310108MC1000459"/>
    <n v="1"/>
    <s v="HSA-1"/>
    <m/>
    <d v="2023-01-01T00:00:00"/>
    <n v="2023"/>
    <n v="1"/>
    <n v="912"/>
    <x v="7"/>
    <m/>
    <s v="Haksız"/>
    <x v="6"/>
    <x v="0"/>
  </r>
  <r>
    <n v="2527"/>
    <x v="13"/>
    <s v="DEMSAN"/>
    <d v="2025-07-01T00:00:00"/>
    <s v="2310108MC1000038"/>
    <n v="1"/>
    <s v="HSA-1"/>
    <m/>
    <d v="2023-01-01T00:00:00"/>
    <n v="2023"/>
    <n v="1"/>
    <n v="912"/>
    <x v="2"/>
    <s v="Tamir"/>
    <s v="Haklı"/>
    <x v="6"/>
    <x v="0"/>
  </r>
  <r>
    <n v="2527"/>
    <x v="13"/>
    <s v="DEMSAN"/>
    <d v="2025-07-01T00:00:00"/>
    <s v="2310108MC1000370"/>
    <n v="1"/>
    <s v="HSA-1"/>
    <m/>
    <d v="2023-01-01T00:00:00"/>
    <n v="2023"/>
    <n v="1"/>
    <n v="912"/>
    <x v="7"/>
    <s v="Değişim"/>
    <s v="Haklı"/>
    <x v="6"/>
    <x v="0"/>
  </r>
  <r>
    <n v="2528"/>
    <x v="1"/>
    <s v="TİRSANKARDAN"/>
    <d v="2025-07-01T00:00:00"/>
    <s v="2410108BX0011336"/>
    <n v="1"/>
    <s v="HSA-2"/>
    <m/>
    <d v="2024-01-01T00:00:00"/>
    <n v="2024"/>
    <n v="1"/>
    <n v="547"/>
    <x v="9"/>
    <m/>
    <s v="Haksız"/>
    <x v="6"/>
    <x v="0"/>
  </r>
  <r>
    <n v="2529"/>
    <x v="14"/>
    <s v="ALKANMAKİNE"/>
    <d v="2025-07-25T00:00:00"/>
    <s v="2310108MC2019548"/>
    <n v="1"/>
    <s v="HSA-2"/>
    <m/>
    <d v="2023-01-01T00:00:00"/>
    <n v="2023"/>
    <n v="1"/>
    <n v="936"/>
    <x v="7"/>
    <m/>
    <s v="Haksız"/>
    <x v="6"/>
    <x v="0"/>
  </r>
  <r>
    <n v="2529"/>
    <x v="14"/>
    <s v="ALKANMAKİNE"/>
    <d v="2025-07-25T00:00:00"/>
    <s v="2310108MC2019244"/>
    <n v="1"/>
    <s v="HSA-2"/>
    <m/>
    <d v="2023-01-01T00:00:00"/>
    <n v="2023"/>
    <n v="1"/>
    <n v="936"/>
    <x v="7"/>
    <m/>
    <s v="Haksız"/>
    <x v="6"/>
    <x v="0"/>
  </r>
  <r>
    <n v="2529"/>
    <x v="14"/>
    <s v="ALKANMAKİNE"/>
    <d v="2025-07-25T00:00:00"/>
    <s v="2330108MC2001285"/>
    <n v="1"/>
    <s v="HSA-2"/>
    <m/>
    <d v="2023-03-01T00:00:00"/>
    <n v="2023"/>
    <n v="3"/>
    <n v="877"/>
    <x v="7"/>
    <m/>
    <s v="Haksız"/>
    <x v="6"/>
    <x v="0"/>
  </r>
  <r>
    <n v="2529"/>
    <x v="14"/>
    <s v="ALKANMAKİNE"/>
    <d v="2025-07-25T00:00:00"/>
    <s v="2310108MC2019289"/>
    <n v="1"/>
    <s v="HSA-2"/>
    <m/>
    <d v="2023-01-01T00:00:00"/>
    <n v="2023"/>
    <n v="1"/>
    <n v="936"/>
    <x v="7"/>
    <m/>
    <s v="Haksız"/>
    <x v="6"/>
    <x v="0"/>
  </r>
  <r>
    <n v="2529"/>
    <x v="14"/>
    <s v="ALKANMAKİNE"/>
    <d v="2025-07-25T00:00:00"/>
    <s v="2310108MC2019693"/>
    <n v="1"/>
    <s v="HSA-2"/>
    <m/>
    <d v="2023-01-01T00:00:00"/>
    <n v="2023"/>
    <n v="1"/>
    <n v="936"/>
    <x v="7"/>
    <m/>
    <s v="Haksız"/>
    <x v="6"/>
    <x v="0"/>
  </r>
  <r>
    <n v="2529"/>
    <x v="14"/>
    <s v="ALKANMAKİNE"/>
    <d v="2025-07-25T00:00:00"/>
    <s v="2320108MC2037333"/>
    <n v="1"/>
    <s v="HSA-2"/>
    <m/>
    <d v="2023-02-01T00:00:00"/>
    <n v="2023"/>
    <n v="2"/>
    <n v="905"/>
    <x v="7"/>
    <m/>
    <s v="Haksız"/>
    <x v="6"/>
    <x v="0"/>
  </r>
  <r>
    <n v="2529"/>
    <x v="14"/>
    <s v="ALKANMAKİNE"/>
    <d v="2025-07-25T00:00:00"/>
    <s v="2320108MC2035512"/>
    <n v="1"/>
    <s v="HSA-2"/>
    <m/>
    <d v="2023-02-01T00:00:00"/>
    <n v="2023"/>
    <n v="2"/>
    <n v="905"/>
    <x v="7"/>
    <m/>
    <s v="Haksız"/>
    <x v="6"/>
    <x v="0"/>
  </r>
  <r>
    <n v="2529"/>
    <x v="14"/>
    <s v="ALKANMAKİNE"/>
    <d v="2025-07-25T00:00:00"/>
    <s v="2330108MC2010439"/>
    <n v="1"/>
    <s v="HSA-2"/>
    <m/>
    <d v="2023-03-01T00:00:00"/>
    <n v="2023"/>
    <n v="3"/>
    <n v="877"/>
    <x v="7"/>
    <m/>
    <s v="Haksız"/>
    <x v="6"/>
    <x v="0"/>
  </r>
  <r>
    <n v="2529"/>
    <x v="14"/>
    <s v="ALKANMAKİNE"/>
    <d v="2025-07-25T00:00:00"/>
    <s v="2330108MC2010217"/>
    <n v="1"/>
    <s v="HSA-2"/>
    <m/>
    <d v="2023-03-01T00:00:00"/>
    <n v="2023"/>
    <n v="3"/>
    <n v="877"/>
    <x v="7"/>
    <m/>
    <s v="Haksız"/>
    <x v="6"/>
    <x v="0"/>
  </r>
  <r>
    <n v="2529"/>
    <x v="14"/>
    <s v="ALKANMAKİNE"/>
    <d v="2025-07-25T00:00:00"/>
    <s v="2330108MC2010188"/>
    <n v="1"/>
    <s v="HSA-2"/>
    <m/>
    <d v="2023-03-01T00:00:00"/>
    <n v="2023"/>
    <n v="3"/>
    <n v="877"/>
    <x v="7"/>
    <m/>
    <s v="Haksız"/>
    <x v="6"/>
    <x v="0"/>
  </r>
  <r>
    <n v="2529"/>
    <x v="14"/>
    <s v="ALKANMAKİNE"/>
    <d v="2025-07-25T00:00:00"/>
    <s v="2330108MC2010101"/>
    <n v="1"/>
    <s v="HSA-2"/>
    <m/>
    <d v="2023-03-01T00:00:00"/>
    <n v="2023"/>
    <n v="3"/>
    <n v="877"/>
    <x v="7"/>
    <m/>
    <s v="Haksız"/>
    <x v="6"/>
    <x v="0"/>
  </r>
  <r>
    <n v="2529"/>
    <x v="14"/>
    <s v="ALKANMAKİNE"/>
    <d v="2025-07-25T00:00:00"/>
    <s v="2330108MC2010110"/>
    <n v="1"/>
    <s v="HSA-2"/>
    <m/>
    <d v="2023-03-01T00:00:00"/>
    <n v="2023"/>
    <n v="3"/>
    <n v="877"/>
    <x v="7"/>
    <m/>
    <s v="Haksız"/>
    <x v="6"/>
    <x v="0"/>
  </r>
  <r>
    <n v="2530"/>
    <x v="15"/>
    <s v="PVLUXENERJI"/>
    <d v="2025-08-04T00:00:00"/>
    <s v="E3FXT425A039990036200025"/>
    <n v="1"/>
    <s v="HSA-2"/>
    <s v="MAVİÇAM"/>
    <d v="2025-03-01T00:00:00"/>
    <n v="2025"/>
    <n v="3"/>
    <n v="156"/>
    <x v="1"/>
    <m/>
    <s v="Haksız"/>
    <x v="7"/>
    <x v="0"/>
  </r>
  <r>
    <n v="2531"/>
    <x v="16"/>
    <s v="BORTAR YEMEK"/>
    <d v="2025-07-28T00:00:00"/>
    <s v="E4FXT425F119990045000497"/>
    <n v="1"/>
    <s v="HSA-1"/>
    <m/>
    <m/>
    <n v="1900"/>
    <n v="1"/>
    <n v="45866"/>
    <x v="10"/>
    <m/>
    <s v="Haksız"/>
    <x v="6"/>
    <x v="0"/>
  </r>
  <r>
    <n v="2531"/>
    <x v="16"/>
    <s v="BORTAR YEMEK"/>
    <d v="2025-07-28T00:00:00"/>
    <s v="E4FXT425F129990045001907"/>
    <n v="1"/>
    <s v="HSA-1"/>
    <m/>
    <m/>
    <n v="1900"/>
    <n v="1"/>
    <n v="45866"/>
    <x v="11"/>
    <m/>
    <s v="Haksız"/>
    <x v="6"/>
    <x v="0"/>
  </r>
  <r>
    <n v="2531"/>
    <x v="16"/>
    <s v="BORTAR YEMEK"/>
    <d v="2025-07-28T00:00:00"/>
    <s v="E4FXT425F119990045001346"/>
    <n v="1"/>
    <s v="HSA-1"/>
    <m/>
    <m/>
    <n v="1900"/>
    <n v="1"/>
    <n v="45866"/>
    <x v="12"/>
    <m/>
    <s v="Haksız"/>
    <x v="6"/>
    <x v="0"/>
  </r>
  <r>
    <n v="2531"/>
    <x v="16"/>
    <s v="BORTAR YEMEK"/>
    <d v="2025-07-28T00:00:00"/>
    <s v="E4FXT425F119990045000189"/>
    <n v="1"/>
    <s v="HSA-1"/>
    <m/>
    <m/>
    <n v="1900"/>
    <n v="1"/>
    <n v="45866"/>
    <x v="11"/>
    <m/>
    <s v="Haksız"/>
    <x v="6"/>
    <x v="0"/>
  </r>
  <r>
    <n v="2531"/>
    <x v="16"/>
    <s v="BORTAR YEMEK"/>
    <d v="2025-07-28T00:00:00"/>
    <s v="E4FXT425F129990045001509"/>
    <n v="1"/>
    <s v="HSA-1"/>
    <m/>
    <m/>
    <n v="1900"/>
    <n v="1"/>
    <n v="45866"/>
    <x v="12"/>
    <m/>
    <s v="Haksız"/>
    <x v="6"/>
    <x v="0"/>
  </r>
  <r>
    <n v="2531"/>
    <x v="16"/>
    <s v="BORTAR YEMEK"/>
    <d v="2025-07-28T00:00:00"/>
    <s v="E4FXT425F119990045000405"/>
    <n v="1"/>
    <s v="HSA-1"/>
    <m/>
    <m/>
    <n v="1900"/>
    <n v="1"/>
    <n v="45866"/>
    <x v="13"/>
    <m/>
    <s v="Haksız"/>
    <x v="6"/>
    <x v="0"/>
  </r>
  <r>
    <n v="2532"/>
    <x v="0"/>
    <s v="AKGÜÇ"/>
    <d v="2025-07-30T00:00:00"/>
    <s v="2490107BW0033928"/>
    <n v="1"/>
    <s v="HSA-1"/>
    <m/>
    <m/>
    <n v="1900"/>
    <n v="1"/>
    <n v="45868"/>
    <x v="7"/>
    <m/>
    <s v="Haksız"/>
    <x v="6"/>
    <x v="0"/>
  </r>
  <r>
    <n v="2532"/>
    <x v="0"/>
    <s v="AKGÜÇ"/>
    <d v="2025-07-30T00:00:00"/>
    <s v="2490107BW0033727"/>
    <n v="1"/>
    <s v="HSA-1"/>
    <m/>
    <m/>
    <n v="1900"/>
    <n v="1"/>
    <n v="45868"/>
    <x v="7"/>
    <m/>
    <s v="Haksız"/>
    <x v="6"/>
    <x v="0"/>
  </r>
  <r>
    <n v="2532"/>
    <x v="0"/>
    <s v="AKGÜÇ"/>
    <d v="2025-07-30T00:00:00"/>
    <s v="2490107BW0033719"/>
    <n v="1"/>
    <s v="HSA-1"/>
    <m/>
    <m/>
    <n v="1900"/>
    <n v="1"/>
    <n v="45868"/>
    <x v="7"/>
    <m/>
    <s v="Haksız"/>
    <x v="6"/>
    <x v="0"/>
  </r>
  <r>
    <n v="2532"/>
    <x v="0"/>
    <s v="AKGÜÇ"/>
    <d v="2025-07-30T00:00:00"/>
    <s v="2490107BW0034082"/>
    <n v="1"/>
    <s v="HSA-1"/>
    <m/>
    <m/>
    <n v="1900"/>
    <n v="1"/>
    <n v="45868"/>
    <x v="7"/>
    <m/>
    <s v="Haksız"/>
    <x v="6"/>
    <x v="0"/>
  </r>
  <r>
    <n v="2532"/>
    <x v="0"/>
    <s v="AKGÜÇ"/>
    <d v="2025-07-30T00:00:00"/>
    <s v="2490107BW0034003"/>
    <n v="1"/>
    <s v="HSA-1"/>
    <m/>
    <m/>
    <n v="1900"/>
    <n v="1"/>
    <n v="45868"/>
    <x v="7"/>
    <m/>
    <s v="Haksız"/>
    <x v="6"/>
    <x v="0"/>
  </r>
  <r>
    <n v="2532"/>
    <x v="0"/>
    <s v="AKGÜÇ"/>
    <d v="2025-07-30T00:00:00"/>
    <s v="2490107BW0034024"/>
    <n v="1"/>
    <s v="HSA-1"/>
    <m/>
    <m/>
    <n v="1900"/>
    <n v="1"/>
    <n v="45868"/>
    <x v="7"/>
    <m/>
    <s v="Haksız"/>
    <x v="6"/>
    <x v="0"/>
  </r>
  <r>
    <n v="2532"/>
    <x v="0"/>
    <s v="AKGÜÇ"/>
    <d v="2025-07-30T00:00:00"/>
    <s v="2490107BW0034104"/>
    <n v="1"/>
    <s v="HSA-1"/>
    <m/>
    <m/>
    <n v="1900"/>
    <n v="1"/>
    <n v="45868"/>
    <x v="7"/>
    <m/>
    <s v="Haksız"/>
    <x v="6"/>
    <x v="0"/>
  </r>
  <r>
    <n v="2532"/>
    <x v="0"/>
    <s v="AKGÜÇ"/>
    <d v="2025-07-30T00:00:00"/>
    <s v="2490107BW0034124"/>
    <n v="1"/>
    <s v="HSA-1"/>
    <m/>
    <m/>
    <n v="1900"/>
    <n v="1"/>
    <n v="45868"/>
    <x v="7"/>
    <m/>
    <s v="Haksız"/>
    <x v="6"/>
    <x v="0"/>
  </r>
  <r>
    <n v="2532"/>
    <x v="0"/>
    <s v="AKGÜÇ"/>
    <d v="2025-07-30T00:00:00"/>
    <s v="2490107BW0033972"/>
    <n v="1"/>
    <s v="HSA-1"/>
    <m/>
    <m/>
    <n v="1900"/>
    <n v="1"/>
    <n v="45868"/>
    <x v="7"/>
    <m/>
    <s v="Haksız"/>
    <x v="6"/>
    <x v="0"/>
  </r>
  <r>
    <n v="2532"/>
    <x v="0"/>
    <s v="AKGÜÇ"/>
    <d v="2025-07-30T00:00:00"/>
    <s v="2490107BW0034088"/>
    <n v="1"/>
    <s v="HSA-1"/>
    <m/>
    <m/>
    <n v="1900"/>
    <n v="1"/>
    <n v="45868"/>
    <x v="7"/>
    <m/>
    <s v="Haksız"/>
    <x v="6"/>
    <x v="0"/>
  </r>
  <r>
    <n v="2532"/>
    <x v="0"/>
    <s v="AKGÜÇ"/>
    <d v="2025-07-30T00:00:00"/>
    <s v="2490107BW0033944"/>
    <n v="1"/>
    <s v="HSA-1"/>
    <m/>
    <m/>
    <n v="1900"/>
    <n v="1"/>
    <n v="45868"/>
    <x v="7"/>
    <m/>
    <s v="Haksız"/>
    <x v="6"/>
    <x v="0"/>
  </r>
  <r>
    <n v="2532"/>
    <x v="0"/>
    <s v="AKGÜÇ"/>
    <d v="2025-07-30T00:00:00"/>
    <s v="2490107BW0034081"/>
    <n v="1"/>
    <s v="HSA-1"/>
    <m/>
    <m/>
    <n v="1900"/>
    <n v="1"/>
    <n v="45868"/>
    <x v="7"/>
    <m/>
    <s v="Haksız"/>
    <x v="6"/>
    <x v="0"/>
  </r>
  <r>
    <n v="2532"/>
    <x v="0"/>
    <s v="AKGÜÇ"/>
    <d v="2025-07-30T00:00:00"/>
    <s v="2490107BW0004059"/>
    <n v="1"/>
    <s v="HSA-1"/>
    <m/>
    <m/>
    <n v="1900"/>
    <n v="1"/>
    <n v="45868"/>
    <x v="7"/>
    <m/>
    <s v="Haksız"/>
    <x v="6"/>
    <x v="0"/>
  </r>
  <r>
    <n v="2532"/>
    <x v="0"/>
    <s v="AKGÜÇ"/>
    <d v="2025-07-30T00:00:00"/>
    <s v="2490107BW0004233"/>
    <n v="1"/>
    <s v="HSA-1"/>
    <m/>
    <m/>
    <n v="1900"/>
    <n v="1"/>
    <n v="45868"/>
    <x v="7"/>
    <m/>
    <s v="Haksız"/>
    <x v="6"/>
    <x v="0"/>
  </r>
  <r>
    <n v="2532"/>
    <x v="0"/>
    <s v="AKGÜÇ"/>
    <d v="2025-07-30T00:00:00"/>
    <s v="2490107BW0004217"/>
    <n v="1"/>
    <s v="HSA-1"/>
    <m/>
    <m/>
    <n v="1900"/>
    <n v="1"/>
    <n v="45868"/>
    <x v="7"/>
    <m/>
    <s v="Haksız"/>
    <x v="6"/>
    <x v="0"/>
  </r>
  <r>
    <n v="2532"/>
    <x v="0"/>
    <s v="AKGÜÇ"/>
    <d v="2025-07-30T00:00:00"/>
    <s v="2490107BW0003597"/>
    <n v="1"/>
    <s v="HSA-1"/>
    <m/>
    <m/>
    <n v="1900"/>
    <n v="1"/>
    <n v="45868"/>
    <x v="7"/>
    <m/>
    <s v="Haksız"/>
    <x v="6"/>
    <x v="0"/>
  </r>
  <r>
    <n v="2532"/>
    <x v="0"/>
    <s v="AKGÜÇ"/>
    <d v="2025-07-30T00:00:00"/>
    <s v="2490107BW0004102"/>
    <n v="1"/>
    <s v="HSA-1"/>
    <m/>
    <m/>
    <n v="1900"/>
    <n v="1"/>
    <n v="45868"/>
    <x v="7"/>
    <m/>
    <s v="Haksız"/>
    <x v="6"/>
    <x v="0"/>
  </r>
  <r>
    <n v="2532"/>
    <x v="0"/>
    <s v="AKGÜÇ"/>
    <d v="2025-07-30T00:00:00"/>
    <s v="2490107BW0004038"/>
    <n v="1"/>
    <s v="HSA-1"/>
    <m/>
    <m/>
    <n v="1900"/>
    <n v="1"/>
    <n v="45868"/>
    <x v="7"/>
    <m/>
    <s v="Haksız"/>
    <x v="6"/>
    <x v="0"/>
  </r>
  <r>
    <n v="2532"/>
    <x v="0"/>
    <s v="AKGÜÇ"/>
    <d v="2025-07-30T00:00:00"/>
    <s v="2490107BW0004128"/>
    <n v="1"/>
    <s v="HSA-1"/>
    <m/>
    <m/>
    <n v="1900"/>
    <n v="1"/>
    <n v="45868"/>
    <x v="7"/>
    <m/>
    <s v="Haksız"/>
    <x v="6"/>
    <x v="0"/>
  </r>
  <r>
    <n v="2532"/>
    <x v="0"/>
    <s v="AKGÜÇ"/>
    <d v="2025-07-30T00:00:00"/>
    <s v="2490107BW0004166"/>
    <n v="1"/>
    <s v="HSA-1"/>
    <m/>
    <m/>
    <n v="1900"/>
    <n v="1"/>
    <n v="45868"/>
    <x v="7"/>
    <m/>
    <s v="Haksız"/>
    <x v="6"/>
    <x v="0"/>
  </r>
  <r>
    <n v="2532"/>
    <x v="0"/>
    <s v="AKGÜÇ"/>
    <d v="2025-07-30T00:00:00"/>
    <s v="2490107BW0004055"/>
    <n v="1"/>
    <s v="HSA-1"/>
    <m/>
    <m/>
    <n v="1900"/>
    <n v="1"/>
    <n v="45868"/>
    <x v="7"/>
    <m/>
    <s v="Haksız"/>
    <x v="6"/>
    <x v="0"/>
  </r>
  <r>
    <n v="2532"/>
    <x v="0"/>
    <s v="AKGÜÇ"/>
    <d v="2025-07-30T00:00:00"/>
    <s v="2490107BW0003666"/>
    <n v="1"/>
    <s v="HSA-1"/>
    <m/>
    <m/>
    <n v="1900"/>
    <n v="1"/>
    <n v="45868"/>
    <x v="7"/>
    <m/>
    <s v="Haksız"/>
    <x v="6"/>
    <x v="0"/>
  </r>
  <r>
    <n v="2532"/>
    <x v="0"/>
    <s v="AKGÜÇ"/>
    <d v="2025-07-30T00:00:00"/>
    <s v="2490107BW0003572"/>
    <n v="1"/>
    <s v="HSA-1"/>
    <m/>
    <m/>
    <n v="1900"/>
    <n v="1"/>
    <n v="45868"/>
    <x v="7"/>
    <m/>
    <s v="Haksız"/>
    <x v="6"/>
    <x v="0"/>
  </r>
  <r>
    <n v="2532"/>
    <x v="0"/>
    <s v="AKGÜÇ"/>
    <d v="2025-07-30T00:00:00"/>
    <s v="2490107BW0003376"/>
    <n v="1"/>
    <s v="HSA-1"/>
    <m/>
    <m/>
    <n v="1900"/>
    <n v="1"/>
    <n v="45868"/>
    <x v="7"/>
    <m/>
    <s v="Haksız"/>
    <x v="6"/>
    <x v="0"/>
  </r>
  <r>
    <n v="2532"/>
    <x v="0"/>
    <s v="AKGÜÇ"/>
    <d v="2025-07-30T00:00:00"/>
    <s v="2490107BW0001956"/>
    <n v="1"/>
    <s v="HSA-1"/>
    <m/>
    <m/>
    <n v="1900"/>
    <n v="1"/>
    <n v="45868"/>
    <x v="7"/>
    <m/>
    <s v="Haksız"/>
    <x v="6"/>
    <x v="0"/>
  </r>
  <r>
    <n v="2532"/>
    <x v="0"/>
    <s v="AKGÜÇ"/>
    <d v="2025-07-30T00:00:00"/>
    <s v="2490107BW0002441"/>
    <n v="1"/>
    <s v="HSA-1"/>
    <m/>
    <m/>
    <n v="1900"/>
    <n v="1"/>
    <n v="45868"/>
    <x v="7"/>
    <m/>
    <s v="Haksız"/>
    <x v="6"/>
    <x v="0"/>
  </r>
  <r>
    <n v="2532"/>
    <x v="0"/>
    <s v="AKGÜÇ"/>
    <d v="2025-07-30T00:00:00"/>
    <s v="2490107BW0002242"/>
    <n v="1"/>
    <s v="HSA-1"/>
    <m/>
    <m/>
    <n v="1900"/>
    <n v="1"/>
    <n v="45868"/>
    <x v="7"/>
    <m/>
    <s v="Haksız"/>
    <x v="6"/>
    <x v="0"/>
  </r>
  <r>
    <n v="2532"/>
    <x v="0"/>
    <s v="AKGÜÇ"/>
    <d v="2025-07-30T00:00:00"/>
    <s v="2490107BW0031573"/>
    <n v="1"/>
    <s v="HSA-1"/>
    <m/>
    <m/>
    <n v="1900"/>
    <n v="1"/>
    <n v="45868"/>
    <x v="7"/>
    <m/>
    <s v="Haksız"/>
    <x v="6"/>
    <x v="0"/>
  </r>
  <r>
    <n v="2532"/>
    <x v="0"/>
    <s v="AKGÜÇ"/>
    <d v="2025-07-30T00:00:00"/>
    <s v="2490107BW0031657"/>
    <n v="1"/>
    <s v="HSA-1"/>
    <m/>
    <m/>
    <n v="1900"/>
    <n v="1"/>
    <n v="45868"/>
    <x v="7"/>
    <m/>
    <s v="Haksız"/>
    <x v="6"/>
    <x v="0"/>
  </r>
  <r>
    <n v="2532"/>
    <x v="0"/>
    <s v="AKGÜÇ"/>
    <d v="2025-07-30T00:00:00"/>
    <s v="2490107BW0031629"/>
    <n v="1"/>
    <s v="HSA-1"/>
    <m/>
    <m/>
    <n v="1900"/>
    <n v="1"/>
    <n v="45868"/>
    <x v="7"/>
    <m/>
    <s v="Haksız"/>
    <x v="6"/>
    <x v="0"/>
  </r>
  <r>
    <n v="2532"/>
    <x v="0"/>
    <s v="AKGÜÇ"/>
    <d v="2025-07-30T00:00:00"/>
    <s v="2490107BW0031656"/>
    <n v="1"/>
    <s v="HSA-1"/>
    <m/>
    <m/>
    <n v="1900"/>
    <n v="1"/>
    <n v="45868"/>
    <x v="7"/>
    <m/>
    <s v="Haksız"/>
    <x v="6"/>
    <x v="0"/>
  </r>
  <r>
    <n v="2532"/>
    <x v="0"/>
    <s v="AKGÜÇ"/>
    <d v="2025-07-30T00:00:00"/>
    <s v="2490107BW0002460"/>
    <n v="1"/>
    <s v="HSA-1"/>
    <m/>
    <m/>
    <n v="1900"/>
    <n v="1"/>
    <n v="45868"/>
    <x v="7"/>
    <m/>
    <s v="Haksız"/>
    <x v="6"/>
    <x v="0"/>
  </r>
  <r>
    <n v="2532"/>
    <x v="0"/>
    <s v="AKGÜÇ"/>
    <d v="2025-07-30T00:00:00"/>
    <s v="2490107BW0002448"/>
    <n v="1"/>
    <s v="HSA-1"/>
    <m/>
    <m/>
    <n v="1900"/>
    <n v="1"/>
    <n v="45868"/>
    <x v="7"/>
    <m/>
    <s v="Haksız"/>
    <x v="6"/>
    <x v="0"/>
  </r>
  <r>
    <n v="2532"/>
    <x v="0"/>
    <s v="AKGÜÇ"/>
    <d v="2025-07-30T00:00:00"/>
    <s v="2490107BW0031511"/>
    <n v="1"/>
    <s v="HSA-1"/>
    <m/>
    <m/>
    <n v="1900"/>
    <n v="1"/>
    <n v="45868"/>
    <x v="7"/>
    <m/>
    <s v="Haksız"/>
    <x v="6"/>
    <x v="0"/>
  </r>
  <r>
    <n v="2532"/>
    <x v="0"/>
    <s v="AKGÜÇ"/>
    <d v="2025-07-30T00:00:00"/>
    <s v="2490107BW0031659"/>
    <n v="1"/>
    <s v="HSA-1"/>
    <m/>
    <m/>
    <n v="1900"/>
    <n v="1"/>
    <n v="45868"/>
    <x v="7"/>
    <m/>
    <s v="Haksız"/>
    <x v="6"/>
    <x v="0"/>
  </r>
  <r>
    <n v="2532"/>
    <x v="0"/>
    <s v="AKGÜÇ"/>
    <d v="2025-07-30T00:00:00"/>
    <s v="2490107BW0001957"/>
    <n v="1"/>
    <s v="HSA-1"/>
    <m/>
    <m/>
    <n v="1900"/>
    <n v="1"/>
    <n v="45868"/>
    <x v="7"/>
    <m/>
    <s v="Haksız"/>
    <x v="6"/>
    <x v="0"/>
  </r>
  <r>
    <n v="2532"/>
    <x v="0"/>
    <s v="AKGÜÇ"/>
    <d v="2025-07-30T00:00:00"/>
    <s v="2490107BW0031362"/>
    <n v="1"/>
    <s v="HSA-1"/>
    <m/>
    <m/>
    <n v="1900"/>
    <n v="1"/>
    <n v="45868"/>
    <x v="7"/>
    <m/>
    <s v="Haksız"/>
    <x v="6"/>
    <x v="0"/>
  </r>
  <r>
    <n v="2532"/>
    <x v="0"/>
    <s v="AKGÜÇ"/>
    <d v="2025-07-30T00:00:00"/>
    <s v="2480107BW0002426"/>
    <n v="1"/>
    <s v="HSA-1"/>
    <m/>
    <m/>
    <n v="1900"/>
    <n v="1"/>
    <n v="45868"/>
    <x v="7"/>
    <m/>
    <s v="Haksız"/>
    <x v="6"/>
    <x v="0"/>
  </r>
  <r>
    <n v="2532"/>
    <x v="0"/>
    <s v="AKGÜÇ"/>
    <d v="2025-07-30T00:00:00"/>
    <s v="2480107BW0002438"/>
    <n v="1"/>
    <s v="HSA-1"/>
    <m/>
    <m/>
    <n v="1900"/>
    <n v="1"/>
    <n v="45868"/>
    <x v="7"/>
    <m/>
    <s v="Haksız"/>
    <x v="6"/>
    <x v="0"/>
  </r>
  <r>
    <n v="2532"/>
    <x v="0"/>
    <s v="AKGÜÇ"/>
    <d v="2025-07-30T00:00:00"/>
    <s v="2490107BW0032204"/>
    <n v="1"/>
    <s v="HSA-1"/>
    <m/>
    <m/>
    <n v="1900"/>
    <n v="1"/>
    <n v="45868"/>
    <x v="7"/>
    <m/>
    <s v="Haksız"/>
    <x v="6"/>
    <x v="0"/>
  </r>
  <r>
    <n v="2532"/>
    <x v="0"/>
    <s v="AKGÜÇ"/>
    <d v="2025-07-30T00:00:00"/>
    <s v="2490107BW0032299"/>
    <n v="1"/>
    <s v="HSA-1"/>
    <m/>
    <m/>
    <n v="1900"/>
    <n v="1"/>
    <n v="45868"/>
    <x v="7"/>
    <m/>
    <s v="Haksız"/>
    <x v="6"/>
    <x v="0"/>
  </r>
  <r>
    <n v="2532"/>
    <x v="0"/>
    <s v="AKGÜÇ"/>
    <d v="2025-07-30T00:00:00"/>
    <s v="2490107BW0003076"/>
    <n v="1"/>
    <s v="HSA-1"/>
    <m/>
    <m/>
    <n v="1900"/>
    <n v="1"/>
    <n v="45868"/>
    <x v="7"/>
    <m/>
    <s v="Haksız"/>
    <x v="6"/>
    <x v="0"/>
  </r>
  <r>
    <n v="2532"/>
    <x v="0"/>
    <s v="AKGÜÇ"/>
    <d v="2025-07-30T00:00:00"/>
    <s v="2480107BW0003139"/>
    <n v="1"/>
    <s v="HSA-1"/>
    <m/>
    <m/>
    <n v="1900"/>
    <n v="1"/>
    <n v="45868"/>
    <x v="7"/>
    <m/>
    <s v="Haksız"/>
    <x v="6"/>
    <x v="0"/>
  </r>
  <r>
    <n v="2532"/>
    <x v="0"/>
    <s v="AKGÜÇ"/>
    <d v="2025-07-30T00:00:00"/>
    <s v="2490107BW0032128"/>
    <n v="1"/>
    <s v="HSA-1"/>
    <m/>
    <m/>
    <n v="1900"/>
    <n v="1"/>
    <n v="45868"/>
    <x v="7"/>
    <m/>
    <s v="Haksız"/>
    <x v="6"/>
    <x v="0"/>
  </r>
  <r>
    <n v="2532"/>
    <x v="0"/>
    <s v="AKGÜÇ"/>
    <d v="2025-07-30T00:00:00"/>
    <s v="2490107BW0032350"/>
    <n v="1"/>
    <s v="HSA-1"/>
    <m/>
    <m/>
    <n v="1900"/>
    <n v="1"/>
    <n v="45868"/>
    <x v="7"/>
    <m/>
    <s v="Haksız"/>
    <x v="6"/>
    <x v="0"/>
  </r>
  <r>
    <n v="2532"/>
    <x v="0"/>
    <s v="AKGÜÇ"/>
    <d v="2025-07-30T00:00:00"/>
    <s v="2480107BW0003118"/>
    <n v="1"/>
    <s v="HSA-1"/>
    <m/>
    <m/>
    <n v="1900"/>
    <n v="1"/>
    <n v="45868"/>
    <x v="7"/>
    <m/>
    <s v="Haksız"/>
    <x v="6"/>
    <x v="0"/>
  </r>
  <r>
    <n v="2532"/>
    <x v="0"/>
    <s v="AKGÜÇ"/>
    <d v="2025-07-30T00:00:00"/>
    <s v="2480107BW0003123"/>
    <n v="1"/>
    <s v="HSA-1"/>
    <m/>
    <m/>
    <n v="1900"/>
    <n v="1"/>
    <n v="45868"/>
    <x v="7"/>
    <m/>
    <s v="Haksız"/>
    <x v="6"/>
    <x v="0"/>
  </r>
  <r>
    <n v="2532"/>
    <x v="0"/>
    <s v="AKGÜÇ"/>
    <d v="2025-07-30T00:00:00"/>
    <s v="2480107BW0031934"/>
    <n v="1"/>
    <s v="HSA-1"/>
    <m/>
    <m/>
    <n v="1900"/>
    <n v="1"/>
    <n v="45868"/>
    <x v="7"/>
    <m/>
    <s v="Haksız"/>
    <x v="6"/>
    <x v="0"/>
  </r>
  <r>
    <n v="2532"/>
    <x v="0"/>
    <s v="AKGÜÇ"/>
    <d v="2025-07-30T00:00:00"/>
    <s v="2480107BW0032406"/>
    <n v="1"/>
    <s v="HSA-1"/>
    <m/>
    <m/>
    <n v="1900"/>
    <n v="1"/>
    <n v="45868"/>
    <x v="7"/>
    <m/>
    <s v="Haksız"/>
    <x v="6"/>
    <x v="0"/>
  </r>
  <r>
    <n v="2532"/>
    <x v="0"/>
    <s v="AKGÜÇ"/>
    <d v="2025-07-30T00:00:00"/>
    <s v="2490107BW003235"/>
    <n v="1"/>
    <s v="HSA-1"/>
    <m/>
    <m/>
    <n v="1900"/>
    <n v="1"/>
    <n v="45868"/>
    <x v="7"/>
    <m/>
    <s v="Haksız"/>
    <x v="6"/>
    <x v="0"/>
  </r>
  <r>
    <n v="2532"/>
    <x v="0"/>
    <s v="AKGÜÇ"/>
    <d v="2025-07-30T00:00:00"/>
    <s v="2480107BW0032359"/>
    <n v="1"/>
    <s v="HSA-1"/>
    <m/>
    <m/>
    <n v="1900"/>
    <n v="1"/>
    <n v="45868"/>
    <x v="7"/>
    <m/>
    <s v="Haksız"/>
    <x v="6"/>
    <x v="0"/>
  </r>
  <r>
    <n v="2532"/>
    <x v="0"/>
    <s v="AKGÜÇ"/>
    <d v="2025-07-30T00:00:00"/>
    <s v="2480107BW0032391"/>
    <n v="1"/>
    <s v="HSA-1"/>
    <m/>
    <m/>
    <n v="1900"/>
    <n v="1"/>
    <n v="45868"/>
    <x v="7"/>
    <m/>
    <s v="Haksız"/>
    <x v="6"/>
    <x v="0"/>
  </r>
  <r>
    <n v="2532"/>
    <x v="0"/>
    <s v="AKGÜÇ"/>
    <d v="2025-07-30T00:00:00"/>
    <s v="2480107BW0033564"/>
    <n v="1"/>
    <s v="HSA-1"/>
    <m/>
    <m/>
    <n v="1900"/>
    <n v="1"/>
    <n v="45868"/>
    <x v="7"/>
    <m/>
    <s v="Haksız"/>
    <x v="6"/>
    <x v="0"/>
  </r>
  <r>
    <n v="2532"/>
    <x v="0"/>
    <s v="AKGÜÇ"/>
    <d v="2025-07-30T00:00:00"/>
    <s v="2480107BW0033510"/>
    <n v="1"/>
    <s v="HSA-1"/>
    <m/>
    <m/>
    <n v="1900"/>
    <n v="1"/>
    <n v="45868"/>
    <x v="7"/>
    <m/>
    <s v="Haksız"/>
    <x v="6"/>
    <x v="0"/>
  </r>
  <r>
    <n v="2532"/>
    <x v="0"/>
    <s v="AKGÜÇ"/>
    <d v="2025-07-30T00:00:00"/>
    <s v="2480107BW0033537"/>
    <n v="1"/>
    <s v="HSA-1"/>
    <m/>
    <m/>
    <n v="1900"/>
    <n v="1"/>
    <n v="45868"/>
    <x v="7"/>
    <m/>
    <s v="Haksız"/>
    <x v="6"/>
    <x v="0"/>
  </r>
  <r>
    <n v="2532"/>
    <x v="0"/>
    <s v="AKGÜÇ"/>
    <d v="2025-07-30T00:00:00"/>
    <s v="2480107BW0032298"/>
    <n v="1"/>
    <s v="HSA-1"/>
    <m/>
    <m/>
    <n v="1900"/>
    <n v="1"/>
    <n v="45868"/>
    <x v="7"/>
    <m/>
    <s v="Haksız"/>
    <x v="6"/>
    <x v="0"/>
  </r>
  <r>
    <n v="2532"/>
    <x v="0"/>
    <s v="AKGÜÇ"/>
    <d v="2025-07-30T00:00:00"/>
    <s v="2480107BW0032348"/>
    <n v="1"/>
    <s v="HSA-1"/>
    <m/>
    <m/>
    <n v="1900"/>
    <n v="1"/>
    <n v="45868"/>
    <x v="7"/>
    <m/>
    <s v="Haksız"/>
    <x v="6"/>
    <x v="0"/>
  </r>
  <r>
    <n v="2532"/>
    <x v="0"/>
    <s v="AKGÜÇ"/>
    <d v="2025-07-30T00:00:00"/>
    <s v="2480107BW0033442"/>
    <n v="1"/>
    <s v="HSA-1"/>
    <m/>
    <m/>
    <n v="1900"/>
    <n v="1"/>
    <n v="45868"/>
    <x v="7"/>
    <m/>
    <s v="Haksız"/>
    <x v="6"/>
    <x v="0"/>
  </r>
  <r>
    <n v="2532"/>
    <x v="0"/>
    <s v="AKGÜÇ"/>
    <d v="2025-07-30T00:00:00"/>
    <s v="2480107BW0033560"/>
    <n v="1"/>
    <s v="HSA-1"/>
    <m/>
    <m/>
    <n v="1900"/>
    <n v="1"/>
    <n v="45868"/>
    <x v="7"/>
    <m/>
    <s v="Haksız"/>
    <x v="6"/>
    <x v="0"/>
  </r>
  <r>
    <n v="2532"/>
    <x v="0"/>
    <s v="AKGÜÇ"/>
    <d v="2025-07-30T00:00:00"/>
    <s v="2480107BW0031757"/>
    <n v="1"/>
    <s v="HSA-1"/>
    <m/>
    <m/>
    <n v="1900"/>
    <n v="1"/>
    <n v="45868"/>
    <x v="7"/>
    <m/>
    <s v="Haksız"/>
    <x v="6"/>
    <x v="0"/>
  </r>
  <r>
    <n v="2532"/>
    <x v="0"/>
    <s v="AKGÜÇ"/>
    <d v="2025-07-30T00:00:00"/>
    <s v="2480107BW0032420"/>
    <n v="1"/>
    <s v="HSA-1"/>
    <m/>
    <m/>
    <n v="1900"/>
    <n v="1"/>
    <n v="45868"/>
    <x v="7"/>
    <m/>
    <s v="Haksız"/>
    <x v="6"/>
    <x v="0"/>
  </r>
  <r>
    <n v="2532"/>
    <x v="0"/>
    <s v="AKGÜÇ"/>
    <d v="2025-07-30T00:00:00"/>
    <s v="2480107BW0033497"/>
    <n v="1"/>
    <s v="HSA-1"/>
    <m/>
    <m/>
    <n v="1900"/>
    <n v="1"/>
    <n v="45868"/>
    <x v="7"/>
    <m/>
    <s v="Haksız"/>
    <x v="6"/>
    <x v="0"/>
  </r>
  <r>
    <n v="2532"/>
    <x v="0"/>
    <s v="AKGÜÇ"/>
    <d v="2025-07-30T00:00:00"/>
    <s v="2480107BW0033562"/>
    <n v="1"/>
    <s v="HSA-1"/>
    <m/>
    <m/>
    <n v="1900"/>
    <n v="1"/>
    <n v="45868"/>
    <x v="7"/>
    <m/>
    <s v="Haksız"/>
    <x v="6"/>
    <x v="0"/>
  </r>
  <r>
    <n v="2532"/>
    <x v="0"/>
    <s v="AKGÜÇ"/>
    <d v="2025-07-30T00:00:00"/>
    <s v="2480107BW0032446"/>
    <n v="1"/>
    <s v="HSA-1"/>
    <m/>
    <m/>
    <n v="1900"/>
    <n v="1"/>
    <n v="45868"/>
    <x v="7"/>
    <m/>
    <s v="Haksız"/>
    <x v="6"/>
    <x v="0"/>
  </r>
  <r>
    <n v="2532"/>
    <x v="0"/>
    <s v="AKGÜÇ"/>
    <d v="2025-07-30T00:00:00"/>
    <s v="2480107BW0032487"/>
    <n v="1"/>
    <s v="HSA-1"/>
    <m/>
    <m/>
    <n v="1900"/>
    <n v="1"/>
    <n v="45868"/>
    <x v="7"/>
    <m/>
    <s v="Haksız"/>
    <x v="6"/>
    <x v="0"/>
  </r>
  <r>
    <n v="2532"/>
    <x v="0"/>
    <s v="AKGÜÇ"/>
    <d v="2025-07-30T00:00:00"/>
    <s v="2480107BW0033518"/>
    <n v="1"/>
    <s v="HSA-1"/>
    <m/>
    <m/>
    <n v="1900"/>
    <n v="1"/>
    <n v="45868"/>
    <x v="7"/>
    <m/>
    <s v="Haksız"/>
    <x v="6"/>
    <x v="0"/>
  </r>
  <r>
    <n v="2532"/>
    <x v="0"/>
    <s v="AKGÜÇ"/>
    <d v="2025-07-30T00:00:00"/>
    <s v="2480107BW0033513"/>
    <n v="1"/>
    <s v="HSA-1"/>
    <m/>
    <m/>
    <n v="1900"/>
    <n v="1"/>
    <n v="45868"/>
    <x v="7"/>
    <m/>
    <s v="Haksız"/>
    <x v="6"/>
    <x v="0"/>
  </r>
  <r>
    <n v="2532"/>
    <x v="0"/>
    <s v="AKGÜÇ"/>
    <d v="2025-07-30T00:00:00"/>
    <s v="2480107BW0032507"/>
    <n v="1"/>
    <s v="HSA-1"/>
    <m/>
    <m/>
    <n v="1900"/>
    <n v="1"/>
    <n v="45868"/>
    <x v="7"/>
    <m/>
    <s v="Haksız"/>
    <x v="6"/>
    <x v="0"/>
  </r>
  <r>
    <n v="2532"/>
    <x v="0"/>
    <s v="AKGÜÇ"/>
    <d v="2025-07-30T00:00:00"/>
    <s v="2480107BW0032584"/>
    <n v="1"/>
    <s v="HSA-1"/>
    <m/>
    <m/>
    <n v="1900"/>
    <n v="1"/>
    <n v="45868"/>
    <x v="7"/>
    <m/>
    <s v="Haksız"/>
    <x v="6"/>
    <x v="0"/>
  </r>
  <r>
    <n v="2532"/>
    <x v="0"/>
    <s v="AKGÜÇ"/>
    <d v="2025-07-30T00:00:00"/>
    <s v="2480107BW0033516"/>
    <n v="1"/>
    <s v="HSA-1"/>
    <m/>
    <m/>
    <n v="1900"/>
    <n v="1"/>
    <n v="45868"/>
    <x v="7"/>
    <m/>
    <s v="Haksız"/>
    <x v="6"/>
    <x v="0"/>
  </r>
  <r>
    <n v="2532"/>
    <x v="0"/>
    <s v="AKGÜÇ"/>
    <d v="2025-07-30T00:00:00"/>
    <s v="2480107BW0033843"/>
    <n v="1"/>
    <s v="HSA-1"/>
    <m/>
    <m/>
    <n v="1900"/>
    <n v="1"/>
    <n v="45868"/>
    <x v="7"/>
    <m/>
    <s v="Haksız"/>
    <x v="6"/>
    <x v="0"/>
  </r>
  <r>
    <n v="2532"/>
    <x v="0"/>
    <s v="AKGÜÇ"/>
    <d v="2025-07-30T00:00:00"/>
    <s v="2480107BW0032473"/>
    <n v="1"/>
    <s v="HSA-1"/>
    <m/>
    <m/>
    <n v="1900"/>
    <n v="1"/>
    <n v="45868"/>
    <x v="7"/>
    <m/>
    <s v="Haksız"/>
    <x v="6"/>
    <x v="0"/>
  </r>
  <r>
    <n v="2532"/>
    <x v="0"/>
    <s v="AKGÜÇ"/>
    <d v="2025-07-30T00:00:00"/>
    <s v="2480107BW0032632"/>
    <n v="1"/>
    <s v="HSA-1"/>
    <m/>
    <m/>
    <n v="1900"/>
    <n v="1"/>
    <n v="45868"/>
    <x v="7"/>
    <m/>
    <s v="Haksız"/>
    <x v="6"/>
    <x v="0"/>
  </r>
  <r>
    <n v="2532"/>
    <x v="0"/>
    <s v="AKGÜÇ"/>
    <d v="2025-07-30T00:00:00"/>
    <s v="2480107BW0033539"/>
    <n v="1"/>
    <s v="HSA-1"/>
    <m/>
    <m/>
    <n v="1900"/>
    <n v="1"/>
    <n v="45868"/>
    <x v="7"/>
    <m/>
    <s v="Haksız"/>
    <x v="6"/>
    <x v="0"/>
  </r>
  <r>
    <n v="2532"/>
    <x v="0"/>
    <s v="AKGÜÇ"/>
    <d v="2025-07-30T00:00:00"/>
    <s v="2480107BW0033174"/>
    <n v="1"/>
    <s v="HSA-1"/>
    <m/>
    <m/>
    <n v="1900"/>
    <n v="1"/>
    <n v="45868"/>
    <x v="7"/>
    <m/>
    <s v="Haksız"/>
    <x v="6"/>
    <x v="0"/>
  </r>
  <r>
    <n v="2532"/>
    <x v="0"/>
    <s v="AKGÜÇ"/>
    <d v="2025-07-30T00:00:00"/>
    <s v="2480107BW0032647"/>
    <n v="1"/>
    <s v="HSA-1"/>
    <m/>
    <m/>
    <n v="1900"/>
    <n v="1"/>
    <n v="45868"/>
    <x v="7"/>
    <m/>
    <s v="Haksız"/>
    <x v="6"/>
    <x v="0"/>
  </r>
  <r>
    <n v="2532"/>
    <x v="0"/>
    <s v="AKGÜÇ"/>
    <d v="2025-07-30T00:00:00"/>
    <s v="2480107BW0032620"/>
    <n v="1"/>
    <s v="HSA-1"/>
    <m/>
    <m/>
    <n v="1900"/>
    <n v="1"/>
    <n v="45868"/>
    <x v="7"/>
    <m/>
    <s v="Haksız"/>
    <x v="6"/>
    <x v="0"/>
  </r>
  <r>
    <n v="2532"/>
    <x v="0"/>
    <s v="AKGÜÇ"/>
    <d v="2025-07-30T00:00:00"/>
    <s v="2480107BW0032954"/>
    <n v="1"/>
    <s v="HSA-1"/>
    <m/>
    <m/>
    <n v="1900"/>
    <n v="1"/>
    <n v="45868"/>
    <x v="7"/>
    <m/>
    <s v="Haksız"/>
    <x v="6"/>
    <x v="0"/>
  </r>
  <r>
    <n v="2532"/>
    <x v="0"/>
    <s v="AKGÜÇ"/>
    <d v="2025-07-30T00:00:00"/>
    <s v="2480107BW0032884"/>
    <n v="1"/>
    <s v="HSA-1"/>
    <m/>
    <m/>
    <n v="1900"/>
    <n v="1"/>
    <n v="45868"/>
    <x v="7"/>
    <m/>
    <s v="Haksız"/>
    <x v="6"/>
    <x v="0"/>
  </r>
  <r>
    <n v="2532"/>
    <x v="0"/>
    <s v="AKGÜÇ"/>
    <d v="2025-07-30T00:00:00"/>
    <s v="2480107BW0032938"/>
    <n v="1"/>
    <s v="HSA-1"/>
    <m/>
    <m/>
    <n v="1900"/>
    <n v="1"/>
    <n v="45868"/>
    <x v="7"/>
    <m/>
    <s v="Haksız"/>
    <x v="6"/>
    <x v="0"/>
  </r>
  <r>
    <n v="2532"/>
    <x v="0"/>
    <s v="AKGÜÇ"/>
    <d v="2025-07-30T00:00:00"/>
    <s v="2480107BW0032939"/>
    <n v="1"/>
    <s v="HSA-1"/>
    <m/>
    <m/>
    <n v="1900"/>
    <n v="1"/>
    <n v="45868"/>
    <x v="7"/>
    <m/>
    <s v="Haksız"/>
    <x v="6"/>
    <x v="0"/>
  </r>
  <r>
    <n v="2532"/>
    <x v="0"/>
    <s v="AKGÜÇ"/>
    <d v="2025-07-30T00:00:00"/>
    <s v="2480107BW0032754"/>
    <n v="1"/>
    <s v="HSA-1"/>
    <m/>
    <m/>
    <n v="1900"/>
    <n v="1"/>
    <n v="45868"/>
    <x v="7"/>
    <m/>
    <s v="Haksız"/>
    <x v="6"/>
    <x v="0"/>
  </r>
  <r>
    <n v="2532"/>
    <x v="0"/>
    <s v="AKGÜÇ"/>
    <d v="2025-07-30T00:00:00"/>
    <s v="2480107BW0032661"/>
    <n v="1"/>
    <s v="HSA-1"/>
    <m/>
    <m/>
    <n v="1900"/>
    <n v="1"/>
    <n v="45868"/>
    <x v="7"/>
    <m/>
    <s v="Haksız"/>
    <x v="6"/>
    <x v="0"/>
  </r>
  <r>
    <n v="2532"/>
    <x v="0"/>
    <s v="AKGÜÇ"/>
    <d v="2025-07-30T00:00:00"/>
    <s v="2480107BW0032751"/>
    <n v="1"/>
    <s v="HSA-1"/>
    <m/>
    <m/>
    <n v="1900"/>
    <n v="1"/>
    <n v="45868"/>
    <x v="7"/>
    <m/>
    <s v="Haksız"/>
    <x v="6"/>
    <x v="0"/>
  </r>
  <r>
    <n v="2532"/>
    <x v="0"/>
    <s v="AKGÜÇ"/>
    <d v="2025-07-30T00:00:00"/>
    <s v="2480107BW0033124"/>
    <n v="1"/>
    <s v="HSA-1"/>
    <m/>
    <m/>
    <n v="1900"/>
    <n v="1"/>
    <n v="45868"/>
    <x v="7"/>
    <m/>
    <s v="Haksız"/>
    <x v="6"/>
    <x v="0"/>
  </r>
  <r>
    <n v="2532"/>
    <x v="0"/>
    <s v="AKGÜÇ"/>
    <d v="2025-07-30T00:00:00"/>
    <s v="2480107BW0033199"/>
    <n v="1"/>
    <s v="HSA-1"/>
    <m/>
    <m/>
    <n v="1900"/>
    <n v="1"/>
    <n v="45868"/>
    <x v="7"/>
    <m/>
    <s v="Haksız"/>
    <x v="6"/>
    <x v="0"/>
  </r>
  <r>
    <n v="2532"/>
    <x v="0"/>
    <s v="AKGÜÇ"/>
    <d v="2025-07-30T00:00:00"/>
    <s v="2480107BW0033054"/>
    <n v="1"/>
    <s v="HSA-1"/>
    <m/>
    <m/>
    <n v="1900"/>
    <n v="1"/>
    <n v="45868"/>
    <x v="7"/>
    <m/>
    <s v="Haksız"/>
    <x v="6"/>
    <x v="0"/>
  </r>
  <r>
    <n v="2532"/>
    <x v="0"/>
    <s v="AKGÜÇ"/>
    <d v="2025-07-30T00:00:00"/>
    <s v="2480107BW0032557"/>
    <n v="1"/>
    <s v="HSA-1"/>
    <m/>
    <m/>
    <n v="1900"/>
    <n v="1"/>
    <n v="45868"/>
    <x v="7"/>
    <m/>
    <s v="Haksız"/>
    <x v="6"/>
    <x v="0"/>
  </r>
  <r>
    <n v="2532"/>
    <x v="0"/>
    <s v="AKGÜÇ"/>
    <d v="2025-07-30T00:00:00"/>
    <s v="2480107BW0033668"/>
    <n v="1"/>
    <s v="HSA-1"/>
    <m/>
    <m/>
    <n v="1900"/>
    <n v="1"/>
    <n v="45868"/>
    <x v="7"/>
    <m/>
    <s v="Haksız"/>
    <x v="6"/>
    <x v="0"/>
  </r>
  <r>
    <n v="2532"/>
    <x v="0"/>
    <s v="AKGÜÇ"/>
    <d v="2025-07-30T00:00:00"/>
    <s v="2490107BW0008453"/>
    <n v="1"/>
    <s v="HSA-1"/>
    <m/>
    <m/>
    <n v="1900"/>
    <n v="1"/>
    <n v="45868"/>
    <x v="7"/>
    <m/>
    <s v="Haksız"/>
    <x v="6"/>
    <x v="0"/>
  </r>
  <r>
    <n v="2532"/>
    <x v="0"/>
    <s v="AKGÜÇ"/>
    <d v="2025-07-30T00:00:00"/>
    <s v="2490107BW0013579"/>
    <n v="1"/>
    <s v="HSA-1"/>
    <m/>
    <m/>
    <n v="1900"/>
    <n v="1"/>
    <n v="45868"/>
    <x v="7"/>
    <m/>
    <s v="Haksız"/>
    <x v="6"/>
    <x v="0"/>
  </r>
  <r>
    <n v="2532"/>
    <x v="0"/>
    <s v="AKGÜÇ"/>
    <d v="2025-07-30T00:00:00"/>
    <s v="2490107BW0008806"/>
    <n v="1"/>
    <s v="HSA-1"/>
    <m/>
    <m/>
    <n v="1900"/>
    <n v="1"/>
    <n v="45868"/>
    <x v="7"/>
    <m/>
    <s v="Haksız"/>
    <x v="6"/>
    <x v="0"/>
  </r>
  <r>
    <n v="2532"/>
    <x v="0"/>
    <s v="AKGÜÇ"/>
    <d v="2025-07-30T00:00:00"/>
    <s v="2490107BW0008705"/>
    <n v="1"/>
    <s v="HSA-1"/>
    <m/>
    <m/>
    <n v="1900"/>
    <n v="1"/>
    <n v="45868"/>
    <x v="7"/>
    <m/>
    <s v="Haksız"/>
    <x v="6"/>
    <x v="0"/>
  </r>
  <r>
    <n v="2532"/>
    <x v="0"/>
    <s v="AKGÜÇ"/>
    <d v="2025-07-30T00:00:00"/>
    <s v="2490107BW0008259"/>
    <n v="1"/>
    <s v="HSA-1"/>
    <m/>
    <m/>
    <n v="1900"/>
    <n v="1"/>
    <n v="45868"/>
    <x v="7"/>
    <m/>
    <s v="Haksız"/>
    <x v="6"/>
    <x v="0"/>
  </r>
  <r>
    <n v="2532"/>
    <x v="0"/>
    <s v="AKGÜÇ"/>
    <d v="2025-07-30T00:00:00"/>
    <s v="2490107BW0008346"/>
    <n v="1"/>
    <s v="HSA-1"/>
    <m/>
    <m/>
    <n v="1900"/>
    <n v="1"/>
    <n v="45868"/>
    <x v="7"/>
    <m/>
    <s v="Haksız"/>
    <x v="6"/>
    <x v="0"/>
  </r>
  <r>
    <n v="2532"/>
    <x v="0"/>
    <s v="AKGÜÇ"/>
    <d v="2025-07-30T00:00:00"/>
    <s v="2490107BW0008347"/>
    <n v="1"/>
    <s v="HSA-1"/>
    <m/>
    <m/>
    <n v="1900"/>
    <n v="1"/>
    <n v="45868"/>
    <x v="7"/>
    <m/>
    <s v="Haksız"/>
    <x v="6"/>
    <x v="0"/>
  </r>
  <r>
    <n v="2532"/>
    <x v="0"/>
    <s v="AKGÜÇ"/>
    <d v="2025-07-30T00:00:00"/>
    <s v="2490107BW0008166"/>
    <n v="1"/>
    <s v="HSA-1"/>
    <m/>
    <m/>
    <n v="1900"/>
    <n v="1"/>
    <n v="45868"/>
    <x v="7"/>
    <m/>
    <s v="Haksız"/>
    <x v="6"/>
    <x v="0"/>
  </r>
  <r>
    <n v="2532"/>
    <x v="0"/>
    <s v="AKGÜÇ"/>
    <d v="2025-07-30T00:00:00"/>
    <s v="2490107BW0008754"/>
    <n v="1"/>
    <s v="HSA-1"/>
    <m/>
    <m/>
    <n v="1900"/>
    <n v="1"/>
    <n v="45868"/>
    <x v="7"/>
    <m/>
    <s v="Haksız"/>
    <x v="6"/>
    <x v="0"/>
  </r>
  <r>
    <n v="2532"/>
    <x v="0"/>
    <s v="AKGÜÇ"/>
    <d v="2025-07-30T00:00:00"/>
    <s v="2490107BW0008750"/>
    <n v="1"/>
    <s v="HSA-1"/>
    <m/>
    <m/>
    <n v="1900"/>
    <n v="1"/>
    <n v="45868"/>
    <x v="7"/>
    <m/>
    <s v="Haksız"/>
    <x v="6"/>
    <x v="0"/>
  </r>
  <r>
    <n v="2532"/>
    <x v="0"/>
    <s v="AKGÜÇ"/>
    <d v="2025-07-30T00:00:00"/>
    <s v="2490107BW0008761"/>
    <n v="1"/>
    <s v="HSA-1"/>
    <m/>
    <m/>
    <n v="1900"/>
    <n v="1"/>
    <n v="45868"/>
    <x v="7"/>
    <m/>
    <s v="Haksız"/>
    <x v="6"/>
    <x v="0"/>
  </r>
  <r>
    <n v="2532"/>
    <x v="0"/>
    <s v="AKGÜÇ"/>
    <d v="2025-07-30T00:00:00"/>
    <s v="2490107BW0008782"/>
    <n v="1"/>
    <s v="HSA-1"/>
    <m/>
    <m/>
    <n v="1900"/>
    <n v="1"/>
    <n v="45868"/>
    <x v="7"/>
    <m/>
    <s v="Haksız"/>
    <x v="6"/>
    <x v="0"/>
  </r>
  <r>
    <n v="2532"/>
    <x v="0"/>
    <s v="AKGÜÇ"/>
    <d v="2025-07-30T00:00:00"/>
    <s v="2490107BW0008677"/>
    <n v="1"/>
    <s v="HSA-1"/>
    <m/>
    <m/>
    <n v="1900"/>
    <n v="1"/>
    <n v="45868"/>
    <x v="7"/>
    <m/>
    <s v="Haksız"/>
    <x v="6"/>
    <x v="0"/>
  </r>
  <r>
    <n v="2532"/>
    <x v="0"/>
    <s v="AKGÜÇ"/>
    <d v="2025-07-30T00:00:00"/>
    <s v="2480107BW0032669"/>
    <n v="1"/>
    <s v="HSA-1"/>
    <m/>
    <m/>
    <n v="1900"/>
    <n v="1"/>
    <n v="45868"/>
    <x v="7"/>
    <m/>
    <s v="Haksız"/>
    <x v="6"/>
    <x v="0"/>
  </r>
  <r>
    <n v="2532"/>
    <x v="0"/>
    <s v="AKGÜÇ"/>
    <d v="2025-07-30T00:00:00"/>
    <s v="2480107BW0032866"/>
    <n v="1"/>
    <s v="HSA-1"/>
    <m/>
    <m/>
    <n v="1900"/>
    <n v="1"/>
    <n v="45868"/>
    <x v="7"/>
    <m/>
    <s v="Haksız"/>
    <x v="6"/>
    <x v="0"/>
  </r>
  <r>
    <n v="2532"/>
    <x v="0"/>
    <s v="AKGÜÇ"/>
    <d v="2025-07-30T00:00:00"/>
    <s v="2480107BW0032912"/>
    <n v="1"/>
    <s v="HSA-1"/>
    <m/>
    <m/>
    <n v="1900"/>
    <n v="1"/>
    <n v="45868"/>
    <x v="7"/>
    <m/>
    <s v="Haksız"/>
    <x v="6"/>
    <x v="0"/>
  </r>
  <r>
    <n v="2532"/>
    <x v="0"/>
    <s v="AKGÜÇ"/>
    <d v="2025-07-30T00:00:00"/>
    <s v="2480107BW0032899"/>
    <n v="1"/>
    <s v="HSA-1"/>
    <m/>
    <m/>
    <n v="1900"/>
    <n v="1"/>
    <n v="45868"/>
    <x v="7"/>
    <m/>
    <s v="Haksız"/>
    <x v="6"/>
    <x v="0"/>
  </r>
  <r>
    <n v="2532"/>
    <x v="0"/>
    <s v="AKGÜÇ"/>
    <d v="2025-07-30T00:00:00"/>
    <s v="2480107BW0032858"/>
    <n v="1"/>
    <s v="HSA-1"/>
    <m/>
    <m/>
    <n v="1900"/>
    <n v="1"/>
    <n v="45868"/>
    <x v="7"/>
    <m/>
    <s v="Haksız"/>
    <x v="6"/>
    <x v="0"/>
  </r>
  <r>
    <n v="2532"/>
    <x v="0"/>
    <s v="AKGÜÇ"/>
    <d v="2025-07-30T00:00:00"/>
    <s v="2480107BW0032744"/>
    <n v="1"/>
    <s v="HSA-1"/>
    <m/>
    <m/>
    <n v="1900"/>
    <n v="1"/>
    <n v="45868"/>
    <x v="7"/>
    <m/>
    <s v="Haksız"/>
    <x v="6"/>
    <x v="0"/>
  </r>
  <r>
    <n v="2532"/>
    <x v="0"/>
    <s v="AKGÜÇ"/>
    <d v="2025-07-30T00:00:00"/>
    <s v="2480107BW0032828"/>
    <n v="1"/>
    <s v="HSA-1"/>
    <m/>
    <m/>
    <n v="1900"/>
    <n v="1"/>
    <n v="45868"/>
    <x v="7"/>
    <m/>
    <s v="Haksız"/>
    <x v="6"/>
    <x v="0"/>
  </r>
  <r>
    <n v="2532"/>
    <x v="0"/>
    <s v="AKGÜÇ"/>
    <d v="2025-07-30T00:00:00"/>
    <s v="2480107BW0032883"/>
    <n v="1"/>
    <s v="HSA-1"/>
    <m/>
    <m/>
    <n v="1900"/>
    <n v="1"/>
    <n v="45868"/>
    <x v="7"/>
    <m/>
    <s v="Haksız"/>
    <x v="6"/>
    <x v="0"/>
  </r>
  <r>
    <n v="2532"/>
    <x v="0"/>
    <s v="AKGÜÇ"/>
    <d v="2025-07-30T00:00:00"/>
    <s v="2480107BW0032905"/>
    <n v="1"/>
    <s v="HSA-1"/>
    <m/>
    <m/>
    <n v="1900"/>
    <n v="1"/>
    <n v="45868"/>
    <x v="7"/>
    <m/>
    <s v="Haksız"/>
    <x v="6"/>
    <x v="0"/>
  </r>
  <r>
    <n v="2532"/>
    <x v="0"/>
    <s v="AKGÜÇ"/>
    <d v="2025-07-30T00:00:00"/>
    <s v="2480107BW0032875"/>
    <n v="1"/>
    <s v="HSA-1"/>
    <m/>
    <m/>
    <n v="1900"/>
    <n v="1"/>
    <n v="45868"/>
    <x v="7"/>
    <m/>
    <s v="Haksız"/>
    <x v="6"/>
    <x v="0"/>
  </r>
  <r>
    <n v="2532"/>
    <x v="0"/>
    <s v="AKGÜÇ"/>
    <d v="2025-07-30T00:00:00"/>
    <s v="2480107BW0031434"/>
    <n v="1"/>
    <s v="HSA-1"/>
    <m/>
    <m/>
    <n v="1900"/>
    <n v="1"/>
    <n v="45868"/>
    <x v="7"/>
    <m/>
    <s v="Haksız"/>
    <x v="6"/>
    <x v="0"/>
  </r>
  <r>
    <n v="2532"/>
    <x v="0"/>
    <s v="AKGÜÇ"/>
    <d v="2025-07-30T00:00:00"/>
    <s v="2480107BW0033657"/>
    <n v="1"/>
    <s v="HSA-1"/>
    <m/>
    <m/>
    <n v="1900"/>
    <n v="1"/>
    <n v="45868"/>
    <x v="7"/>
    <m/>
    <s v="Haksız"/>
    <x v="6"/>
    <x v="0"/>
  </r>
  <r>
    <n v="2532"/>
    <x v="0"/>
    <s v="AKGÜÇ"/>
    <d v="2025-07-30T00:00:00"/>
    <s v="2480107BW0031424"/>
    <n v="1"/>
    <s v="HSA-1"/>
    <m/>
    <m/>
    <n v="1900"/>
    <n v="1"/>
    <n v="45868"/>
    <x v="7"/>
    <m/>
    <s v="Haksız"/>
    <x v="6"/>
    <x v="0"/>
  </r>
  <r>
    <n v="2532"/>
    <x v="0"/>
    <s v="AKGÜÇ"/>
    <d v="2025-07-30T00:00:00"/>
    <s v="2480107BW0033404"/>
    <n v="1"/>
    <s v="HSA-1"/>
    <m/>
    <m/>
    <n v="1900"/>
    <n v="1"/>
    <n v="45868"/>
    <x v="7"/>
    <m/>
    <s v="Haksız"/>
    <x v="6"/>
    <x v="0"/>
  </r>
  <r>
    <n v="2532"/>
    <x v="0"/>
    <s v="AKGÜÇ"/>
    <d v="2025-07-30T00:00:00"/>
    <s v="2480107BW0031492"/>
    <n v="1"/>
    <s v="HSA-1"/>
    <m/>
    <m/>
    <n v="1900"/>
    <n v="1"/>
    <n v="45868"/>
    <x v="7"/>
    <m/>
    <s v="Haksız"/>
    <x v="6"/>
    <x v="0"/>
  </r>
  <r>
    <n v="2532"/>
    <x v="0"/>
    <s v="AKGÜÇ"/>
    <d v="2025-07-30T00:00:00"/>
    <s v="2480107BW0033322"/>
    <n v="1"/>
    <s v="HSA-1"/>
    <m/>
    <m/>
    <n v="1900"/>
    <n v="1"/>
    <n v="45868"/>
    <x v="7"/>
    <m/>
    <s v="Haksız"/>
    <x v="6"/>
    <x v="0"/>
  </r>
  <r>
    <n v="2532"/>
    <x v="0"/>
    <s v="AKGÜÇ"/>
    <d v="2025-07-30T00:00:00"/>
    <s v="2480107BW0031150"/>
    <n v="1"/>
    <s v="HSA-1"/>
    <m/>
    <m/>
    <n v="1900"/>
    <n v="1"/>
    <n v="45868"/>
    <x v="7"/>
    <m/>
    <s v="Haksız"/>
    <x v="6"/>
    <x v="0"/>
  </r>
  <r>
    <n v="2532"/>
    <x v="0"/>
    <s v="AKGÜÇ"/>
    <d v="2025-07-30T00:00:00"/>
    <s v="2480107BW0033167"/>
    <n v="1"/>
    <s v="HSA-1"/>
    <m/>
    <m/>
    <n v="1900"/>
    <n v="1"/>
    <n v="45868"/>
    <x v="7"/>
    <m/>
    <s v="Haksız"/>
    <x v="6"/>
    <x v="0"/>
  </r>
  <r>
    <n v="2532"/>
    <x v="0"/>
    <s v="AKGÜÇ"/>
    <d v="2025-07-30T00:00:00"/>
    <s v="2480107BW0031605"/>
    <n v="1"/>
    <s v="HSA-1"/>
    <m/>
    <m/>
    <n v="1900"/>
    <n v="1"/>
    <n v="45868"/>
    <x v="7"/>
    <m/>
    <s v="Haksız"/>
    <x v="6"/>
    <x v="0"/>
  </r>
  <r>
    <n v="2532"/>
    <x v="0"/>
    <s v="AKGÜÇ"/>
    <d v="2025-07-30T00:00:00"/>
    <s v="2480107BW0033320"/>
    <n v="1"/>
    <s v="HSA-1"/>
    <m/>
    <m/>
    <n v="1900"/>
    <n v="1"/>
    <n v="45868"/>
    <x v="7"/>
    <m/>
    <s v="Haksız"/>
    <x v="6"/>
    <x v="0"/>
  </r>
  <r>
    <n v="2532"/>
    <x v="0"/>
    <s v="AKGÜÇ"/>
    <d v="2025-07-30T00:00:00"/>
    <s v="2480107BW0031555"/>
    <n v="1"/>
    <s v="HSA-1"/>
    <m/>
    <m/>
    <n v="1900"/>
    <n v="1"/>
    <n v="45868"/>
    <x v="7"/>
    <m/>
    <s v="Haksız"/>
    <x v="6"/>
    <x v="0"/>
  </r>
  <r>
    <n v="2532"/>
    <x v="0"/>
    <s v="AKGÜÇ"/>
    <d v="2025-07-30T00:00:00"/>
    <s v="2480107BW0033312"/>
    <n v="1"/>
    <s v="HSA-1"/>
    <m/>
    <m/>
    <n v="1900"/>
    <n v="1"/>
    <n v="45868"/>
    <x v="7"/>
    <m/>
    <s v="Haksız"/>
    <x v="6"/>
    <x v="0"/>
  </r>
  <r>
    <n v="2532"/>
    <x v="0"/>
    <s v="AKGÜÇ"/>
    <d v="2025-07-30T00:00:00"/>
    <s v="2480107BW0031498"/>
    <n v="1"/>
    <s v="HSA-1"/>
    <m/>
    <m/>
    <n v="1900"/>
    <n v="1"/>
    <n v="45868"/>
    <x v="7"/>
    <m/>
    <s v="Haksız"/>
    <x v="6"/>
    <x v="0"/>
  </r>
  <r>
    <n v="2532"/>
    <x v="0"/>
    <s v="AKGÜÇ"/>
    <d v="2025-07-30T00:00:00"/>
    <s v="2480107BW0033302"/>
    <n v="1"/>
    <s v="HSA-1"/>
    <m/>
    <m/>
    <n v="1900"/>
    <n v="1"/>
    <n v="45868"/>
    <x v="7"/>
    <m/>
    <s v="Haksız"/>
    <x v="6"/>
    <x v="0"/>
  </r>
  <r>
    <n v="2532"/>
    <x v="0"/>
    <s v="AKGÜÇ"/>
    <d v="2025-07-30T00:00:00"/>
    <s v="2480107BW0031560"/>
    <n v="1"/>
    <s v="HSA-1"/>
    <m/>
    <m/>
    <n v="1900"/>
    <n v="1"/>
    <n v="45868"/>
    <x v="7"/>
    <m/>
    <s v="Haksız"/>
    <x v="6"/>
    <x v="0"/>
  </r>
  <r>
    <n v="2532"/>
    <x v="0"/>
    <s v="AKGÜÇ"/>
    <d v="2025-07-30T00:00:00"/>
    <s v="2480107BW0033278"/>
    <n v="1"/>
    <s v="HSA-1"/>
    <m/>
    <m/>
    <n v="1900"/>
    <n v="1"/>
    <n v="45868"/>
    <x v="7"/>
    <m/>
    <s v="Haksız"/>
    <x v="6"/>
    <x v="0"/>
  </r>
  <r>
    <n v="2532"/>
    <x v="0"/>
    <s v="AKGÜÇ"/>
    <d v="2025-07-30T00:00:00"/>
    <s v="2480107BW0031616"/>
    <n v="1"/>
    <s v="HSA-1"/>
    <m/>
    <m/>
    <n v="1900"/>
    <n v="1"/>
    <n v="45868"/>
    <x v="7"/>
    <m/>
    <s v="Haksız"/>
    <x v="6"/>
    <x v="0"/>
  </r>
  <r>
    <n v="2532"/>
    <x v="0"/>
    <s v="AKGÜÇ"/>
    <d v="2025-07-30T00:00:00"/>
    <s v="2480107BW0032706"/>
    <n v="1"/>
    <s v="HSA-1"/>
    <m/>
    <m/>
    <n v="1900"/>
    <n v="1"/>
    <n v="45868"/>
    <x v="7"/>
    <m/>
    <s v="Haksız"/>
    <x v="6"/>
    <x v="0"/>
  </r>
  <r>
    <n v="2532"/>
    <x v="0"/>
    <s v="AKGÜÇ"/>
    <d v="2025-07-30T00:00:00"/>
    <s v="2480107BW0031576"/>
    <n v="1"/>
    <s v="HSA-1"/>
    <m/>
    <m/>
    <n v="1900"/>
    <n v="1"/>
    <n v="45868"/>
    <x v="7"/>
    <m/>
    <s v="Haksız"/>
    <x v="6"/>
    <x v="0"/>
  </r>
  <r>
    <n v="2532"/>
    <x v="0"/>
    <s v="AKGÜÇ"/>
    <d v="2025-07-30T00:00:00"/>
    <s v="2480107BW0033337"/>
    <n v="1"/>
    <s v="HSA-1"/>
    <m/>
    <m/>
    <n v="1900"/>
    <n v="1"/>
    <n v="45868"/>
    <x v="7"/>
    <m/>
    <s v="Haksız"/>
    <x v="6"/>
    <x v="0"/>
  </r>
  <r>
    <n v="2532"/>
    <x v="0"/>
    <s v="AKGÜÇ"/>
    <d v="2025-07-30T00:00:00"/>
    <s v="2480107BW0031575"/>
    <n v="1"/>
    <s v="HSA-1"/>
    <m/>
    <m/>
    <n v="1900"/>
    <n v="1"/>
    <n v="45868"/>
    <x v="7"/>
    <m/>
    <s v="Haksız"/>
    <x v="6"/>
    <x v="0"/>
  </r>
  <r>
    <n v="2532"/>
    <x v="0"/>
    <s v="AKGÜÇ"/>
    <d v="2025-07-30T00:00:00"/>
    <s v="2480107BW0033114"/>
    <n v="1"/>
    <s v="HSA-1"/>
    <m/>
    <m/>
    <n v="1900"/>
    <n v="1"/>
    <n v="45868"/>
    <x v="7"/>
    <m/>
    <s v="Haksız"/>
    <x v="6"/>
    <x v="0"/>
  </r>
  <r>
    <n v="2532"/>
    <x v="0"/>
    <s v="AKGÜÇ"/>
    <d v="2025-07-30T00:00:00"/>
    <s v="2480107BW0032710"/>
    <n v="1"/>
    <s v="HSA-1"/>
    <m/>
    <m/>
    <n v="1900"/>
    <n v="1"/>
    <n v="45868"/>
    <x v="7"/>
    <m/>
    <s v="Haksız"/>
    <x v="6"/>
    <x v="0"/>
  </r>
  <r>
    <n v="2532"/>
    <x v="0"/>
    <s v="AKGÜÇ"/>
    <d v="2025-07-30T00:00:00"/>
    <s v="2480107BW0031622"/>
    <n v="1"/>
    <s v="HSA-1"/>
    <m/>
    <m/>
    <n v="1900"/>
    <n v="1"/>
    <n v="45868"/>
    <x v="7"/>
    <m/>
    <s v="Haksız"/>
    <x v="6"/>
    <x v="0"/>
  </r>
  <r>
    <n v="2532"/>
    <x v="0"/>
    <s v="AKGÜÇ"/>
    <d v="2025-07-30T00:00:00"/>
    <s v="2480107BW0031568"/>
    <n v="1"/>
    <s v="HSA-1"/>
    <m/>
    <m/>
    <n v="1900"/>
    <n v="1"/>
    <n v="45868"/>
    <x v="7"/>
    <m/>
    <s v="Haksız"/>
    <x v="6"/>
    <x v="0"/>
  </r>
  <r>
    <n v="2532"/>
    <x v="0"/>
    <s v="AKGÜÇ"/>
    <d v="2025-07-30T00:00:00"/>
    <s v="2480107BW0033111"/>
    <n v="1"/>
    <s v="HSA-1"/>
    <m/>
    <m/>
    <n v="1900"/>
    <n v="1"/>
    <n v="45868"/>
    <x v="7"/>
    <m/>
    <s v="Haksız"/>
    <x v="6"/>
    <x v="0"/>
  </r>
  <r>
    <n v="2532"/>
    <x v="0"/>
    <s v="AKGÜÇ"/>
    <d v="2025-07-30T00:00:00"/>
    <s v="2480107BW0033424"/>
    <n v="1"/>
    <s v="HSA-1"/>
    <m/>
    <m/>
    <n v="1900"/>
    <n v="1"/>
    <n v="45868"/>
    <x v="7"/>
    <m/>
    <s v="Haksız"/>
    <x v="6"/>
    <x v="0"/>
  </r>
  <r>
    <n v="2532"/>
    <x v="0"/>
    <s v="AKGÜÇ"/>
    <d v="2025-07-30T00:00:00"/>
    <s v="2480107BW0033825"/>
    <n v="1"/>
    <s v="HSA-1"/>
    <m/>
    <m/>
    <n v="1900"/>
    <n v="1"/>
    <n v="45868"/>
    <x v="7"/>
    <m/>
    <s v="Haksız"/>
    <x v="6"/>
    <x v="0"/>
  </r>
  <r>
    <n v="2532"/>
    <x v="0"/>
    <s v="AKGÜÇ"/>
    <d v="2025-07-30T00:00:00"/>
    <s v="2480107BW0033829"/>
    <n v="1"/>
    <s v="HSA-1"/>
    <m/>
    <m/>
    <n v="1900"/>
    <n v="1"/>
    <n v="45868"/>
    <x v="7"/>
    <m/>
    <s v="Haksız"/>
    <x v="6"/>
    <x v="0"/>
  </r>
  <r>
    <n v="2532"/>
    <x v="0"/>
    <s v="AKGÜÇ"/>
    <d v="2025-07-30T00:00:00"/>
    <s v="2480107BW0033596"/>
    <n v="1"/>
    <s v="HSA-1"/>
    <m/>
    <m/>
    <n v="1900"/>
    <n v="1"/>
    <n v="45868"/>
    <x v="7"/>
    <m/>
    <s v="Haksız"/>
    <x v="6"/>
    <x v="0"/>
  </r>
  <r>
    <n v="2532"/>
    <x v="0"/>
    <s v="AKGÜÇ"/>
    <d v="2025-07-30T00:00:00"/>
    <s v="2480107BW0035186"/>
    <n v="1"/>
    <s v="HSA-1"/>
    <m/>
    <m/>
    <n v="1900"/>
    <n v="1"/>
    <n v="45868"/>
    <x v="7"/>
    <m/>
    <s v="Haksız"/>
    <x v="6"/>
    <x v="0"/>
  </r>
  <r>
    <n v="2532"/>
    <x v="0"/>
    <s v="AKGÜÇ"/>
    <d v="2025-07-30T00:00:00"/>
    <s v="2480107BW0033828"/>
    <n v="1"/>
    <s v="HSA-1"/>
    <m/>
    <m/>
    <n v="1900"/>
    <n v="1"/>
    <n v="45868"/>
    <x v="7"/>
    <m/>
    <s v="Haksız"/>
    <x v="6"/>
    <x v="0"/>
  </r>
  <r>
    <n v="2532"/>
    <x v="0"/>
    <s v="AKGÜÇ"/>
    <d v="2025-07-30T00:00:00"/>
    <s v="2480107BW0033900"/>
    <n v="1"/>
    <s v="HSA-1"/>
    <m/>
    <m/>
    <n v="1900"/>
    <n v="1"/>
    <n v="45868"/>
    <x v="7"/>
    <m/>
    <s v="Haksız"/>
    <x v="6"/>
    <x v="0"/>
  </r>
  <r>
    <n v="2532"/>
    <x v="0"/>
    <s v="AKGÜÇ"/>
    <d v="2025-07-30T00:00:00"/>
    <s v="2480107BW0035264"/>
    <n v="1"/>
    <s v="HSA-1"/>
    <m/>
    <m/>
    <n v="1900"/>
    <n v="1"/>
    <n v="45868"/>
    <x v="7"/>
    <m/>
    <s v="Haksız"/>
    <x v="6"/>
    <x v="0"/>
  </r>
  <r>
    <n v="2532"/>
    <x v="0"/>
    <s v="AKGÜÇ"/>
    <d v="2025-07-30T00:00:00"/>
    <s v="2480107BW0035214"/>
    <n v="1"/>
    <s v="HSA-1"/>
    <m/>
    <m/>
    <n v="1900"/>
    <n v="1"/>
    <n v="45868"/>
    <x v="7"/>
    <m/>
    <s v="Haksız"/>
    <x v="6"/>
    <x v="0"/>
  </r>
  <r>
    <n v="2532"/>
    <x v="0"/>
    <s v="AKGÜÇ"/>
    <d v="2025-07-30T00:00:00"/>
    <s v="2480107BW0032697"/>
    <n v="1"/>
    <s v="HSA-1"/>
    <m/>
    <m/>
    <n v="1900"/>
    <n v="1"/>
    <n v="45868"/>
    <x v="7"/>
    <m/>
    <s v="Haksız"/>
    <x v="6"/>
    <x v="0"/>
  </r>
  <r>
    <n v="2532"/>
    <x v="0"/>
    <s v="AKGÜÇ"/>
    <d v="2025-07-30T00:00:00"/>
    <s v="2480107BW0032393"/>
    <n v="1"/>
    <s v="HSA-1"/>
    <m/>
    <m/>
    <n v="1900"/>
    <n v="1"/>
    <n v="45868"/>
    <x v="7"/>
    <m/>
    <s v="Haksız"/>
    <x v="6"/>
    <x v="0"/>
  </r>
  <r>
    <n v="2532"/>
    <x v="0"/>
    <s v="AKGÜÇ"/>
    <d v="2025-07-30T00:00:00"/>
    <s v="2480107BW0032850"/>
    <n v="1"/>
    <s v="HSA-1"/>
    <m/>
    <m/>
    <n v="1900"/>
    <n v="1"/>
    <n v="45868"/>
    <x v="7"/>
    <m/>
    <s v="Haksız"/>
    <x v="6"/>
    <x v="0"/>
  </r>
  <r>
    <n v="2533"/>
    <x v="17"/>
    <s v="DEMİREZEN GIDA"/>
    <d v="2025-08-15T00:00:00"/>
    <s v="2240108BW0008261"/>
    <n v="1"/>
    <s v="HSA-1"/>
    <s v="MAVİÇAM"/>
    <m/>
    <n v="1900"/>
    <n v="1"/>
    <n v="45884"/>
    <x v="2"/>
    <s v="Tamir"/>
    <s v="Haklı"/>
    <x v="7"/>
    <x v="0"/>
  </r>
  <r>
    <n v="2533"/>
    <x v="17"/>
    <s v="DEMİREZEN GIDA"/>
    <d v="2025-08-15T00:00:00"/>
    <s v="2230108BW0011995"/>
    <n v="1"/>
    <s v="HSA-1"/>
    <s v="MAVİÇAM"/>
    <m/>
    <n v="1900"/>
    <n v="1"/>
    <n v="45884"/>
    <x v="2"/>
    <s v="Tamir"/>
    <s v="Haklı"/>
    <x v="7"/>
    <x v="0"/>
  </r>
  <r>
    <n v="2533"/>
    <x v="17"/>
    <s v="DEMİREZEN GIDA"/>
    <d v="2025-08-15T00:00:00"/>
    <s v="2240108BW0008516"/>
    <n v="1"/>
    <s v="HSA-1"/>
    <s v="MAVİÇAM"/>
    <m/>
    <n v="1900"/>
    <n v="1"/>
    <n v="45884"/>
    <x v="2"/>
    <s v="Tamir"/>
    <s v="Haklı"/>
    <x v="7"/>
    <x v="0"/>
  </r>
  <r>
    <n v="2533"/>
    <x v="17"/>
    <s v="DEMİREZEN GIDA"/>
    <d v="2025-08-15T00:00:00"/>
    <s v="2230108BW0011788"/>
    <n v="1"/>
    <s v="HSA-1"/>
    <s v="MAVİÇAM"/>
    <m/>
    <n v="1900"/>
    <n v="1"/>
    <n v="45884"/>
    <x v="2"/>
    <s v="Tamir"/>
    <s v="Haklı"/>
    <x v="7"/>
    <x v="0"/>
  </r>
  <r>
    <n v="2533"/>
    <x v="17"/>
    <s v="DEMİREZEN GIDA"/>
    <d v="2025-08-15T00:00:00"/>
    <s v="2240108BW0007992"/>
    <n v="1"/>
    <s v="HSA-1"/>
    <s v="MAVİÇAM"/>
    <m/>
    <n v="1900"/>
    <n v="1"/>
    <n v="45884"/>
    <x v="2"/>
    <s v="Tamir"/>
    <s v="Haklı"/>
    <x v="7"/>
    <x v="0"/>
  </r>
  <r>
    <n v="2533"/>
    <x v="17"/>
    <s v="DEMİREZEN GIDA"/>
    <d v="2025-08-15T00:00:00"/>
    <s v="22301088W0005329"/>
    <n v="1"/>
    <s v="HSA-1"/>
    <s v="MAVİÇAM"/>
    <m/>
    <n v="1900"/>
    <n v="1"/>
    <n v="45884"/>
    <x v="2"/>
    <s v="Tamir"/>
    <s v="Haklı"/>
    <x v="7"/>
    <x v="0"/>
  </r>
  <r>
    <n v="2533"/>
    <x v="17"/>
    <s v="DEMİREZEN GIDA"/>
    <d v="2025-08-15T00:00:00"/>
    <s v="2230108BW0005331"/>
    <n v="1"/>
    <s v="HSA-1"/>
    <s v="MAVİÇAM"/>
    <m/>
    <n v="1900"/>
    <n v="1"/>
    <n v="45884"/>
    <x v="2"/>
    <s v="Tamir"/>
    <s v="Haklı"/>
    <x v="7"/>
    <x v="0"/>
  </r>
  <r>
    <n v="2533"/>
    <x v="17"/>
    <s v="DEMİREZEN GIDA"/>
    <d v="2025-08-15T00:00:00"/>
    <s v="2230108BW0005360"/>
    <n v="1"/>
    <s v="HSA-1"/>
    <s v="MAVİÇAM"/>
    <m/>
    <n v="1900"/>
    <n v="1"/>
    <n v="45884"/>
    <x v="2"/>
    <s v="Tamir"/>
    <s v="Haklı"/>
    <x v="7"/>
    <x v="0"/>
  </r>
  <r>
    <n v="2533"/>
    <x v="17"/>
    <s v="DEMİREZEN GIDA"/>
    <d v="2025-08-15T00:00:00"/>
    <s v="2501083BW0009762"/>
    <n v="1"/>
    <s v="HSA-1"/>
    <s v="MAVİÇAM"/>
    <m/>
    <n v="1900"/>
    <n v="1"/>
    <n v="45884"/>
    <x v="2"/>
    <s v="Tamir"/>
    <s v="Haklı"/>
    <x v="7"/>
    <x v="0"/>
  </r>
  <r>
    <n v="2533"/>
    <x v="17"/>
    <s v="DEMİREZEN GIDA"/>
    <d v="2025-08-15T00:00:00"/>
    <s v="2240108BW0008531"/>
    <n v="1"/>
    <s v="HSA-1"/>
    <s v="MAVİÇAM"/>
    <m/>
    <n v="1900"/>
    <n v="1"/>
    <n v="45884"/>
    <x v="2"/>
    <s v="Tamir"/>
    <s v="Haklı"/>
    <x v="7"/>
    <x v="0"/>
  </r>
  <r>
    <n v="2533"/>
    <x v="17"/>
    <s v="DEMİREZEN GIDA"/>
    <d v="2025-08-15T00:00:00"/>
    <s v="2240108BW0041021"/>
    <n v="1"/>
    <s v="HSA-1"/>
    <s v="MAVİÇAM"/>
    <m/>
    <n v="1900"/>
    <n v="1"/>
    <n v="45884"/>
    <x v="2"/>
    <s v="Tamir"/>
    <s v="Haklı"/>
    <x v="7"/>
    <x v="0"/>
  </r>
  <r>
    <n v="2533"/>
    <x v="17"/>
    <s v="DEMİREZEN GIDA"/>
    <d v="2025-08-15T00:00:00"/>
    <s v="2240108BW0001812"/>
    <n v="1"/>
    <s v="HSA-1"/>
    <s v="MAVİÇAM"/>
    <m/>
    <n v="1900"/>
    <n v="1"/>
    <n v="45884"/>
    <x v="2"/>
    <s v="Tamir"/>
    <s v="Haklı"/>
    <x v="7"/>
    <x v="0"/>
  </r>
  <r>
    <n v="2533"/>
    <x v="17"/>
    <s v="DEMİREZEN GIDA"/>
    <d v="2025-08-15T00:00:00"/>
    <s v="2250108BW0006130"/>
    <n v="1"/>
    <s v="HSA-1"/>
    <s v="MAVİÇAM"/>
    <m/>
    <n v="1900"/>
    <n v="1"/>
    <n v="45884"/>
    <x v="2"/>
    <s v="Tamir"/>
    <s v="Haklı"/>
    <x v="7"/>
    <x v="0"/>
  </r>
  <r>
    <n v="2533"/>
    <x v="17"/>
    <s v="DEMİREZEN GIDA"/>
    <d v="2025-08-15T00:00:00"/>
    <s v="2240108BW0008263"/>
    <n v="1"/>
    <s v="HSA-1"/>
    <s v="MAVİÇAM"/>
    <m/>
    <n v="1900"/>
    <n v="1"/>
    <n v="45884"/>
    <x v="2"/>
    <s v="Tamir"/>
    <s v="Haklı"/>
    <x v="7"/>
    <x v="0"/>
  </r>
  <r>
    <n v="2533"/>
    <x v="17"/>
    <s v="DEMİREZEN GIDA"/>
    <d v="2025-08-15T00:00:00"/>
    <s v="2250108BW0008493"/>
    <n v="1"/>
    <s v="HSA-1"/>
    <s v="MAVİÇAM"/>
    <m/>
    <n v="1900"/>
    <n v="1"/>
    <n v="45884"/>
    <x v="2"/>
    <s v="Tamir"/>
    <s v="Haklı"/>
    <x v="7"/>
    <x v="0"/>
  </r>
  <r>
    <n v="2533"/>
    <x v="17"/>
    <s v="DEMİREZEN GIDA"/>
    <d v="2025-08-15T00:00:00"/>
    <s v="2230108BW0005224"/>
    <n v="1"/>
    <s v="HSA-1"/>
    <s v="MAVİÇAM"/>
    <m/>
    <n v="1900"/>
    <n v="1"/>
    <n v="45884"/>
    <x v="2"/>
    <s v="Tamir"/>
    <s v="Haklı"/>
    <x v="7"/>
    <x v="0"/>
  </r>
  <r>
    <n v="2533"/>
    <x v="17"/>
    <s v="DEMİREZEN GIDA"/>
    <d v="2025-08-15T00:00:00"/>
    <s v="2230108BW0008773"/>
    <n v="1"/>
    <s v="HSA-1"/>
    <s v="MAVİÇAM"/>
    <m/>
    <n v="1900"/>
    <n v="1"/>
    <n v="45884"/>
    <x v="2"/>
    <s v="Tamir"/>
    <s v="Haklı"/>
    <x v="7"/>
    <x v="0"/>
  </r>
  <r>
    <n v="2533"/>
    <x v="17"/>
    <s v="DEMİREZEN GIDA"/>
    <d v="2025-08-15T00:00:00"/>
    <s v="2250108BW0005562"/>
    <n v="1"/>
    <s v="HSA-1"/>
    <s v="MAVİÇAM"/>
    <m/>
    <n v="1900"/>
    <n v="1"/>
    <n v="45884"/>
    <x v="2"/>
    <s v="Tamir"/>
    <s v="Haklı"/>
    <x v="7"/>
    <x v="0"/>
  </r>
  <r>
    <n v="2534"/>
    <x v="0"/>
    <s v="VOLKAN İTFAİYE"/>
    <d v="2025-07-30T00:00:00"/>
    <s v="AAAA"/>
    <n v="1"/>
    <s v="HSA-1"/>
    <m/>
    <m/>
    <n v="1900"/>
    <n v="1"/>
    <n v="45868"/>
    <x v="9"/>
    <m/>
    <s v="Haksız"/>
    <x v="6"/>
    <x v="0"/>
  </r>
  <r>
    <n v="2534"/>
    <x v="0"/>
    <s v="VOLKAN İTFAİYE"/>
    <d v="2025-07-30T00:00:00"/>
    <s v="AAAA"/>
    <n v="1"/>
    <s v="HSA-1"/>
    <m/>
    <m/>
    <n v="1900"/>
    <n v="1"/>
    <n v="45868"/>
    <x v="9"/>
    <m/>
    <s v="Haksız"/>
    <x v="6"/>
    <x v="0"/>
  </r>
  <r>
    <n v="2534"/>
    <x v="0"/>
    <s v="VOLKAN İTFAİYE"/>
    <d v="2025-07-30T00:00:00"/>
    <s v="AAAA"/>
    <n v="1"/>
    <s v="HSA-1"/>
    <m/>
    <m/>
    <n v="1900"/>
    <n v="1"/>
    <n v="45868"/>
    <x v="9"/>
    <m/>
    <s v="Haksız"/>
    <x v="6"/>
    <x v="0"/>
  </r>
  <r>
    <n v="2534"/>
    <x v="0"/>
    <s v="VOLKAN İTFAİYE"/>
    <d v="2025-07-30T00:00:00"/>
    <s v="AAAA"/>
    <n v="1"/>
    <s v="HSA-1"/>
    <m/>
    <m/>
    <n v="1900"/>
    <n v="1"/>
    <n v="45868"/>
    <x v="9"/>
    <m/>
    <s v="Haksız"/>
    <x v="6"/>
    <x v="0"/>
  </r>
  <r>
    <n v="2534"/>
    <x v="0"/>
    <s v="VOLKAN İTFAİYE"/>
    <d v="2025-07-30T00:00:00"/>
    <s v="AAAA"/>
    <n v="1"/>
    <s v="HSA-1"/>
    <m/>
    <m/>
    <n v="1900"/>
    <n v="1"/>
    <n v="45868"/>
    <x v="9"/>
    <m/>
    <s v="Haksız"/>
    <x v="6"/>
    <x v="0"/>
  </r>
  <r>
    <n v="2534"/>
    <x v="0"/>
    <s v="VOLKAN İTFAİYE"/>
    <d v="2025-07-30T00:00:00"/>
    <s v="AAAA"/>
    <n v="1"/>
    <s v="HSA-1"/>
    <m/>
    <m/>
    <n v="1900"/>
    <n v="1"/>
    <n v="45868"/>
    <x v="9"/>
    <m/>
    <s v="Haksız"/>
    <x v="6"/>
    <x v="0"/>
  </r>
  <r>
    <n v="2534"/>
    <x v="0"/>
    <s v="VOLKAN İTFAİYE"/>
    <d v="2025-07-30T00:00:00"/>
    <s v="AAAA"/>
    <n v="1"/>
    <s v="HSA-1"/>
    <m/>
    <m/>
    <n v="1900"/>
    <n v="1"/>
    <n v="45868"/>
    <x v="9"/>
    <m/>
    <s v="Haksız"/>
    <x v="6"/>
    <x v="0"/>
  </r>
  <r>
    <n v="2534"/>
    <x v="0"/>
    <s v="VOLKAN İTFAİYE"/>
    <d v="2025-07-30T00:00:00"/>
    <s v="AAAA"/>
    <n v="1"/>
    <s v="HSA-1"/>
    <m/>
    <m/>
    <n v="1900"/>
    <n v="1"/>
    <n v="45868"/>
    <x v="9"/>
    <m/>
    <s v="Haksız"/>
    <x v="6"/>
    <x v="0"/>
  </r>
  <r>
    <n v="2534"/>
    <x v="0"/>
    <s v="VOLKAN İTFAİYE"/>
    <d v="2025-07-30T00:00:00"/>
    <s v="AAAA"/>
    <n v="1"/>
    <s v="HSA-1"/>
    <m/>
    <m/>
    <n v="1900"/>
    <n v="1"/>
    <n v="45868"/>
    <x v="9"/>
    <m/>
    <s v="Haksız"/>
    <x v="6"/>
    <x v="0"/>
  </r>
  <r>
    <n v="2534"/>
    <x v="0"/>
    <s v="VOLKAN İTFAİYE"/>
    <d v="2025-07-30T00:00:00"/>
    <s v="AAAA"/>
    <n v="1"/>
    <s v="HSA-1"/>
    <m/>
    <m/>
    <n v="1900"/>
    <n v="1"/>
    <n v="45868"/>
    <x v="9"/>
    <m/>
    <s v="Haksız"/>
    <x v="6"/>
    <x v="0"/>
  </r>
  <r>
    <n v="2534"/>
    <x v="0"/>
    <s v="VOLKAN İTFAİYE"/>
    <d v="2025-07-30T00:00:00"/>
    <s v="AAAA"/>
    <n v="1"/>
    <s v="HSA-1"/>
    <m/>
    <m/>
    <n v="1900"/>
    <n v="1"/>
    <n v="45868"/>
    <x v="9"/>
    <m/>
    <s v="Haksız"/>
    <x v="6"/>
    <x v="0"/>
  </r>
  <r>
    <n v="2534"/>
    <x v="0"/>
    <s v="VOLKAN İTFAİYE"/>
    <d v="2025-07-30T00:00:00"/>
    <s v="AAAA"/>
    <n v="1"/>
    <s v="HSA-1"/>
    <m/>
    <m/>
    <n v="1900"/>
    <n v="1"/>
    <n v="45868"/>
    <x v="9"/>
    <m/>
    <s v="Haksız"/>
    <x v="6"/>
    <x v="0"/>
  </r>
  <r>
    <n v="2534"/>
    <x v="0"/>
    <s v="VOLKAN İTFAİYE"/>
    <d v="2025-07-30T00:00:00"/>
    <s v="AAAA"/>
    <n v="1"/>
    <s v="HSA-1"/>
    <m/>
    <m/>
    <n v="1900"/>
    <n v="1"/>
    <n v="45868"/>
    <x v="9"/>
    <m/>
    <s v="Haksız"/>
    <x v="6"/>
    <x v="0"/>
  </r>
  <r>
    <n v="2534"/>
    <x v="0"/>
    <s v="VOLKAN İTFAİYE"/>
    <d v="2025-07-30T00:00:00"/>
    <s v="AAAA"/>
    <n v="1"/>
    <s v="HSA-1"/>
    <m/>
    <m/>
    <n v="1900"/>
    <n v="1"/>
    <n v="45868"/>
    <x v="9"/>
    <m/>
    <s v="Haksız"/>
    <x v="6"/>
    <x v="0"/>
  </r>
  <r>
    <n v="2534"/>
    <x v="0"/>
    <s v="VOLKAN İTFAİYE"/>
    <d v="2025-07-30T00:00:00"/>
    <s v="AAAA"/>
    <n v="1"/>
    <s v="HSA-1"/>
    <m/>
    <m/>
    <n v="1900"/>
    <n v="1"/>
    <n v="45868"/>
    <x v="9"/>
    <m/>
    <s v="Haksız"/>
    <x v="6"/>
    <x v="0"/>
  </r>
  <r>
    <n v="2534"/>
    <x v="0"/>
    <s v="VOLKAN İTFAİYE"/>
    <d v="2025-07-30T00:00:00"/>
    <s v="AAAA"/>
    <n v="1"/>
    <s v="HSA-1"/>
    <m/>
    <m/>
    <n v="1900"/>
    <n v="1"/>
    <n v="45868"/>
    <x v="9"/>
    <m/>
    <s v="Haksız"/>
    <x v="6"/>
    <x v="0"/>
  </r>
  <r>
    <n v="2534"/>
    <x v="0"/>
    <s v="VOLKAN İTFAİYE"/>
    <d v="2025-07-30T00:00:00"/>
    <s v="AAAA"/>
    <n v="1"/>
    <s v="HSA-1"/>
    <m/>
    <m/>
    <n v="1900"/>
    <n v="1"/>
    <n v="45868"/>
    <x v="9"/>
    <m/>
    <s v="Haksız"/>
    <x v="6"/>
    <x v="0"/>
  </r>
  <r>
    <n v="2534"/>
    <x v="0"/>
    <s v="VOLKAN İTFAİYE"/>
    <d v="2025-07-30T00:00:00"/>
    <s v="AAAA"/>
    <n v="1"/>
    <s v="HSA-1"/>
    <m/>
    <m/>
    <n v="1900"/>
    <n v="1"/>
    <n v="45868"/>
    <x v="9"/>
    <m/>
    <s v="Haksız"/>
    <x v="6"/>
    <x v="0"/>
  </r>
  <r>
    <n v="2534"/>
    <x v="0"/>
    <s v="VOLKAN İTFAİYE"/>
    <d v="2025-07-30T00:00:00"/>
    <s v="AAAA"/>
    <n v="1"/>
    <s v="HSA-1"/>
    <m/>
    <m/>
    <n v="1900"/>
    <n v="1"/>
    <n v="45868"/>
    <x v="9"/>
    <m/>
    <s v="Haksız"/>
    <x v="6"/>
    <x v="0"/>
  </r>
  <r>
    <n v="2534"/>
    <x v="0"/>
    <s v="VOLKAN İTFAİYE"/>
    <d v="2025-07-30T00:00:00"/>
    <s v="AAAA"/>
    <n v="1"/>
    <s v="HSA-1"/>
    <m/>
    <m/>
    <n v="1900"/>
    <n v="1"/>
    <n v="45868"/>
    <x v="9"/>
    <m/>
    <s v="Haksız"/>
    <x v="6"/>
    <x v="0"/>
  </r>
  <r>
    <n v="2534"/>
    <x v="0"/>
    <s v="VOLKAN İTFAİYE"/>
    <d v="2025-07-30T00:00:00"/>
    <s v="AAAA"/>
    <n v="1"/>
    <s v="HSA-1"/>
    <m/>
    <m/>
    <n v="1900"/>
    <n v="1"/>
    <n v="45868"/>
    <x v="9"/>
    <m/>
    <s v="Haksız"/>
    <x v="6"/>
    <x v="0"/>
  </r>
  <r>
    <n v="2534"/>
    <x v="0"/>
    <s v="VOLKAN İTFAİYE"/>
    <d v="2025-07-30T00:00:00"/>
    <s v="AAAA"/>
    <n v="1"/>
    <s v="HSA-1"/>
    <m/>
    <m/>
    <n v="1900"/>
    <n v="1"/>
    <n v="45868"/>
    <x v="9"/>
    <m/>
    <s v="Haksız"/>
    <x v="6"/>
    <x v="0"/>
  </r>
  <r>
    <n v="2534"/>
    <x v="0"/>
    <s v="VOLKAN İTFAİYE"/>
    <d v="2025-07-30T00:00:00"/>
    <s v="AAAA"/>
    <n v="1"/>
    <s v="HSA-1"/>
    <m/>
    <m/>
    <n v="1900"/>
    <n v="1"/>
    <n v="45868"/>
    <x v="9"/>
    <m/>
    <s v="Haksız"/>
    <x v="6"/>
    <x v="0"/>
  </r>
  <r>
    <n v="2534"/>
    <x v="0"/>
    <s v="VOLKAN İTFAİYE"/>
    <d v="2025-07-30T00:00:00"/>
    <s v="AAAA"/>
    <n v="1"/>
    <s v="HSA-1"/>
    <m/>
    <m/>
    <n v="1900"/>
    <n v="1"/>
    <n v="45868"/>
    <x v="9"/>
    <m/>
    <s v="Haksız"/>
    <x v="6"/>
    <x v="0"/>
  </r>
  <r>
    <n v="2534"/>
    <x v="0"/>
    <s v="VOLKAN İTFAİYE"/>
    <d v="2025-07-30T00:00:00"/>
    <s v="AAAA"/>
    <n v="1"/>
    <s v="HSA-1"/>
    <m/>
    <m/>
    <n v="1900"/>
    <n v="1"/>
    <n v="45868"/>
    <x v="9"/>
    <m/>
    <s v="Haksız"/>
    <x v="6"/>
    <x v="0"/>
  </r>
  <r>
    <n v="2534"/>
    <x v="0"/>
    <s v="VOLKAN İTFAİYE"/>
    <d v="2025-07-30T00:00:00"/>
    <s v="AAAA"/>
    <n v="1"/>
    <s v="HSA-1"/>
    <m/>
    <m/>
    <n v="1900"/>
    <n v="1"/>
    <n v="45868"/>
    <x v="9"/>
    <m/>
    <s v="Haksız"/>
    <x v="6"/>
    <x v="0"/>
  </r>
  <r>
    <n v="2534"/>
    <x v="0"/>
    <s v="VOLKAN İTFAİYE"/>
    <d v="2025-07-30T00:00:00"/>
    <s v="AAAA"/>
    <n v="1"/>
    <s v="HSA-1"/>
    <m/>
    <m/>
    <n v="1900"/>
    <n v="1"/>
    <n v="45868"/>
    <x v="9"/>
    <m/>
    <s v="Haksız"/>
    <x v="6"/>
    <x v="0"/>
  </r>
  <r>
    <n v="2534"/>
    <x v="0"/>
    <s v="VOLKAN İTFAİYE"/>
    <d v="2025-07-30T00:00:00"/>
    <s v="AAAA"/>
    <n v="1"/>
    <s v="HSA-1"/>
    <m/>
    <m/>
    <n v="1900"/>
    <n v="1"/>
    <n v="45868"/>
    <x v="9"/>
    <m/>
    <s v="Haksız"/>
    <x v="6"/>
    <x v="0"/>
  </r>
  <r>
    <n v="2534"/>
    <x v="0"/>
    <s v="VOLKAN İTFAİYE"/>
    <d v="2025-07-30T00:00:00"/>
    <s v="AAAA"/>
    <n v="1"/>
    <s v="HSA-1"/>
    <m/>
    <m/>
    <n v="1900"/>
    <n v="1"/>
    <n v="45868"/>
    <x v="9"/>
    <m/>
    <s v="Haksız"/>
    <x v="6"/>
    <x v="0"/>
  </r>
  <r>
    <n v="2534"/>
    <x v="0"/>
    <s v="VOLKAN İTFAİYE"/>
    <d v="2025-07-30T00:00:00"/>
    <s v="AAAA"/>
    <n v="1"/>
    <s v="HSA-1"/>
    <m/>
    <m/>
    <n v="1900"/>
    <n v="1"/>
    <n v="45868"/>
    <x v="9"/>
    <m/>
    <s v="Haksız"/>
    <x v="6"/>
    <x v="0"/>
  </r>
  <r>
    <n v="2534"/>
    <x v="0"/>
    <s v="VOLKAN İTFAİYE"/>
    <d v="2025-07-30T00:00:00"/>
    <s v="AAAA"/>
    <n v="1"/>
    <s v="HSA-1"/>
    <m/>
    <m/>
    <n v="1900"/>
    <n v="1"/>
    <n v="45868"/>
    <x v="9"/>
    <m/>
    <s v="Haksız"/>
    <x v="6"/>
    <x v="0"/>
  </r>
  <r>
    <n v="2534"/>
    <x v="0"/>
    <s v="VOLKAN İTFAİYE"/>
    <d v="2025-07-30T00:00:00"/>
    <s v="AAAA"/>
    <n v="1"/>
    <s v="HSA-1"/>
    <m/>
    <m/>
    <n v="1900"/>
    <n v="1"/>
    <n v="45868"/>
    <x v="9"/>
    <m/>
    <s v="Haksız"/>
    <x v="6"/>
    <x v="0"/>
  </r>
  <r>
    <n v="2534"/>
    <x v="0"/>
    <s v="VOLKAN İTFAİYE"/>
    <d v="2025-07-30T00:00:00"/>
    <s v="AAAA"/>
    <n v="1"/>
    <s v="HSA-1"/>
    <m/>
    <m/>
    <n v="1900"/>
    <n v="1"/>
    <n v="45868"/>
    <x v="9"/>
    <m/>
    <s v="Haksız"/>
    <x v="6"/>
    <x v="0"/>
  </r>
  <r>
    <n v="2534"/>
    <x v="0"/>
    <s v="VOLKAN İTFAİYE"/>
    <d v="2025-07-30T00:00:00"/>
    <s v="AAAA"/>
    <n v="1"/>
    <s v="HSA-1"/>
    <m/>
    <m/>
    <n v="1900"/>
    <n v="1"/>
    <n v="45868"/>
    <x v="9"/>
    <m/>
    <s v="Haksız"/>
    <x v="6"/>
    <x v="0"/>
  </r>
  <r>
    <n v="2534"/>
    <x v="0"/>
    <s v="VOLKAN İTFAİYE"/>
    <d v="2025-07-30T00:00:00"/>
    <s v="AAAA"/>
    <n v="1"/>
    <s v="HSA-1"/>
    <m/>
    <m/>
    <n v="1900"/>
    <n v="1"/>
    <n v="45868"/>
    <x v="9"/>
    <m/>
    <s v="Haksız"/>
    <x v="6"/>
    <x v="0"/>
  </r>
  <r>
    <n v="2534"/>
    <x v="0"/>
    <s v="VOLKAN İTFAİYE"/>
    <d v="2025-07-30T00:00:00"/>
    <s v="AAAA"/>
    <n v="1"/>
    <s v="HSA-1"/>
    <m/>
    <m/>
    <n v="1900"/>
    <n v="1"/>
    <n v="45868"/>
    <x v="9"/>
    <m/>
    <s v="Haksız"/>
    <x v="6"/>
    <x v="0"/>
  </r>
  <r>
    <n v="2534"/>
    <x v="0"/>
    <s v="VOLKAN İTFAİYE"/>
    <d v="2025-07-30T00:00:00"/>
    <s v="AAAA"/>
    <n v="1"/>
    <s v="HSA-1"/>
    <m/>
    <m/>
    <n v="1900"/>
    <n v="1"/>
    <n v="45868"/>
    <x v="9"/>
    <m/>
    <s v="Haksız"/>
    <x v="6"/>
    <x v="0"/>
  </r>
  <r>
    <n v="2534"/>
    <x v="0"/>
    <s v="VOLKAN İTFAİYE"/>
    <d v="2025-07-30T00:00:00"/>
    <s v="AAAA"/>
    <n v="1"/>
    <s v="HSA-1"/>
    <m/>
    <m/>
    <n v="1900"/>
    <n v="1"/>
    <n v="45868"/>
    <x v="9"/>
    <m/>
    <s v="Haksız"/>
    <x v="6"/>
    <x v="0"/>
  </r>
  <r>
    <n v="2534"/>
    <x v="0"/>
    <s v="VOLKAN İTFAİYE"/>
    <d v="2025-07-30T00:00:00"/>
    <s v="AAAA"/>
    <n v="1"/>
    <s v="HSA-1"/>
    <m/>
    <m/>
    <n v="1900"/>
    <n v="1"/>
    <n v="45868"/>
    <x v="9"/>
    <m/>
    <s v="Haksız"/>
    <x v="6"/>
    <x v="0"/>
  </r>
  <r>
    <n v="2534"/>
    <x v="0"/>
    <s v="VOLKAN İTFAİYE"/>
    <d v="2025-07-30T00:00:00"/>
    <s v="AAAA"/>
    <n v="1"/>
    <s v="HSA-1"/>
    <m/>
    <m/>
    <n v="1900"/>
    <n v="1"/>
    <n v="45868"/>
    <x v="9"/>
    <m/>
    <s v="Haksız"/>
    <x v="6"/>
    <x v="0"/>
  </r>
  <r>
    <n v="2534"/>
    <x v="0"/>
    <s v="VOLKAN İTFAİYE"/>
    <d v="2025-07-30T00:00:00"/>
    <s v="AAAA"/>
    <n v="1"/>
    <s v="HSA-1"/>
    <m/>
    <m/>
    <n v="1900"/>
    <n v="1"/>
    <n v="45868"/>
    <x v="9"/>
    <m/>
    <s v="Haksız"/>
    <x v="6"/>
    <x v="0"/>
  </r>
  <r>
    <n v="2534"/>
    <x v="0"/>
    <s v="VOLKAN İTFAİYE"/>
    <d v="2025-07-30T00:00:00"/>
    <s v="AAAA"/>
    <n v="1"/>
    <s v="HSA-1"/>
    <m/>
    <m/>
    <n v="1900"/>
    <n v="1"/>
    <n v="45868"/>
    <x v="9"/>
    <m/>
    <s v="Haksız"/>
    <x v="6"/>
    <x v="0"/>
  </r>
  <r>
    <n v="2534"/>
    <x v="0"/>
    <s v="VOLKAN İTFAİYE"/>
    <d v="2025-07-30T00:00:00"/>
    <s v="AAAA"/>
    <n v="1"/>
    <s v="HSA-1"/>
    <m/>
    <m/>
    <n v="1900"/>
    <n v="1"/>
    <n v="45868"/>
    <x v="9"/>
    <m/>
    <s v="Haksız"/>
    <x v="6"/>
    <x v="0"/>
  </r>
  <r>
    <n v="2534"/>
    <x v="0"/>
    <s v="VOLKAN İTFAİYE"/>
    <d v="2025-07-30T00:00:00"/>
    <s v="AAAA"/>
    <n v="1"/>
    <s v="HSA-1"/>
    <m/>
    <m/>
    <n v="1900"/>
    <n v="1"/>
    <n v="45868"/>
    <x v="9"/>
    <m/>
    <s v="Haksız"/>
    <x v="6"/>
    <x v="0"/>
  </r>
  <r>
    <n v="2534"/>
    <x v="0"/>
    <s v="VOLKAN İTFAİYE"/>
    <d v="2025-07-30T00:00:00"/>
    <s v="AAAA"/>
    <n v="1"/>
    <s v="HSA-1"/>
    <m/>
    <m/>
    <n v="1900"/>
    <n v="1"/>
    <n v="45868"/>
    <x v="9"/>
    <m/>
    <s v="Haksız"/>
    <x v="6"/>
    <x v="0"/>
  </r>
  <r>
    <n v="2534"/>
    <x v="0"/>
    <s v="VOLKAN İTFAİYE"/>
    <d v="2025-07-30T00:00:00"/>
    <s v="AAAA"/>
    <n v="1"/>
    <s v="HSA-1"/>
    <m/>
    <m/>
    <n v="1900"/>
    <n v="1"/>
    <n v="45868"/>
    <x v="9"/>
    <m/>
    <s v="Haksız"/>
    <x v="6"/>
    <x v="0"/>
  </r>
  <r>
    <n v="2534"/>
    <x v="0"/>
    <s v="VOLKAN İTFAİYE"/>
    <d v="2025-07-30T00:00:00"/>
    <s v="AAAA"/>
    <n v="1"/>
    <s v="HSA-1"/>
    <m/>
    <m/>
    <n v="1900"/>
    <n v="1"/>
    <n v="45868"/>
    <x v="9"/>
    <m/>
    <s v="Haksız"/>
    <x v="6"/>
    <x v="0"/>
  </r>
  <r>
    <n v="2534"/>
    <x v="0"/>
    <s v="VOLKAN İTFAİYE"/>
    <d v="2025-07-30T00:00:00"/>
    <s v="AAAA"/>
    <n v="1"/>
    <s v="HSA-1"/>
    <m/>
    <m/>
    <n v="1900"/>
    <n v="1"/>
    <n v="45868"/>
    <x v="9"/>
    <m/>
    <s v="Haksız"/>
    <x v="6"/>
    <x v="0"/>
  </r>
  <r>
    <n v="2534"/>
    <x v="0"/>
    <s v="VOLKAN İTFAİYE"/>
    <d v="2025-07-30T00:00:00"/>
    <s v="AAAA"/>
    <n v="1"/>
    <s v="HSA-1"/>
    <m/>
    <m/>
    <n v="1900"/>
    <n v="1"/>
    <n v="45868"/>
    <x v="9"/>
    <m/>
    <s v="Haksız"/>
    <x v="6"/>
    <x v="0"/>
  </r>
  <r>
    <n v="2534"/>
    <x v="0"/>
    <s v="VOLKAN İTFAİYE"/>
    <d v="2025-07-30T00:00:00"/>
    <s v="AAAA"/>
    <n v="1"/>
    <s v="HSA-1"/>
    <m/>
    <m/>
    <n v="1900"/>
    <n v="1"/>
    <n v="45868"/>
    <x v="9"/>
    <m/>
    <s v="Haksız"/>
    <x v="6"/>
    <x v="0"/>
  </r>
  <r>
    <n v="2534"/>
    <x v="0"/>
    <s v="VOLKAN İTFAİYE"/>
    <d v="2025-07-30T00:00:00"/>
    <s v="AAAA"/>
    <n v="1"/>
    <s v="HSA-1"/>
    <m/>
    <m/>
    <n v="1900"/>
    <n v="1"/>
    <n v="45868"/>
    <x v="9"/>
    <m/>
    <s v="Haksız"/>
    <x v="6"/>
    <x v="0"/>
  </r>
  <r>
    <n v="2534"/>
    <x v="0"/>
    <s v="VOLKAN İTFAİYE"/>
    <d v="2025-07-30T00:00:00"/>
    <s v="AAAA"/>
    <n v="1"/>
    <s v="HSA-1"/>
    <m/>
    <m/>
    <n v="1900"/>
    <n v="1"/>
    <n v="45868"/>
    <x v="9"/>
    <m/>
    <s v="Haksız"/>
    <x v="6"/>
    <x v="0"/>
  </r>
  <r>
    <n v="2534"/>
    <x v="0"/>
    <s v="VOLKAN İTFAİYE"/>
    <d v="2025-07-30T00:00:00"/>
    <s v="AAAA"/>
    <n v="1"/>
    <s v="HSA-1"/>
    <m/>
    <m/>
    <n v="1900"/>
    <n v="1"/>
    <n v="45868"/>
    <x v="9"/>
    <m/>
    <s v="Haksız"/>
    <x v="6"/>
    <x v="0"/>
  </r>
  <r>
    <n v="2534"/>
    <x v="0"/>
    <s v="VOLKAN İTFAİYE"/>
    <d v="2025-07-30T00:00:00"/>
    <s v="AAAA"/>
    <n v="1"/>
    <s v="HSA-1"/>
    <m/>
    <m/>
    <n v="1900"/>
    <n v="1"/>
    <n v="45868"/>
    <x v="9"/>
    <m/>
    <s v="Haksız"/>
    <x v="6"/>
    <x v="0"/>
  </r>
  <r>
    <n v="2534"/>
    <x v="0"/>
    <s v="VOLKAN İTFAİYE"/>
    <d v="2025-07-30T00:00:00"/>
    <s v="AAAA"/>
    <n v="1"/>
    <s v="HSA-1"/>
    <m/>
    <m/>
    <n v="1900"/>
    <n v="1"/>
    <n v="45868"/>
    <x v="9"/>
    <m/>
    <s v="Haksız"/>
    <x v="6"/>
    <x v="0"/>
  </r>
  <r>
    <n v="2534"/>
    <x v="0"/>
    <s v="VOLKAN İTFAİYE"/>
    <d v="2025-07-30T00:00:00"/>
    <s v="AAAA"/>
    <n v="1"/>
    <s v="HSA-1"/>
    <m/>
    <m/>
    <n v="1900"/>
    <n v="1"/>
    <n v="45868"/>
    <x v="9"/>
    <m/>
    <s v="Haksız"/>
    <x v="6"/>
    <x v="0"/>
  </r>
  <r>
    <n v="2534"/>
    <x v="0"/>
    <s v="VOLKAN İTFAİYE"/>
    <d v="2025-07-30T00:00:00"/>
    <s v="AAAA"/>
    <n v="1"/>
    <s v="HSA-1"/>
    <m/>
    <m/>
    <n v="1900"/>
    <n v="1"/>
    <n v="45868"/>
    <x v="9"/>
    <m/>
    <s v="Haksız"/>
    <x v="6"/>
    <x v="0"/>
  </r>
  <r>
    <n v="2534"/>
    <x v="0"/>
    <s v="VOLKAN İTFAİYE"/>
    <d v="2025-07-30T00:00:00"/>
    <s v="AAAA"/>
    <n v="1"/>
    <s v="HSA-1"/>
    <m/>
    <m/>
    <n v="1900"/>
    <n v="1"/>
    <n v="45868"/>
    <x v="9"/>
    <m/>
    <s v="Haksız"/>
    <x v="6"/>
    <x v="0"/>
  </r>
  <r>
    <n v="2534"/>
    <x v="0"/>
    <s v="VOLKAN İTFAİYE"/>
    <d v="2025-07-30T00:00:00"/>
    <s v="AAAA"/>
    <n v="1"/>
    <s v="HSA-1"/>
    <m/>
    <m/>
    <n v="1900"/>
    <n v="1"/>
    <n v="45868"/>
    <x v="9"/>
    <m/>
    <s v="Haksız"/>
    <x v="6"/>
    <x v="0"/>
  </r>
  <r>
    <n v="2534"/>
    <x v="0"/>
    <s v="VOLKAN İTFAİYE"/>
    <d v="2025-07-30T00:00:00"/>
    <s v="AAAA"/>
    <n v="1"/>
    <s v="HSA-1"/>
    <m/>
    <m/>
    <n v="1900"/>
    <n v="1"/>
    <n v="45868"/>
    <x v="9"/>
    <m/>
    <s v="Haksız"/>
    <x v="6"/>
    <x v="0"/>
  </r>
  <r>
    <n v="2535"/>
    <x v="18"/>
    <s v="DKY ENERJİ"/>
    <d v="2025-08-19T00:00:00"/>
    <s v="AAAA"/>
    <n v="1"/>
    <s v="HSA-2"/>
    <s v="MAVİÇAM"/>
    <m/>
    <n v="1900"/>
    <n v="1"/>
    <n v="45888"/>
    <x v="14"/>
    <s v="Değişim"/>
    <s v="Haklı"/>
    <x v="7"/>
    <x v="0"/>
  </r>
  <r>
    <n v="2536"/>
    <x v="19"/>
    <s v="ÇİZMECİ"/>
    <d v="2025-08-20T00:00:00"/>
    <s v="2510307MC1004972 "/>
    <n v="1"/>
    <s v="HSA-1"/>
    <s v="MAVİÇAM"/>
    <m/>
    <n v="1900"/>
    <n v="1"/>
    <n v="45889"/>
    <x v="2"/>
    <s v="Tamir"/>
    <s v="Haklı"/>
    <x v="7"/>
    <x v="0"/>
  </r>
  <r>
    <n v="2536"/>
    <x v="19"/>
    <s v="ÇİZMECİ"/>
    <d v="2025-08-20T00:00:00"/>
    <s v="2510307MC1000738 "/>
    <n v="1"/>
    <s v="HSA-1"/>
    <s v="MAVİÇAM"/>
    <m/>
    <n v="1900"/>
    <n v="1"/>
    <n v="45889"/>
    <x v="2"/>
    <s v="Tamir"/>
    <s v="Haklı"/>
    <x v="7"/>
    <x v="0"/>
  </r>
  <r>
    <n v="2537"/>
    <x v="19"/>
    <s v="BALSU"/>
    <d v="2025-08-20T00:00:00"/>
    <s v="2320108MC2034600"/>
    <n v="1"/>
    <s v="HSA-2"/>
    <s v="MAVİÇAM"/>
    <m/>
    <n v="1900"/>
    <n v="1"/>
    <n v="45889"/>
    <x v="2"/>
    <s v="Tamir"/>
    <s v="Haklı"/>
    <x v="7"/>
    <x v="0"/>
  </r>
  <r>
    <n v="2537"/>
    <x v="19"/>
    <s v="BALSU"/>
    <d v="2025-08-20T00:00:00"/>
    <s v="2320108MC2036603"/>
    <n v="1"/>
    <s v="HSA-2"/>
    <s v="MAVİÇAM"/>
    <m/>
    <n v="1900"/>
    <n v="1"/>
    <n v="45889"/>
    <x v="2"/>
    <s v="Tamir"/>
    <s v="Haklı"/>
    <x v="7"/>
    <x v="0"/>
  </r>
  <r>
    <n v="2537"/>
    <x v="19"/>
    <s v="BALSU"/>
    <d v="2025-08-20T00:00:00"/>
    <s v="2320108MC2011324"/>
    <n v="1"/>
    <s v="HSA-2"/>
    <s v="MAVİÇAM"/>
    <m/>
    <n v="1900"/>
    <n v="1"/>
    <n v="45889"/>
    <x v="2"/>
    <s v="Tamir"/>
    <s v="Haklı"/>
    <x v="7"/>
    <x v="0"/>
  </r>
  <r>
    <n v="2538"/>
    <x v="19"/>
    <s v="ACACIA"/>
    <d v="2025-08-20T00:00:00"/>
    <s v="24A0107BW0010271"/>
    <n v="1"/>
    <s v="HSA-1"/>
    <s v="JASOLAR"/>
    <m/>
    <n v="1900"/>
    <n v="1"/>
    <n v="45889"/>
    <x v="2"/>
    <s v="Tamir"/>
    <s v="Haklı"/>
    <x v="7"/>
    <x v="0"/>
  </r>
  <r>
    <n v="2538"/>
    <x v="19"/>
    <s v="ACACIA"/>
    <d v="2025-08-20T00:00:00"/>
    <s v="2510107BW0010603"/>
    <n v="1"/>
    <s v="HSA-1"/>
    <s v="JASOLAR"/>
    <m/>
    <n v="1900"/>
    <n v="1"/>
    <n v="45889"/>
    <x v="2"/>
    <s v="Tamir"/>
    <s v="Haklı"/>
    <x v="7"/>
    <x v="0"/>
  </r>
  <r>
    <n v="2538"/>
    <x v="19"/>
    <s v="ACACIA"/>
    <d v="2025-08-20T00:00:00"/>
    <s v="24B0107BW0045224"/>
    <n v="1"/>
    <s v="HSA-1"/>
    <s v="JASOLAR"/>
    <m/>
    <n v="1900"/>
    <n v="1"/>
    <n v="45889"/>
    <x v="2"/>
    <s v="Tamir"/>
    <s v="Haklı"/>
    <x v="7"/>
    <x v="0"/>
  </r>
  <r>
    <n v="2538"/>
    <x v="19"/>
    <s v="ACACIA"/>
    <d v="2025-08-20T00:00:00"/>
    <s v="24C0107BW0039119"/>
    <n v="1"/>
    <s v="HSA-1"/>
    <s v="JASOLAR"/>
    <m/>
    <n v="1900"/>
    <n v="1"/>
    <n v="45889"/>
    <x v="2"/>
    <s v="Tamir"/>
    <s v="Haklı"/>
    <x v="7"/>
    <x v="0"/>
  </r>
  <r>
    <n v="2538"/>
    <x v="19"/>
    <s v="ACACIA"/>
    <d v="2025-08-20T00:00:00"/>
    <s v="24C0107BW0024236"/>
    <n v="1"/>
    <s v="HSA-1"/>
    <s v="JASOLAR"/>
    <m/>
    <n v="1900"/>
    <n v="1"/>
    <n v="45889"/>
    <x v="2"/>
    <s v="Tamir"/>
    <s v="Haklı"/>
    <x v="7"/>
    <x v="0"/>
  </r>
  <r>
    <n v="2538"/>
    <x v="19"/>
    <s v="ACACIA"/>
    <d v="2025-08-20T00:00:00"/>
    <s v="24A0107BW0011440"/>
    <n v="1"/>
    <s v="HSA-1"/>
    <s v="JASOLAR"/>
    <m/>
    <n v="1900"/>
    <n v="1"/>
    <n v="45889"/>
    <x v="2"/>
    <s v="Tamir"/>
    <s v="Haklı"/>
    <x v="7"/>
    <x v="0"/>
  </r>
  <r>
    <n v="2538"/>
    <x v="19"/>
    <s v="ACACIA"/>
    <d v="2025-08-20T00:00:00"/>
    <s v="24A0107BW0013244"/>
    <n v="1"/>
    <s v="HSA-1"/>
    <s v="JASOLAR"/>
    <m/>
    <n v="1900"/>
    <n v="1"/>
    <n v="45889"/>
    <x v="2"/>
    <s v="Tamir"/>
    <s v="Haklı"/>
    <x v="7"/>
    <x v="0"/>
  </r>
  <r>
    <n v="2538"/>
    <x v="19"/>
    <s v="ACACIA"/>
    <d v="2025-08-20T00:00:00"/>
    <s v="24B0107BW0004558"/>
    <n v="1"/>
    <s v="HSA-1"/>
    <s v="JASOLAR"/>
    <m/>
    <n v="1900"/>
    <n v="1"/>
    <n v="45889"/>
    <x v="2"/>
    <s v="Tamir"/>
    <s v="Haklı"/>
    <x v="7"/>
    <x v="0"/>
  </r>
  <r>
    <n v="2538"/>
    <x v="19"/>
    <s v="ACACIA"/>
    <d v="2025-08-20T00:00:00"/>
    <s v="24B0107BW0003284"/>
    <n v="1"/>
    <s v="HSA-1"/>
    <s v="JASOLAR"/>
    <m/>
    <n v="1900"/>
    <n v="1"/>
    <n v="45889"/>
    <x v="2"/>
    <s v="Tamir"/>
    <s v="Haklı"/>
    <x v="7"/>
    <x v="0"/>
  </r>
  <r>
    <n v="2538"/>
    <x v="19"/>
    <s v="ACACIA"/>
    <d v="2025-08-20T00:00:00"/>
    <s v="24A0107BW0034432"/>
    <n v="1"/>
    <s v="HSA-1"/>
    <s v="JASOLAR"/>
    <m/>
    <n v="1900"/>
    <n v="1"/>
    <n v="45889"/>
    <x v="2"/>
    <s v="Tamir"/>
    <s v="Haklı"/>
    <x v="7"/>
    <x v="0"/>
  </r>
  <r>
    <n v="2538"/>
    <x v="19"/>
    <s v="ACACIA"/>
    <d v="2025-08-20T00:00:00"/>
    <s v="24A0107BW0022195"/>
    <n v="1"/>
    <s v="HSA-1"/>
    <s v="JASOLAR"/>
    <m/>
    <n v="1900"/>
    <n v="1"/>
    <n v="45889"/>
    <x v="2"/>
    <s v="Tamir"/>
    <s v="Haklı"/>
    <x v="7"/>
    <x v="0"/>
  </r>
  <r>
    <n v="2538"/>
    <x v="19"/>
    <s v="ACACIA"/>
    <d v="2025-08-20T00:00:00"/>
    <s v="24B0107BW0042822"/>
    <n v="1"/>
    <s v="HSA-1"/>
    <s v="JASOLAR"/>
    <m/>
    <n v="1900"/>
    <n v="1"/>
    <n v="45889"/>
    <x v="2"/>
    <s v="Tamir"/>
    <s v="Haklı"/>
    <x v="7"/>
    <x v="0"/>
  </r>
  <r>
    <n v="2538"/>
    <x v="19"/>
    <s v="ACACIA"/>
    <d v="2025-08-20T00:00:00"/>
    <s v="24C0107BW0000536"/>
    <n v="1"/>
    <s v="HSA-1"/>
    <s v="JASOLAR"/>
    <m/>
    <n v="1900"/>
    <n v="1"/>
    <n v="45889"/>
    <x v="2"/>
    <s v="Tamir"/>
    <s v="Haklı"/>
    <x v="7"/>
    <x v="0"/>
  </r>
  <r>
    <n v="2538"/>
    <x v="19"/>
    <s v="ACACIA"/>
    <d v="2025-08-20T00:00:00"/>
    <s v="24A0107BW0018488"/>
    <n v="1"/>
    <s v="HSA-1"/>
    <s v="JASOLAR"/>
    <m/>
    <n v="1900"/>
    <n v="1"/>
    <n v="45889"/>
    <x v="2"/>
    <s v="Tamir"/>
    <s v="Haklı"/>
    <x v="7"/>
    <x v="0"/>
  </r>
  <r>
    <n v="2538"/>
    <x v="19"/>
    <s v="ACACIA"/>
    <d v="2025-08-20T00:00:00"/>
    <s v="24C0107BW0004303"/>
    <n v="1"/>
    <s v="HSA-1"/>
    <s v="JASOLAR"/>
    <m/>
    <n v="1900"/>
    <n v="1"/>
    <n v="45889"/>
    <x v="2"/>
    <s v="Tamir"/>
    <s v="Haklı"/>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39"/>
    <x v="20"/>
    <s v="PİRAMİT SENTETİK"/>
    <d v="2025-08-22T00:00:00"/>
    <s v="AAAA"/>
    <n v="1"/>
    <s v="HSA-1"/>
    <s v="MAVİÇAM"/>
    <m/>
    <n v="1900"/>
    <n v="1"/>
    <n v="45891"/>
    <x v="15"/>
    <s v="Garanti Taahhütü"/>
    <s v="Haksız"/>
    <x v="7"/>
    <x v="0"/>
  </r>
  <r>
    <n v="2540"/>
    <x v="3"/>
    <s v="ARTAŞ"/>
    <d v="2025-08-15T00:00:00"/>
    <s v="E3FXT425B249990039700107"/>
    <n v="1"/>
    <s v="HSA-2"/>
    <s v="JINKOSOLAR"/>
    <m/>
    <n v="1900"/>
    <n v="1"/>
    <n v="45884"/>
    <x v="16"/>
    <s v="Değişim"/>
    <s v="Haklı"/>
    <x v="7"/>
    <x v="0"/>
  </r>
  <r>
    <n v="2540"/>
    <x v="3"/>
    <s v="ARTAŞ"/>
    <d v="2025-08-15T00:00:00"/>
    <s v="E3FXT425B249990039701508"/>
    <n v="1"/>
    <s v="HSA-2"/>
    <s v="JINKOSOLAR"/>
    <m/>
    <n v="1900"/>
    <n v="1"/>
    <n v="45884"/>
    <x v="16"/>
    <s v="Değişim"/>
    <s v="Haklı"/>
    <x v="7"/>
    <x v="0"/>
  </r>
  <r>
    <n v="2540"/>
    <x v="3"/>
    <s v="ARTAŞ"/>
    <d v="2025-08-15T00:00:00"/>
    <s v="E3FXT425B249990039701727"/>
    <n v="1"/>
    <s v="HSA-2"/>
    <s v="JINKOSOLAR"/>
    <m/>
    <n v="1900"/>
    <n v="1"/>
    <n v="45884"/>
    <x v="16"/>
    <s v="Değişim"/>
    <s v="Haklı"/>
    <x v="7"/>
    <x v="0"/>
  </r>
  <r>
    <n v="2540"/>
    <x v="3"/>
    <s v="ARTAŞ"/>
    <d v="2025-08-15T00:00:00"/>
    <s v="E3FXT425B249990039701162"/>
    <n v="1"/>
    <s v="HSA-2"/>
    <s v="JINKOSOLAR"/>
    <m/>
    <n v="1900"/>
    <n v="1"/>
    <n v="45884"/>
    <x v="16"/>
    <s v="Değişim"/>
    <s v="Haklı"/>
    <x v="7"/>
    <x v="0"/>
  </r>
  <r>
    <n v="2540"/>
    <x v="3"/>
    <s v="ARTAŞ"/>
    <d v="2025-08-15T00:00:00"/>
    <s v="E3FXT425B249990039701715"/>
    <n v="1"/>
    <s v="HSA-2"/>
    <s v="JINKOSOLAR"/>
    <m/>
    <n v="1900"/>
    <n v="1"/>
    <n v="45884"/>
    <x v="16"/>
    <s v="Değişim"/>
    <s v="Haklı"/>
    <x v="7"/>
    <x v="0"/>
  </r>
  <r>
    <n v="2540"/>
    <x v="3"/>
    <s v="ARTAŞ"/>
    <d v="2025-08-15T00:00:00"/>
    <s v="E3FXT425B249990039700944"/>
    <n v="1"/>
    <s v="HSA-2"/>
    <s v="JINKOSOLAR"/>
    <m/>
    <n v="1900"/>
    <n v="1"/>
    <n v="45884"/>
    <x v="17"/>
    <s v="Değişim"/>
    <s v="Haklı"/>
    <x v="7"/>
    <x v="0"/>
  </r>
  <r>
    <n v="2540"/>
    <x v="3"/>
    <s v="ARTAŞ"/>
    <d v="2025-08-15T00:00:00"/>
    <s v="E3FXT425B249990039700333"/>
    <n v="1"/>
    <s v="HSA-2"/>
    <s v="JINKOSOLAR"/>
    <m/>
    <n v="1900"/>
    <n v="1"/>
    <n v="45884"/>
    <x v="17"/>
    <s v="Değişim"/>
    <s v="Haklı"/>
    <x v="7"/>
    <x v="0"/>
  </r>
  <r>
    <n v="2540"/>
    <x v="3"/>
    <s v="ARTAŞ"/>
    <d v="2025-08-15T00:00:00"/>
    <s v="E3FXT425B249990039700484"/>
    <n v="1"/>
    <s v="HSA-2"/>
    <s v="JINKOSOLAR"/>
    <m/>
    <n v="1900"/>
    <n v="1"/>
    <n v="45884"/>
    <x v="17"/>
    <s v="Değişim"/>
    <s v="Haklı"/>
    <x v="7"/>
    <x v="0"/>
  </r>
  <r>
    <n v="2540"/>
    <x v="3"/>
    <s v="ARTAŞ"/>
    <d v="2025-08-15T00:00:00"/>
    <s v="E3FXT425B249990039701671"/>
    <n v="1"/>
    <s v="HSA-2"/>
    <s v="JINKOSOLAR"/>
    <m/>
    <n v="1900"/>
    <n v="1"/>
    <n v="45884"/>
    <x v="17"/>
    <s v="Değişim"/>
    <s v="Haklı"/>
    <x v="7"/>
    <x v="0"/>
  </r>
  <r>
    <n v="2540"/>
    <x v="3"/>
    <s v="ARTAŞ"/>
    <d v="2025-08-15T00:00:00"/>
    <s v="E3FXT425B249990039701647"/>
    <n v="1"/>
    <s v="HSA-2"/>
    <s v="JINKOSOLAR"/>
    <m/>
    <n v="1900"/>
    <n v="1"/>
    <n v="45884"/>
    <x v="17"/>
    <s v="Değişim"/>
    <s v="Haklı"/>
    <x v="7"/>
    <x v="0"/>
  </r>
  <r>
    <n v="2540"/>
    <x v="3"/>
    <s v="ARTAŞ"/>
    <d v="2025-08-15T00:00:00"/>
    <s v="E3FXT425B279990039805023"/>
    <n v="1"/>
    <s v="HSA-2"/>
    <s v="JINKOSOLAR"/>
    <m/>
    <n v="1900"/>
    <n v="1"/>
    <n v="45884"/>
    <x v="17"/>
    <s v="Değişim"/>
    <s v="Haklı"/>
    <x v="7"/>
    <x v="0"/>
  </r>
  <r>
    <n v="2540"/>
    <x v="3"/>
    <s v="ARTAŞ"/>
    <d v="2025-08-15T00:00:00"/>
    <s v="E3FXT425B279990039805798"/>
    <n v="1"/>
    <s v="HSA-2"/>
    <s v="JINKOSOLAR"/>
    <m/>
    <n v="1900"/>
    <n v="1"/>
    <n v="45884"/>
    <x v="17"/>
    <s v="Değişim"/>
    <s v="Haklı"/>
    <x v="7"/>
    <x v="0"/>
  </r>
  <r>
    <n v="2540"/>
    <x v="3"/>
    <s v="ARTAŞ"/>
    <d v="2025-08-15T00:00:00"/>
    <s v="E3FXT425B279990039806630"/>
    <n v="1"/>
    <s v="HSA-2"/>
    <s v="JINKOSOLAR"/>
    <m/>
    <n v="1900"/>
    <n v="1"/>
    <n v="45884"/>
    <x v="17"/>
    <s v="Değişim"/>
    <s v="Haklı"/>
    <x v="7"/>
    <x v="0"/>
  </r>
  <r>
    <n v="2540"/>
    <x v="3"/>
    <s v="ARTAŞ"/>
    <d v="2025-08-15T00:00:00"/>
    <s v="E3FXT425B259990039801167"/>
    <n v="1"/>
    <s v="HSA-2"/>
    <s v="JINKOSOLAR"/>
    <m/>
    <n v="1900"/>
    <n v="1"/>
    <n v="45884"/>
    <x v="17"/>
    <s v="Değişim"/>
    <s v="Haklı"/>
    <x v="7"/>
    <x v="0"/>
  </r>
  <r>
    <n v="2540"/>
    <x v="3"/>
    <s v="ARTAŞ"/>
    <d v="2025-08-15T00:00:00"/>
    <s v="E3FXT425B259990039800541"/>
    <n v="1"/>
    <s v="HSA-2"/>
    <s v="JINKOSOLAR"/>
    <m/>
    <n v="1900"/>
    <n v="1"/>
    <n v="45884"/>
    <x v="17"/>
    <s v="Değişim"/>
    <s v="Haklı"/>
    <x v="7"/>
    <x v="0"/>
  </r>
  <r>
    <n v="2540"/>
    <x v="3"/>
    <s v="ARTAŞ"/>
    <d v="2025-08-15T00:00:00"/>
    <s v="E3FXT425B259990039800949"/>
    <n v="1"/>
    <s v="HSA-2"/>
    <s v="JINKOSOLAR"/>
    <m/>
    <n v="1900"/>
    <n v="1"/>
    <n v="45884"/>
    <x v="17"/>
    <s v="Değişim"/>
    <s v="Haklı"/>
    <x v="7"/>
    <x v="0"/>
  </r>
  <r>
    <n v="2540"/>
    <x v="3"/>
    <s v="ARTAŞ"/>
    <d v="2025-08-15T00:00:00"/>
    <s v="E3FXT425D299990042801193"/>
    <n v="1"/>
    <s v="HSA-2"/>
    <s v="JINKOSOLAR"/>
    <m/>
    <n v="1900"/>
    <n v="1"/>
    <n v="45884"/>
    <x v="17"/>
    <s v="Değişim"/>
    <s v="Haklı"/>
    <x v="7"/>
    <x v="0"/>
  </r>
  <r>
    <n v="2540"/>
    <x v="3"/>
    <s v="ARTAŞ"/>
    <d v="2025-08-15T00:00:00"/>
    <s v="E3FXT425D299990042800950"/>
    <n v="1"/>
    <s v="HSA-2"/>
    <s v="JINKOSOLAR"/>
    <m/>
    <n v="1900"/>
    <n v="1"/>
    <n v="45884"/>
    <x v="17"/>
    <s v="Değişim"/>
    <s v="Haklı"/>
    <x v="7"/>
    <x v="0"/>
  </r>
  <r>
    <n v="2540"/>
    <x v="3"/>
    <s v="ARTAŞ"/>
    <d v="2025-08-15T00:00:00"/>
    <s v="E3FXT425D299990042800277"/>
    <n v="1"/>
    <s v="HSA-2"/>
    <s v="JINKOSOLAR"/>
    <m/>
    <n v="1900"/>
    <n v="1"/>
    <n v="45884"/>
    <x v="17"/>
    <s v="Değişim"/>
    <s v="Haklı"/>
    <x v="7"/>
    <x v="0"/>
  </r>
  <r>
    <n v="2540"/>
    <x v="3"/>
    <s v="ARTAŞ"/>
    <d v="2025-08-15T00:00:00"/>
    <s v="E3FXT425D299990042800939"/>
    <n v="1"/>
    <s v="HSA-2"/>
    <s v="JINKOSOLAR"/>
    <m/>
    <n v="1900"/>
    <n v="1"/>
    <n v="45884"/>
    <x v="17"/>
    <s v="Değişim"/>
    <s v="Haklı"/>
    <x v="7"/>
    <x v="0"/>
  </r>
  <r>
    <n v="2540"/>
    <x v="3"/>
    <s v="ARTAŞ"/>
    <d v="2025-08-15T00:00:00"/>
    <s v="E3FXT425D299990042801162"/>
    <n v="1"/>
    <s v="HSA-2"/>
    <s v="JINKOSOLAR"/>
    <m/>
    <n v="1900"/>
    <n v="1"/>
    <n v="45884"/>
    <x v="17"/>
    <s v="Değişim"/>
    <s v="Haklı"/>
    <x v="7"/>
    <x v="0"/>
  </r>
  <r>
    <n v="2540"/>
    <x v="3"/>
    <s v="ARTAŞ"/>
    <d v="2025-08-15T00:00:00"/>
    <s v="E3FXT425D299990042801160"/>
    <n v="1"/>
    <s v="HSA-2"/>
    <s v="JINKOSOLAR"/>
    <m/>
    <n v="1900"/>
    <n v="1"/>
    <n v="45884"/>
    <x v="17"/>
    <s v="Değişim"/>
    <s v="Haklı"/>
    <x v="7"/>
    <x v="0"/>
  </r>
  <r>
    <n v="2540"/>
    <x v="3"/>
    <s v="ARTAŞ"/>
    <d v="2025-08-15T00:00:00"/>
    <s v="E3FXT425C219990041202309"/>
    <n v="1"/>
    <s v="HSA-2"/>
    <s v="JINKOSOLAR"/>
    <m/>
    <n v="1900"/>
    <n v="1"/>
    <n v="45884"/>
    <x v="17"/>
    <s v="Değişim"/>
    <s v="Haklı"/>
    <x v="7"/>
    <x v="0"/>
  </r>
  <r>
    <n v="2540"/>
    <x v="3"/>
    <s v="ARTAŞ"/>
    <d v="2025-08-15T00:00:00"/>
    <s v="E3FXT425C209990041201317"/>
    <n v="1"/>
    <s v="HSA-2"/>
    <s v="JINKOSOLAR"/>
    <m/>
    <n v="1900"/>
    <n v="1"/>
    <n v="45884"/>
    <x v="17"/>
    <s v="Değişim"/>
    <s v="Haklı"/>
    <x v="7"/>
    <x v="0"/>
  </r>
  <r>
    <n v="2540"/>
    <x v="3"/>
    <s v="ARTAŞ"/>
    <d v="2025-08-15T00:00:00"/>
    <s v="E3FXT425C119990040213957"/>
    <n v="1"/>
    <s v="HSA-2"/>
    <s v="JINKOSOLAR"/>
    <m/>
    <n v="1900"/>
    <n v="1"/>
    <n v="45884"/>
    <x v="17"/>
    <s v="Değişim"/>
    <s v="Haklı"/>
    <x v="7"/>
    <x v="0"/>
  </r>
  <r>
    <n v="2540"/>
    <x v="3"/>
    <s v="ARTAŞ"/>
    <d v="2025-08-15T00:00:00"/>
    <s v="E3FXT425B269990039802869"/>
    <n v="1"/>
    <s v="HSA-2"/>
    <s v="JINKOSOLAR"/>
    <m/>
    <n v="1900"/>
    <n v="1"/>
    <n v="45884"/>
    <x v="17"/>
    <s v="Değişim"/>
    <s v="Haklı"/>
    <x v="7"/>
    <x v="0"/>
  </r>
  <r>
    <n v="2540"/>
    <x v="3"/>
    <s v="ARTAŞ"/>
    <d v="2025-08-15T00:00:00"/>
    <s v="E3FXT425B269990039802799"/>
    <n v="1"/>
    <s v="HSA-2"/>
    <s v="JINKOSOLAR"/>
    <m/>
    <n v="1900"/>
    <n v="1"/>
    <n v="45884"/>
    <x v="17"/>
    <s v="Değişim"/>
    <s v="Haklı"/>
    <x v="7"/>
    <x v="0"/>
  </r>
  <r>
    <n v="2540"/>
    <x v="3"/>
    <s v="ARTAŞ"/>
    <d v="2025-08-15T00:00:00"/>
    <s v="E3FXT425B289990039807475"/>
    <n v="1"/>
    <s v="HSA-2"/>
    <s v="JINKOSOLAR"/>
    <m/>
    <n v="1900"/>
    <n v="1"/>
    <n v="45884"/>
    <x v="17"/>
    <s v="Değişim"/>
    <s v="Haklı"/>
    <x v="7"/>
    <x v="0"/>
  </r>
  <r>
    <n v="2540"/>
    <x v="3"/>
    <s v="ARTAŞ"/>
    <d v="2025-08-15T00:00:00"/>
    <s v="E3FXT425D299990042801129"/>
    <n v="1"/>
    <s v="HSA-2"/>
    <s v="JINKOSOLAR"/>
    <m/>
    <n v="1900"/>
    <n v="1"/>
    <n v="45884"/>
    <x v="17"/>
    <s v="Değişim"/>
    <s v="Haklı"/>
    <x v="7"/>
    <x v="0"/>
  </r>
  <r>
    <n v="2540"/>
    <x v="3"/>
    <s v="ARTAŞ"/>
    <d v="2025-08-15T00:00:00"/>
    <s v="E3FXT425D299990042801013"/>
    <n v="1"/>
    <s v="HSA-2"/>
    <s v="JINKOSOLAR"/>
    <m/>
    <n v="1900"/>
    <n v="1"/>
    <n v="45884"/>
    <x v="17"/>
    <s v="Değişim"/>
    <s v="Haklı"/>
    <x v="7"/>
    <x v="0"/>
  </r>
  <r>
    <n v="2540"/>
    <x v="3"/>
    <s v="ARTAŞ"/>
    <d v="2025-08-15T00:00:00"/>
    <s v="E3FXT425D299990042800979"/>
    <n v="1"/>
    <s v="HSA-2"/>
    <s v="JINKOSOLAR"/>
    <m/>
    <n v="1900"/>
    <n v="1"/>
    <n v="45884"/>
    <x v="17"/>
    <s v="Değişim"/>
    <s v="Haklı"/>
    <x v="7"/>
    <x v="0"/>
  </r>
  <r>
    <n v="2540"/>
    <x v="3"/>
    <s v="ARTAŞ"/>
    <d v="2025-08-15T00:00:00"/>
    <s v="E3FXT425D299990042801045"/>
    <n v="1"/>
    <s v="HSA-2"/>
    <s v="JINKOSOLAR"/>
    <m/>
    <n v="1900"/>
    <n v="1"/>
    <n v="45884"/>
    <x v="17"/>
    <s v="Değişim"/>
    <s v="Haklı"/>
    <x v="7"/>
    <x v="0"/>
  </r>
  <r>
    <n v="2540"/>
    <x v="3"/>
    <s v="ARTAŞ"/>
    <d v="2025-08-15T00:00:00"/>
    <s v="E3FXT425D299990042801204"/>
    <n v="1"/>
    <s v="HSA-2"/>
    <s v="JINKOSOLAR"/>
    <m/>
    <n v="1900"/>
    <n v="1"/>
    <n v="45884"/>
    <x v="17"/>
    <s v="Değişim"/>
    <s v="Haklı"/>
    <x v="7"/>
    <x v="0"/>
  </r>
  <r>
    <n v="2540"/>
    <x v="3"/>
    <s v="ARTAŞ"/>
    <d v="2025-08-15T00:00:00"/>
    <s v="E3FXT425D299990042801241"/>
    <n v="1"/>
    <s v="HSA-2"/>
    <s v="JINKOSOLAR"/>
    <m/>
    <n v="1900"/>
    <n v="1"/>
    <n v="45884"/>
    <x v="17"/>
    <s v="Değişim"/>
    <s v="Haklı"/>
    <x v="7"/>
    <x v="0"/>
  </r>
  <r>
    <n v="2540"/>
    <x v="3"/>
    <s v="ARTAŞ"/>
    <d v="2025-08-15T00:00:00"/>
    <s v="E3FXT425D309990042801554"/>
    <n v="1"/>
    <s v="HSA-2"/>
    <s v="JINKOSOLAR"/>
    <m/>
    <n v="1900"/>
    <n v="1"/>
    <n v="45884"/>
    <x v="17"/>
    <s v="Değişim"/>
    <s v="Haklı"/>
    <x v="7"/>
    <x v="0"/>
  </r>
  <r>
    <n v="2540"/>
    <x v="3"/>
    <s v="ARTAŞ"/>
    <d v="2025-08-15T00:00:00"/>
    <s v="E3FXT425D309990042801485"/>
    <n v="1"/>
    <s v="HSA-2"/>
    <s v="JINKOSOLAR"/>
    <m/>
    <n v="1900"/>
    <n v="1"/>
    <n v="45884"/>
    <x v="17"/>
    <s v="Değişim"/>
    <s v="Haklı"/>
    <x v="7"/>
    <x v="0"/>
  </r>
  <r>
    <n v="2540"/>
    <x v="3"/>
    <s v="ARTAŞ"/>
    <d v="2025-08-15T00:00:00"/>
    <s v="E3FXT425D309990042801619"/>
    <n v="1"/>
    <s v="HSA-2"/>
    <s v="JINKOSOLAR"/>
    <m/>
    <n v="1900"/>
    <n v="1"/>
    <n v="45884"/>
    <x v="17"/>
    <s v="Değişim"/>
    <s v="Haklı"/>
    <x v="7"/>
    <x v="0"/>
  </r>
  <r>
    <n v="2540"/>
    <x v="3"/>
    <s v="ARTAŞ"/>
    <d v="2025-08-15T00:00:00"/>
    <s v="E3FXT425C229990041204337"/>
    <n v="1"/>
    <s v="HSA-2"/>
    <s v="JINKOSOLAR"/>
    <m/>
    <n v="1900"/>
    <n v="1"/>
    <n v="45884"/>
    <x v="17"/>
    <s v="Değişim"/>
    <s v="Haklı"/>
    <x v="7"/>
    <x v="0"/>
  </r>
  <r>
    <n v="2540"/>
    <x v="3"/>
    <s v="ARTAŞ"/>
    <d v="2025-08-15T00:00:00"/>
    <s v="E3FXT425C229990041204156"/>
    <n v="1"/>
    <s v="HSA-2"/>
    <s v="JINKOSOLAR"/>
    <m/>
    <n v="1900"/>
    <n v="1"/>
    <n v="45884"/>
    <x v="17"/>
    <s v="Değişim"/>
    <s v="Haklı"/>
    <x v="7"/>
    <x v="0"/>
  </r>
  <r>
    <n v="2540"/>
    <x v="3"/>
    <s v="ARTAŞ"/>
    <d v="2025-08-15T00:00:00"/>
    <s v="E3FXT425C249990041206593"/>
    <n v="1"/>
    <s v="HSA-2"/>
    <s v="JINKOSOLAR"/>
    <m/>
    <n v="1900"/>
    <n v="1"/>
    <n v="45884"/>
    <x v="17"/>
    <s v="Değişim"/>
    <s v="Haklı"/>
    <x v="7"/>
    <x v="0"/>
  </r>
  <r>
    <n v="2540"/>
    <x v="3"/>
    <s v="ARTAŞ"/>
    <d v="2025-08-15T00:00:00"/>
    <s v="E3FXT425C049990040200076"/>
    <n v="1"/>
    <s v="HSA-2"/>
    <s v="JINKOSOLAR"/>
    <m/>
    <n v="1900"/>
    <n v="1"/>
    <n v="45884"/>
    <x v="17"/>
    <s v="Değişim"/>
    <s v="Haklı"/>
    <x v="7"/>
    <x v="0"/>
  </r>
  <r>
    <n v="2540"/>
    <x v="3"/>
    <s v="ARTAŞ"/>
    <d v="2025-08-15T00:00:00"/>
    <s v="E3FXT425C079990040206925"/>
    <n v="1"/>
    <s v="HSA-2"/>
    <s v="JINKOSOLAR"/>
    <m/>
    <n v="1900"/>
    <n v="1"/>
    <n v="45884"/>
    <x v="17"/>
    <s v="Değişim"/>
    <s v="Haklı"/>
    <x v="7"/>
    <x v="0"/>
  </r>
  <r>
    <n v="2541"/>
    <x v="3"/>
    <s v="ARTAŞ"/>
    <d v="2025-08-15T00:00:00"/>
    <s v="AAAA"/>
    <n v="1"/>
    <s v="HSA-2"/>
    <s v="JINKOSOLAR"/>
    <m/>
    <n v="1900"/>
    <n v="1"/>
    <n v="45884"/>
    <x v="17"/>
    <m/>
    <s v="Haksız"/>
    <x v="7"/>
    <x v="0"/>
  </r>
  <r>
    <n v="2541"/>
    <x v="3"/>
    <s v="ARTAŞ"/>
    <d v="2025-08-15T00:00:00"/>
    <s v="AAAA"/>
    <n v="1"/>
    <s v="HSA-2"/>
    <s v="JINKOSOLAR"/>
    <m/>
    <n v="1900"/>
    <n v="1"/>
    <n v="45884"/>
    <x v="17"/>
    <m/>
    <s v="Haksız"/>
    <x v="7"/>
    <x v="0"/>
  </r>
  <r>
    <n v="2541"/>
    <x v="3"/>
    <s v="ARTAŞ"/>
    <d v="2025-08-15T00:00:00"/>
    <s v="AAAA"/>
    <n v="1"/>
    <s v="HSA-2"/>
    <s v="JINKOSOLAR"/>
    <m/>
    <n v="1900"/>
    <n v="1"/>
    <n v="45884"/>
    <x v="17"/>
    <m/>
    <s v="Haksız"/>
    <x v="7"/>
    <x v="0"/>
  </r>
  <r>
    <n v="2541"/>
    <x v="3"/>
    <s v="ARTAŞ"/>
    <d v="2025-08-15T00:00:00"/>
    <s v="AAAA"/>
    <n v="1"/>
    <s v="HSA-2"/>
    <s v="JINKOSOLAR"/>
    <m/>
    <n v="1900"/>
    <n v="1"/>
    <n v="45884"/>
    <x v="17"/>
    <m/>
    <s v="Haksız"/>
    <x v="7"/>
    <x v="0"/>
  </r>
  <r>
    <n v="2541"/>
    <x v="3"/>
    <s v="ARTAŞ"/>
    <d v="2025-08-15T00:00:00"/>
    <s v="AAAA"/>
    <n v="1"/>
    <s v="HSA-2"/>
    <s v="JINKOSOLAR"/>
    <m/>
    <n v="1900"/>
    <n v="1"/>
    <n v="45884"/>
    <x v="17"/>
    <m/>
    <s v="Haksız"/>
    <x v="7"/>
    <x v="0"/>
  </r>
  <r>
    <n v="2541"/>
    <x v="3"/>
    <s v="ARTAŞ"/>
    <d v="2025-08-15T00:00:00"/>
    <s v="AAAA"/>
    <n v="1"/>
    <s v="HSA-2"/>
    <s v="JINKOSOLAR"/>
    <m/>
    <n v="1900"/>
    <n v="1"/>
    <n v="45884"/>
    <x v="17"/>
    <m/>
    <s v="Haksız"/>
    <x v="7"/>
    <x v="0"/>
  </r>
  <r>
    <n v="2541"/>
    <x v="3"/>
    <s v="ARTAŞ"/>
    <d v="2025-08-15T00:00:00"/>
    <s v="AAAA"/>
    <n v="1"/>
    <s v="HSA-2"/>
    <s v="JINKOSOLAR"/>
    <m/>
    <n v="1900"/>
    <n v="1"/>
    <n v="45884"/>
    <x v="17"/>
    <m/>
    <s v="Haksız"/>
    <x v="7"/>
    <x v="0"/>
  </r>
  <r>
    <n v="2541"/>
    <x v="3"/>
    <s v="ARTAŞ"/>
    <d v="2025-08-15T00:00:00"/>
    <s v="AAAA"/>
    <n v="1"/>
    <s v="HSA-2"/>
    <s v="JINKOSOLAR"/>
    <m/>
    <n v="1900"/>
    <n v="1"/>
    <n v="45884"/>
    <x v="17"/>
    <m/>
    <s v="Haksız"/>
    <x v="7"/>
    <x v="0"/>
  </r>
  <r>
    <n v="2541"/>
    <x v="3"/>
    <s v="ARTAŞ"/>
    <d v="2025-08-15T00:00:00"/>
    <s v="AAAA"/>
    <n v="1"/>
    <s v="HSA-2"/>
    <s v="JINKOSOLAR"/>
    <m/>
    <n v="1900"/>
    <n v="1"/>
    <n v="45884"/>
    <x v="17"/>
    <m/>
    <s v="Haksız"/>
    <x v="7"/>
    <x v="0"/>
  </r>
  <r>
    <n v="2541"/>
    <x v="3"/>
    <s v="ARTAŞ"/>
    <d v="2025-08-15T00:00:00"/>
    <s v="AAAA"/>
    <n v="1"/>
    <s v="HSA-2"/>
    <s v="JINKOSOLAR"/>
    <m/>
    <n v="1900"/>
    <n v="1"/>
    <n v="45884"/>
    <x v="17"/>
    <m/>
    <s v="Haksız"/>
    <x v="7"/>
    <x v="0"/>
  </r>
  <r>
    <n v="2541"/>
    <x v="3"/>
    <s v="ARTAŞ"/>
    <d v="2025-08-15T00:00:00"/>
    <s v="AAAA"/>
    <n v="1"/>
    <s v="HSA-2"/>
    <s v="JINKOSOLAR"/>
    <m/>
    <n v="1900"/>
    <n v="1"/>
    <n v="45884"/>
    <x v="17"/>
    <m/>
    <s v="Haksız"/>
    <x v="7"/>
    <x v="0"/>
  </r>
  <r>
    <n v="2541"/>
    <x v="3"/>
    <s v="ARTAŞ"/>
    <d v="2025-08-15T00:00:00"/>
    <s v="AAAA"/>
    <n v="1"/>
    <s v="HSA-2"/>
    <s v="JINKOSOLAR"/>
    <m/>
    <n v="1900"/>
    <n v="1"/>
    <n v="45884"/>
    <x v="17"/>
    <m/>
    <s v="Haksız"/>
    <x v="7"/>
    <x v="0"/>
  </r>
  <r>
    <n v="2541"/>
    <x v="3"/>
    <s v="ARTAŞ"/>
    <d v="2025-08-15T00:00:00"/>
    <s v="AAAA"/>
    <n v="1"/>
    <s v="HSA-2"/>
    <s v="JINKOSOLAR"/>
    <m/>
    <n v="1900"/>
    <n v="1"/>
    <n v="45884"/>
    <x v="17"/>
    <m/>
    <s v="Haksız"/>
    <x v="7"/>
    <x v="0"/>
  </r>
  <r>
    <n v="2541"/>
    <x v="3"/>
    <s v="ARTAŞ"/>
    <d v="2025-08-15T00:00:00"/>
    <s v="AAAA"/>
    <n v="1"/>
    <s v="HSA-2"/>
    <s v="JINKOSOLAR"/>
    <m/>
    <n v="1900"/>
    <n v="1"/>
    <n v="45884"/>
    <x v="17"/>
    <m/>
    <s v="Haksız"/>
    <x v="7"/>
    <x v="0"/>
  </r>
  <r>
    <n v="2541"/>
    <x v="3"/>
    <s v="ARTAŞ"/>
    <d v="2025-08-15T00:00:00"/>
    <s v="AAAA"/>
    <n v="1"/>
    <s v="HSA-2"/>
    <s v="JINKOSOLAR"/>
    <m/>
    <n v="1900"/>
    <n v="1"/>
    <n v="45884"/>
    <x v="17"/>
    <m/>
    <s v="Haksız"/>
    <x v="7"/>
    <x v="0"/>
  </r>
  <r>
    <n v="2541"/>
    <x v="3"/>
    <s v="ARTAŞ"/>
    <d v="2025-08-15T00:00:00"/>
    <s v="AAAA"/>
    <n v="1"/>
    <s v="HSA-2"/>
    <s v="JINKOSOLAR"/>
    <m/>
    <n v="1900"/>
    <n v="1"/>
    <n v="45884"/>
    <x v="17"/>
    <m/>
    <s v="Haksız"/>
    <x v="7"/>
    <x v="0"/>
  </r>
  <r>
    <n v="2541"/>
    <x v="3"/>
    <s v="ARTAŞ"/>
    <d v="2025-08-15T00:00:00"/>
    <s v="AAAA"/>
    <n v="1"/>
    <s v="HSA-2"/>
    <s v="JINKOSOLAR"/>
    <m/>
    <n v="1900"/>
    <n v="1"/>
    <n v="45884"/>
    <x v="17"/>
    <m/>
    <s v="Haksız"/>
    <x v="7"/>
    <x v="0"/>
  </r>
  <r>
    <n v="2541"/>
    <x v="3"/>
    <s v="ARTAŞ"/>
    <d v="2025-08-15T00:00:00"/>
    <s v="AAAA"/>
    <n v="1"/>
    <s v="HSA-2"/>
    <s v="JINKOSOLAR"/>
    <m/>
    <n v="1900"/>
    <n v="1"/>
    <n v="45884"/>
    <x v="17"/>
    <m/>
    <s v="Haksız"/>
    <x v="7"/>
    <x v="0"/>
  </r>
  <r>
    <n v="2541"/>
    <x v="3"/>
    <s v="ARTAŞ"/>
    <d v="2025-08-15T00:00:00"/>
    <s v="AAAA"/>
    <n v="1"/>
    <s v="HSA-2"/>
    <s v="JINKOSOLAR"/>
    <m/>
    <n v="1900"/>
    <n v="1"/>
    <n v="45884"/>
    <x v="17"/>
    <m/>
    <s v="Haksız"/>
    <x v="7"/>
    <x v="0"/>
  </r>
  <r>
    <n v="2541"/>
    <x v="3"/>
    <s v="ARTAŞ"/>
    <d v="2025-08-15T00:00:00"/>
    <s v="AAAA"/>
    <n v="1"/>
    <s v="HSA-2"/>
    <s v="JINKOSOLAR"/>
    <m/>
    <n v="1900"/>
    <n v="1"/>
    <n v="45884"/>
    <x v="17"/>
    <m/>
    <s v="Haksız"/>
    <x v="7"/>
    <x v="0"/>
  </r>
  <r>
    <n v="2541"/>
    <x v="3"/>
    <s v="ARTAŞ"/>
    <d v="2025-08-15T00:00:00"/>
    <s v="AAAA"/>
    <n v="1"/>
    <s v="HSA-2"/>
    <s v="JINKOSOLAR"/>
    <m/>
    <n v="1900"/>
    <n v="1"/>
    <n v="45884"/>
    <x v="17"/>
    <m/>
    <s v="Haksız"/>
    <x v="7"/>
    <x v="0"/>
  </r>
  <r>
    <n v="2541"/>
    <x v="3"/>
    <s v="ARTAŞ"/>
    <d v="2025-08-15T00:00:00"/>
    <s v="AAAA"/>
    <n v="1"/>
    <s v="HSA-2"/>
    <s v="JINKOSOLAR"/>
    <m/>
    <n v="1900"/>
    <n v="1"/>
    <n v="45884"/>
    <x v="17"/>
    <m/>
    <s v="Haksız"/>
    <x v="7"/>
    <x v="0"/>
  </r>
  <r>
    <n v="2541"/>
    <x v="3"/>
    <s v="ARTAŞ"/>
    <d v="2025-08-15T00:00:00"/>
    <s v="AAAA"/>
    <n v="1"/>
    <s v="HSA-2"/>
    <s v="JINKOSOLAR"/>
    <m/>
    <n v="1900"/>
    <n v="1"/>
    <n v="45884"/>
    <x v="17"/>
    <m/>
    <s v="Haksız"/>
    <x v="7"/>
    <x v="0"/>
  </r>
  <r>
    <n v="2541"/>
    <x v="3"/>
    <s v="ARTAŞ"/>
    <d v="2025-08-15T00:00:00"/>
    <s v="AAAA"/>
    <n v="1"/>
    <s v="HSA-2"/>
    <s v="JINKOSOLAR"/>
    <m/>
    <n v="1900"/>
    <n v="1"/>
    <n v="45884"/>
    <x v="17"/>
    <m/>
    <s v="Haksız"/>
    <x v="7"/>
    <x v="0"/>
  </r>
  <r>
    <n v="2541"/>
    <x v="3"/>
    <s v="ARTAŞ"/>
    <d v="2025-08-15T00:00:00"/>
    <s v="AAAA"/>
    <n v="1"/>
    <s v="HSA-2"/>
    <s v="JINKOSOLAR"/>
    <m/>
    <n v="1900"/>
    <n v="1"/>
    <n v="45884"/>
    <x v="17"/>
    <m/>
    <s v="Haksız"/>
    <x v="7"/>
    <x v="0"/>
  </r>
  <r>
    <n v="2541"/>
    <x v="3"/>
    <s v="ARTAŞ"/>
    <d v="2025-08-15T00:00:00"/>
    <s v="AAAA"/>
    <n v="1"/>
    <s v="HSA-2"/>
    <s v="JINKOSOLAR"/>
    <m/>
    <n v="1900"/>
    <n v="1"/>
    <n v="45884"/>
    <x v="17"/>
    <m/>
    <s v="Haksız"/>
    <x v="7"/>
    <x v="0"/>
  </r>
  <r>
    <n v="2541"/>
    <x v="3"/>
    <s v="ARTAŞ"/>
    <d v="2025-08-15T00:00:00"/>
    <s v="AAAA"/>
    <n v="1"/>
    <s v="HSA-2"/>
    <s v="JINKOSOLAR"/>
    <m/>
    <n v="1900"/>
    <n v="1"/>
    <n v="45884"/>
    <x v="17"/>
    <m/>
    <s v="Haksız"/>
    <x v="7"/>
    <x v="0"/>
  </r>
  <r>
    <n v="2541"/>
    <x v="3"/>
    <s v="ARTAŞ"/>
    <d v="2025-08-15T00:00:00"/>
    <s v="AAAA"/>
    <n v="1"/>
    <s v="HSA-2"/>
    <s v="JINKOSOLAR"/>
    <m/>
    <n v="1900"/>
    <n v="1"/>
    <n v="45884"/>
    <x v="17"/>
    <m/>
    <s v="Haksız"/>
    <x v="7"/>
    <x v="0"/>
  </r>
  <r>
    <n v="2541"/>
    <x v="3"/>
    <s v="ARTAŞ"/>
    <d v="2025-08-15T00:00:00"/>
    <s v="AAAA"/>
    <n v="1"/>
    <s v="HSA-2"/>
    <s v="JINKOSOLAR"/>
    <m/>
    <n v="1900"/>
    <n v="1"/>
    <n v="45884"/>
    <x v="17"/>
    <m/>
    <s v="Haksız"/>
    <x v="7"/>
    <x v="0"/>
  </r>
  <r>
    <n v="2541"/>
    <x v="3"/>
    <s v="ARTAŞ"/>
    <d v="2025-08-15T00:00:00"/>
    <s v="AAAA"/>
    <n v="1"/>
    <s v="HSA-2"/>
    <s v="JINKOSOLAR"/>
    <m/>
    <n v="1900"/>
    <n v="1"/>
    <n v="45884"/>
    <x v="17"/>
    <m/>
    <s v="Haksız"/>
    <x v="7"/>
    <x v="0"/>
  </r>
  <r>
    <n v="2541"/>
    <x v="3"/>
    <s v="ARTAŞ"/>
    <d v="2025-08-15T00:00:00"/>
    <s v="AAAA"/>
    <n v="1"/>
    <s v="HSA-2"/>
    <s v="JINKOSOLAR"/>
    <m/>
    <n v="1900"/>
    <n v="1"/>
    <n v="45884"/>
    <x v="17"/>
    <m/>
    <s v="Haksız"/>
    <x v="7"/>
    <x v="0"/>
  </r>
  <r>
    <n v="2541"/>
    <x v="3"/>
    <s v="ARTAŞ"/>
    <d v="2025-08-15T00:00:00"/>
    <s v="AAAA"/>
    <n v="1"/>
    <s v="HSA-2"/>
    <s v="JINKOSOLAR"/>
    <m/>
    <n v="1900"/>
    <n v="1"/>
    <n v="45884"/>
    <x v="17"/>
    <m/>
    <s v="Haksız"/>
    <x v="7"/>
    <x v="0"/>
  </r>
  <r>
    <n v="2541"/>
    <x v="3"/>
    <s v="ARTAŞ"/>
    <d v="2025-08-15T00:00:00"/>
    <s v="AAAA"/>
    <n v="1"/>
    <s v="HSA-2"/>
    <s v="JINKOSOLAR"/>
    <m/>
    <n v="1900"/>
    <n v="1"/>
    <n v="45884"/>
    <x v="17"/>
    <m/>
    <s v="Haksız"/>
    <x v="7"/>
    <x v="0"/>
  </r>
  <r>
    <n v="2541"/>
    <x v="3"/>
    <s v="ARTAŞ"/>
    <d v="2025-08-15T00:00:00"/>
    <s v="AAAA"/>
    <n v="1"/>
    <s v="HSA-2"/>
    <s v="JINKOSOLAR"/>
    <m/>
    <n v="1900"/>
    <n v="1"/>
    <n v="45884"/>
    <x v="17"/>
    <m/>
    <s v="Haksız"/>
    <x v="7"/>
    <x v="0"/>
  </r>
  <r>
    <n v="2541"/>
    <x v="3"/>
    <s v="ARTAŞ"/>
    <d v="2025-08-15T00:00:00"/>
    <s v="AAAA"/>
    <n v="1"/>
    <s v="HSA-2"/>
    <s v="JINKOSOLAR"/>
    <m/>
    <n v="1900"/>
    <n v="1"/>
    <n v="45884"/>
    <x v="17"/>
    <m/>
    <s v="Haksız"/>
    <x v="7"/>
    <x v="0"/>
  </r>
  <r>
    <n v="2541"/>
    <x v="3"/>
    <s v="ARTAŞ"/>
    <d v="2025-08-15T00:00:00"/>
    <s v="AAAA"/>
    <n v="1"/>
    <s v="HSA-2"/>
    <s v="JINKOSOLAR"/>
    <m/>
    <n v="1900"/>
    <n v="1"/>
    <n v="45884"/>
    <x v="17"/>
    <m/>
    <s v="Haksız"/>
    <x v="7"/>
    <x v="0"/>
  </r>
  <r>
    <n v="2541"/>
    <x v="3"/>
    <s v="ARTAŞ"/>
    <d v="2025-08-15T00:00:00"/>
    <s v="AAAA"/>
    <n v="1"/>
    <s v="HSA-2"/>
    <s v="JINKOSOLAR"/>
    <m/>
    <n v="1900"/>
    <n v="1"/>
    <n v="45884"/>
    <x v="17"/>
    <m/>
    <s v="Haksız"/>
    <x v="7"/>
    <x v="0"/>
  </r>
  <r>
    <n v="2541"/>
    <x v="3"/>
    <s v="ARTAŞ"/>
    <d v="2025-08-15T00:00:00"/>
    <s v="AAAA"/>
    <n v="1"/>
    <s v="HSA-2"/>
    <s v="JINKOSOLAR"/>
    <m/>
    <n v="1900"/>
    <n v="1"/>
    <n v="45884"/>
    <x v="17"/>
    <m/>
    <s v="Haksız"/>
    <x v="7"/>
    <x v="0"/>
  </r>
  <r>
    <n v="2541"/>
    <x v="3"/>
    <s v="ARTAŞ"/>
    <d v="2025-08-15T00:00:00"/>
    <s v="AAAA"/>
    <n v="1"/>
    <s v="HSA-2"/>
    <s v="JINKOSOLAR"/>
    <m/>
    <n v="1900"/>
    <n v="1"/>
    <n v="45884"/>
    <x v="17"/>
    <m/>
    <s v="Haksız"/>
    <x v="7"/>
    <x v="0"/>
  </r>
  <r>
    <n v="2541"/>
    <x v="3"/>
    <s v="ARTAŞ"/>
    <d v="2025-08-15T00:00:00"/>
    <s v="AAAA"/>
    <n v="1"/>
    <s v="HSA-2"/>
    <s v="JINKOSOLAR"/>
    <m/>
    <n v="1900"/>
    <n v="1"/>
    <n v="45884"/>
    <x v="17"/>
    <m/>
    <s v="Haksız"/>
    <x v="7"/>
    <x v="0"/>
  </r>
  <r>
    <n v="2541"/>
    <x v="3"/>
    <s v="ARTAŞ"/>
    <d v="2025-08-15T00:00:00"/>
    <s v="AAAA"/>
    <n v="1"/>
    <s v="HSA-2"/>
    <s v="JINKOSOLAR"/>
    <m/>
    <n v="1900"/>
    <n v="1"/>
    <n v="45884"/>
    <x v="17"/>
    <m/>
    <s v="Haksız"/>
    <x v="7"/>
    <x v="0"/>
  </r>
  <r>
    <n v="2541"/>
    <x v="3"/>
    <s v="ARTAŞ"/>
    <d v="2025-08-15T00:00:00"/>
    <s v="AAAA"/>
    <n v="1"/>
    <s v="HSA-2"/>
    <s v="JINKOSOLAR"/>
    <m/>
    <n v="1900"/>
    <n v="1"/>
    <n v="45884"/>
    <x v="17"/>
    <m/>
    <s v="Haksız"/>
    <x v="7"/>
    <x v="0"/>
  </r>
  <r>
    <n v="2541"/>
    <x v="3"/>
    <s v="ARTAŞ"/>
    <d v="2025-08-15T00:00:00"/>
    <s v="AAAA"/>
    <n v="1"/>
    <s v="HSA-2"/>
    <s v="JINKOSOLAR"/>
    <m/>
    <n v="1900"/>
    <n v="1"/>
    <n v="45884"/>
    <x v="17"/>
    <m/>
    <s v="Haksız"/>
    <x v="7"/>
    <x v="0"/>
  </r>
  <r>
    <n v="2541"/>
    <x v="3"/>
    <s v="ARTAŞ"/>
    <d v="2025-08-15T00:00:00"/>
    <s v="AAAA"/>
    <n v="1"/>
    <s v="HSA-2"/>
    <s v="JINKOSOLAR"/>
    <m/>
    <n v="1900"/>
    <n v="1"/>
    <n v="45884"/>
    <x v="17"/>
    <m/>
    <s v="Haksız"/>
    <x v="7"/>
    <x v="0"/>
  </r>
  <r>
    <n v="2541"/>
    <x v="3"/>
    <s v="ARTAŞ"/>
    <d v="2025-08-15T00:00:00"/>
    <s v="AAAA"/>
    <n v="1"/>
    <s v="HSA-2"/>
    <s v="JINKOSOLAR"/>
    <m/>
    <n v="1900"/>
    <n v="1"/>
    <n v="45884"/>
    <x v="17"/>
    <m/>
    <s v="Haksız"/>
    <x v="7"/>
    <x v="0"/>
  </r>
  <r>
    <n v="2541"/>
    <x v="3"/>
    <s v="ARTAŞ"/>
    <d v="2025-08-15T00:00:00"/>
    <s v="AAAA"/>
    <n v="1"/>
    <s v="HSA-2"/>
    <s v="JINKOSOLAR"/>
    <m/>
    <n v="1900"/>
    <n v="1"/>
    <n v="45884"/>
    <x v="17"/>
    <m/>
    <s v="Haksız"/>
    <x v="7"/>
    <x v="0"/>
  </r>
  <r>
    <n v="2541"/>
    <x v="3"/>
    <s v="ARTAŞ"/>
    <d v="2025-08-15T00:00:00"/>
    <s v="AAAA"/>
    <n v="1"/>
    <s v="HSA-2"/>
    <s v="JINKOSOLAR"/>
    <m/>
    <n v="1900"/>
    <n v="1"/>
    <n v="45884"/>
    <x v="17"/>
    <m/>
    <s v="Haksız"/>
    <x v="7"/>
    <x v="0"/>
  </r>
  <r>
    <n v="2541"/>
    <x v="3"/>
    <s v="ARTAŞ"/>
    <d v="2025-08-15T00:00:00"/>
    <s v="AAAA"/>
    <n v="1"/>
    <s v="HSA-2"/>
    <s v="JINKOSOLAR"/>
    <m/>
    <n v="1900"/>
    <n v="1"/>
    <n v="45884"/>
    <x v="17"/>
    <m/>
    <s v="Haksız"/>
    <x v="7"/>
    <x v="0"/>
  </r>
  <r>
    <n v="2541"/>
    <x v="3"/>
    <s v="ARTAŞ"/>
    <d v="2025-08-15T00:00:00"/>
    <s v="AAAA"/>
    <n v="1"/>
    <s v="HSA-2"/>
    <s v="JINKOSOLAR"/>
    <m/>
    <n v="1900"/>
    <n v="1"/>
    <n v="45884"/>
    <x v="17"/>
    <m/>
    <s v="Haksız"/>
    <x v="7"/>
    <x v="0"/>
  </r>
  <r>
    <n v="2541"/>
    <x v="3"/>
    <s v="ARTAŞ"/>
    <d v="2025-08-15T00:00:00"/>
    <s v="AAAA"/>
    <n v="1"/>
    <s v="HSA-2"/>
    <s v="JINKOSOLAR"/>
    <m/>
    <n v="1900"/>
    <n v="1"/>
    <n v="45884"/>
    <x v="17"/>
    <m/>
    <s v="Haksız"/>
    <x v="7"/>
    <x v="0"/>
  </r>
  <r>
    <n v="2541"/>
    <x v="3"/>
    <s v="ARTAŞ"/>
    <d v="2025-08-15T00:00:00"/>
    <s v="AAAA"/>
    <n v="1"/>
    <s v="HSA-2"/>
    <s v="JINKOSOLAR"/>
    <m/>
    <n v="1900"/>
    <n v="1"/>
    <n v="45884"/>
    <x v="17"/>
    <m/>
    <s v="Haksız"/>
    <x v="7"/>
    <x v="0"/>
  </r>
  <r>
    <n v="2541"/>
    <x v="3"/>
    <s v="ARTAŞ"/>
    <d v="2025-08-15T00:00:00"/>
    <s v="AAAA"/>
    <n v="1"/>
    <s v="HSA-2"/>
    <s v="JINKOSOLAR"/>
    <m/>
    <n v="1900"/>
    <n v="1"/>
    <n v="45884"/>
    <x v="17"/>
    <m/>
    <s v="Haksız"/>
    <x v="7"/>
    <x v="0"/>
  </r>
  <r>
    <n v="2541"/>
    <x v="3"/>
    <s v="ARTAŞ"/>
    <d v="2025-08-15T00:00:00"/>
    <s v="AAAA"/>
    <n v="1"/>
    <s v="HSA-2"/>
    <s v="JINKOSOLAR"/>
    <m/>
    <n v="1900"/>
    <n v="1"/>
    <n v="45884"/>
    <x v="17"/>
    <m/>
    <s v="Haksız"/>
    <x v="7"/>
    <x v="0"/>
  </r>
  <r>
    <n v="2541"/>
    <x v="3"/>
    <s v="ARTAŞ"/>
    <d v="2025-08-15T00:00:00"/>
    <s v="AAAA"/>
    <n v="1"/>
    <s v="HSA-2"/>
    <s v="JINKOSOLAR"/>
    <m/>
    <n v="1900"/>
    <n v="1"/>
    <n v="45884"/>
    <x v="17"/>
    <m/>
    <s v="Haksız"/>
    <x v="7"/>
    <x v="0"/>
  </r>
  <r>
    <n v="2541"/>
    <x v="3"/>
    <s v="ARTAŞ"/>
    <d v="2025-08-15T00:00:00"/>
    <s v="AAAA"/>
    <n v="1"/>
    <s v="HSA-2"/>
    <s v="JINKOSOLAR"/>
    <m/>
    <n v="1900"/>
    <n v="1"/>
    <n v="45884"/>
    <x v="17"/>
    <m/>
    <s v="Haksız"/>
    <x v="7"/>
    <x v="0"/>
  </r>
  <r>
    <n v="2541"/>
    <x v="3"/>
    <s v="ARTAŞ"/>
    <d v="2025-08-15T00:00:00"/>
    <s v="AAAA"/>
    <n v="1"/>
    <s v="HSA-2"/>
    <s v="JINKOSOLAR"/>
    <m/>
    <n v="1900"/>
    <n v="1"/>
    <n v="45884"/>
    <x v="17"/>
    <m/>
    <s v="Haksız"/>
    <x v="7"/>
    <x v="0"/>
  </r>
  <r>
    <n v="2541"/>
    <x v="3"/>
    <s v="ARTAŞ"/>
    <d v="2025-08-15T00:00:00"/>
    <s v="AAAA"/>
    <n v="1"/>
    <s v="HSA-2"/>
    <s v="JINKOSOLAR"/>
    <m/>
    <n v="1900"/>
    <n v="1"/>
    <n v="45884"/>
    <x v="17"/>
    <m/>
    <s v="Haksız"/>
    <x v="7"/>
    <x v="0"/>
  </r>
  <r>
    <n v="2541"/>
    <x v="3"/>
    <s v="ARTAŞ"/>
    <d v="2025-08-15T00:00:00"/>
    <s v="AAAA"/>
    <n v="1"/>
    <s v="HSA-2"/>
    <s v="JINKOSOLAR"/>
    <m/>
    <n v="1900"/>
    <n v="1"/>
    <n v="45884"/>
    <x v="17"/>
    <m/>
    <s v="Haksız"/>
    <x v="7"/>
    <x v="0"/>
  </r>
  <r>
    <n v="2541"/>
    <x v="3"/>
    <s v="ARTAŞ"/>
    <d v="2025-08-15T00:00:00"/>
    <s v="AAAA"/>
    <n v="1"/>
    <s v="HSA-2"/>
    <s v="JINKOSOLAR"/>
    <m/>
    <n v="1900"/>
    <n v="1"/>
    <n v="45884"/>
    <x v="17"/>
    <m/>
    <s v="Haksız"/>
    <x v="7"/>
    <x v="0"/>
  </r>
  <r>
    <n v="2541"/>
    <x v="3"/>
    <s v="ARTAŞ"/>
    <d v="2025-08-15T00:00:00"/>
    <s v="AAAA"/>
    <n v="1"/>
    <s v="HSA-2"/>
    <s v="JINKOSOLAR"/>
    <m/>
    <n v="1900"/>
    <n v="1"/>
    <n v="45884"/>
    <x v="17"/>
    <m/>
    <s v="Haksız"/>
    <x v="7"/>
    <x v="0"/>
  </r>
  <r>
    <n v="2541"/>
    <x v="3"/>
    <s v="ARTAŞ"/>
    <d v="2025-08-15T00:00:00"/>
    <s v="AAAA"/>
    <n v="1"/>
    <s v="HSA-2"/>
    <s v="JINKOSOLAR"/>
    <m/>
    <n v="1900"/>
    <n v="1"/>
    <n v="45884"/>
    <x v="17"/>
    <m/>
    <s v="Haksız"/>
    <x v="7"/>
    <x v="0"/>
  </r>
  <r>
    <n v="2541"/>
    <x v="3"/>
    <s v="ARTAŞ"/>
    <d v="2025-08-15T00:00:00"/>
    <s v="AAAA"/>
    <n v="1"/>
    <s v="HSA-2"/>
    <s v="JINKOSOLAR"/>
    <m/>
    <n v="1900"/>
    <n v="1"/>
    <n v="45884"/>
    <x v="17"/>
    <m/>
    <s v="Haksız"/>
    <x v="7"/>
    <x v="0"/>
  </r>
  <r>
    <n v="2541"/>
    <x v="3"/>
    <s v="ARTAŞ"/>
    <d v="2025-08-15T00:00:00"/>
    <s v="AAAA"/>
    <n v="1"/>
    <s v="HSA-2"/>
    <s v="JINKOSOLAR"/>
    <m/>
    <n v="1900"/>
    <n v="1"/>
    <n v="45884"/>
    <x v="17"/>
    <m/>
    <s v="Haksız"/>
    <x v="7"/>
    <x v="0"/>
  </r>
  <r>
    <n v="2541"/>
    <x v="3"/>
    <s v="ARTAŞ"/>
    <d v="2025-08-15T00:00:00"/>
    <s v="AAAA"/>
    <n v="1"/>
    <s v="HSA-2"/>
    <s v="JINKOSOLAR"/>
    <m/>
    <n v="1900"/>
    <n v="1"/>
    <n v="45884"/>
    <x v="17"/>
    <m/>
    <s v="Haksız"/>
    <x v="7"/>
    <x v="0"/>
  </r>
  <r>
    <n v="2541"/>
    <x v="3"/>
    <s v="ARTAŞ"/>
    <d v="2025-08-15T00:00:00"/>
    <s v="AAAA"/>
    <n v="1"/>
    <s v="HSA-2"/>
    <s v="JINKOSOLAR"/>
    <m/>
    <n v="1900"/>
    <n v="1"/>
    <n v="45884"/>
    <x v="17"/>
    <m/>
    <s v="Haksız"/>
    <x v="7"/>
    <x v="0"/>
  </r>
  <r>
    <n v="2541"/>
    <x v="3"/>
    <s v="ARTAŞ"/>
    <d v="2025-08-15T00:00:00"/>
    <s v="AAAA"/>
    <n v="1"/>
    <s v="HSA-2"/>
    <s v="JINKOSOLAR"/>
    <m/>
    <n v="1900"/>
    <n v="1"/>
    <n v="45884"/>
    <x v="17"/>
    <m/>
    <s v="Haksız"/>
    <x v="7"/>
    <x v="0"/>
  </r>
  <r>
    <n v="2541"/>
    <x v="3"/>
    <s v="ARTAŞ"/>
    <d v="2025-08-15T00:00:00"/>
    <s v="AAAA"/>
    <n v="1"/>
    <s v="HSA-2"/>
    <s v="JINKOSOLAR"/>
    <m/>
    <n v="1900"/>
    <n v="1"/>
    <n v="45884"/>
    <x v="17"/>
    <m/>
    <s v="Haksız"/>
    <x v="7"/>
    <x v="0"/>
  </r>
  <r>
    <n v="2541"/>
    <x v="3"/>
    <s v="ARTAŞ"/>
    <d v="2025-08-15T00:00:00"/>
    <s v="AAAA"/>
    <n v="1"/>
    <s v="HSA-2"/>
    <s v="JINKOSOLAR"/>
    <m/>
    <n v="1900"/>
    <n v="1"/>
    <n v="45884"/>
    <x v="17"/>
    <m/>
    <s v="Haksız"/>
    <x v="7"/>
    <x v="0"/>
  </r>
  <r>
    <n v="2541"/>
    <x v="3"/>
    <s v="ARTAŞ"/>
    <d v="2025-08-15T00:00:00"/>
    <s v="AAAA"/>
    <n v="1"/>
    <s v="HSA-2"/>
    <s v="JINKOSOLAR"/>
    <m/>
    <n v="1900"/>
    <n v="1"/>
    <n v="45884"/>
    <x v="17"/>
    <m/>
    <s v="Haksız"/>
    <x v="7"/>
    <x v="0"/>
  </r>
  <r>
    <n v="2541"/>
    <x v="3"/>
    <s v="ARTAŞ"/>
    <d v="2025-08-15T00:00:00"/>
    <s v="AAAA"/>
    <n v="1"/>
    <s v="HSA-2"/>
    <s v="JINKOSOLAR"/>
    <m/>
    <n v="1900"/>
    <n v="1"/>
    <n v="45884"/>
    <x v="17"/>
    <m/>
    <s v="Haksız"/>
    <x v="7"/>
    <x v="0"/>
  </r>
  <r>
    <n v="2541"/>
    <x v="3"/>
    <s v="ARTAŞ"/>
    <d v="2025-08-15T00:00:00"/>
    <s v="AAAA"/>
    <n v="1"/>
    <s v="HSA-2"/>
    <s v="JINKOSOLAR"/>
    <m/>
    <n v="1900"/>
    <n v="1"/>
    <n v="45884"/>
    <x v="17"/>
    <m/>
    <s v="Haksız"/>
    <x v="7"/>
    <x v="0"/>
  </r>
  <r>
    <n v="2541"/>
    <x v="3"/>
    <s v="ARTAŞ"/>
    <d v="2025-08-15T00:00:00"/>
    <s v="AAAA"/>
    <n v="1"/>
    <s v="HSA-2"/>
    <s v="JINKOSOLAR"/>
    <m/>
    <n v="1900"/>
    <n v="1"/>
    <n v="45884"/>
    <x v="17"/>
    <m/>
    <s v="Haksız"/>
    <x v="7"/>
    <x v="0"/>
  </r>
  <r>
    <n v="2541"/>
    <x v="3"/>
    <s v="ARTAŞ"/>
    <d v="2025-08-15T00:00:00"/>
    <s v="AAAA"/>
    <n v="1"/>
    <s v="HSA-2"/>
    <s v="JINKOSOLAR"/>
    <m/>
    <n v="1900"/>
    <n v="1"/>
    <n v="45884"/>
    <x v="17"/>
    <m/>
    <s v="Haksız"/>
    <x v="7"/>
    <x v="0"/>
  </r>
  <r>
    <n v="2541"/>
    <x v="3"/>
    <s v="ARTAŞ"/>
    <d v="2025-08-15T00:00:00"/>
    <s v="AAAA"/>
    <n v="1"/>
    <s v="HSA-2"/>
    <s v="JINKOSOLAR"/>
    <m/>
    <n v="1900"/>
    <n v="1"/>
    <n v="45884"/>
    <x v="17"/>
    <m/>
    <s v="Haksız"/>
    <x v="7"/>
    <x v="0"/>
  </r>
  <r>
    <n v="2541"/>
    <x v="3"/>
    <s v="ARTAŞ"/>
    <d v="2025-08-15T00:00:00"/>
    <s v="AAAA"/>
    <n v="1"/>
    <s v="HSA-2"/>
    <s v="JINKOSOLAR"/>
    <m/>
    <n v="1900"/>
    <n v="1"/>
    <n v="45884"/>
    <x v="17"/>
    <m/>
    <s v="Haksız"/>
    <x v="7"/>
    <x v="0"/>
  </r>
  <r>
    <n v="2541"/>
    <x v="3"/>
    <s v="ARTAŞ"/>
    <d v="2025-08-15T00:00:00"/>
    <s v="AAAA"/>
    <n v="1"/>
    <s v="HSA-2"/>
    <s v="JINKOSOLAR"/>
    <m/>
    <n v="1900"/>
    <n v="1"/>
    <n v="45884"/>
    <x v="17"/>
    <m/>
    <s v="Haksız"/>
    <x v="7"/>
    <x v="0"/>
  </r>
  <r>
    <n v="2541"/>
    <x v="3"/>
    <s v="ARTAŞ"/>
    <d v="2025-08-15T00:00:00"/>
    <s v="AAAA"/>
    <n v="1"/>
    <s v="HSA-2"/>
    <s v="JINKOSOLAR"/>
    <m/>
    <n v="1900"/>
    <n v="1"/>
    <n v="45884"/>
    <x v="17"/>
    <m/>
    <s v="Haksız"/>
    <x v="7"/>
    <x v="0"/>
  </r>
  <r>
    <n v="2541"/>
    <x v="3"/>
    <s v="ARTAŞ"/>
    <d v="2025-08-15T00:00:00"/>
    <s v="AAAA"/>
    <n v="1"/>
    <s v="HSA-2"/>
    <s v="JINKOSOLAR"/>
    <m/>
    <n v="1900"/>
    <n v="1"/>
    <n v="45884"/>
    <x v="17"/>
    <m/>
    <s v="Haksız"/>
    <x v="7"/>
    <x v="0"/>
  </r>
  <r>
    <n v="2541"/>
    <x v="3"/>
    <s v="ARTAŞ"/>
    <d v="2025-08-15T00:00:00"/>
    <s v="AAAA"/>
    <n v="1"/>
    <s v="HSA-2"/>
    <s v="JINKOSOLAR"/>
    <m/>
    <n v="1900"/>
    <n v="1"/>
    <n v="45884"/>
    <x v="17"/>
    <m/>
    <s v="Haksız"/>
    <x v="7"/>
    <x v="0"/>
  </r>
  <r>
    <n v="2541"/>
    <x v="3"/>
    <s v="ARTAŞ"/>
    <d v="2025-08-15T00:00:00"/>
    <s v="AAAA"/>
    <n v="1"/>
    <s v="HSA-2"/>
    <s v="JINKOSOLAR"/>
    <m/>
    <n v="1900"/>
    <n v="1"/>
    <n v="45884"/>
    <x v="17"/>
    <m/>
    <s v="Haksız"/>
    <x v="7"/>
    <x v="0"/>
  </r>
  <r>
    <n v="2541"/>
    <x v="3"/>
    <s v="ARTAŞ"/>
    <d v="2025-08-15T00:00:00"/>
    <s v="AAAA"/>
    <n v="1"/>
    <s v="HSA-2"/>
    <s v="JINKOSOLAR"/>
    <m/>
    <n v="1900"/>
    <n v="1"/>
    <n v="45884"/>
    <x v="17"/>
    <m/>
    <s v="Haksız"/>
    <x v="7"/>
    <x v="0"/>
  </r>
  <r>
    <n v="2541"/>
    <x v="3"/>
    <s v="ARTAŞ"/>
    <d v="2025-08-15T00:00:00"/>
    <s v="AAAA"/>
    <n v="1"/>
    <s v="HSA-2"/>
    <s v="JINKOSOLAR"/>
    <m/>
    <n v="1900"/>
    <n v="1"/>
    <n v="45884"/>
    <x v="17"/>
    <m/>
    <s v="Haksız"/>
    <x v="7"/>
    <x v="0"/>
  </r>
  <r>
    <n v="2541"/>
    <x v="3"/>
    <s v="ARTAŞ"/>
    <d v="2025-08-15T00:00:00"/>
    <s v="AAAA"/>
    <n v="1"/>
    <s v="HSA-2"/>
    <s v="JINKOSOLAR"/>
    <m/>
    <n v="1900"/>
    <n v="1"/>
    <n v="45884"/>
    <x v="17"/>
    <m/>
    <s v="Haksız"/>
    <x v="7"/>
    <x v="0"/>
  </r>
  <r>
    <n v="2541"/>
    <x v="3"/>
    <s v="ARTAŞ"/>
    <d v="2025-08-15T00:00:00"/>
    <s v="AAAA"/>
    <n v="1"/>
    <s v="HSA-2"/>
    <s v="JINKOSOLAR"/>
    <m/>
    <n v="1900"/>
    <n v="1"/>
    <n v="45884"/>
    <x v="17"/>
    <m/>
    <s v="Haksız"/>
    <x v="7"/>
    <x v="0"/>
  </r>
  <r>
    <n v="2541"/>
    <x v="3"/>
    <s v="ARTAŞ"/>
    <d v="2025-08-15T00:00:00"/>
    <s v="AAAA"/>
    <n v="1"/>
    <s v="HSA-2"/>
    <s v="JINKOSOLAR"/>
    <m/>
    <n v="1900"/>
    <n v="1"/>
    <n v="45884"/>
    <x v="17"/>
    <m/>
    <s v="Haksız"/>
    <x v="7"/>
    <x v="0"/>
  </r>
  <r>
    <n v="2541"/>
    <x v="3"/>
    <s v="ARTAŞ"/>
    <d v="2025-08-15T00:00:00"/>
    <s v="AAAA"/>
    <n v="1"/>
    <s v="HSA-2"/>
    <s v="JINKOSOLAR"/>
    <m/>
    <n v="1900"/>
    <n v="1"/>
    <n v="45884"/>
    <x v="17"/>
    <m/>
    <s v="Haksız"/>
    <x v="7"/>
    <x v="0"/>
  </r>
  <r>
    <n v="2541"/>
    <x v="3"/>
    <s v="ARTAŞ"/>
    <d v="2025-08-15T00:00:00"/>
    <s v="AAAA"/>
    <n v="1"/>
    <s v="HSA-2"/>
    <s v="JINKOSOLAR"/>
    <m/>
    <n v="1900"/>
    <n v="1"/>
    <n v="45884"/>
    <x v="17"/>
    <m/>
    <s v="Haksız"/>
    <x v="7"/>
    <x v="0"/>
  </r>
  <r>
    <n v="2541"/>
    <x v="3"/>
    <s v="ARTAŞ"/>
    <d v="2025-08-15T00:00:00"/>
    <s v="AAAA"/>
    <n v="1"/>
    <s v="HSA-2"/>
    <s v="JINKOSOLAR"/>
    <m/>
    <n v="1900"/>
    <n v="1"/>
    <n v="45884"/>
    <x v="17"/>
    <m/>
    <s v="Haksız"/>
    <x v="7"/>
    <x v="0"/>
  </r>
  <r>
    <n v="2541"/>
    <x v="3"/>
    <s v="ARTAŞ"/>
    <d v="2025-08-15T00:00:00"/>
    <s v="AAAA"/>
    <n v="1"/>
    <s v="HSA-2"/>
    <s v="JINKOSOLAR"/>
    <m/>
    <n v="1900"/>
    <n v="1"/>
    <n v="45884"/>
    <x v="17"/>
    <m/>
    <s v="Haksız"/>
    <x v="7"/>
    <x v="0"/>
  </r>
  <r>
    <n v="2541"/>
    <x v="3"/>
    <s v="ARTAŞ"/>
    <d v="2025-08-15T00:00:00"/>
    <s v="AAAA"/>
    <n v="1"/>
    <s v="HSA-2"/>
    <s v="JINKOSOLAR"/>
    <m/>
    <n v="1900"/>
    <n v="1"/>
    <n v="45884"/>
    <x v="17"/>
    <m/>
    <s v="Haksız"/>
    <x v="7"/>
    <x v="0"/>
  </r>
  <r>
    <n v="2541"/>
    <x v="3"/>
    <s v="ARTAŞ"/>
    <d v="2025-08-15T00:00:00"/>
    <s v="AAAA"/>
    <n v="1"/>
    <s v="HSA-2"/>
    <s v="JINKOSOLAR"/>
    <m/>
    <n v="1900"/>
    <n v="1"/>
    <n v="45884"/>
    <x v="17"/>
    <m/>
    <s v="Haksız"/>
    <x v="7"/>
    <x v="0"/>
  </r>
  <r>
    <n v="2541"/>
    <x v="3"/>
    <s v="ARTAŞ"/>
    <d v="2025-08-15T00:00:00"/>
    <s v="AAAA"/>
    <n v="1"/>
    <s v="HSA-2"/>
    <s v="JINKOSOLAR"/>
    <m/>
    <n v="1900"/>
    <n v="1"/>
    <n v="45884"/>
    <x v="17"/>
    <m/>
    <s v="Haksız"/>
    <x v="7"/>
    <x v="0"/>
  </r>
  <r>
    <n v="2541"/>
    <x v="3"/>
    <s v="ARTAŞ"/>
    <d v="2025-08-15T00:00:00"/>
    <s v="AAAA"/>
    <n v="1"/>
    <s v="HSA-2"/>
    <s v="JINKOSOLAR"/>
    <m/>
    <n v="1900"/>
    <n v="1"/>
    <n v="45884"/>
    <x v="17"/>
    <m/>
    <s v="Haksız"/>
    <x v="7"/>
    <x v="0"/>
  </r>
  <r>
    <n v="2541"/>
    <x v="3"/>
    <s v="ARTAŞ"/>
    <d v="2025-08-15T00:00:00"/>
    <s v="AAAA"/>
    <n v="1"/>
    <s v="HSA-2"/>
    <s v="JINKOSOLAR"/>
    <m/>
    <n v="1900"/>
    <n v="1"/>
    <n v="45884"/>
    <x v="17"/>
    <m/>
    <s v="Haksız"/>
    <x v="7"/>
    <x v="0"/>
  </r>
  <r>
    <n v="2541"/>
    <x v="3"/>
    <s v="ARTAŞ"/>
    <d v="2025-08-15T00:00:00"/>
    <s v="AAAA"/>
    <n v="1"/>
    <s v="HSA-2"/>
    <s v="JINKOSOLAR"/>
    <m/>
    <n v="1900"/>
    <n v="1"/>
    <n v="45884"/>
    <x v="17"/>
    <m/>
    <s v="Haksız"/>
    <x v="7"/>
    <x v="0"/>
  </r>
  <r>
    <n v="2541"/>
    <x v="3"/>
    <s v="ARTAŞ"/>
    <d v="2025-08-15T00:00:00"/>
    <s v="AAAA"/>
    <n v="1"/>
    <s v="HSA-2"/>
    <s v="JINKOSOLAR"/>
    <m/>
    <n v="1900"/>
    <n v="1"/>
    <n v="45884"/>
    <x v="17"/>
    <m/>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2"/>
    <x v="21"/>
    <s v="TEKSAN"/>
    <d v="2025-08-28T00:00:00"/>
    <s v="AAAA"/>
    <n v="1"/>
    <s v="HSA-1"/>
    <s v="SUNPWT"/>
    <m/>
    <n v="1900"/>
    <n v="1"/>
    <n v="45897"/>
    <x v="6"/>
    <s v="Tamir"/>
    <s v="Haksız"/>
    <x v="7"/>
    <x v="0"/>
  </r>
  <r>
    <n v="2543"/>
    <x v="22"/>
    <s v="YAPINET"/>
    <d v="2025-09-05T00:00:00"/>
    <s v="AAAA"/>
    <n v="1"/>
    <s v="HSA-2"/>
    <s v="MAVİÇAM"/>
    <m/>
    <n v="1900"/>
    <n v="1"/>
    <n v="45905"/>
    <x v="1"/>
    <s v="Değişim"/>
    <s v="Haksız"/>
    <x v="8"/>
    <x v="0"/>
  </r>
  <r>
    <n v="2543"/>
    <x v="22"/>
    <s v="YAPINET"/>
    <d v="2025-09-05T00:00:00"/>
    <s v="AAAA"/>
    <n v="1"/>
    <s v="HSA-2"/>
    <s v="MAVİÇAM"/>
    <m/>
    <n v="1900"/>
    <n v="1"/>
    <n v="45905"/>
    <x v="1"/>
    <s v="Değişim"/>
    <s v="Haksız"/>
    <x v="8"/>
    <x v="0"/>
  </r>
  <r>
    <n v="2543"/>
    <x v="22"/>
    <s v="YAPINET"/>
    <d v="2025-09-05T00:00:00"/>
    <s v="AAAA"/>
    <n v="1"/>
    <s v="HSA-2"/>
    <s v="MAVİÇAM"/>
    <m/>
    <n v="1900"/>
    <n v="1"/>
    <n v="45905"/>
    <x v="1"/>
    <s v="Değişim"/>
    <s v="Haksız"/>
    <x v="8"/>
    <x v="0"/>
  </r>
  <r>
    <n v="2543"/>
    <x v="22"/>
    <s v="YAPINET"/>
    <d v="2025-09-05T00:00:00"/>
    <s v="AAAA"/>
    <n v="1"/>
    <s v="HSA-2"/>
    <s v="MAVİÇAM"/>
    <m/>
    <n v="1900"/>
    <n v="1"/>
    <n v="45905"/>
    <x v="1"/>
    <s v="Değişim"/>
    <s v="Haksız"/>
    <x v="8"/>
    <x v="0"/>
  </r>
  <r>
    <n v="2543"/>
    <x v="22"/>
    <s v="YAPINET"/>
    <d v="2025-09-05T00:00:00"/>
    <s v="AAAA"/>
    <n v="1"/>
    <s v="HSA-2"/>
    <s v="MAVİÇAM"/>
    <m/>
    <n v="1900"/>
    <n v="1"/>
    <n v="45905"/>
    <x v="1"/>
    <s v="Değişim"/>
    <s v="Haksız"/>
    <x v="8"/>
    <x v="0"/>
  </r>
  <r>
    <n v="2543"/>
    <x v="22"/>
    <s v="YAPINET"/>
    <d v="2025-09-05T00:00:00"/>
    <s v="AAAA"/>
    <n v="1"/>
    <s v="HSA-2"/>
    <s v="MAVİÇAM"/>
    <m/>
    <n v="1900"/>
    <n v="1"/>
    <n v="45905"/>
    <x v="1"/>
    <s v="Değişim"/>
    <s v="Haksız"/>
    <x v="8"/>
    <x v="0"/>
  </r>
  <r>
    <n v="2544"/>
    <x v="0"/>
    <s v="AKGÜÇ"/>
    <d v="2025-09-03T00:00:00"/>
    <s v="2510107BW0013694"/>
    <n v="1"/>
    <s v="HSA-2"/>
    <m/>
    <m/>
    <n v="1900"/>
    <n v="1"/>
    <n v="45903"/>
    <x v="1"/>
    <s v="Değişim"/>
    <s v="Haksız"/>
    <x v="8"/>
    <x v="0"/>
  </r>
  <r>
    <n v="2544"/>
    <x v="0"/>
    <s v="AKGÜÇ"/>
    <d v="2025-09-03T00:00:00"/>
    <s v="2490107BW0015777"/>
    <n v="1"/>
    <s v="HSA-2"/>
    <m/>
    <m/>
    <n v="1900"/>
    <n v="1"/>
    <n v="45903"/>
    <x v="1"/>
    <s v="Değişim"/>
    <s v="Haksız"/>
    <x v="8"/>
    <x v="0"/>
  </r>
  <r>
    <n v="2544"/>
    <x v="0"/>
    <s v="AKGÜÇ"/>
    <d v="2025-09-03T00:00:00"/>
    <s v="2510107BW0016431"/>
    <n v="1"/>
    <s v="HSA-2"/>
    <m/>
    <m/>
    <n v="1900"/>
    <n v="1"/>
    <n v="45903"/>
    <x v="1"/>
    <s v="Değişim"/>
    <s v="Haksız"/>
    <x v="8"/>
    <x v="0"/>
  </r>
  <r>
    <n v="2544"/>
    <x v="0"/>
    <s v="AKGÜÇ"/>
    <d v="2025-09-03T00:00:00"/>
    <s v="2510107BW0016474"/>
    <n v="1"/>
    <s v="HSA-2"/>
    <m/>
    <m/>
    <n v="1900"/>
    <n v="1"/>
    <n v="45903"/>
    <x v="1"/>
    <s v="Değişim"/>
    <s v="Haksız"/>
    <x v="8"/>
    <x v="0"/>
  </r>
  <r>
    <n v="2544"/>
    <x v="0"/>
    <s v="AKGÜÇ"/>
    <d v="2025-09-03T00:00:00"/>
    <s v="2480107BW0016818"/>
    <n v="1"/>
    <s v="HSA-2"/>
    <m/>
    <m/>
    <n v="1900"/>
    <n v="1"/>
    <n v="45903"/>
    <x v="1"/>
    <s v="Değişim"/>
    <s v="Haksız"/>
    <x v="8"/>
    <x v="0"/>
  </r>
  <r>
    <n v="2544"/>
    <x v="0"/>
    <s v="AKGÜÇ"/>
    <d v="2025-09-03T00:00:00"/>
    <s v="2480107BW0033756"/>
    <n v="1"/>
    <s v="HSA-2"/>
    <m/>
    <m/>
    <n v="1900"/>
    <n v="1"/>
    <n v="45903"/>
    <x v="1"/>
    <s v="Değişim"/>
    <s v="Haksız"/>
    <x v="8"/>
    <x v="0"/>
  </r>
  <r>
    <n v="2544"/>
    <x v="0"/>
    <s v="AKGÜÇ"/>
    <d v="2025-09-03T00:00:00"/>
    <s v="2480107BW0016496"/>
    <n v="1"/>
    <s v="HSA-2"/>
    <m/>
    <m/>
    <n v="1900"/>
    <n v="1"/>
    <n v="45903"/>
    <x v="1"/>
    <s v="Değişim"/>
    <s v="Haksız"/>
    <x v="8"/>
    <x v="0"/>
  </r>
  <r>
    <n v="2544"/>
    <x v="0"/>
    <s v="AKGÜÇ"/>
    <d v="2025-09-03T00:00:00"/>
    <s v="2480107BW0016226"/>
    <n v="1"/>
    <s v="HSA-2"/>
    <m/>
    <m/>
    <n v="1900"/>
    <n v="1"/>
    <n v="45903"/>
    <x v="1"/>
    <s v="Değişim"/>
    <s v="Haksız"/>
    <x v="8"/>
    <x v="0"/>
  </r>
  <r>
    <n v="2544"/>
    <x v="0"/>
    <s v="AKGÜÇ"/>
    <d v="2025-09-03T00:00:00"/>
    <s v="2480107BW0017498"/>
    <n v="1"/>
    <s v="HSA-2"/>
    <m/>
    <m/>
    <n v="1900"/>
    <n v="1"/>
    <n v="45903"/>
    <x v="1"/>
    <s v="Değişim"/>
    <s v="Haksız"/>
    <x v="8"/>
    <x v="0"/>
  </r>
  <r>
    <n v="2544"/>
    <x v="0"/>
    <s v="AKGÜÇ"/>
    <d v="2025-09-03T00:00:00"/>
    <s v="2480107BW0015375"/>
    <n v="1"/>
    <s v="HSA-2"/>
    <m/>
    <m/>
    <n v="1900"/>
    <n v="1"/>
    <n v="45903"/>
    <x v="1"/>
    <s v="Değişim"/>
    <s v="Haksız"/>
    <x v="8"/>
    <x v="0"/>
  </r>
  <r>
    <n v="2544"/>
    <x v="0"/>
    <s v="AKGÜÇ"/>
    <d v="2025-09-03T00:00:00"/>
    <s v="2490107BW0009062"/>
    <n v="1"/>
    <s v="HSA-2"/>
    <m/>
    <m/>
    <n v="1900"/>
    <n v="1"/>
    <n v="45903"/>
    <x v="1"/>
    <s v="Değişim"/>
    <s v="Haksız"/>
    <x v="8"/>
    <x v="0"/>
  </r>
  <r>
    <n v="2544"/>
    <x v="0"/>
    <s v="AKGÜÇ"/>
    <d v="2025-09-03T00:00:00"/>
    <s v="2480107BW0016816"/>
    <n v="1"/>
    <s v="HSA-2"/>
    <m/>
    <m/>
    <n v="1900"/>
    <n v="1"/>
    <n v="45903"/>
    <x v="1"/>
    <s v="Değişim"/>
    <s v="Haksız"/>
    <x v="8"/>
    <x v="0"/>
  </r>
  <r>
    <n v="2544"/>
    <x v="0"/>
    <s v="AKGÜÇ"/>
    <d v="2025-09-03T00:00:00"/>
    <s v="2480107BW0016693"/>
    <n v="1"/>
    <s v="HSA-2"/>
    <m/>
    <m/>
    <n v="1900"/>
    <n v="1"/>
    <n v="45903"/>
    <x v="1"/>
    <s v="Değişim"/>
    <s v="Haksız"/>
    <x v="8"/>
    <x v="0"/>
  </r>
  <r>
    <n v="2544"/>
    <x v="0"/>
    <s v="AKGÜÇ"/>
    <d v="2025-09-03T00:00:00"/>
    <s v="2480107BW0016190"/>
    <n v="1"/>
    <s v="HSA-2"/>
    <m/>
    <m/>
    <n v="1900"/>
    <n v="1"/>
    <n v="45903"/>
    <x v="1"/>
    <s v="Değişim"/>
    <s v="Haksız"/>
    <x v="8"/>
    <x v="0"/>
  </r>
  <r>
    <n v="2544"/>
    <x v="0"/>
    <s v="AKGÜÇ"/>
    <d v="2025-09-03T00:00:00"/>
    <s v="24C0107BW0006497"/>
    <n v="1"/>
    <s v="HSA-2"/>
    <m/>
    <m/>
    <n v="1900"/>
    <n v="1"/>
    <n v="45903"/>
    <x v="1"/>
    <s v="Değişim"/>
    <s v="Haksız"/>
    <x v="8"/>
    <x v="0"/>
  </r>
  <r>
    <n v="2544"/>
    <x v="0"/>
    <s v="AKGÜÇ"/>
    <d v="2025-09-03T00:00:00"/>
    <s v="24B0107BW0032822"/>
    <n v="1"/>
    <s v="HSA-2"/>
    <m/>
    <m/>
    <n v="1900"/>
    <n v="1"/>
    <n v="45903"/>
    <x v="1"/>
    <s v="Değişim"/>
    <s v="Haksız"/>
    <x v="8"/>
    <x v="0"/>
  </r>
  <r>
    <n v="2544"/>
    <x v="0"/>
    <s v="AKGÜÇ"/>
    <d v="2025-09-03T00:00:00"/>
    <s v="24B0107BW0053328"/>
    <n v="1"/>
    <s v="HSA-2"/>
    <m/>
    <m/>
    <n v="1900"/>
    <n v="1"/>
    <n v="45903"/>
    <x v="1"/>
    <s v="Değişim"/>
    <s v="Haksız"/>
    <x v="8"/>
    <x v="0"/>
  </r>
  <r>
    <n v="2544"/>
    <x v="0"/>
    <s v="AKGÜÇ"/>
    <d v="2025-09-03T00:00:00"/>
    <s v="2490107BW0009320"/>
    <n v="1"/>
    <s v="HSA-2"/>
    <m/>
    <m/>
    <n v="1900"/>
    <n v="1"/>
    <n v="45903"/>
    <x v="1"/>
    <m/>
    <s v="Haksız"/>
    <x v="8"/>
    <x v="0"/>
  </r>
  <r>
    <n v="2544"/>
    <x v="0"/>
    <s v="AKGÜÇ"/>
    <d v="2025-09-03T00:00:00"/>
    <s v="2490107BW0009304"/>
    <n v="1"/>
    <s v="HSA-2"/>
    <m/>
    <m/>
    <n v="1900"/>
    <n v="1"/>
    <n v="45903"/>
    <x v="1"/>
    <s v="Değişim"/>
    <s v="Haksız"/>
    <x v="8"/>
    <x v="0"/>
  </r>
  <r>
    <n v="2544"/>
    <x v="0"/>
    <s v="AKGÜÇ"/>
    <d v="2025-09-03T00:00:00"/>
    <s v="2480107BW0015003"/>
    <n v="1"/>
    <s v="HSA-2"/>
    <m/>
    <m/>
    <n v="1900"/>
    <n v="1"/>
    <n v="45903"/>
    <x v="1"/>
    <s v="Değişim"/>
    <s v="Haksız"/>
    <x v="8"/>
    <x v="0"/>
  </r>
  <r>
    <n v="2544"/>
    <x v="0"/>
    <s v="AKGÜÇ"/>
    <d v="2025-09-03T00:00:00"/>
    <s v="24C0107BW0042486"/>
    <n v="1"/>
    <s v="HSA-2"/>
    <m/>
    <m/>
    <n v="1900"/>
    <n v="1"/>
    <n v="45903"/>
    <x v="1"/>
    <s v="Değişim"/>
    <s v="Haksız"/>
    <x v="8"/>
    <x v="0"/>
  </r>
  <r>
    <n v="2544"/>
    <x v="0"/>
    <s v="AKGÜÇ"/>
    <d v="2025-09-03T00:00:00"/>
    <s v="2510107BW0016212"/>
    <n v="1"/>
    <s v="HSA-2"/>
    <m/>
    <m/>
    <n v="1900"/>
    <n v="1"/>
    <n v="45903"/>
    <x v="1"/>
    <m/>
    <s v="Haksız"/>
    <x v="8"/>
    <x v="0"/>
  </r>
  <r>
    <n v="2544"/>
    <x v="0"/>
    <s v="AKGÜÇ"/>
    <d v="2025-09-03T00:00:00"/>
    <s v="2510107BW0016232"/>
    <n v="1"/>
    <s v="HSA-2"/>
    <m/>
    <m/>
    <n v="1900"/>
    <n v="1"/>
    <n v="45903"/>
    <x v="1"/>
    <s v="Değişim"/>
    <s v="Haksız"/>
    <x v="8"/>
    <x v="0"/>
  </r>
  <r>
    <n v="2544"/>
    <x v="0"/>
    <s v="AKGÜÇ"/>
    <d v="2025-09-03T00:00:00"/>
    <s v="2480107BW0014187"/>
    <n v="1"/>
    <s v="HSA-2"/>
    <m/>
    <m/>
    <n v="1900"/>
    <n v="1"/>
    <n v="45903"/>
    <x v="1"/>
    <s v="Değişim"/>
    <s v="Haksız"/>
    <x v="8"/>
    <x v="0"/>
  </r>
  <r>
    <n v="2544"/>
    <x v="0"/>
    <s v="AKGÜÇ"/>
    <d v="2025-09-03T00:00:00"/>
    <s v="2480107BW0015034"/>
    <n v="1"/>
    <s v="HSA-2"/>
    <m/>
    <m/>
    <n v="1900"/>
    <n v="1"/>
    <n v="45903"/>
    <x v="1"/>
    <s v="Değişim"/>
    <s v="Haksız"/>
    <x v="8"/>
    <x v="0"/>
  </r>
  <r>
    <n v="2544"/>
    <x v="0"/>
    <s v="AKGÜÇ"/>
    <d v="2025-09-03T00:00:00"/>
    <s v="2480107BW0013837"/>
    <n v="1"/>
    <s v="HSA-2"/>
    <m/>
    <m/>
    <n v="1900"/>
    <n v="1"/>
    <n v="45903"/>
    <x v="1"/>
    <s v="Değişim"/>
    <s v="Haksız"/>
    <x v="8"/>
    <x v="0"/>
  </r>
  <r>
    <n v="2544"/>
    <x v="0"/>
    <s v="AKGÜÇ"/>
    <d v="2025-09-03T00:00:00"/>
    <s v="2480107BW0013820"/>
    <n v="1"/>
    <s v="HSA-2"/>
    <m/>
    <m/>
    <n v="1900"/>
    <n v="1"/>
    <n v="45903"/>
    <x v="1"/>
    <s v="Değişim"/>
    <s v="Haksız"/>
    <x v="8"/>
    <x v="0"/>
  </r>
  <r>
    <n v="2544"/>
    <x v="0"/>
    <s v="AKGÜÇ"/>
    <d v="2025-09-03T00:00:00"/>
    <s v="2480107BW0014171"/>
    <n v="1"/>
    <s v="HSA-2"/>
    <m/>
    <m/>
    <n v="1900"/>
    <n v="1"/>
    <n v="45903"/>
    <x v="1"/>
    <m/>
    <s v="Haksız"/>
    <x v="8"/>
    <x v="0"/>
  </r>
  <r>
    <n v="2544"/>
    <x v="0"/>
    <s v="AKGÜÇ"/>
    <d v="2025-09-03T00:00:00"/>
    <s v="24A0107BW0008767"/>
    <n v="1"/>
    <s v="HSA-2"/>
    <m/>
    <m/>
    <n v="1900"/>
    <n v="1"/>
    <n v="45903"/>
    <x v="1"/>
    <m/>
    <s v="Haksız"/>
    <x v="8"/>
    <x v="0"/>
  </r>
  <r>
    <n v="2544"/>
    <x v="0"/>
    <s v="AKGÜÇ"/>
    <d v="2025-09-03T00:00:00"/>
    <s v="2510107BW0017024"/>
    <n v="1"/>
    <s v="HSA-2"/>
    <m/>
    <m/>
    <n v="1900"/>
    <n v="1"/>
    <n v="45903"/>
    <x v="1"/>
    <s v="Değişim"/>
    <s v="Haksız"/>
    <x v="8"/>
    <x v="0"/>
  </r>
  <r>
    <n v="2544"/>
    <x v="0"/>
    <s v="AKGÜÇ"/>
    <d v="2025-09-03T00:00:00"/>
    <s v="24C0107BW0043764"/>
    <n v="1"/>
    <s v="HSA-2"/>
    <m/>
    <m/>
    <n v="1900"/>
    <n v="1"/>
    <n v="45903"/>
    <x v="1"/>
    <s v="Değişim"/>
    <s v="Haksız"/>
    <x v="8"/>
    <x v="0"/>
  </r>
  <r>
    <n v="2544"/>
    <x v="0"/>
    <s v="AKGÜÇ"/>
    <d v="2025-09-03T00:00:00"/>
    <s v="24C0107BW0043095"/>
    <n v="1"/>
    <s v="HSA-2"/>
    <m/>
    <m/>
    <n v="1900"/>
    <n v="1"/>
    <n v="45903"/>
    <x v="1"/>
    <s v="Değişim"/>
    <s v="Haksız"/>
    <x v="8"/>
    <x v="0"/>
  </r>
  <r>
    <n v="2544"/>
    <x v="0"/>
    <s v="AKGÜÇ"/>
    <d v="2025-09-03T00:00:00"/>
    <s v="2510107BW0016041"/>
    <n v="1"/>
    <s v="HSA-2"/>
    <m/>
    <m/>
    <n v="1900"/>
    <n v="1"/>
    <n v="45903"/>
    <x v="1"/>
    <s v="Değişim"/>
    <s v="Haksız"/>
    <x v="8"/>
    <x v="0"/>
  </r>
  <r>
    <n v="2544"/>
    <x v="0"/>
    <s v="AKGÜÇ"/>
    <d v="2025-09-03T00:00:00"/>
    <s v="2510107BW0016051"/>
    <n v="1"/>
    <s v="HSA-2"/>
    <m/>
    <m/>
    <n v="1900"/>
    <n v="1"/>
    <n v="45903"/>
    <x v="1"/>
    <s v="Değişim"/>
    <s v="Haksız"/>
    <x v="8"/>
    <x v="0"/>
  </r>
  <r>
    <n v="2544"/>
    <x v="0"/>
    <s v="AKGÜÇ"/>
    <d v="2025-09-03T00:00:00"/>
    <s v="2510107BW0013538"/>
    <n v="1"/>
    <s v="HSA-2"/>
    <m/>
    <m/>
    <n v="1900"/>
    <n v="1"/>
    <n v="45903"/>
    <x v="1"/>
    <s v="Değişim"/>
    <s v="Haksız"/>
    <x v="8"/>
    <x v="0"/>
  </r>
  <r>
    <n v="2544"/>
    <x v="0"/>
    <s v="AKGÜÇ"/>
    <d v="2025-09-03T00:00:00"/>
    <s v="24C0107BW0001178"/>
    <n v="1"/>
    <s v="HSA-2"/>
    <m/>
    <m/>
    <n v="1900"/>
    <n v="1"/>
    <n v="45903"/>
    <x v="1"/>
    <s v="Değişim"/>
    <s v="Haksız"/>
    <x v="8"/>
    <x v="0"/>
  </r>
  <r>
    <n v="2544"/>
    <x v="0"/>
    <s v="AKGÜÇ"/>
    <d v="2025-09-03T00:00:00"/>
    <s v="24C0107BW0043808"/>
    <n v="1"/>
    <s v="HSA-2"/>
    <m/>
    <m/>
    <n v="1900"/>
    <n v="1"/>
    <n v="45903"/>
    <x v="1"/>
    <s v="Değişim"/>
    <s v="Haksız"/>
    <x v="8"/>
    <x v="0"/>
  </r>
  <r>
    <n v="2544"/>
    <x v="0"/>
    <s v="AKGÜÇ"/>
    <d v="2025-09-03T00:00:00"/>
    <s v="2510107BW0013898"/>
    <n v="1"/>
    <s v="HSA-2"/>
    <m/>
    <m/>
    <n v="1900"/>
    <n v="1"/>
    <n v="45903"/>
    <x v="1"/>
    <s v="Değişim"/>
    <s v="Haksız"/>
    <x v="8"/>
    <x v="0"/>
  </r>
  <r>
    <n v="2544"/>
    <x v="0"/>
    <s v="AKGÜÇ"/>
    <d v="2025-09-03T00:00:00"/>
    <s v="2490107BW0039175"/>
    <n v="1"/>
    <s v="HSA-2"/>
    <m/>
    <m/>
    <n v="1900"/>
    <n v="1"/>
    <n v="45903"/>
    <x v="1"/>
    <m/>
    <s v="Haksız"/>
    <x v="8"/>
    <x v="0"/>
  </r>
  <r>
    <n v="2544"/>
    <x v="0"/>
    <s v="AKGÜÇ"/>
    <d v="2025-09-03T00:00:00"/>
    <s v="24C0107BW0044145"/>
    <n v="1"/>
    <s v="HSA-2"/>
    <m/>
    <m/>
    <n v="1900"/>
    <n v="1"/>
    <n v="45903"/>
    <x v="1"/>
    <s v="Değişim"/>
    <s v="Haksız"/>
    <x v="8"/>
    <x v="0"/>
  </r>
  <r>
    <n v="2544"/>
    <x v="0"/>
    <s v="AKGÜÇ"/>
    <d v="2025-09-03T00:00:00"/>
    <s v="24C0107BW0043717"/>
    <n v="1"/>
    <s v="HSA-2"/>
    <m/>
    <m/>
    <n v="1900"/>
    <n v="1"/>
    <n v="45903"/>
    <x v="1"/>
    <s v="Değişim"/>
    <s v="Haksız"/>
    <x v="8"/>
    <x v="0"/>
  </r>
  <r>
    <n v="2544"/>
    <x v="0"/>
    <s v="AKGÜÇ"/>
    <d v="2025-09-03T00:00:00"/>
    <s v="24A0107BW0009259"/>
    <n v="1"/>
    <s v="HSA-2"/>
    <m/>
    <m/>
    <n v="1900"/>
    <n v="1"/>
    <n v="45903"/>
    <x v="1"/>
    <s v="Değişim"/>
    <s v="Haksız"/>
    <x v="8"/>
    <x v="0"/>
  </r>
  <r>
    <n v="2545"/>
    <x v="23"/>
    <s v="GENBA ENERJİ"/>
    <d v="2025-09-12T00:00:00"/>
    <s v="24A0108BX0004556"/>
    <n v="1"/>
    <s v="HSA-2"/>
    <m/>
    <m/>
    <n v="1900"/>
    <n v="1"/>
    <n v="45912"/>
    <x v="18"/>
    <m/>
    <s v="Haksız"/>
    <x v="8"/>
    <x v="0"/>
  </r>
  <r>
    <n v="2545"/>
    <x v="23"/>
    <s v="GENBA ENERJİ"/>
    <d v="2025-09-12T00:00:00"/>
    <s v="24A0108BX0004684"/>
    <n v="1"/>
    <s v="HSA-2"/>
    <m/>
    <m/>
    <n v="1900"/>
    <n v="1"/>
    <n v="45912"/>
    <x v="18"/>
    <m/>
    <s v="Haksız"/>
    <x v="8"/>
    <x v="0"/>
  </r>
  <r>
    <n v="2545"/>
    <x v="23"/>
    <s v="GENBA ENERJİ"/>
    <d v="2025-09-12T00:00:00"/>
    <s v="24A0108BX0004729"/>
    <n v="1"/>
    <s v="HSA-2"/>
    <m/>
    <m/>
    <n v="1900"/>
    <n v="1"/>
    <n v="45912"/>
    <x v="18"/>
    <m/>
    <s v="Haksız"/>
    <x v="8"/>
    <x v="0"/>
  </r>
  <r>
    <n v="2545"/>
    <x v="23"/>
    <s v="GENBA ENERJİ"/>
    <d v="2025-09-12T00:00:00"/>
    <s v="24A0108BX0004661"/>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5"/>
    <x v="23"/>
    <s v="GENBA ENERJİ"/>
    <d v="2025-09-12T00:00:00"/>
    <s v="AAAA"/>
    <n v="1"/>
    <s v="HSA-2"/>
    <m/>
    <m/>
    <n v="1900"/>
    <n v="1"/>
    <n v="45912"/>
    <x v="18"/>
    <m/>
    <s v="Haksız"/>
    <x v="8"/>
    <x v="0"/>
  </r>
  <r>
    <n v="2546"/>
    <x v="24"/>
    <s v=" ORIENT MÜHENDİSLİK"/>
    <d v="2025-09-06T00:00:00"/>
    <s v="2470108BX0034141"/>
    <n v="1"/>
    <s v="HSA-2"/>
    <m/>
    <m/>
    <n v="1900"/>
    <n v="1"/>
    <n v="45906"/>
    <x v="2"/>
    <m/>
    <s v="Haksız"/>
    <x v="8"/>
    <x v="0"/>
  </r>
  <r>
    <n v="2546"/>
    <x v="24"/>
    <s v=" ORIENT MÜHENDİSLİK"/>
    <d v="2025-09-06T00:00:00"/>
    <s v="2480108BX0000088"/>
    <n v="1"/>
    <s v="HSA-2"/>
    <m/>
    <m/>
    <n v="1900"/>
    <n v="1"/>
    <n v="45906"/>
    <x v="2"/>
    <s v="Tamir"/>
    <s v="Haklı"/>
    <x v="8"/>
    <x v="0"/>
  </r>
  <r>
    <n v="2546"/>
    <x v="24"/>
    <s v=" ORIENT MÜHENDİSLİK"/>
    <d v="2025-09-06T00:00:00"/>
    <s v="2470108BX0033438"/>
    <n v="1"/>
    <s v="HSA-2"/>
    <m/>
    <m/>
    <n v="1900"/>
    <n v="1"/>
    <n v="45906"/>
    <x v="2"/>
    <s v="Tamir"/>
    <s v="Haklı"/>
    <x v="8"/>
    <x v="0"/>
  </r>
  <r>
    <n v="2546"/>
    <x v="24"/>
    <s v=" ORIENT MÜHENDİSLİK"/>
    <d v="2025-09-06T00:00:00"/>
    <s v="2470108BX0034762"/>
    <n v="1"/>
    <s v="HSA-2"/>
    <m/>
    <m/>
    <n v="1900"/>
    <n v="1"/>
    <n v="45906"/>
    <x v="2"/>
    <s v="Tamir"/>
    <s v="Haklı"/>
    <x v="8"/>
    <x v="0"/>
  </r>
  <r>
    <n v="2546"/>
    <x v="24"/>
    <s v=" ORIENT MÜHENDİSLİK"/>
    <d v="2025-09-06T00:00:00"/>
    <s v="2470108BX0032242"/>
    <n v="1"/>
    <s v="HSA-2"/>
    <m/>
    <m/>
    <n v="1900"/>
    <n v="1"/>
    <n v="45906"/>
    <x v="2"/>
    <m/>
    <s v="Haksız"/>
    <x v="8"/>
    <x v="0"/>
  </r>
  <r>
    <n v="2546"/>
    <x v="24"/>
    <s v=" ORIENT MÜHENDİSLİK"/>
    <d v="2025-09-06T00:00:00"/>
    <s v="2470108BX0030645"/>
    <n v="1"/>
    <s v="HSA-2"/>
    <m/>
    <m/>
    <n v="1900"/>
    <n v="1"/>
    <n v="45906"/>
    <x v="2"/>
    <m/>
    <s v="Haksız"/>
    <x v="8"/>
    <x v="0"/>
  </r>
  <r>
    <n v="2546"/>
    <x v="24"/>
    <s v=" ORIENT MÜHENDİSLİK"/>
    <d v="2025-09-06T00:00:00"/>
    <s v="2470108BX0036386"/>
    <n v="1"/>
    <s v="HSA-2"/>
    <m/>
    <m/>
    <n v="1900"/>
    <n v="1"/>
    <n v="45906"/>
    <x v="2"/>
    <m/>
    <s v="Haksız"/>
    <x v="8"/>
    <x v="0"/>
  </r>
  <r>
    <n v="2546"/>
    <x v="24"/>
    <s v=" ORIENT MÜHENDİSLİK"/>
    <d v="2025-09-06T00:00:00"/>
    <s v="2480108BX0002563"/>
    <n v="1"/>
    <s v="HSA-2"/>
    <m/>
    <m/>
    <n v="1900"/>
    <n v="1"/>
    <n v="45906"/>
    <x v="2"/>
    <s v="Tamir"/>
    <s v="Haklı"/>
    <x v="8"/>
    <x v="0"/>
  </r>
  <r>
    <n v="2546"/>
    <x v="24"/>
    <s v=" ORIENT MÜHENDİSLİK"/>
    <d v="2025-09-06T00:00:00"/>
    <s v="2480108BX0002544"/>
    <n v="1"/>
    <s v="HSA-2"/>
    <m/>
    <m/>
    <n v="1900"/>
    <n v="1"/>
    <n v="45906"/>
    <x v="2"/>
    <m/>
    <s v="Haksız"/>
    <x v="8"/>
    <x v="0"/>
  </r>
  <r>
    <n v="2546"/>
    <x v="24"/>
    <s v=" ORIENT MÜHENDİSLİK"/>
    <d v="2025-09-06T00:00:00"/>
    <s v="2480108BX0002341"/>
    <n v="1"/>
    <s v="HSA-2"/>
    <m/>
    <m/>
    <n v="1900"/>
    <n v="1"/>
    <n v="45906"/>
    <x v="2"/>
    <s v="Tamir"/>
    <s v="Haklı"/>
    <x v="8"/>
    <x v="0"/>
  </r>
  <r>
    <n v="2546"/>
    <x v="24"/>
    <s v=" ORIENT MÜHENDİSLİK"/>
    <d v="2025-09-06T00:00:00"/>
    <s v="2480108BX0002176"/>
    <n v="1"/>
    <s v="HSA-2"/>
    <m/>
    <m/>
    <n v="1900"/>
    <n v="1"/>
    <n v="45906"/>
    <x v="2"/>
    <m/>
    <s v="Haksız"/>
    <x v="8"/>
    <x v="0"/>
  </r>
  <r>
    <n v="2546"/>
    <x v="24"/>
    <s v=" ORIENT MÜHENDİSLİK"/>
    <d v="2025-09-06T00:00:00"/>
    <s v="2480108BX0015909"/>
    <n v="1"/>
    <s v="HSA-2"/>
    <m/>
    <m/>
    <n v="1900"/>
    <n v="1"/>
    <n v="45906"/>
    <x v="2"/>
    <s v="Tamir"/>
    <s v="Haklı"/>
    <x v="8"/>
    <x v="0"/>
  </r>
  <r>
    <n v="2546"/>
    <x v="24"/>
    <s v=" ORIENT MÜHENDİSLİK"/>
    <d v="2025-09-06T00:00:00"/>
    <s v="2480108BX0012159"/>
    <n v="1"/>
    <s v="HSA-2"/>
    <m/>
    <m/>
    <n v="1900"/>
    <n v="1"/>
    <n v="45906"/>
    <x v="2"/>
    <s v="Tamir"/>
    <s v="Haklı"/>
    <x v="8"/>
    <x v="0"/>
  </r>
  <r>
    <n v="2546"/>
    <x v="24"/>
    <s v=" ORIENT MÜHENDİSLİK"/>
    <d v="2025-09-06T00:00:00"/>
    <s v="2470108BX0020155"/>
    <n v="1"/>
    <s v="HSA-2"/>
    <m/>
    <m/>
    <n v="1900"/>
    <n v="1"/>
    <n v="45906"/>
    <x v="2"/>
    <s v="Tamir"/>
    <s v="Haklı"/>
    <x v="8"/>
    <x v="0"/>
  </r>
  <r>
    <n v="2546"/>
    <x v="24"/>
    <s v=" ORIENT MÜHENDİSLİK"/>
    <d v="2025-09-06T00:00:00"/>
    <s v="2470108BX0019763"/>
    <n v="1"/>
    <s v="HSA-2"/>
    <m/>
    <m/>
    <n v="1900"/>
    <n v="1"/>
    <n v="45906"/>
    <x v="2"/>
    <m/>
    <s v="Haksız"/>
    <x v="8"/>
    <x v="0"/>
  </r>
  <r>
    <n v="2546"/>
    <x v="24"/>
    <s v=" ORIENT MÜHENDİSLİK"/>
    <d v="2025-09-06T00:00:00"/>
    <s v="2470108BX0019591"/>
    <n v="1"/>
    <s v="HSA-2"/>
    <m/>
    <m/>
    <n v="1900"/>
    <n v="1"/>
    <n v="45906"/>
    <x v="2"/>
    <m/>
    <s v="Haksız"/>
    <x v="8"/>
    <x v="0"/>
  </r>
  <r>
    <n v="2546"/>
    <x v="24"/>
    <s v=" ORIENT MÜHENDİSLİK"/>
    <d v="2025-09-06T00:00:00"/>
    <s v="2470108BX0018373"/>
    <n v="1"/>
    <s v="HSA-2"/>
    <m/>
    <m/>
    <n v="1900"/>
    <n v="1"/>
    <n v="45906"/>
    <x v="2"/>
    <m/>
    <s v="Haksız"/>
    <x v="8"/>
    <x v="0"/>
  </r>
  <r>
    <n v="2546"/>
    <x v="24"/>
    <s v=" ORIENT MÜHENDİSLİK"/>
    <d v="2025-09-06T00:00:00"/>
    <s v="2470108BX0030508"/>
    <n v="1"/>
    <s v="HSA-2"/>
    <m/>
    <m/>
    <n v="1900"/>
    <n v="1"/>
    <n v="45906"/>
    <x v="2"/>
    <s v="Tamir"/>
    <s v="Haklı"/>
    <x v="8"/>
    <x v="0"/>
  </r>
  <r>
    <n v="2546"/>
    <x v="24"/>
    <s v=" ORIENT MÜHENDİSLİK"/>
    <d v="2025-09-06T00:00:00"/>
    <s v="2480108BX0006183"/>
    <n v="1"/>
    <s v="HSA-2"/>
    <m/>
    <m/>
    <n v="1900"/>
    <n v="1"/>
    <n v="45906"/>
    <x v="2"/>
    <m/>
    <s v="Haksız"/>
    <x v="8"/>
    <x v="0"/>
  </r>
  <r>
    <n v="2546"/>
    <x v="24"/>
    <s v=" ORIENT MÜHENDİSLİK"/>
    <d v="2025-09-06T00:00:00"/>
    <s v="2480108BX0008209"/>
    <n v="1"/>
    <s v="HSA-2"/>
    <m/>
    <m/>
    <n v="1900"/>
    <n v="1"/>
    <n v="45906"/>
    <x v="2"/>
    <s v="Tamir"/>
    <s v="Haklı"/>
    <x v="8"/>
    <x v="0"/>
  </r>
  <r>
    <n v="2546"/>
    <x v="24"/>
    <s v=" ORIENT MÜHENDİSLİK"/>
    <d v="2025-09-06T00:00:00"/>
    <s v="2480108BX0008111"/>
    <n v="1"/>
    <s v="HSA-2"/>
    <m/>
    <m/>
    <n v="1900"/>
    <n v="1"/>
    <n v="45906"/>
    <x v="2"/>
    <m/>
    <s v="Haksız"/>
    <x v="8"/>
    <x v="0"/>
  </r>
  <r>
    <n v="2546"/>
    <x v="24"/>
    <s v=" ORIENT MÜHENDİSLİK"/>
    <d v="2025-09-06T00:00:00"/>
    <s v="2480108BX0014019"/>
    <n v="1"/>
    <s v="HSA-2"/>
    <m/>
    <m/>
    <n v="1900"/>
    <n v="1"/>
    <n v="45906"/>
    <x v="2"/>
    <m/>
    <s v="Haksız"/>
    <x v="8"/>
    <x v="0"/>
  </r>
  <r>
    <n v="2546"/>
    <x v="24"/>
    <s v=" ORIENT MÜHENDİSLİK"/>
    <d v="2025-09-06T00:00:00"/>
    <s v="2480108BX0015906"/>
    <n v="1"/>
    <s v="HSA-2"/>
    <m/>
    <m/>
    <n v="1900"/>
    <n v="1"/>
    <n v="45906"/>
    <x v="2"/>
    <m/>
    <s v="Haksız"/>
    <x v="8"/>
    <x v="0"/>
  </r>
  <r>
    <n v="2546"/>
    <x v="24"/>
    <s v=" ORIENT MÜHENDİSLİK"/>
    <d v="2025-09-06T00:00:00"/>
    <s v="2480108BX0006180"/>
    <n v="1"/>
    <s v="HSA-2"/>
    <m/>
    <m/>
    <n v="1900"/>
    <n v="1"/>
    <n v="45906"/>
    <x v="2"/>
    <m/>
    <s v="Haksız"/>
    <x v="8"/>
    <x v="0"/>
  </r>
  <r>
    <n v="2546"/>
    <x v="24"/>
    <s v=" ORIENT MÜHENDİSLİK"/>
    <d v="2025-09-06T00:00:00"/>
    <s v="2480108BX0014166"/>
    <n v="1"/>
    <s v="HSA-2"/>
    <m/>
    <m/>
    <n v="1900"/>
    <n v="1"/>
    <n v="45906"/>
    <x v="2"/>
    <m/>
    <s v="Haksız"/>
    <x v="8"/>
    <x v="0"/>
  </r>
  <r>
    <n v="2546"/>
    <x v="24"/>
    <s v=" ORIENT MÜHENDİSLİK"/>
    <d v="2025-09-06T00:00:00"/>
    <s v="2480108BX0015320"/>
    <n v="1"/>
    <s v="HSA-2"/>
    <m/>
    <m/>
    <n v="1900"/>
    <n v="1"/>
    <n v="45906"/>
    <x v="2"/>
    <m/>
    <s v="Haksız"/>
    <x v="8"/>
    <x v="0"/>
  </r>
  <r>
    <n v="2546"/>
    <x v="24"/>
    <s v=" ORIENT MÜHENDİSLİK"/>
    <d v="2025-09-06T00:00:00"/>
    <s v="2480108BX0011318"/>
    <n v="1"/>
    <s v="HSA-2"/>
    <m/>
    <m/>
    <n v="1900"/>
    <n v="1"/>
    <n v="45906"/>
    <x v="2"/>
    <s v="Tamir"/>
    <s v="Haklı"/>
    <x v="8"/>
    <x v="0"/>
  </r>
  <r>
    <n v="2546"/>
    <x v="24"/>
    <s v=" ORIENT MÜHENDİSLİK"/>
    <d v="2025-09-06T00:00:00"/>
    <s v="2480108BX0011068"/>
    <n v="1"/>
    <s v="HSA-2"/>
    <m/>
    <m/>
    <n v="1900"/>
    <n v="1"/>
    <n v="45906"/>
    <x v="2"/>
    <s v="Tamir"/>
    <s v="Haklı"/>
    <x v="8"/>
    <x v="0"/>
  </r>
  <r>
    <n v="2546"/>
    <x v="24"/>
    <s v=" ORIENT MÜHENDİSLİK"/>
    <d v="2025-09-06T00:00:00"/>
    <s v="2480108BX0011156"/>
    <n v="1"/>
    <s v="HSA-2"/>
    <m/>
    <m/>
    <n v="1900"/>
    <n v="1"/>
    <n v="45906"/>
    <x v="2"/>
    <s v="Tamir"/>
    <s v="Haklı"/>
    <x v="8"/>
    <x v="0"/>
  </r>
  <r>
    <n v="2546"/>
    <x v="24"/>
    <s v=" ORIENT MÜHENDİSLİK"/>
    <d v="2025-09-06T00:00:00"/>
    <s v="2480108BX0011323"/>
    <n v="1"/>
    <s v="HSA-2"/>
    <m/>
    <m/>
    <n v="1900"/>
    <n v="1"/>
    <n v="45906"/>
    <x v="2"/>
    <m/>
    <s v="Haksız"/>
    <x v="8"/>
    <x v="0"/>
  </r>
  <r>
    <n v="2546"/>
    <x v="24"/>
    <s v=" ORIENT MÜHENDİSLİK"/>
    <d v="2025-09-06T00:00:00"/>
    <s v="2480108BX0002183"/>
    <n v="1"/>
    <s v="HSA-2"/>
    <m/>
    <m/>
    <n v="1900"/>
    <n v="1"/>
    <n v="45906"/>
    <x v="2"/>
    <m/>
    <s v="Haksız"/>
    <x v="8"/>
    <x v="0"/>
  </r>
  <r>
    <n v="2546"/>
    <x v="24"/>
    <s v=" ORIENT MÜHENDİSLİK"/>
    <d v="2025-09-06T00:00:00"/>
    <s v="2480108BX0002528"/>
    <n v="1"/>
    <s v="HSA-2"/>
    <m/>
    <m/>
    <n v="1900"/>
    <n v="1"/>
    <n v="45906"/>
    <x v="2"/>
    <s v="Tamir"/>
    <s v="Haklı"/>
    <x v="8"/>
    <x v="0"/>
  </r>
  <r>
    <n v="2546"/>
    <x v="24"/>
    <s v=" ORIENT MÜHENDİSLİK"/>
    <d v="2025-09-06T00:00:00"/>
    <s v="2480108BX0009990"/>
    <n v="1"/>
    <s v="HSA-2"/>
    <m/>
    <m/>
    <n v="1900"/>
    <n v="1"/>
    <n v="45906"/>
    <x v="2"/>
    <s v="Tamir"/>
    <s v="Haklı"/>
    <x v="8"/>
    <x v="0"/>
  </r>
  <r>
    <n v="2546"/>
    <x v="24"/>
    <s v=" ORIENT MÜHENDİSLİK"/>
    <d v="2025-09-06T00:00:00"/>
    <s v="2480108BX0009654"/>
    <n v="1"/>
    <s v="HSA-2"/>
    <m/>
    <m/>
    <n v="1900"/>
    <n v="1"/>
    <n v="45906"/>
    <x v="2"/>
    <s v="Tamir"/>
    <s v="Haklı"/>
    <x v="8"/>
    <x v="0"/>
  </r>
  <r>
    <n v="2546"/>
    <x v="24"/>
    <s v=" ORIENT MÜHENDİSLİK"/>
    <d v="2025-09-06T00:00:00"/>
    <s v="2480108BX0009173"/>
    <n v="1"/>
    <s v="HSA-2"/>
    <m/>
    <m/>
    <n v="1900"/>
    <n v="1"/>
    <n v="45906"/>
    <x v="2"/>
    <s v="Tamir"/>
    <s v="Haklı"/>
    <x v="8"/>
    <x v="0"/>
  </r>
  <r>
    <n v="2546"/>
    <x v="24"/>
    <s v=" ORIENT MÜHENDİSLİK"/>
    <d v="2025-09-06T00:00:00"/>
    <s v="2480108BX0010167"/>
    <n v="1"/>
    <s v="HSA-2"/>
    <m/>
    <m/>
    <n v="1900"/>
    <n v="1"/>
    <n v="45906"/>
    <x v="2"/>
    <m/>
    <s v="Haksız"/>
    <x v="8"/>
    <x v="0"/>
  </r>
  <r>
    <n v="2546"/>
    <x v="24"/>
    <s v=" ORIENT MÜHENDİSLİK"/>
    <d v="2025-09-06T00:00:00"/>
    <s v="2470108BX0027900"/>
    <n v="1"/>
    <s v="HSA-2"/>
    <m/>
    <m/>
    <n v="1900"/>
    <n v="1"/>
    <n v="45906"/>
    <x v="2"/>
    <s v="Tamir"/>
    <s v="Haklı"/>
    <x v="8"/>
    <x v="0"/>
  </r>
  <r>
    <n v="2547"/>
    <x v="25"/>
    <s v="N/A"/>
    <d v="2025-09-18T00:00:00"/>
    <s v="2370108BX0051878"/>
    <n v="1"/>
    <s v="HSA-2"/>
    <m/>
    <m/>
    <n v="1900"/>
    <n v="1"/>
    <n v="45918"/>
    <x v="2"/>
    <s v="Tamir"/>
    <s v="Haklı"/>
    <x v="8"/>
    <x v="0"/>
  </r>
  <r>
    <n v="2547"/>
    <x v="25"/>
    <s v="N/A"/>
    <d v="2025-09-18T00:00:00"/>
    <s v="2350108BX0033781"/>
    <n v="1"/>
    <s v="HSA-2"/>
    <m/>
    <m/>
    <n v="1900"/>
    <n v="1"/>
    <n v="45918"/>
    <x v="2"/>
    <s v="Tamir"/>
    <s v="Haklı"/>
    <x v="8"/>
    <x v="0"/>
  </r>
  <r>
    <n v="2547"/>
    <x v="25"/>
    <s v="N/A"/>
    <d v="2025-09-18T00:00:00"/>
    <s v="2380108BX0009223"/>
    <n v="1"/>
    <s v="HSA-2"/>
    <m/>
    <m/>
    <n v="1900"/>
    <n v="1"/>
    <n v="45918"/>
    <x v="2"/>
    <s v="Tamir"/>
    <s v="Haklı"/>
    <x v="8"/>
    <x v="0"/>
  </r>
  <r>
    <n v="2547"/>
    <x v="25"/>
    <s v="N/A"/>
    <d v="2025-09-18T00:00:00"/>
    <s v="2350108BX0033887"/>
    <n v="1"/>
    <s v="HSA-2"/>
    <m/>
    <m/>
    <n v="1900"/>
    <n v="1"/>
    <n v="45918"/>
    <x v="2"/>
    <s v="Tamir"/>
    <s v="Haklı"/>
    <x v="8"/>
    <x v="0"/>
  </r>
  <r>
    <n v="2547"/>
    <x v="25"/>
    <s v="N/A"/>
    <d v="2025-09-18T00:00:00"/>
    <s v="2340108BX0039910"/>
    <n v="1"/>
    <s v="HSA-2"/>
    <m/>
    <m/>
    <n v="1900"/>
    <n v="1"/>
    <n v="45918"/>
    <x v="2"/>
    <s v="Tamir"/>
    <s v="Haklı"/>
    <x v="8"/>
    <x v="0"/>
  </r>
  <r>
    <n v="2547"/>
    <x v="25"/>
    <s v="N/A"/>
    <d v="2025-09-18T00:00:00"/>
    <s v="2350108BX0048157"/>
    <n v="1"/>
    <s v="HSA-2"/>
    <m/>
    <m/>
    <n v="1900"/>
    <n v="1"/>
    <n v="45918"/>
    <x v="2"/>
    <s v="Tamir"/>
    <s v="Haklı"/>
    <x v="8"/>
    <x v="0"/>
  </r>
  <r>
    <n v="2547"/>
    <x v="25"/>
    <s v="N/A"/>
    <d v="2025-09-18T00:00:00"/>
    <s v="2350108BX0014563"/>
    <n v="1"/>
    <s v="HSA-2"/>
    <m/>
    <m/>
    <n v="1900"/>
    <n v="1"/>
    <n v="45918"/>
    <x v="2"/>
    <s v="Tamir"/>
    <s v="Haklı"/>
    <x v="8"/>
    <x v="0"/>
  </r>
  <r>
    <n v="2547"/>
    <x v="25"/>
    <s v="N/A"/>
    <d v="2025-09-18T00:00:00"/>
    <s v="2340108BX0029973"/>
    <n v="1"/>
    <s v="HSA-2"/>
    <m/>
    <m/>
    <n v="1900"/>
    <n v="1"/>
    <n v="45918"/>
    <x v="2"/>
    <s v="Tamir"/>
    <s v="Haklı"/>
    <x v="8"/>
    <x v="0"/>
  </r>
  <r>
    <n v="2547"/>
    <x v="25"/>
    <s v="N/A"/>
    <d v="2025-09-18T00:00:00"/>
    <s v="2350108BX0025807"/>
    <n v="1"/>
    <s v="HSA-2"/>
    <m/>
    <m/>
    <n v="1900"/>
    <n v="1"/>
    <n v="45918"/>
    <x v="2"/>
    <s v="Tamir"/>
    <s v="Haklı"/>
    <x v="8"/>
    <x v="0"/>
  </r>
  <r>
    <n v="2547"/>
    <x v="25"/>
    <s v="N/A"/>
    <d v="2025-09-18T00:00:00"/>
    <s v="2350108BX0006120"/>
    <n v="1"/>
    <s v="HSA-2"/>
    <m/>
    <m/>
    <n v="1900"/>
    <n v="1"/>
    <n v="45918"/>
    <x v="2"/>
    <s v="Tamir"/>
    <s v="Haklı"/>
    <x v="8"/>
    <x v="0"/>
  </r>
  <r>
    <n v="2547"/>
    <x v="25"/>
    <s v="N/A"/>
    <d v="2025-09-18T00:00:00"/>
    <s v="2360108BX0026138"/>
    <n v="1"/>
    <s v="HSA-2"/>
    <m/>
    <m/>
    <n v="1900"/>
    <n v="1"/>
    <n v="45918"/>
    <x v="2"/>
    <s v="Tamir"/>
    <s v="Haklı"/>
    <x v="8"/>
    <x v="0"/>
  </r>
  <r>
    <n v="2547"/>
    <x v="25"/>
    <s v="N/A"/>
    <d v="2025-09-18T00:00:00"/>
    <s v="2360108BX0026225"/>
    <n v="1"/>
    <s v="HSA-2"/>
    <m/>
    <m/>
    <n v="1900"/>
    <n v="1"/>
    <n v="45918"/>
    <x v="2"/>
    <s v="Tamir"/>
    <s v="Haklı"/>
    <x v="8"/>
    <x v="0"/>
  </r>
  <r>
    <n v="2547"/>
    <x v="25"/>
    <s v="N/A"/>
    <d v="2025-09-18T00:00:00"/>
    <s v="2350108BX0018515"/>
    <n v="1"/>
    <s v="HSA-2"/>
    <m/>
    <m/>
    <n v="1900"/>
    <n v="1"/>
    <n v="45918"/>
    <x v="2"/>
    <s v="Tamir"/>
    <s v="Haklı"/>
    <x v="8"/>
    <x v="0"/>
  </r>
  <r>
    <n v="2547"/>
    <x v="25"/>
    <s v="N/A"/>
    <d v="2025-09-18T00:00:00"/>
    <s v="2350108BX0016807"/>
    <n v="1"/>
    <s v="HSA-2"/>
    <m/>
    <m/>
    <n v="1900"/>
    <n v="1"/>
    <n v="45918"/>
    <x v="2"/>
    <s v="Tamir"/>
    <s v="Haklı"/>
    <x v="8"/>
    <x v="0"/>
  </r>
  <r>
    <n v="2547"/>
    <x v="25"/>
    <s v="N/A"/>
    <d v="2025-09-18T00:00:00"/>
    <s v="2340108BX0016210"/>
    <n v="1"/>
    <s v="HSA-2"/>
    <m/>
    <m/>
    <n v="1900"/>
    <n v="1"/>
    <n v="45918"/>
    <x v="2"/>
    <s v="Tamir"/>
    <s v="Haklı"/>
    <x v="8"/>
    <x v="0"/>
  </r>
  <r>
    <n v="2547"/>
    <x v="25"/>
    <s v="N/A"/>
    <d v="2025-09-18T00:00:00"/>
    <s v="2340108BX0017282"/>
    <n v="1"/>
    <s v="HSA-2"/>
    <m/>
    <m/>
    <n v="1900"/>
    <n v="1"/>
    <n v="45918"/>
    <x v="2"/>
    <s v="Tamir"/>
    <s v="Haklı"/>
    <x v="8"/>
    <x v="0"/>
  </r>
  <r>
    <n v="2547"/>
    <x v="25"/>
    <s v="N/A"/>
    <d v="2025-09-18T00:00:00"/>
    <s v="2360108BX0004275"/>
    <n v="1"/>
    <s v="HSA-2"/>
    <m/>
    <m/>
    <n v="1900"/>
    <n v="1"/>
    <n v="45918"/>
    <x v="2"/>
    <s v="Tamir"/>
    <s v="Haklı"/>
    <x v="8"/>
    <x v="0"/>
  </r>
  <r>
    <n v="2547"/>
    <x v="25"/>
    <s v="N/A"/>
    <d v="2025-09-18T00:00:00"/>
    <s v="2360108BX0004241"/>
    <n v="1"/>
    <s v="HSA-2"/>
    <m/>
    <m/>
    <n v="1900"/>
    <n v="1"/>
    <n v="45918"/>
    <x v="2"/>
    <s v="Tamir"/>
    <s v="Haklı"/>
    <x v="8"/>
    <x v="0"/>
  </r>
  <r>
    <n v="2547"/>
    <x v="25"/>
    <s v="N/A"/>
    <d v="2025-09-18T00:00:00"/>
    <s v="2360108BX0004236"/>
    <n v="1"/>
    <s v="HSA-2"/>
    <m/>
    <m/>
    <n v="1900"/>
    <n v="1"/>
    <n v="45918"/>
    <x v="2"/>
    <s v="Tamir"/>
    <s v="Haklı"/>
    <x v="8"/>
    <x v="0"/>
  </r>
  <r>
    <n v="2547"/>
    <x v="25"/>
    <s v="N/A"/>
    <d v="2025-09-18T00:00:00"/>
    <s v="2350108BX0038400"/>
    <n v="1"/>
    <s v="HSA-2"/>
    <m/>
    <m/>
    <n v="1900"/>
    <n v="1"/>
    <n v="45918"/>
    <x v="2"/>
    <s v="Tamir"/>
    <s v="Haklı"/>
    <x v="8"/>
    <x v="0"/>
  </r>
  <r>
    <n v="2547"/>
    <x v="25"/>
    <s v="N/A"/>
    <d v="2025-09-18T00:00:00"/>
    <s v="2340108BX0005442"/>
    <n v="1"/>
    <s v="HSA-2"/>
    <m/>
    <m/>
    <n v="1900"/>
    <n v="1"/>
    <n v="45918"/>
    <x v="2"/>
    <s v="Tamir"/>
    <s v="Haklı"/>
    <x v="8"/>
    <x v="0"/>
  </r>
  <r>
    <n v="2547"/>
    <x v="25"/>
    <s v="N/A"/>
    <d v="2025-09-18T00:00:00"/>
    <s v="2340108BX0005580"/>
    <n v="1"/>
    <s v="HSA-2"/>
    <m/>
    <m/>
    <n v="1900"/>
    <n v="1"/>
    <n v="45918"/>
    <x v="2"/>
    <s v="Tamir"/>
    <s v="Haklı"/>
    <x v="8"/>
    <x v="0"/>
  </r>
  <r>
    <n v="2547"/>
    <x v="25"/>
    <s v="N/A"/>
    <d v="2025-09-18T00:00:00"/>
    <s v="2340108BX0024660"/>
    <n v="1"/>
    <s v="HSA-2"/>
    <m/>
    <m/>
    <n v="1900"/>
    <n v="1"/>
    <n v="45918"/>
    <x v="2"/>
    <s v="Tamir"/>
    <s v="Haklı"/>
    <x v="8"/>
    <x v="0"/>
  </r>
  <r>
    <n v="2547"/>
    <x v="25"/>
    <s v="N/A"/>
    <d v="2025-09-18T00:00:00"/>
    <s v="2340108BX0024613"/>
    <n v="1"/>
    <s v="HSA-2"/>
    <m/>
    <m/>
    <n v="1900"/>
    <n v="1"/>
    <n v="45918"/>
    <x v="2"/>
    <s v="Tamir"/>
    <s v="Haklı"/>
    <x v="8"/>
    <x v="0"/>
  </r>
  <r>
    <n v="2547"/>
    <x v="25"/>
    <s v="N/A"/>
    <d v="2025-09-18T00:00:00"/>
    <s v="2340108BX0026855"/>
    <n v="1"/>
    <s v="HSA-2"/>
    <m/>
    <m/>
    <n v="1900"/>
    <n v="1"/>
    <n v="45918"/>
    <x v="2"/>
    <s v="Tamir"/>
    <s v="Haklı"/>
    <x v="8"/>
    <x v="0"/>
  </r>
  <r>
    <n v="2547"/>
    <x v="25"/>
    <s v="N/A"/>
    <d v="2025-09-18T00:00:00"/>
    <s v="2340108BX0020165"/>
    <n v="1"/>
    <s v="HSA-2"/>
    <m/>
    <m/>
    <n v="1900"/>
    <n v="1"/>
    <n v="45918"/>
    <x v="2"/>
    <s v="Tamir"/>
    <s v="Haklı"/>
    <x v="8"/>
    <x v="0"/>
  </r>
  <r>
    <n v="2547"/>
    <x v="25"/>
    <s v="N/A"/>
    <d v="2025-09-18T00:00:00"/>
    <s v="2340108BX0005811"/>
    <n v="1"/>
    <s v="HSA-2"/>
    <m/>
    <m/>
    <n v="1900"/>
    <n v="1"/>
    <n v="45918"/>
    <x v="2"/>
    <s v="Tamir"/>
    <s v="Haklı"/>
    <x v="8"/>
    <x v="0"/>
  </r>
  <r>
    <n v="2547"/>
    <x v="25"/>
    <s v="N/A"/>
    <d v="2025-09-18T00:00:00"/>
    <s v="2340108BX0006013"/>
    <n v="1"/>
    <s v="HSA-2"/>
    <m/>
    <m/>
    <n v="1900"/>
    <n v="1"/>
    <n v="45918"/>
    <x v="2"/>
    <s v="Tamir"/>
    <s v="Haklı"/>
    <x v="8"/>
    <x v="0"/>
  </r>
  <r>
    <n v="2547"/>
    <x v="25"/>
    <s v="N/A"/>
    <d v="2025-09-18T00:00:00"/>
    <s v="2340108BX0006160"/>
    <n v="1"/>
    <s v="HSA-2"/>
    <m/>
    <m/>
    <n v="1900"/>
    <n v="1"/>
    <n v="45918"/>
    <x v="2"/>
    <s v="Tamir"/>
    <s v="Haklı"/>
    <x v="8"/>
    <x v="0"/>
  </r>
  <r>
    <n v="2547"/>
    <x v="25"/>
    <s v="N/A"/>
    <d v="2025-09-18T00:00:00"/>
    <s v="2380108BX0013890"/>
    <n v="1"/>
    <s v="HSA-2"/>
    <m/>
    <m/>
    <n v="1900"/>
    <n v="1"/>
    <n v="45918"/>
    <x v="2"/>
    <s v="Tamir"/>
    <s v="Haklı"/>
    <x v="8"/>
    <x v="0"/>
  </r>
  <r>
    <n v="2547"/>
    <x v="25"/>
    <s v="N/A"/>
    <d v="2025-09-18T00:00:00"/>
    <s v="2380108BX0013902"/>
    <n v="1"/>
    <s v="HSA-2"/>
    <m/>
    <m/>
    <n v="1900"/>
    <n v="1"/>
    <n v="45918"/>
    <x v="2"/>
    <s v="Tamir"/>
    <s v="Haklı"/>
    <x v="8"/>
    <x v="0"/>
  </r>
  <r>
    <n v="2547"/>
    <x v="25"/>
    <s v="N/A"/>
    <d v="2025-09-18T00:00:00"/>
    <s v="2370108BX0050857"/>
    <n v="1"/>
    <s v="HSA-2"/>
    <m/>
    <m/>
    <n v="1900"/>
    <n v="1"/>
    <n v="45918"/>
    <x v="2"/>
    <s v="Tamir"/>
    <s v="Haklı"/>
    <x v="8"/>
    <x v="0"/>
  </r>
  <r>
    <n v="2547"/>
    <x v="25"/>
    <s v="N/A"/>
    <d v="2025-09-18T00:00:00"/>
    <s v="2370108BX0051880"/>
    <n v="1"/>
    <s v="HSA-2"/>
    <m/>
    <m/>
    <n v="1900"/>
    <n v="1"/>
    <n v="45918"/>
    <x v="7"/>
    <s v="Tamir"/>
    <s v="Haksız"/>
    <x v="8"/>
    <x v="0"/>
  </r>
  <r>
    <n v="2547"/>
    <x v="25"/>
    <s v="N/A"/>
    <d v="2025-09-18T00:00:00"/>
    <s v="2380108BX0014259"/>
    <n v="1"/>
    <s v="HSA-2"/>
    <m/>
    <m/>
    <n v="1900"/>
    <n v="1"/>
    <n v="45918"/>
    <x v="2"/>
    <s v="Tamir"/>
    <s v="Haklı"/>
    <x v="8"/>
    <x v="0"/>
  </r>
  <r>
    <n v="2547"/>
    <x v="25"/>
    <s v="N/A"/>
    <d v="2025-09-18T00:00:00"/>
    <s v="2370108BX0014269"/>
    <n v="1"/>
    <s v="HSA-2"/>
    <m/>
    <m/>
    <n v="1900"/>
    <n v="1"/>
    <n v="45918"/>
    <x v="7"/>
    <s v="Tamir"/>
    <s v="Haksız"/>
    <x v="8"/>
    <x v="0"/>
  </r>
  <r>
    <n v="2547"/>
    <x v="25"/>
    <s v="N/A"/>
    <d v="2025-09-18T00:00:00"/>
    <s v="2380108BX0014257"/>
    <n v="1"/>
    <s v="HSA-2"/>
    <m/>
    <m/>
    <n v="1900"/>
    <n v="1"/>
    <n v="45918"/>
    <x v="2"/>
    <s v="Tamir"/>
    <s v="Haklı"/>
    <x v="8"/>
    <x v="0"/>
  </r>
  <r>
    <n v="2547"/>
    <x v="25"/>
    <s v="N/A"/>
    <d v="2025-09-18T00:00:00"/>
    <s v="2360108DX0004064"/>
    <n v="1"/>
    <s v="HSA-2"/>
    <m/>
    <m/>
    <n v="1900"/>
    <n v="1"/>
    <n v="45918"/>
    <x v="2"/>
    <s v="Tamir"/>
    <s v="Haklı"/>
    <x v="8"/>
    <x v="0"/>
  </r>
  <r>
    <n v="2547"/>
    <x v="25"/>
    <s v="N/A"/>
    <d v="2025-09-18T00:00:00"/>
    <s v="2360108BX0003871"/>
    <n v="1"/>
    <s v="HSA-2"/>
    <m/>
    <m/>
    <n v="1900"/>
    <n v="1"/>
    <n v="45918"/>
    <x v="7"/>
    <s v="Tamir"/>
    <s v="Haksız"/>
    <x v="8"/>
    <x v="0"/>
  </r>
  <r>
    <n v="2547"/>
    <x v="25"/>
    <s v="N/A"/>
    <d v="2025-09-18T00:00:00"/>
    <s v="2360108BX0004185"/>
    <n v="1"/>
    <s v="HSA-2"/>
    <m/>
    <m/>
    <n v="1900"/>
    <n v="1"/>
    <n v="45918"/>
    <x v="2"/>
    <s v="Tamir"/>
    <s v="Haklı"/>
    <x v="8"/>
    <x v="0"/>
  </r>
  <r>
    <n v="2547"/>
    <x v="25"/>
    <s v="N/A"/>
    <d v="2025-09-18T00:00:00"/>
    <s v="2340108BX0011875"/>
    <n v="1"/>
    <s v="HSA-2"/>
    <m/>
    <m/>
    <n v="1900"/>
    <n v="1"/>
    <n v="45918"/>
    <x v="7"/>
    <s v="Tamir"/>
    <s v="Haksız"/>
    <x v="8"/>
    <x v="0"/>
  </r>
  <r>
    <n v="2547"/>
    <x v="25"/>
    <s v="N/A"/>
    <d v="2025-09-18T00:00:00"/>
    <s v="2340108BX0012378"/>
    <n v="1"/>
    <s v="HSA-2"/>
    <m/>
    <m/>
    <n v="1900"/>
    <n v="1"/>
    <n v="45918"/>
    <x v="2"/>
    <s v="Tamir"/>
    <s v="Haklı"/>
    <x v="8"/>
    <x v="0"/>
  </r>
  <r>
    <n v="2547"/>
    <x v="25"/>
    <s v="N/A"/>
    <d v="2025-09-18T00:00:00"/>
    <s v="2340108BX0010807"/>
    <n v="1"/>
    <s v="HSA-2"/>
    <m/>
    <m/>
    <n v="1900"/>
    <n v="1"/>
    <n v="45918"/>
    <x v="2"/>
    <s v="Tamir"/>
    <s v="Haklı"/>
    <x v="8"/>
    <x v="0"/>
  </r>
  <r>
    <n v="2547"/>
    <x v="25"/>
    <s v="N/A"/>
    <d v="2025-09-18T00:00:00"/>
    <s v="2340108BX0012389"/>
    <n v="1"/>
    <s v="HSA-2"/>
    <m/>
    <m/>
    <n v="1900"/>
    <n v="1"/>
    <n v="45918"/>
    <x v="7"/>
    <s v="Tamir"/>
    <s v="Haksız"/>
    <x v="8"/>
    <x v="0"/>
  </r>
  <r>
    <n v="2547"/>
    <x v="25"/>
    <s v="N/A"/>
    <d v="2025-09-18T00:00:00"/>
    <s v="2360108BX0020529"/>
    <n v="1"/>
    <s v="HSA-2"/>
    <m/>
    <m/>
    <n v="1900"/>
    <n v="1"/>
    <n v="45918"/>
    <x v="2"/>
    <s v="Tamir"/>
    <s v="Haklı"/>
    <x v="8"/>
    <x v="0"/>
  </r>
  <r>
    <n v="2547"/>
    <x v="25"/>
    <s v="N/A"/>
    <d v="2025-09-18T00:00:00"/>
    <s v="2360108BX0020444"/>
    <n v="1"/>
    <s v="HSA-2"/>
    <m/>
    <m/>
    <n v="1900"/>
    <n v="1"/>
    <n v="45918"/>
    <x v="2"/>
    <s v="Tamir"/>
    <s v="Haklı"/>
    <x v="8"/>
    <x v="0"/>
  </r>
  <r>
    <n v="2547"/>
    <x v="25"/>
    <s v="N/A"/>
    <d v="2025-09-18T00:00:00"/>
    <s v="2360108BX0019330"/>
    <n v="1"/>
    <s v="HSA-2"/>
    <m/>
    <m/>
    <n v="1900"/>
    <n v="1"/>
    <n v="45918"/>
    <x v="7"/>
    <s v="Tamir"/>
    <s v="Haksız"/>
    <x v="8"/>
    <x v="0"/>
  </r>
  <r>
    <n v="2547"/>
    <x v="25"/>
    <s v="N/A"/>
    <d v="2025-09-18T00:00:00"/>
    <s v="2360108BX0019852"/>
    <n v="1"/>
    <s v="HSA-2"/>
    <m/>
    <m/>
    <n v="1900"/>
    <n v="1"/>
    <n v="45918"/>
    <x v="2"/>
    <s v="Tamir"/>
    <s v="Haklı"/>
    <x v="8"/>
    <x v="0"/>
  </r>
  <r>
    <n v="2547"/>
    <x v="25"/>
    <s v="N/A"/>
    <d v="2025-09-18T00:00:00"/>
    <s v="2360108BX0019657"/>
    <n v="1"/>
    <s v="HSA-2"/>
    <m/>
    <m/>
    <n v="1900"/>
    <n v="1"/>
    <n v="45918"/>
    <x v="7"/>
    <s v="Tamir"/>
    <s v="Haksız"/>
    <x v="8"/>
    <x v="0"/>
  </r>
  <r>
    <n v="2547"/>
    <x v="25"/>
    <s v="N/A"/>
    <d v="2025-09-18T00:00:00"/>
    <s v="2340108BX0017040"/>
    <n v="1"/>
    <s v="HSA-2"/>
    <m/>
    <m/>
    <n v="1900"/>
    <n v="1"/>
    <n v="45918"/>
    <x v="7"/>
    <s v="Tamir"/>
    <s v="Haksız"/>
    <x v="8"/>
    <x v="0"/>
  </r>
  <r>
    <n v="2547"/>
    <x v="25"/>
    <s v="N/A"/>
    <d v="2025-09-18T00:00:00"/>
    <s v="2340108BX0016989"/>
    <n v="1"/>
    <s v="HSA-2"/>
    <m/>
    <m/>
    <n v="1900"/>
    <n v="1"/>
    <n v="45918"/>
    <x v="2"/>
    <s v="Tamir"/>
    <s v="Haklı"/>
    <x v="8"/>
    <x v="0"/>
  </r>
  <r>
    <n v="2547"/>
    <x v="25"/>
    <s v="N/A"/>
    <d v="2025-09-18T00:00:00"/>
    <s v="2360108BX0020450"/>
    <n v="1"/>
    <s v="HSA-2"/>
    <m/>
    <m/>
    <n v="1900"/>
    <n v="1"/>
    <n v="45918"/>
    <x v="2"/>
    <s v="Tamir"/>
    <s v="Haklı"/>
    <x v="8"/>
    <x v="0"/>
  </r>
  <r>
    <n v="2547"/>
    <x v="25"/>
    <s v="N/A"/>
    <d v="2025-09-18T00:00:00"/>
    <s v="2340108BX0016298"/>
    <n v="1"/>
    <s v="HSA-2"/>
    <m/>
    <m/>
    <n v="1900"/>
    <n v="1"/>
    <n v="45918"/>
    <x v="2"/>
    <s v="Tamir"/>
    <s v="Haklı"/>
    <x v="8"/>
    <x v="0"/>
  </r>
  <r>
    <n v="2548"/>
    <x v="26"/>
    <s v="N/A"/>
    <d v="2025-09-23T00:00:00"/>
    <s v="2470107BW0023117"/>
    <n v="1"/>
    <s v="HSA-1"/>
    <m/>
    <m/>
    <n v="1900"/>
    <n v="1"/>
    <n v="45923"/>
    <x v="2"/>
    <s v="Tamir"/>
    <s v="Haklı"/>
    <x v="8"/>
    <x v="0"/>
  </r>
  <r>
    <n v="2548"/>
    <x v="26"/>
    <s v="N/A"/>
    <d v="2025-09-23T00:00:00"/>
    <s v="2470107BW0016453"/>
    <n v="1"/>
    <s v="HSA-1"/>
    <m/>
    <m/>
    <n v="1900"/>
    <n v="1"/>
    <n v="45923"/>
    <x v="2"/>
    <s v="Tamir"/>
    <s v="Haklı"/>
    <x v="8"/>
    <x v="0"/>
  </r>
  <r>
    <n v="2548"/>
    <x v="26"/>
    <s v="N/A"/>
    <d v="2025-09-23T00:00:00"/>
    <s v="2480107BW0011066"/>
    <n v="1"/>
    <s v="HSA-1"/>
    <m/>
    <m/>
    <n v="1900"/>
    <n v="1"/>
    <n v="45923"/>
    <x v="2"/>
    <s v="Tamir"/>
    <s v="Haklı"/>
    <x v="8"/>
    <x v="0"/>
  </r>
  <r>
    <n v="2548"/>
    <x v="26"/>
    <s v="N/A"/>
    <d v="2025-09-23T00:00:00"/>
    <s v="2470107BW0002787"/>
    <n v="1"/>
    <s v="HSA-1"/>
    <m/>
    <m/>
    <n v="1900"/>
    <n v="1"/>
    <n v="45923"/>
    <x v="2"/>
    <s v="Tamir"/>
    <s v="Haklı"/>
    <x v="8"/>
    <x v="0"/>
  </r>
  <r>
    <n v="2548"/>
    <x v="26"/>
    <s v="N/A"/>
    <d v="2025-09-23T00:00:00"/>
    <s v="2470107BW0011932"/>
    <n v="1"/>
    <s v="HSA-1"/>
    <m/>
    <m/>
    <n v="1900"/>
    <n v="1"/>
    <n v="45923"/>
    <x v="2"/>
    <s v="Tamir"/>
    <s v="Haklı"/>
    <x v="8"/>
    <x v="0"/>
  </r>
  <r>
    <n v="2548"/>
    <x v="26"/>
    <s v="N/A"/>
    <d v="2025-09-23T00:00:00"/>
    <s v="2470107BW0006567"/>
    <n v="1"/>
    <s v="HSA-1"/>
    <m/>
    <m/>
    <n v="1900"/>
    <n v="1"/>
    <n v="45923"/>
    <x v="2"/>
    <s v="Tamir"/>
    <s v="Haklı"/>
    <x v="8"/>
    <x v="0"/>
  </r>
  <r>
    <n v="2548"/>
    <x v="26"/>
    <s v="N/A"/>
    <d v="2025-09-23T00:00:00"/>
    <s v="2470107BW0003136"/>
    <n v="1"/>
    <s v="HSA-1"/>
    <m/>
    <m/>
    <n v="1900"/>
    <n v="1"/>
    <n v="45923"/>
    <x v="2"/>
    <s v="Tamir"/>
    <s v="Haklı"/>
    <x v="8"/>
    <x v="0"/>
  </r>
  <r>
    <n v="2548"/>
    <x v="26"/>
    <s v="N/A"/>
    <d v="2025-09-23T00:00:00"/>
    <s v="2470107BW0003090"/>
    <n v="1"/>
    <s v="HSA-1"/>
    <m/>
    <m/>
    <n v="1900"/>
    <n v="1"/>
    <n v="45923"/>
    <x v="2"/>
    <s v="Tamir"/>
    <s v="Haklı"/>
    <x v="8"/>
    <x v="0"/>
  </r>
  <r>
    <n v="2548"/>
    <x v="26"/>
    <s v="N/A"/>
    <d v="2025-09-23T00:00:00"/>
    <s v="2470107BW0006532"/>
    <n v="1"/>
    <s v="HSA-1"/>
    <m/>
    <m/>
    <n v="1900"/>
    <n v="1"/>
    <n v="45923"/>
    <x v="2"/>
    <s v="Tamir"/>
    <s v="Haklı"/>
    <x v="8"/>
    <x v="0"/>
  </r>
  <r>
    <n v="2548"/>
    <x v="26"/>
    <s v="N/A"/>
    <d v="2025-09-23T00:00:00"/>
    <s v="2470107BW0002392"/>
    <n v="1"/>
    <s v="HSA-1"/>
    <m/>
    <m/>
    <n v="1900"/>
    <n v="1"/>
    <n v="45923"/>
    <x v="2"/>
    <s v="Tamir"/>
    <s v="Haklı"/>
    <x v="8"/>
    <x v="0"/>
  </r>
  <r>
    <n v="2548"/>
    <x v="26"/>
    <s v="N/A"/>
    <d v="2025-09-23T00:00:00"/>
    <s v="2470107BW0003194"/>
    <n v="1"/>
    <s v="HSA-1"/>
    <m/>
    <m/>
    <n v="1900"/>
    <n v="1"/>
    <n v="45923"/>
    <x v="2"/>
    <s v="Tamir"/>
    <s v="Haklı"/>
    <x v="8"/>
    <x v="0"/>
  </r>
  <r>
    <n v="2548"/>
    <x v="26"/>
    <s v="N/A"/>
    <d v="2025-09-23T00:00:00"/>
    <s v="2470107BW0003361"/>
    <n v="1"/>
    <s v="HSA-1"/>
    <m/>
    <m/>
    <n v="1900"/>
    <n v="1"/>
    <n v="45923"/>
    <x v="2"/>
    <s v="Tamir"/>
    <s v="Haklı"/>
    <x v="8"/>
    <x v="0"/>
  </r>
  <r>
    <n v="2548"/>
    <x v="26"/>
    <s v="N/A"/>
    <d v="2025-09-23T00:00:00"/>
    <s v="2470107BW0007639"/>
    <n v="1"/>
    <s v="HSA-1"/>
    <m/>
    <m/>
    <n v="1900"/>
    <n v="1"/>
    <n v="45923"/>
    <x v="2"/>
    <s v="Tamir"/>
    <s v="Haklı"/>
    <x v="8"/>
    <x v="0"/>
  </r>
  <r>
    <n v="2548"/>
    <x v="26"/>
    <s v="N/A"/>
    <d v="2025-09-23T00:00:00"/>
    <s v="2470107BW0003513"/>
    <n v="1"/>
    <s v="HSA-1"/>
    <m/>
    <m/>
    <n v="1900"/>
    <n v="1"/>
    <n v="45923"/>
    <x v="2"/>
    <s v="Tamir"/>
    <s v="Haklı"/>
    <x v="8"/>
    <x v="0"/>
  </r>
  <r>
    <n v="2548"/>
    <x v="26"/>
    <s v="N/A"/>
    <d v="2025-09-23T00:00:00"/>
    <s v="2470107BW0001996"/>
    <n v="1"/>
    <s v="HSA-1"/>
    <m/>
    <m/>
    <n v="1900"/>
    <n v="1"/>
    <n v="45923"/>
    <x v="2"/>
    <s v="Tamir"/>
    <s v="Haklı"/>
    <x v="8"/>
    <x v="0"/>
  </r>
  <r>
    <n v="2548"/>
    <x v="26"/>
    <s v="N/A"/>
    <d v="2025-09-23T00:00:00"/>
    <s v="2470107BW0002380"/>
    <n v="1"/>
    <s v="HSA-1"/>
    <m/>
    <m/>
    <n v="1900"/>
    <n v="1"/>
    <n v="45923"/>
    <x v="2"/>
    <s v="Tamir"/>
    <s v="Haklı"/>
    <x v="8"/>
    <x v="0"/>
  </r>
  <r>
    <n v="2548"/>
    <x v="26"/>
    <s v="N/A"/>
    <d v="2025-09-23T00:00:00"/>
    <s v="2470107BW0004897"/>
    <n v="1"/>
    <s v="HSA-1"/>
    <m/>
    <m/>
    <n v="1900"/>
    <n v="1"/>
    <n v="45923"/>
    <x v="2"/>
    <s v="Tamir"/>
    <s v="Haklı"/>
    <x v="8"/>
    <x v="0"/>
  </r>
  <r>
    <n v="2548"/>
    <x v="26"/>
    <s v="N/A"/>
    <d v="2025-09-23T00:00:00"/>
    <s v="2480107BW0007056"/>
    <n v="1"/>
    <s v="HSA-1"/>
    <m/>
    <m/>
    <n v="1900"/>
    <n v="1"/>
    <n v="45923"/>
    <x v="2"/>
    <s v="Tamir"/>
    <s v="Haklı"/>
    <x v="8"/>
    <x v="0"/>
  </r>
  <r>
    <n v="2548"/>
    <x v="26"/>
    <s v="N/A"/>
    <d v="2025-09-23T00:00:00"/>
    <s v="2480107BW0025975"/>
    <n v="1"/>
    <s v="HSA-1"/>
    <m/>
    <m/>
    <n v="1900"/>
    <n v="1"/>
    <n v="45923"/>
    <x v="2"/>
    <s v="Tamir"/>
    <s v="Haklı"/>
    <x v="8"/>
    <x v="0"/>
  </r>
  <r>
    <n v="2548"/>
    <x v="26"/>
    <s v="N/A"/>
    <d v="2025-09-23T00:00:00"/>
    <s v="2470107BW0003349"/>
    <n v="1"/>
    <s v="HSA-1"/>
    <m/>
    <m/>
    <n v="1900"/>
    <n v="1"/>
    <n v="45923"/>
    <x v="2"/>
    <s v="Tamir"/>
    <s v="Haklı"/>
    <x v="8"/>
    <x v="0"/>
  </r>
  <r>
    <n v="2548"/>
    <x v="26"/>
    <s v="N/A"/>
    <d v="2025-09-23T00:00:00"/>
    <s v="2470107BW0002917"/>
    <n v="1"/>
    <s v="HSA-1"/>
    <m/>
    <m/>
    <n v="1900"/>
    <n v="1"/>
    <n v="45923"/>
    <x v="2"/>
    <s v="Tamir"/>
    <s v="Haklı"/>
    <x v="8"/>
    <x v="0"/>
  </r>
  <r>
    <n v="2548"/>
    <x v="26"/>
    <s v="N/A"/>
    <d v="2025-09-23T00:00:00"/>
    <s v="2470107BW0003578"/>
    <n v="1"/>
    <s v="HSA-1"/>
    <m/>
    <m/>
    <n v="1900"/>
    <n v="1"/>
    <n v="45923"/>
    <x v="2"/>
    <s v="Tamir"/>
    <s v="Haklı"/>
    <x v="8"/>
    <x v="0"/>
  </r>
  <r>
    <n v="2548"/>
    <x v="26"/>
    <s v="N/A"/>
    <d v="2025-09-23T00:00:00"/>
    <s v="2470107BW0003573"/>
    <n v="1"/>
    <s v="HSA-1"/>
    <m/>
    <m/>
    <n v="1900"/>
    <n v="1"/>
    <n v="45923"/>
    <x v="2"/>
    <s v="Tamir"/>
    <s v="Haklı"/>
    <x v="8"/>
    <x v="0"/>
  </r>
  <r>
    <n v="2548"/>
    <x v="26"/>
    <s v="N/A"/>
    <d v="2025-09-23T00:00:00"/>
    <s v="2470107BW0003576"/>
    <n v="1"/>
    <s v="HSA-1"/>
    <m/>
    <m/>
    <n v="1900"/>
    <n v="1"/>
    <n v="45923"/>
    <x v="2"/>
    <s v="Tamir"/>
    <s v="Haklı"/>
    <x v="8"/>
    <x v="0"/>
  </r>
  <r>
    <n v="2548"/>
    <x v="26"/>
    <s v="N/A"/>
    <d v="2025-09-23T00:00:00"/>
    <s v="2470107BW0002780"/>
    <n v="1"/>
    <s v="HSA-1"/>
    <m/>
    <m/>
    <n v="1900"/>
    <n v="1"/>
    <n v="45923"/>
    <x v="2"/>
    <s v="Tamir"/>
    <s v="Haklı"/>
    <x v="8"/>
    <x v="0"/>
  </r>
  <r>
    <n v="2548"/>
    <x v="26"/>
    <s v="N/A"/>
    <d v="2025-09-23T00:00:00"/>
    <s v="2470107BW0003120"/>
    <n v="1"/>
    <s v="HSA-1"/>
    <m/>
    <m/>
    <n v="1900"/>
    <n v="1"/>
    <n v="45923"/>
    <x v="2"/>
    <s v="Tamir"/>
    <s v="Haklı"/>
    <x v="8"/>
    <x v="0"/>
  </r>
  <r>
    <n v="2548"/>
    <x v="26"/>
    <s v="N/A"/>
    <d v="2025-09-23T00:00:00"/>
    <s v="2470107BW0005144"/>
    <n v="1"/>
    <s v="HSA-1"/>
    <m/>
    <m/>
    <n v="1900"/>
    <n v="1"/>
    <n v="45923"/>
    <x v="2"/>
    <s v="Tamir"/>
    <s v="Haklı"/>
    <x v="8"/>
    <x v="0"/>
  </r>
  <r>
    <n v="2548"/>
    <x v="26"/>
    <s v="N/A"/>
    <d v="2025-09-23T00:00:00"/>
    <s v="2460107BW0010271"/>
    <n v="1"/>
    <s v="HSA-1"/>
    <m/>
    <m/>
    <n v="1900"/>
    <n v="1"/>
    <n v="45923"/>
    <x v="2"/>
    <s v="Tamir"/>
    <s v="Haklı"/>
    <x v="8"/>
    <x v="0"/>
  </r>
  <r>
    <n v="2548"/>
    <x v="26"/>
    <s v="N/A"/>
    <d v="2025-09-23T00:00:00"/>
    <s v="2470107BW0003150"/>
    <n v="1"/>
    <s v="HSA-1"/>
    <m/>
    <m/>
    <n v="1900"/>
    <n v="1"/>
    <n v="45923"/>
    <x v="2"/>
    <s v="Tamir"/>
    <s v="Haklı"/>
    <x v="8"/>
    <x v="0"/>
  </r>
  <r>
    <n v="2548"/>
    <x v="26"/>
    <s v="N/A"/>
    <d v="2025-09-23T00:00:00"/>
    <s v="2470107BW0003315"/>
    <n v="1"/>
    <s v="HSA-1"/>
    <m/>
    <m/>
    <n v="1900"/>
    <n v="1"/>
    <n v="45923"/>
    <x v="2"/>
    <s v="Tamir"/>
    <s v="Haklı"/>
    <x v="8"/>
    <x v="0"/>
  </r>
  <r>
    <n v="2548"/>
    <x v="26"/>
    <s v="N/A"/>
    <d v="2025-09-23T00:00:00"/>
    <s v="2470107BW0003299"/>
    <n v="1"/>
    <s v="HSA-1"/>
    <m/>
    <m/>
    <n v="1900"/>
    <n v="1"/>
    <n v="45923"/>
    <x v="2"/>
    <s v="Tamir"/>
    <s v="Haklı"/>
    <x v="8"/>
    <x v="0"/>
  </r>
  <r>
    <n v="2548"/>
    <x v="26"/>
    <s v="N/A"/>
    <d v="2025-09-23T00:00:00"/>
    <s v="2470107BW0003309"/>
    <n v="1"/>
    <s v="HSA-1"/>
    <m/>
    <m/>
    <n v="1900"/>
    <n v="1"/>
    <n v="45923"/>
    <x v="2"/>
    <s v="Tamir"/>
    <s v="Haklı"/>
    <x v="8"/>
    <x v="0"/>
  </r>
  <r>
    <n v="2548"/>
    <x v="26"/>
    <s v="N/A"/>
    <d v="2025-09-23T00:00:00"/>
    <s v="2470107BW0003260"/>
    <n v="1"/>
    <s v="HSA-1"/>
    <m/>
    <m/>
    <n v="1900"/>
    <n v="1"/>
    <n v="45923"/>
    <x v="2"/>
    <s v="Tamir"/>
    <s v="Haklı"/>
    <x v="8"/>
    <x v="0"/>
  </r>
  <r>
    <n v="2548"/>
    <x v="26"/>
    <s v="N/A"/>
    <d v="2025-09-23T00:00:00"/>
    <s v="2470107BW0003249"/>
    <n v="1"/>
    <s v="HSA-1"/>
    <m/>
    <m/>
    <n v="1900"/>
    <n v="1"/>
    <n v="45923"/>
    <x v="2"/>
    <s v="Tamir"/>
    <s v="Haklı"/>
    <x v="8"/>
    <x v="0"/>
  </r>
  <r>
    <n v="2548"/>
    <x v="26"/>
    <s v="N/A"/>
    <d v="2025-09-23T00:00:00"/>
    <s v="2470107BW0003320"/>
    <n v="1"/>
    <s v="HSA-1"/>
    <m/>
    <m/>
    <n v="1900"/>
    <n v="1"/>
    <n v="45923"/>
    <x v="2"/>
    <s v="Tamir"/>
    <s v="Haklı"/>
    <x v="8"/>
    <x v="0"/>
  </r>
  <r>
    <n v="2548"/>
    <x v="26"/>
    <s v="N/A"/>
    <d v="2025-09-23T00:00:00"/>
    <s v="2470107BW0003172"/>
    <n v="1"/>
    <s v="HSA-1"/>
    <m/>
    <m/>
    <n v="1900"/>
    <n v="1"/>
    <n v="45923"/>
    <x v="2"/>
    <s v="Tamir"/>
    <s v="Haklı"/>
    <x v="8"/>
    <x v="0"/>
  </r>
  <r>
    <n v="2548"/>
    <x v="26"/>
    <s v="N/A"/>
    <d v="2025-09-23T00:00:00"/>
    <s v="2470107BW0003334"/>
    <n v="1"/>
    <s v="HSA-1"/>
    <m/>
    <m/>
    <n v="1900"/>
    <n v="1"/>
    <n v="45923"/>
    <x v="2"/>
    <s v="Tamir"/>
    <s v="Haklı"/>
    <x v="8"/>
    <x v="0"/>
  </r>
  <r>
    <n v="2548"/>
    <x v="26"/>
    <s v="N/A"/>
    <d v="2025-09-23T00:00:00"/>
    <s v="2470107BW0003269"/>
    <n v="1"/>
    <s v="HSA-1"/>
    <m/>
    <m/>
    <n v="1900"/>
    <n v="1"/>
    <n v="45923"/>
    <x v="2"/>
    <s v="Tamir"/>
    <s v="Haklı"/>
    <x v="8"/>
    <x v="0"/>
  </r>
  <r>
    <n v="2548"/>
    <x v="26"/>
    <s v="N/A"/>
    <d v="2025-09-23T00:00:00"/>
    <s v="2470107BW0003333"/>
    <n v="1"/>
    <s v="HSA-1"/>
    <m/>
    <m/>
    <n v="1900"/>
    <n v="1"/>
    <n v="45923"/>
    <x v="2"/>
    <s v="Tamir"/>
    <s v="Haklı"/>
    <x v="8"/>
    <x v="0"/>
  </r>
  <r>
    <n v="2548"/>
    <x v="26"/>
    <s v="N/A"/>
    <d v="2025-09-23T00:00:00"/>
    <s v="2470107BW0003395"/>
    <n v="1"/>
    <s v="HSA-1"/>
    <m/>
    <m/>
    <n v="1900"/>
    <n v="1"/>
    <n v="45923"/>
    <x v="2"/>
    <s v="Tamir"/>
    <s v="Haklı"/>
    <x v="8"/>
    <x v="0"/>
  </r>
  <r>
    <n v="2548"/>
    <x v="26"/>
    <s v="N/A"/>
    <d v="2025-09-23T00:00:00"/>
    <s v="2470107BW0008720"/>
    <n v="1"/>
    <s v="HSA-1"/>
    <m/>
    <m/>
    <n v="1900"/>
    <n v="1"/>
    <n v="45923"/>
    <x v="2"/>
    <s v="Tamir"/>
    <s v="Haklı"/>
    <x v="8"/>
    <x v="0"/>
  </r>
  <r>
    <n v="2548"/>
    <x v="26"/>
    <s v="N/A"/>
    <d v="2025-09-23T00:00:00"/>
    <s v="2470107BW0003276"/>
    <n v="1"/>
    <s v="HSA-1"/>
    <m/>
    <m/>
    <n v="1900"/>
    <n v="1"/>
    <n v="45923"/>
    <x v="2"/>
    <s v="Tamir"/>
    <s v="Haklı"/>
    <x v="8"/>
    <x v="0"/>
  </r>
  <r>
    <n v="2548"/>
    <x v="26"/>
    <s v="N/A"/>
    <d v="2025-09-23T00:00:00"/>
    <s v="2470107BW0003295"/>
    <n v="1"/>
    <s v="HSA-1"/>
    <m/>
    <m/>
    <n v="1900"/>
    <n v="1"/>
    <n v="45923"/>
    <x v="2"/>
    <s v="Tamir"/>
    <s v="Haklı"/>
    <x v="8"/>
    <x v="0"/>
  </r>
  <r>
    <n v="2548"/>
    <x v="26"/>
    <s v="N/A"/>
    <d v="2025-09-23T00:00:00"/>
    <s v="2470107BW0003297"/>
    <n v="1"/>
    <s v="HSA-1"/>
    <m/>
    <m/>
    <n v="1900"/>
    <n v="1"/>
    <n v="45923"/>
    <x v="2"/>
    <s v="Tamir"/>
    <s v="Haklı"/>
    <x v="8"/>
    <x v="0"/>
  </r>
  <r>
    <n v="2548"/>
    <x v="26"/>
    <s v="N/A"/>
    <d v="2025-09-23T00:00:00"/>
    <s v="2470107BW0002599"/>
    <n v="1"/>
    <s v="HSA-1"/>
    <m/>
    <m/>
    <n v="1900"/>
    <n v="1"/>
    <n v="45923"/>
    <x v="2"/>
    <s v="Tamir"/>
    <s v="Haklı"/>
    <x v="8"/>
    <x v="0"/>
  </r>
  <r>
    <n v="2548"/>
    <x v="26"/>
    <s v="N/A"/>
    <d v="2025-09-23T00:00:00"/>
    <s v="2470107BW0003693"/>
    <n v="1"/>
    <s v="HSA-1"/>
    <m/>
    <m/>
    <n v="1900"/>
    <n v="1"/>
    <n v="45923"/>
    <x v="2"/>
    <s v="Tamir"/>
    <s v="Haklı"/>
    <x v="8"/>
    <x v="0"/>
  </r>
  <r>
    <n v="2548"/>
    <x v="26"/>
    <s v="N/A"/>
    <d v="2025-09-23T00:00:00"/>
    <s v="2470107BW0003359"/>
    <n v="1"/>
    <s v="HSA-1"/>
    <m/>
    <m/>
    <n v="1900"/>
    <n v="1"/>
    <n v="45923"/>
    <x v="2"/>
    <s v="Tamir"/>
    <s v="Haklı"/>
    <x v="8"/>
    <x v="0"/>
  </r>
  <r>
    <n v="2548"/>
    <x v="26"/>
    <s v="N/A"/>
    <d v="2025-09-23T00:00:00"/>
    <s v="2470107BW0003387"/>
    <n v="1"/>
    <s v="HSA-1"/>
    <m/>
    <m/>
    <n v="1900"/>
    <n v="1"/>
    <n v="45923"/>
    <x v="2"/>
    <s v="Tamir"/>
    <s v="Haklı"/>
    <x v="8"/>
    <x v="0"/>
  </r>
  <r>
    <n v="2548"/>
    <x v="26"/>
    <s v="N/A"/>
    <d v="2025-09-23T00:00:00"/>
    <s v="2470107BW0003400"/>
    <n v="1"/>
    <s v="HSA-1"/>
    <m/>
    <m/>
    <n v="1900"/>
    <n v="1"/>
    <n v="45923"/>
    <x v="2"/>
    <s v="Tamir"/>
    <s v="Haklı"/>
    <x v="8"/>
    <x v="0"/>
  </r>
  <r>
    <n v="2548"/>
    <x v="26"/>
    <s v="N/A"/>
    <d v="2025-09-23T00:00:00"/>
    <s v="2470107BW0002538"/>
    <n v="1"/>
    <s v="HSA-1"/>
    <m/>
    <m/>
    <n v="1900"/>
    <n v="1"/>
    <n v="45923"/>
    <x v="2"/>
    <s v="Tamir"/>
    <s v="Haklı"/>
    <x v="8"/>
    <x v="0"/>
  </r>
  <r>
    <n v="2548"/>
    <x v="26"/>
    <s v="N/A"/>
    <d v="2025-09-23T00:00:00"/>
    <s v="2470107BW0001994"/>
    <n v="1"/>
    <s v="HSA-1"/>
    <m/>
    <m/>
    <n v="1900"/>
    <n v="1"/>
    <n v="45923"/>
    <x v="2"/>
    <s v="Tamir"/>
    <s v="Haklı"/>
    <x v="8"/>
    <x v="0"/>
  </r>
  <r>
    <n v="2548"/>
    <x v="26"/>
    <s v="N/A"/>
    <d v="2025-09-23T00:00:00"/>
    <s v="2460107BW0015356"/>
    <n v="1"/>
    <s v="HSA-1"/>
    <m/>
    <m/>
    <n v="1900"/>
    <n v="1"/>
    <n v="45923"/>
    <x v="2"/>
    <s v="Tamir"/>
    <s v="Haklı"/>
    <x v="8"/>
    <x v="0"/>
  </r>
  <r>
    <n v="2548"/>
    <x v="26"/>
    <s v="N/A"/>
    <d v="2025-09-23T00:00:00"/>
    <s v="2470107BW0003033"/>
    <n v="1"/>
    <s v="HSA-1"/>
    <m/>
    <m/>
    <n v="1900"/>
    <n v="1"/>
    <n v="45923"/>
    <x v="2"/>
    <s v="Tamir"/>
    <s v="Haklı"/>
    <x v="8"/>
    <x v="0"/>
  </r>
  <r>
    <n v="2548"/>
    <x v="26"/>
    <s v="N/A"/>
    <d v="2025-09-23T00:00:00"/>
    <s v="2470107BW0003494"/>
    <n v="1"/>
    <s v="HSA-1"/>
    <m/>
    <m/>
    <n v="1900"/>
    <n v="1"/>
    <n v="45923"/>
    <x v="2"/>
    <s v="Tamir"/>
    <s v="Haklı"/>
    <x v="8"/>
    <x v="0"/>
  </r>
  <r>
    <n v="2548"/>
    <x v="26"/>
    <s v="N/A"/>
    <d v="2025-09-23T00:00:00"/>
    <s v="2470107BW0003406"/>
    <n v="1"/>
    <s v="HSA-1"/>
    <m/>
    <m/>
    <n v="1900"/>
    <n v="1"/>
    <n v="45923"/>
    <x v="2"/>
    <s v="Tamir"/>
    <s v="Haklı"/>
    <x v="8"/>
    <x v="0"/>
  </r>
  <r>
    <n v="2548"/>
    <x v="26"/>
    <s v="N/A"/>
    <d v="2025-09-23T00:00:00"/>
    <s v="2470107BW0002564"/>
    <n v="1"/>
    <s v="HSA-1"/>
    <m/>
    <m/>
    <n v="1900"/>
    <n v="1"/>
    <n v="45923"/>
    <x v="2"/>
    <s v="Tamir"/>
    <s v="Haklı"/>
    <x v="8"/>
    <x v="0"/>
  </r>
  <r>
    <n v="2548"/>
    <x v="26"/>
    <s v="N/A"/>
    <d v="2025-09-23T00:00:00"/>
    <s v="2470107BW0003318"/>
    <n v="1"/>
    <s v="HSA-1"/>
    <m/>
    <m/>
    <n v="1900"/>
    <n v="1"/>
    <n v="45923"/>
    <x v="2"/>
    <s v="Tamir"/>
    <s v="Haklı"/>
    <x v="8"/>
    <x v="0"/>
  </r>
  <r>
    <n v="2548"/>
    <x v="26"/>
    <s v="N/A"/>
    <d v="2025-09-23T00:00:00"/>
    <s v="2470107BW0003365"/>
    <n v="1"/>
    <s v="HSA-1"/>
    <m/>
    <m/>
    <n v="1900"/>
    <n v="1"/>
    <n v="45923"/>
    <x v="2"/>
    <s v="Tamir"/>
    <s v="Haklı"/>
    <x v="8"/>
    <x v="0"/>
  </r>
  <r>
    <n v="2548"/>
    <x v="26"/>
    <s v="N/A"/>
    <d v="2025-09-23T00:00:00"/>
    <s v="2470107BW0003248"/>
    <n v="1"/>
    <s v="HSA-1"/>
    <m/>
    <m/>
    <n v="1900"/>
    <n v="1"/>
    <n v="45923"/>
    <x v="2"/>
    <s v="Tamir"/>
    <s v="Haklı"/>
    <x v="8"/>
    <x v="0"/>
  </r>
  <r>
    <n v="2548"/>
    <x v="26"/>
    <s v="N/A"/>
    <d v="2025-09-23T00:00:00"/>
    <s v="2470107BW0003348"/>
    <n v="1"/>
    <s v="HSA-1"/>
    <m/>
    <m/>
    <n v="1900"/>
    <n v="1"/>
    <n v="45923"/>
    <x v="2"/>
    <s v="Tamir"/>
    <s v="Haklı"/>
    <x v="8"/>
    <x v="0"/>
  </r>
  <r>
    <n v="2549"/>
    <x v="27"/>
    <s v="N/A"/>
    <d v="2025-09-24T00:00:00"/>
    <s v="AAAA"/>
    <n v="1"/>
    <s v="HSA-1"/>
    <s v="MAVİÇAM"/>
    <m/>
    <m/>
    <m/>
    <m/>
    <x v="19"/>
    <s v="Değişim"/>
    <s v="Haklı"/>
    <x v="8"/>
    <x v="0"/>
  </r>
  <r>
    <n v="2549"/>
    <x v="27"/>
    <s v="N/A"/>
    <d v="2025-09-24T00:00:00"/>
    <s v="AAAA"/>
    <n v="1"/>
    <s v="HSA-1"/>
    <s v="MAVİÇAM"/>
    <m/>
    <m/>
    <m/>
    <m/>
    <x v="19"/>
    <s v="Değişim"/>
    <s v="Haklı"/>
    <x v="8"/>
    <x v="0"/>
  </r>
  <r>
    <n v="2549"/>
    <x v="27"/>
    <s v="N/A"/>
    <d v="2025-09-24T00:00:00"/>
    <s v="AAAA"/>
    <n v="1"/>
    <s v="HSA-1"/>
    <s v="MAVİÇAM"/>
    <m/>
    <m/>
    <m/>
    <m/>
    <x v="19"/>
    <s v="Değişim"/>
    <s v="Haklı"/>
    <x v="8"/>
    <x v="0"/>
  </r>
  <r>
    <n v="2549"/>
    <x v="27"/>
    <s v="N/A"/>
    <d v="2025-09-24T00:00:00"/>
    <s v="AAAA"/>
    <n v="1"/>
    <s v="HSA-1"/>
    <s v="MAVİÇAM"/>
    <m/>
    <m/>
    <m/>
    <m/>
    <x v="19"/>
    <s v="Değişim"/>
    <s v="Haklı"/>
    <x v="8"/>
    <x v="0"/>
  </r>
  <r>
    <n v="2549"/>
    <x v="27"/>
    <s v="N/A"/>
    <d v="2025-09-24T00:00:00"/>
    <s v="AAAA"/>
    <n v="1"/>
    <s v="HSA-1"/>
    <s v="MAVİÇAM"/>
    <m/>
    <m/>
    <m/>
    <m/>
    <x v="19"/>
    <s v="Değişim"/>
    <s v="Haklı"/>
    <x v="8"/>
    <x v="0"/>
  </r>
  <r>
    <n v="2549"/>
    <x v="27"/>
    <s v="N/A"/>
    <d v="2025-09-24T00:00:00"/>
    <s v="AAAA"/>
    <n v="1"/>
    <s v="HSA-1"/>
    <s v="MAVİÇAM"/>
    <m/>
    <m/>
    <m/>
    <m/>
    <x v="19"/>
    <s v="Değişim"/>
    <s v="Haklı"/>
    <x v="8"/>
    <x v="0"/>
  </r>
  <r>
    <n v="2549"/>
    <x v="27"/>
    <s v="N/A"/>
    <d v="2025-09-24T00:00:00"/>
    <s v="AAAA"/>
    <n v="1"/>
    <s v="HSA-1"/>
    <s v="MAVİÇAM"/>
    <m/>
    <m/>
    <m/>
    <m/>
    <x v="19"/>
    <s v="Değişim"/>
    <s v="Haklı"/>
    <x v="8"/>
    <x v="0"/>
  </r>
  <r>
    <n v="2549"/>
    <x v="27"/>
    <s v="N/A"/>
    <d v="2025-09-24T00:00:00"/>
    <s v="AAAA"/>
    <n v="1"/>
    <s v="HSA-1"/>
    <s v="MAVİÇAM"/>
    <m/>
    <m/>
    <m/>
    <m/>
    <x v="19"/>
    <s v="Değişim"/>
    <s v="Haklı"/>
    <x v="8"/>
    <x v="0"/>
  </r>
  <r>
    <n v="2549"/>
    <x v="27"/>
    <s v="N/A"/>
    <d v="2025-09-24T00:00:00"/>
    <s v="AAAA"/>
    <n v="1"/>
    <s v="HSA-1"/>
    <s v="MAVİÇAM"/>
    <m/>
    <m/>
    <m/>
    <m/>
    <x v="19"/>
    <s v="Değişim"/>
    <s v="Haklı"/>
    <x v="8"/>
    <x v="0"/>
  </r>
  <r>
    <n v="2549"/>
    <x v="27"/>
    <s v="N/A"/>
    <d v="2025-09-24T00:00:00"/>
    <s v="AAAA"/>
    <n v="1"/>
    <s v="HSA-1"/>
    <s v="MAVİÇAM"/>
    <m/>
    <m/>
    <m/>
    <m/>
    <x v="19"/>
    <s v="Değişim"/>
    <s v="Haklı"/>
    <x v="8"/>
    <x v="0"/>
  </r>
  <r>
    <n v="2549"/>
    <x v="27"/>
    <s v="N/A"/>
    <d v="2025-09-24T00:00:00"/>
    <s v="AAAA"/>
    <n v="1"/>
    <s v="HSA-1"/>
    <s v="MAVİÇAM"/>
    <m/>
    <m/>
    <m/>
    <m/>
    <x v="19"/>
    <s v="Değişim"/>
    <s v="Haklı"/>
    <x v="8"/>
    <x v="0"/>
  </r>
  <r>
    <n v="2549"/>
    <x v="27"/>
    <s v="N/A"/>
    <d v="2025-09-24T00:00:00"/>
    <s v="AAAA"/>
    <n v="1"/>
    <s v="HSA-1"/>
    <s v="MAVİÇAM"/>
    <m/>
    <m/>
    <m/>
    <m/>
    <x v="19"/>
    <s v="Değişim"/>
    <s v="Haklı"/>
    <x v="8"/>
    <x v="0"/>
  </r>
  <r>
    <n v="2549"/>
    <x v="27"/>
    <s v="N/A"/>
    <d v="2025-09-24T00:00:00"/>
    <s v="AAAA"/>
    <n v="1"/>
    <s v="HSA-1"/>
    <s v="MAVİÇAM"/>
    <m/>
    <m/>
    <m/>
    <m/>
    <x v="19"/>
    <s v="Değişim"/>
    <s v="Haklı"/>
    <x v="8"/>
    <x v="0"/>
  </r>
  <r>
    <n v="2549"/>
    <x v="27"/>
    <s v="N/A"/>
    <d v="2025-09-24T00:00:00"/>
    <s v="AAAA"/>
    <n v="1"/>
    <s v="HSA-1"/>
    <s v="MAVİÇAM"/>
    <m/>
    <m/>
    <m/>
    <m/>
    <x v="19"/>
    <s v="Değişim"/>
    <s v="Haklı"/>
    <x v="8"/>
    <x v="0"/>
  </r>
  <r>
    <n v="2549"/>
    <x v="27"/>
    <s v="N/A"/>
    <d v="2025-09-24T00:00:00"/>
    <s v="AAAA"/>
    <n v="1"/>
    <s v="HSA-1"/>
    <s v="MAVİÇAM"/>
    <m/>
    <m/>
    <m/>
    <m/>
    <x v="19"/>
    <s v="Değişim"/>
    <s v="Haklı"/>
    <x v="8"/>
    <x v="0"/>
  </r>
  <r>
    <n v="2549"/>
    <x v="27"/>
    <s v="N/A"/>
    <d v="2025-09-24T00:00:00"/>
    <s v="AAAA"/>
    <n v="1"/>
    <s v="HSA-1"/>
    <s v="MAVİÇAM"/>
    <m/>
    <m/>
    <m/>
    <m/>
    <x v="19"/>
    <s v="Değişim"/>
    <s v="Haklı"/>
    <x v="8"/>
    <x v="0"/>
  </r>
  <r>
    <n v="2549"/>
    <x v="27"/>
    <s v="N/A"/>
    <d v="2025-09-24T00:00:00"/>
    <s v="AAAA"/>
    <n v="1"/>
    <s v="HSA-1"/>
    <s v="MAVİÇAM"/>
    <m/>
    <m/>
    <m/>
    <m/>
    <x v="19"/>
    <s v="Değişim"/>
    <s v="Haklı"/>
    <x v="8"/>
    <x v="0"/>
  </r>
  <r>
    <n v="2549"/>
    <x v="27"/>
    <s v="N/A"/>
    <d v="2025-09-24T00:00:00"/>
    <s v="AAAA"/>
    <n v="1"/>
    <s v="HSA-1"/>
    <s v="MAVİÇAM"/>
    <m/>
    <m/>
    <m/>
    <m/>
    <x v="19"/>
    <s v="Değişim"/>
    <s v="Haklı"/>
    <x v="8"/>
    <x v="0"/>
  </r>
  <r>
    <n v="2549"/>
    <x v="27"/>
    <s v="N/A"/>
    <d v="2025-09-24T00:00:00"/>
    <s v="AAAA"/>
    <n v="1"/>
    <s v="HSA-1"/>
    <s v="MAVİÇAM"/>
    <m/>
    <m/>
    <m/>
    <m/>
    <x v="19"/>
    <s v="Değişim"/>
    <s v="Haklı"/>
    <x v="8"/>
    <x v="0"/>
  </r>
  <r>
    <n v="2549"/>
    <x v="27"/>
    <s v="N/A"/>
    <d v="2025-09-24T00:00:00"/>
    <s v="AAAA"/>
    <n v="1"/>
    <s v="HSA-1"/>
    <s v="MAVİÇAM"/>
    <m/>
    <m/>
    <m/>
    <m/>
    <x v="19"/>
    <s v="Değişim"/>
    <s v="Haklı"/>
    <x v="8"/>
    <x v="0"/>
  </r>
  <r>
    <n v="2549"/>
    <x v="27"/>
    <s v="N/A"/>
    <d v="2025-09-24T00:00:00"/>
    <s v="AAAA"/>
    <n v="1"/>
    <s v="HSA-1"/>
    <s v="MAVİÇAM"/>
    <m/>
    <m/>
    <m/>
    <m/>
    <x v="19"/>
    <s v="Değişim"/>
    <s v="Haklı"/>
    <x v="8"/>
    <x v="0"/>
  </r>
  <r>
    <n v="2549"/>
    <x v="27"/>
    <s v="N/A"/>
    <d v="2025-09-24T00:00:00"/>
    <s v="AAAA"/>
    <n v="1"/>
    <s v="HSA-1"/>
    <s v="MAVİÇAM"/>
    <m/>
    <m/>
    <m/>
    <m/>
    <x v="19"/>
    <s v="Değişim"/>
    <s v="Haklı"/>
    <x v="8"/>
    <x v="0"/>
  </r>
  <r>
    <n v="2549"/>
    <x v="27"/>
    <s v="N/A"/>
    <d v="2025-09-24T00:00:00"/>
    <s v="AAAA"/>
    <n v="1"/>
    <s v="HSA-1"/>
    <s v="MAVİÇAM"/>
    <m/>
    <m/>
    <m/>
    <m/>
    <x v="19"/>
    <s v="Değişim"/>
    <s v="Haklı"/>
    <x v="8"/>
    <x v="0"/>
  </r>
  <r>
    <n v="2549"/>
    <x v="27"/>
    <s v="N/A"/>
    <d v="2025-09-24T00:00:00"/>
    <s v="AAAA"/>
    <n v="1"/>
    <s v="HSA-1"/>
    <s v="MAVİÇAM"/>
    <m/>
    <m/>
    <m/>
    <m/>
    <x v="19"/>
    <s v="Değişim"/>
    <s v="Haklı"/>
    <x v="8"/>
    <x v="0"/>
  </r>
  <r>
    <n v="2549"/>
    <x v="27"/>
    <s v="N/A"/>
    <d v="2025-09-24T00:00:00"/>
    <s v="AAAA"/>
    <n v="1"/>
    <s v="HSA-1"/>
    <s v="MAVİÇAM"/>
    <m/>
    <m/>
    <m/>
    <m/>
    <x v="19"/>
    <s v="Değişim"/>
    <s v="Haklı"/>
    <x v="8"/>
    <x v="0"/>
  </r>
  <r>
    <n v="2549"/>
    <x v="27"/>
    <s v="N/A"/>
    <d v="2025-09-24T00:00:00"/>
    <s v="AAAA"/>
    <n v="1"/>
    <s v="HSA-1"/>
    <s v="MAVİÇAM"/>
    <m/>
    <m/>
    <m/>
    <m/>
    <x v="19"/>
    <s v="Değişim"/>
    <s v="Haklı"/>
    <x v="8"/>
    <x v="0"/>
  </r>
  <r>
    <n v="2549"/>
    <x v="27"/>
    <s v="N/A"/>
    <d v="2025-09-24T00:00:00"/>
    <s v="AAAA"/>
    <n v="1"/>
    <s v="HSA-1"/>
    <s v="MAVİÇAM"/>
    <m/>
    <m/>
    <m/>
    <m/>
    <x v="19"/>
    <s v="Değişim"/>
    <s v="Haklı"/>
    <x v="8"/>
    <x v="0"/>
  </r>
  <r>
    <n v="2549"/>
    <x v="27"/>
    <s v="N/A"/>
    <d v="2025-09-24T00:00:00"/>
    <s v="AAAA"/>
    <n v="1"/>
    <s v="HSA-1"/>
    <s v="MAVİÇAM"/>
    <m/>
    <m/>
    <m/>
    <m/>
    <x v="19"/>
    <s v="Değişim"/>
    <s v="Haklı"/>
    <x v="8"/>
    <x v="0"/>
  </r>
  <r>
    <n v="2549"/>
    <x v="27"/>
    <s v="N/A"/>
    <d v="2025-09-24T00:00:00"/>
    <s v="AAAA"/>
    <n v="1"/>
    <s v="HSA-1"/>
    <s v="MAVİÇAM"/>
    <m/>
    <m/>
    <m/>
    <m/>
    <x v="19"/>
    <s v="Değişim"/>
    <s v="Haklı"/>
    <x v="8"/>
    <x v="0"/>
  </r>
  <r>
    <n v="2549"/>
    <x v="27"/>
    <s v="N/A"/>
    <d v="2025-09-24T00:00:00"/>
    <s v="AAAA"/>
    <n v="1"/>
    <s v="HSA-1"/>
    <s v="MAVİÇAM"/>
    <m/>
    <m/>
    <m/>
    <m/>
    <x v="19"/>
    <s v="Değişim"/>
    <s v="Haklı"/>
    <x v="8"/>
    <x v="0"/>
  </r>
  <r>
    <n v="2549"/>
    <x v="27"/>
    <s v="N/A"/>
    <d v="2025-09-24T00:00:00"/>
    <s v="AAAA"/>
    <n v="1"/>
    <s v="HSA-1"/>
    <s v="MAVİÇAM"/>
    <m/>
    <m/>
    <m/>
    <m/>
    <x v="19"/>
    <s v="Değişim"/>
    <s v="Haklı"/>
    <x v="8"/>
    <x v="0"/>
  </r>
  <r>
    <n v="2549"/>
    <x v="27"/>
    <s v="N/A"/>
    <d v="2025-09-24T00:00:00"/>
    <s v="AAAA"/>
    <n v="1"/>
    <s v="HSA-1"/>
    <s v="MAVİÇAM"/>
    <m/>
    <m/>
    <m/>
    <m/>
    <x v="19"/>
    <s v="Değişim"/>
    <s v="Haklı"/>
    <x v="8"/>
    <x v="0"/>
  </r>
  <r>
    <n v="2549"/>
    <x v="27"/>
    <s v="N/A"/>
    <d v="2025-09-24T00:00:00"/>
    <s v="AAAA"/>
    <n v="1"/>
    <s v="HSA-1"/>
    <s v="MAVİÇAM"/>
    <m/>
    <m/>
    <m/>
    <m/>
    <x v="19"/>
    <s v="Değişim"/>
    <s v="Haklı"/>
    <x v="8"/>
    <x v="0"/>
  </r>
  <r>
    <n v="2549"/>
    <x v="27"/>
    <s v="N/A"/>
    <d v="2025-09-24T00:00:00"/>
    <s v="AAAA"/>
    <n v="1"/>
    <s v="HSA-1"/>
    <s v="MAVİÇAM"/>
    <m/>
    <m/>
    <m/>
    <m/>
    <x v="19"/>
    <s v="Değişim"/>
    <s v="Haklı"/>
    <x v="8"/>
    <x v="0"/>
  </r>
  <r>
    <n v="2549"/>
    <x v="27"/>
    <s v="N/A"/>
    <d v="2025-09-24T00:00:00"/>
    <s v="AAAA"/>
    <n v="1"/>
    <s v="HSA-1"/>
    <s v="MAVİÇAM"/>
    <m/>
    <m/>
    <m/>
    <m/>
    <x v="19"/>
    <s v="Değişim"/>
    <s v="Haklı"/>
    <x v="8"/>
    <x v="0"/>
  </r>
  <r>
    <n v="2549"/>
    <x v="27"/>
    <s v="N/A"/>
    <d v="2025-09-24T00:00:00"/>
    <s v="AAAA"/>
    <n v="1"/>
    <s v="HSA-1"/>
    <s v="MAVİÇAM"/>
    <m/>
    <m/>
    <m/>
    <m/>
    <x v="19"/>
    <s v="Değişim"/>
    <s v="Haklı"/>
    <x v="8"/>
    <x v="0"/>
  </r>
  <r>
    <n v="2549"/>
    <x v="27"/>
    <s v="N/A"/>
    <d v="2025-09-24T00:00:00"/>
    <s v="AAAA"/>
    <n v="1"/>
    <s v="HSA-1"/>
    <s v="MAVİÇAM"/>
    <m/>
    <m/>
    <m/>
    <m/>
    <x v="19"/>
    <s v="Değişim"/>
    <s v="Haklı"/>
    <x v="8"/>
    <x v="0"/>
  </r>
  <r>
    <n v="2549"/>
    <x v="27"/>
    <s v="N/A"/>
    <d v="2025-09-24T00:00:00"/>
    <s v="AAAA"/>
    <n v="1"/>
    <s v="HSA-1"/>
    <s v="MAVİÇAM"/>
    <m/>
    <m/>
    <m/>
    <m/>
    <x v="19"/>
    <s v="Değişim"/>
    <s v="Haklı"/>
    <x v="8"/>
    <x v="0"/>
  </r>
  <r>
    <n v="2549"/>
    <x v="27"/>
    <s v="N/A"/>
    <d v="2025-09-24T00:00:00"/>
    <s v="AAAA"/>
    <n v="1"/>
    <s v="HSA-1"/>
    <s v="MAVİÇAM"/>
    <m/>
    <m/>
    <m/>
    <m/>
    <x v="19"/>
    <s v="Değişim"/>
    <s v="Haklı"/>
    <x v="8"/>
    <x v="0"/>
  </r>
  <r>
    <n v="2549"/>
    <x v="27"/>
    <s v="N/A"/>
    <d v="2025-09-24T00:00:00"/>
    <s v="AAAA"/>
    <n v="1"/>
    <s v="HSA-1"/>
    <s v="MAVİÇAM"/>
    <m/>
    <m/>
    <m/>
    <m/>
    <x v="19"/>
    <s v="Değişim"/>
    <s v="Haklı"/>
    <x v="8"/>
    <x v="0"/>
  </r>
  <r>
    <n v="2549"/>
    <x v="27"/>
    <s v="N/A"/>
    <d v="2025-09-24T00:00:00"/>
    <s v="AAAA"/>
    <n v="1"/>
    <s v="HSA-1"/>
    <s v="MAVİÇAM"/>
    <m/>
    <m/>
    <m/>
    <m/>
    <x v="19"/>
    <s v="Değişim"/>
    <s v="Haklı"/>
    <x v="8"/>
    <x v="0"/>
  </r>
  <r>
    <n v="2549"/>
    <x v="27"/>
    <s v="N/A"/>
    <d v="2025-09-24T00:00:00"/>
    <s v="AAAA"/>
    <n v="1"/>
    <s v="HSA-1"/>
    <s v="MAVİÇAM"/>
    <m/>
    <m/>
    <m/>
    <m/>
    <x v="19"/>
    <s v="Değişim"/>
    <s v="Haklı"/>
    <x v="8"/>
    <x v="0"/>
  </r>
  <r>
    <n v="2549"/>
    <x v="27"/>
    <s v="N/A"/>
    <d v="2025-09-24T00:00:00"/>
    <s v="AAAA"/>
    <n v="1"/>
    <s v="HSA-1"/>
    <s v="MAVİÇAM"/>
    <m/>
    <m/>
    <m/>
    <m/>
    <x v="19"/>
    <s v="Değişim"/>
    <s v="Haklı"/>
    <x v="8"/>
    <x v="0"/>
  </r>
  <r>
    <n v="2549"/>
    <x v="27"/>
    <s v="N/A"/>
    <d v="2025-09-24T00:00:00"/>
    <s v="AAAA"/>
    <n v="1"/>
    <s v="HSA-1"/>
    <s v="MAVİÇAM"/>
    <m/>
    <m/>
    <m/>
    <m/>
    <x v="19"/>
    <s v="Değişim"/>
    <s v="Haklı"/>
    <x v="8"/>
    <x v="0"/>
  </r>
  <r>
    <n v="2549"/>
    <x v="27"/>
    <s v="N/A"/>
    <d v="2025-09-24T00:00:00"/>
    <s v="AAAA"/>
    <n v="1"/>
    <s v="HSA-1"/>
    <s v="MAVİÇAM"/>
    <m/>
    <m/>
    <m/>
    <m/>
    <x v="19"/>
    <s v="Değişim"/>
    <s v="Haklı"/>
    <x v="8"/>
    <x v="0"/>
  </r>
  <r>
    <n v="2549"/>
    <x v="27"/>
    <s v="N/A"/>
    <d v="2025-09-24T00:00:00"/>
    <s v="AAAA"/>
    <n v="1"/>
    <s v="HSA-1"/>
    <s v="MAVİÇAM"/>
    <m/>
    <m/>
    <m/>
    <m/>
    <x v="19"/>
    <s v="Değişim"/>
    <s v="Haklı"/>
    <x v="8"/>
    <x v="0"/>
  </r>
  <r>
    <n v="2549"/>
    <x v="27"/>
    <s v="N/A"/>
    <d v="2025-09-24T00:00:00"/>
    <s v="AAAA"/>
    <n v="1"/>
    <s v="HSA-1"/>
    <s v="MAVİÇAM"/>
    <m/>
    <m/>
    <m/>
    <m/>
    <x v="19"/>
    <s v="Değişim"/>
    <s v="Haklı"/>
    <x v="8"/>
    <x v="0"/>
  </r>
  <r>
    <n v="2549"/>
    <x v="27"/>
    <s v="N/A"/>
    <d v="2025-09-24T00:00:00"/>
    <s v="AAAA"/>
    <n v="1"/>
    <s v="HSA-1"/>
    <s v="MAVİÇAM"/>
    <m/>
    <m/>
    <m/>
    <m/>
    <x v="19"/>
    <s v="Değişim"/>
    <s v="Haklı"/>
    <x v="8"/>
    <x v="0"/>
  </r>
  <r>
    <n v="2549"/>
    <x v="27"/>
    <s v="N/A"/>
    <d v="2025-09-24T00:00:00"/>
    <s v="AAAA"/>
    <n v="1"/>
    <s v="HSA-1"/>
    <s v="MAVİÇAM"/>
    <m/>
    <m/>
    <m/>
    <m/>
    <x v="19"/>
    <s v="Değişim"/>
    <s v="Haklı"/>
    <x v="8"/>
    <x v="0"/>
  </r>
  <r>
    <n v="2549"/>
    <x v="27"/>
    <s v="N/A"/>
    <d v="2025-09-24T00:00:00"/>
    <s v="AAAA"/>
    <n v="1"/>
    <s v="HSA-1"/>
    <s v="MAVİÇAM"/>
    <m/>
    <m/>
    <m/>
    <m/>
    <x v="19"/>
    <s v="Değişim"/>
    <s v="Haklı"/>
    <x v="8"/>
    <x v="0"/>
  </r>
  <r>
    <n v="2549"/>
    <x v="27"/>
    <s v="N/A"/>
    <d v="2025-09-24T00:00:00"/>
    <s v="AAAA"/>
    <n v="1"/>
    <s v="HSA-1"/>
    <s v="MAVİÇAM"/>
    <m/>
    <m/>
    <m/>
    <m/>
    <x v="19"/>
    <s v="Değişim"/>
    <s v="Haklı"/>
    <x v="8"/>
    <x v="0"/>
  </r>
  <r>
    <n v="2549"/>
    <x v="27"/>
    <s v="N/A"/>
    <d v="2025-09-24T00:00:00"/>
    <s v="AAAA"/>
    <n v="1"/>
    <s v="HSA-1"/>
    <s v="MAVİÇAM"/>
    <m/>
    <m/>
    <m/>
    <m/>
    <x v="19"/>
    <s v="Değişim"/>
    <s v="Haklı"/>
    <x v="8"/>
    <x v="0"/>
  </r>
  <r>
    <n v="2549"/>
    <x v="27"/>
    <s v="N/A"/>
    <d v="2025-09-24T00:00:00"/>
    <s v="AAAA"/>
    <n v="1"/>
    <s v="HSA-1"/>
    <s v="MAVİÇAM"/>
    <m/>
    <m/>
    <m/>
    <m/>
    <x v="19"/>
    <s v="Değişim"/>
    <s v="Haklı"/>
    <x v="8"/>
    <x v="0"/>
  </r>
  <r>
    <n v="2549"/>
    <x v="27"/>
    <s v="N/A"/>
    <d v="2025-09-24T00:00:00"/>
    <s v="AAAA"/>
    <n v="1"/>
    <s v="HSA-1"/>
    <s v="MAVİÇAM"/>
    <m/>
    <m/>
    <m/>
    <m/>
    <x v="19"/>
    <s v="Değişim"/>
    <s v="Haklı"/>
    <x v="8"/>
    <x v="0"/>
  </r>
  <r>
    <n v="2549"/>
    <x v="27"/>
    <s v="N/A"/>
    <d v="2025-09-24T00:00:00"/>
    <s v="AAAA"/>
    <n v="1"/>
    <s v="HSA-1"/>
    <s v="MAVİÇAM"/>
    <m/>
    <m/>
    <m/>
    <m/>
    <x v="19"/>
    <s v="Değişim"/>
    <s v="Haklı"/>
    <x v="8"/>
    <x v="0"/>
  </r>
  <r>
    <n v="2549"/>
    <x v="27"/>
    <s v="N/A"/>
    <d v="2025-09-24T00:00:00"/>
    <s v="AAAA"/>
    <n v="1"/>
    <s v="HSA-1"/>
    <s v="MAVİÇAM"/>
    <m/>
    <m/>
    <m/>
    <m/>
    <x v="19"/>
    <s v="Değişim"/>
    <s v="Haklı"/>
    <x v="8"/>
    <x v="0"/>
  </r>
  <r>
    <n v="2549"/>
    <x v="27"/>
    <s v="N/A"/>
    <d v="2025-09-24T00:00:00"/>
    <s v="AAAA"/>
    <n v="1"/>
    <s v="HSA-1"/>
    <s v="MAVİÇAM"/>
    <m/>
    <m/>
    <m/>
    <m/>
    <x v="19"/>
    <s v="Değişim"/>
    <s v="Haklı"/>
    <x v="8"/>
    <x v="0"/>
  </r>
  <r>
    <n v="2549"/>
    <x v="27"/>
    <s v="N/A"/>
    <d v="2025-09-24T00:00:00"/>
    <s v="AAAA"/>
    <n v="1"/>
    <s v="HSA-1"/>
    <s v="MAVİÇAM"/>
    <m/>
    <m/>
    <m/>
    <m/>
    <x v="19"/>
    <s v="Değişim"/>
    <s v="Haklı"/>
    <x v="8"/>
    <x v="0"/>
  </r>
  <r>
    <n v="2549"/>
    <x v="27"/>
    <s v="N/A"/>
    <d v="2025-09-24T00:00:00"/>
    <s v="AAAA"/>
    <n v="1"/>
    <s v="HSA-1"/>
    <s v="MAVİÇAM"/>
    <m/>
    <m/>
    <m/>
    <m/>
    <x v="19"/>
    <s v="Değişim"/>
    <s v="Haklı"/>
    <x v="8"/>
    <x v="0"/>
  </r>
  <r>
    <n v="2549"/>
    <x v="27"/>
    <s v="N/A"/>
    <d v="2025-09-24T00:00:00"/>
    <s v="AAAA"/>
    <n v="1"/>
    <s v="HSA-1"/>
    <s v="MAVİÇAM"/>
    <m/>
    <m/>
    <m/>
    <m/>
    <x v="19"/>
    <s v="Değişim"/>
    <s v="Haklı"/>
    <x v="8"/>
    <x v="0"/>
  </r>
  <r>
    <n v="2549"/>
    <x v="27"/>
    <s v="N/A"/>
    <d v="2025-09-24T00:00:00"/>
    <s v="AAAA"/>
    <n v="1"/>
    <s v="HSA-1"/>
    <s v="MAVİÇAM"/>
    <m/>
    <m/>
    <m/>
    <m/>
    <x v="19"/>
    <s v="Değişim"/>
    <s v="Haklı"/>
    <x v="8"/>
    <x v="0"/>
  </r>
  <r>
    <n v="2549"/>
    <x v="27"/>
    <s v="N/A"/>
    <d v="2025-09-24T00:00:00"/>
    <s v="AAAA"/>
    <n v="1"/>
    <s v="HSA-1"/>
    <s v="MAVİÇAM"/>
    <m/>
    <m/>
    <m/>
    <m/>
    <x v="19"/>
    <s v="Değişim"/>
    <s v="Haklı"/>
    <x v="8"/>
    <x v="0"/>
  </r>
  <r>
    <n v="2549"/>
    <x v="27"/>
    <s v="N/A"/>
    <d v="2025-09-24T00:00:00"/>
    <s v="AAAA"/>
    <n v="1"/>
    <s v="HSA-1"/>
    <s v="MAVİÇAM"/>
    <m/>
    <m/>
    <m/>
    <m/>
    <x v="19"/>
    <s v="Değişim"/>
    <s v="Haklı"/>
    <x v="8"/>
    <x v="0"/>
  </r>
  <r>
    <n v="2549"/>
    <x v="27"/>
    <s v="N/A"/>
    <d v="2025-09-24T00:00:00"/>
    <s v="AAAA"/>
    <n v="1"/>
    <s v="HSA-1"/>
    <s v="MAVİÇAM"/>
    <m/>
    <m/>
    <m/>
    <m/>
    <x v="19"/>
    <s v="Değişim"/>
    <s v="Haklı"/>
    <x v="8"/>
    <x v="0"/>
  </r>
  <r>
    <n v="2549"/>
    <x v="27"/>
    <s v="N/A"/>
    <d v="2025-09-24T00:00:00"/>
    <s v="AAAA"/>
    <n v="1"/>
    <s v="HSA-1"/>
    <s v="MAVİÇAM"/>
    <m/>
    <m/>
    <m/>
    <m/>
    <x v="19"/>
    <s v="Değişim"/>
    <s v="Haklı"/>
    <x v="8"/>
    <x v="0"/>
  </r>
  <r>
    <n v="2549"/>
    <x v="27"/>
    <s v="N/A"/>
    <d v="2025-09-24T00:00:00"/>
    <s v="AAAA"/>
    <n v="1"/>
    <s v="HSA-1"/>
    <s v="MAVİÇAM"/>
    <m/>
    <m/>
    <m/>
    <m/>
    <x v="19"/>
    <s v="Değişim"/>
    <s v="Haklı"/>
    <x v="8"/>
    <x v="0"/>
  </r>
  <r>
    <n v="2549"/>
    <x v="27"/>
    <s v="N/A"/>
    <d v="2025-09-24T00:00:00"/>
    <s v="AAAA"/>
    <n v="1"/>
    <s v="HSA-1"/>
    <s v="MAVİÇAM"/>
    <m/>
    <m/>
    <m/>
    <m/>
    <x v="19"/>
    <s v="Değişim"/>
    <s v="Haklı"/>
    <x v="8"/>
    <x v="0"/>
  </r>
  <r>
    <n v="2549"/>
    <x v="27"/>
    <s v="N/A"/>
    <d v="2025-09-24T00:00:00"/>
    <s v="AAAA"/>
    <n v="1"/>
    <s v="HSA-1"/>
    <s v="MAVİÇAM"/>
    <m/>
    <m/>
    <m/>
    <m/>
    <x v="19"/>
    <s v="Değişim"/>
    <s v="Haklı"/>
    <x v="8"/>
    <x v="0"/>
  </r>
  <r>
    <n v="2549"/>
    <x v="27"/>
    <s v="N/A"/>
    <d v="2025-09-24T00:00:00"/>
    <s v="AAAA"/>
    <n v="1"/>
    <s v="HSA-1"/>
    <s v="MAVİÇAM"/>
    <m/>
    <m/>
    <m/>
    <m/>
    <x v="19"/>
    <s v="Değişim"/>
    <s v="Haklı"/>
    <x v="8"/>
    <x v="0"/>
  </r>
  <r>
    <n v="2549"/>
    <x v="27"/>
    <s v="N/A"/>
    <d v="2025-09-24T00:00:00"/>
    <s v="AAAA"/>
    <n v="1"/>
    <s v="HSA-1"/>
    <s v="MAVİÇAM"/>
    <m/>
    <m/>
    <m/>
    <m/>
    <x v="19"/>
    <s v="Değişim"/>
    <s v="Haklı"/>
    <x v="8"/>
    <x v="0"/>
  </r>
  <r>
    <n v="2549"/>
    <x v="27"/>
    <s v="N/A"/>
    <d v="2025-09-24T00:00:00"/>
    <s v="AAAA"/>
    <n v="1"/>
    <s v="HSA-1"/>
    <s v="MAVİÇAM"/>
    <m/>
    <m/>
    <m/>
    <m/>
    <x v="19"/>
    <s v="Değişim"/>
    <s v="Haklı"/>
    <x v="8"/>
    <x v="0"/>
  </r>
  <r>
    <n v="2549"/>
    <x v="27"/>
    <s v="N/A"/>
    <d v="2025-09-24T00:00:00"/>
    <s v="AAAA"/>
    <n v="1"/>
    <s v="HSA-1"/>
    <s v="MAVİÇAM"/>
    <m/>
    <m/>
    <m/>
    <m/>
    <x v="19"/>
    <s v="Değişim"/>
    <s v="Haklı"/>
    <x v="8"/>
    <x v="0"/>
  </r>
  <r>
    <n v="2550"/>
    <x v="17"/>
    <s v="YEŞİLYURT"/>
    <d v="2025-09-29T00:00:00"/>
    <s v="2360108BX0009489"/>
    <n v="1"/>
    <s v="HSA-2"/>
    <s v="JASOLAR"/>
    <m/>
    <n v="1900"/>
    <n v="1"/>
    <n v="45929"/>
    <x v="2"/>
    <s v="Tamir"/>
    <s v="Haklı"/>
    <x v="8"/>
    <x v="0"/>
  </r>
  <r>
    <n v="2550"/>
    <x v="17"/>
    <s v="YEŞİLYURT"/>
    <d v="2025-09-29T00:00:00"/>
    <s v="2360108BX0017202"/>
    <n v="1"/>
    <s v="HSA-2"/>
    <s v="JASOLAR"/>
    <m/>
    <n v="1900"/>
    <n v="1"/>
    <n v="45929"/>
    <x v="2"/>
    <s v="Tamir"/>
    <s v="Haklı"/>
    <x v="8"/>
    <x v="0"/>
  </r>
  <r>
    <n v="2550"/>
    <x v="17"/>
    <s v="YEŞİLYURT"/>
    <d v="2025-09-29T00:00:00"/>
    <s v="2360108BX0007629"/>
    <n v="1"/>
    <s v="HSA-2"/>
    <s v="JASOLAR"/>
    <m/>
    <n v="1900"/>
    <n v="1"/>
    <n v="45929"/>
    <x v="2"/>
    <s v="Tamir"/>
    <s v="Haklı"/>
    <x v="8"/>
    <x v="0"/>
  </r>
  <r>
    <n v="2550"/>
    <x v="17"/>
    <s v="YEŞİLYURT"/>
    <d v="2025-09-29T00:00:00"/>
    <s v="2360108BX0006290"/>
    <n v="1"/>
    <s v="HSA-2"/>
    <s v="JASOLAR"/>
    <m/>
    <n v="1900"/>
    <n v="1"/>
    <n v="45929"/>
    <x v="2"/>
    <s v="Tamir"/>
    <s v="Haklı"/>
    <x v="8"/>
    <x v="0"/>
  </r>
  <r>
    <n v="2550"/>
    <x v="17"/>
    <s v="YEŞİLYURT"/>
    <d v="2025-09-29T00:00:00"/>
    <s v="2360108BX0004068"/>
    <n v="1"/>
    <s v="HSA-2"/>
    <s v="JASOLAR"/>
    <m/>
    <n v="1900"/>
    <n v="1"/>
    <n v="45929"/>
    <x v="2"/>
    <s v="Tamir"/>
    <s v="Haklı"/>
    <x v="8"/>
    <x v="0"/>
  </r>
  <r>
    <n v="2550"/>
    <x v="17"/>
    <s v="YEŞİLYURT"/>
    <d v="2025-09-29T00:00:00"/>
    <s v="2380108BX0032170"/>
    <n v="1"/>
    <s v="HSA-2"/>
    <s v="JASOLAR"/>
    <m/>
    <n v="1900"/>
    <n v="1"/>
    <n v="45929"/>
    <x v="2"/>
    <s v="Tamir"/>
    <s v="Haklı"/>
    <x v="8"/>
    <x v="0"/>
  </r>
  <r>
    <n v="2550"/>
    <x v="17"/>
    <s v="YEŞİLYURT"/>
    <d v="2025-09-29T00:00:00"/>
    <s v="2370108BX0026497"/>
    <n v="1"/>
    <s v="HSA-2"/>
    <s v="JASOLAR"/>
    <m/>
    <n v="1900"/>
    <n v="1"/>
    <n v="45929"/>
    <x v="2"/>
    <s v="Tamir"/>
    <s v="Haklı"/>
    <x v="8"/>
    <x v="0"/>
  </r>
  <r>
    <n v="2550"/>
    <x v="17"/>
    <s v="YEŞİLYURT"/>
    <d v="2025-09-29T00:00:00"/>
    <s v="2380108BX0048543"/>
    <n v="1"/>
    <s v="HSA-2"/>
    <s v="JASOLAR"/>
    <m/>
    <n v="1900"/>
    <n v="1"/>
    <n v="45929"/>
    <x v="2"/>
    <s v="Tamir"/>
    <s v="Haklı"/>
    <x v="8"/>
    <x v="0"/>
  </r>
  <r>
    <n v="2550"/>
    <x v="17"/>
    <s v="YEŞİLYURT"/>
    <d v="2025-09-29T00:00:00"/>
    <s v="2380108BX0042101"/>
    <n v="1"/>
    <s v="HSA-2"/>
    <s v="JASOLAR"/>
    <m/>
    <n v="1900"/>
    <n v="1"/>
    <n v="45929"/>
    <x v="2"/>
    <s v="Tamir"/>
    <s v="Haklı"/>
    <x v="8"/>
    <x v="0"/>
  </r>
  <r>
    <n v="2550"/>
    <x v="17"/>
    <s v="YEŞİLYURT"/>
    <d v="2025-09-29T00:00:00"/>
    <s v="2370108BX0025923"/>
    <n v="1"/>
    <s v="HSA-2"/>
    <s v="JASOLAR"/>
    <m/>
    <n v="1900"/>
    <n v="1"/>
    <n v="45929"/>
    <x v="2"/>
    <s v="Tamir"/>
    <s v="Haklı"/>
    <x v="8"/>
    <x v="0"/>
  </r>
  <r>
    <n v="2550"/>
    <x v="17"/>
    <s v="YEŞİLYURT"/>
    <d v="2025-09-29T00:00:00"/>
    <s v="2340108BX0005693"/>
    <n v="1"/>
    <s v="HSA-2"/>
    <s v="JASOLAR"/>
    <m/>
    <n v="1900"/>
    <n v="1"/>
    <n v="45929"/>
    <x v="2"/>
    <s v="Tamir"/>
    <s v="Haklı"/>
    <x v="8"/>
    <x v="0"/>
  </r>
  <r>
    <n v="2550"/>
    <x v="17"/>
    <s v="YEŞİLYURT"/>
    <d v="2025-09-29T00:00:00"/>
    <s v="2340108BX0030379"/>
    <n v="1"/>
    <s v="HSA-2"/>
    <s v="JASOLAR"/>
    <m/>
    <n v="1900"/>
    <n v="1"/>
    <n v="45929"/>
    <x v="2"/>
    <s v="Tamir"/>
    <s v="Haklı"/>
    <x v="8"/>
    <x v="0"/>
  </r>
  <r>
    <n v="2550"/>
    <x v="17"/>
    <s v="YEŞİLYURT"/>
    <d v="2025-09-29T00:00:00"/>
    <s v="2340108BX0007754"/>
    <n v="1"/>
    <s v="HSA-2"/>
    <s v="JASOLAR"/>
    <m/>
    <n v="1900"/>
    <n v="1"/>
    <n v="45929"/>
    <x v="2"/>
    <s v="Tamir"/>
    <s v="Haklı"/>
    <x v="8"/>
    <x v="0"/>
  </r>
  <r>
    <n v="2550"/>
    <x v="17"/>
    <s v="YEŞİLYURT"/>
    <d v="2025-09-29T00:00:00"/>
    <s v="2340108BX0016791"/>
    <n v="1"/>
    <s v="HSA-2"/>
    <s v="JASOLAR"/>
    <m/>
    <n v="1900"/>
    <n v="1"/>
    <n v="45929"/>
    <x v="2"/>
    <s v="Tamir"/>
    <s v="Haklı"/>
    <x v="8"/>
    <x v="0"/>
  </r>
  <r>
    <n v="2550"/>
    <x v="17"/>
    <s v="YEŞİLYURT"/>
    <d v="2025-09-29T00:00:00"/>
    <s v="2340108BW0008673"/>
    <n v="1"/>
    <s v="HSA-2"/>
    <s v="JASOLAR"/>
    <m/>
    <n v="1900"/>
    <n v="1"/>
    <n v="45929"/>
    <x v="2"/>
    <s v="Tamir"/>
    <s v="Haklı"/>
    <x v="8"/>
    <x v="0"/>
  </r>
  <r>
    <n v="2550"/>
    <x v="17"/>
    <s v="YEŞİLYURT"/>
    <d v="2025-09-29T00:00:00"/>
    <s v="2390108BX0034566"/>
    <n v="1"/>
    <s v="HSA-2"/>
    <s v="JASOLAR"/>
    <m/>
    <n v="1900"/>
    <n v="1"/>
    <n v="45929"/>
    <x v="2"/>
    <s v="Tamir"/>
    <s v="Haklı"/>
    <x v="8"/>
    <x v="0"/>
  </r>
  <r>
    <n v="2550"/>
    <x v="17"/>
    <s v="YEŞİLYURT"/>
    <d v="2025-09-29T00:00:00"/>
    <s v="23A0108BX0003281"/>
    <n v="1"/>
    <s v="HSA-2"/>
    <s v="JASOLAR"/>
    <m/>
    <n v="1900"/>
    <n v="1"/>
    <n v="45929"/>
    <x v="2"/>
    <s v="Tamir"/>
    <s v="Haklı"/>
    <x v="8"/>
    <x v="0"/>
  </r>
  <r>
    <n v="2551"/>
    <x v="25"/>
    <s v="PREDO GES "/>
    <d v="2025-09-30T00:00:00"/>
    <s v="2340108BX0024728"/>
    <n v="1"/>
    <s v="HSA-2"/>
    <m/>
    <m/>
    <m/>
    <m/>
    <n v="45930"/>
    <x v="2"/>
    <s v="Tamir"/>
    <s v="Haklı"/>
    <x v="8"/>
    <x v="0"/>
  </r>
  <r>
    <n v="2551"/>
    <x v="25"/>
    <s v="PREDO GES "/>
    <d v="2025-09-30T00:00:00"/>
    <s v="2340108BX0022491"/>
    <n v="1"/>
    <s v="HSA-2"/>
    <m/>
    <m/>
    <m/>
    <m/>
    <n v="45930"/>
    <x v="2"/>
    <s v="Tamir"/>
    <s v="Haklı"/>
    <x v="8"/>
    <x v="0"/>
  </r>
  <r>
    <n v="2551"/>
    <x v="25"/>
    <s v="PREDO GES "/>
    <d v="2025-09-30T00:00:00"/>
    <s v="2340108BX0024541"/>
    <n v="1"/>
    <s v="HSA-2"/>
    <m/>
    <m/>
    <m/>
    <m/>
    <n v="45930"/>
    <x v="2"/>
    <s v="Tamir"/>
    <s v="Haklı"/>
    <x v="8"/>
    <x v="0"/>
  </r>
  <r>
    <n v="2551"/>
    <x v="25"/>
    <s v="PREDO GES "/>
    <d v="2025-09-30T00:00:00"/>
    <s v="2340108BX0023094"/>
    <n v="1"/>
    <s v="HSA-2"/>
    <m/>
    <m/>
    <m/>
    <m/>
    <n v="45930"/>
    <x v="2"/>
    <s v="Tamir"/>
    <s v="Haklı"/>
    <x v="8"/>
    <x v="0"/>
  </r>
  <r>
    <n v="2551"/>
    <x v="25"/>
    <s v="PREDO GES "/>
    <d v="2025-09-30T00:00:00"/>
    <s v="2330108BX0003186"/>
    <n v="1"/>
    <s v="HSA-2"/>
    <m/>
    <m/>
    <m/>
    <m/>
    <n v="45930"/>
    <x v="2"/>
    <s v="Tamir"/>
    <s v="Haklı"/>
    <x v="8"/>
    <x v="0"/>
  </r>
  <r>
    <n v="2551"/>
    <x v="25"/>
    <s v="PREDO GES "/>
    <d v="2025-09-30T00:00:00"/>
    <s v="2340108MC1025449"/>
    <n v="1"/>
    <s v="HSA-1"/>
    <m/>
    <m/>
    <m/>
    <m/>
    <n v="45930"/>
    <x v="2"/>
    <s v="Tamir"/>
    <s v="Haklı"/>
    <x v="8"/>
    <x v="0"/>
  </r>
  <r>
    <n v="2552"/>
    <x v="28"/>
    <s v="N/A"/>
    <d v="2025-09-24T00:00:00"/>
    <s v="AAAA"/>
    <n v="1"/>
    <s v="HSA-1"/>
    <s v="MAVİÇAM"/>
    <m/>
    <m/>
    <m/>
    <m/>
    <x v="19"/>
    <s v="Değişim"/>
    <s v="Haklı"/>
    <x v="8"/>
    <x v="0"/>
  </r>
  <r>
    <n v="2552"/>
    <x v="28"/>
    <s v="N/A"/>
    <d v="2025-09-24T00:00:00"/>
    <s v="AAAA"/>
    <n v="1"/>
    <s v="HSA-1"/>
    <s v="MAVİÇAM"/>
    <m/>
    <m/>
    <m/>
    <m/>
    <x v="19"/>
    <s v="Değişim"/>
    <s v="Haklı"/>
    <x v="8"/>
    <x v="0"/>
  </r>
  <r>
    <n v="2552"/>
    <x v="28"/>
    <s v="N/A"/>
    <d v="2025-09-24T00:00:00"/>
    <s v="AAAA"/>
    <n v="1"/>
    <s v="HSA-1"/>
    <s v="MAVİÇAM"/>
    <m/>
    <m/>
    <m/>
    <m/>
    <x v="19"/>
    <s v="Değişim"/>
    <s v="Haklı"/>
    <x v="8"/>
    <x v="0"/>
  </r>
  <r>
    <n v="2552"/>
    <x v="28"/>
    <s v="N/A"/>
    <d v="2025-09-24T00:00:00"/>
    <s v="AAAA"/>
    <n v="1"/>
    <s v="HSA-1"/>
    <s v="MAVİÇAM"/>
    <m/>
    <m/>
    <m/>
    <m/>
    <x v="19"/>
    <s v="Değişim"/>
    <s v="Haklı"/>
    <x v="8"/>
    <x v="0"/>
  </r>
  <r>
    <n v="2552"/>
    <x v="28"/>
    <s v="N/A"/>
    <d v="2025-09-24T00:00:00"/>
    <s v="AAAA"/>
    <n v="1"/>
    <s v="HSA-1"/>
    <s v="MAVİÇAM"/>
    <m/>
    <m/>
    <m/>
    <m/>
    <x v="19"/>
    <s v="Değişim"/>
    <s v="Haklı"/>
    <x v="8"/>
    <x v="0"/>
  </r>
  <r>
    <n v="2552"/>
    <x v="28"/>
    <s v="N/A"/>
    <d v="2025-09-24T00:00:00"/>
    <s v="AAAA"/>
    <n v="1"/>
    <s v="HSA-1"/>
    <s v="MAVİÇAM"/>
    <m/>
    <m/>
    <m/>
    <m/>
    <x v="19"/>
    <s v="Değişim"/>
    <s v="Haklı"/>
    <x v="8"/>
    <x v="0"/>
  </r>
  <r>
    <n v="2552"/>
    <x v="28"/>
    <s v="N/A"/>
    <d v="2025-09-24T00:00:00"/>
    <s v="AAAA"/>
    <n v="1"/>
    <s v="HSA-1"/>
    <s v="MAVİÇAM"/>
    <m/>
    <m/>
    <m/>
    <m/>
    <x v="19"/>
    <s v="Değişim"/>
    <s v="Haklı"/>
    <x v="8"/>
    <x v="0"/>
  </r>
  <r>
    <n v="2552"/>
    <x v="28"/>
    <s v="N/A"/>
    <d v="2025-09-24T00:00:00"/>
    <s v="AAAA"/>
    <n v="1"/>
    <s v="HSA-1"/>
    <s v="MAVİÇAM"/>
    <m/>
    <m/>
    <m/>
    <m/>
    <x v="19"/>
    <s v="Değişim"/>
    <s v="Haklı"/>
    <x v="8"/>
    <x v="0"/>
  </r>
  <r>
    <n v="2552"/>
    <x v="28"/>
    <s v="N/A"/>
    <d v="2025-09-24T00:00:00"/>
    <s v="AAAA"/>
    <n v="1"/>
    <s v="HSA-1"/>
    <s v="MAVİÇAM"/>
    <m/>
    <m/>
    <m/>
    <m/>
    <x v="19"/>
    <s v="Değişim"/>
    <s v="Haklı"/>
    <x v="8"/>
    <x v="0"/>
  </r>
  <r>
    <n v="2552"/>
    <x v="28"/>
    <s v="N/A"/>
    <d v="2025-09-24T00:00:00"/>
    <s v="AAAA"/>
    <n v="1"/>
    <s v="HSA-1"/>
    <s v="MAVİÇAM"/>
    <m/>
    <m/>
    <m/>
    <m/>
    <x v="19"/>
    <s v="Değişim"/>
    <s v="Haklı"/>
    <x v="8"/>
    <x v="0"/>
  </r>
  <r>
    <n v="2552"/>
    <x v="28"/>
    <s v="N/A"/>
    <d v="2025-09-24T00:00:00"/>
    <s v="AAAA"/>
    <n v="1"/>
    <s v="HSA-1"/>
    <s v="MAVİÇAM"/>
    <m/>
    <m/>
    <m/>
    <m/>
    <x v="19"/>
    <s v="Değişim"/>
    <s v="Haklı"/>
    <x v="8"/>
    <x v="0"/>
  </r>
  <r>
    <n v="2552"/>
    <x v="28"/>
    <s v="N/A"/>
    <d v="2025-09-24T00:00:00"/>
    <s v="AAAA"/>
    <n v="1"/>
    <s v="HSA-1"/>
    <s v="MAVİÇAM"/>
    <m/>
    <m/>
    <m/>
    <m/>
    <x v="19"/>
    <s v="Değişim"/>
    <s v="Haklı"/>
    <x v="8"/>
    <x v="0"/>
  </r>
  <r>
    <n v="2552"/>
    <x v="28"/>
    <s v="N/A"/>
    <d v="2025-09-24T00:00:00"/>
    <s v="AAAA"/>
    <n v="1"/>
    <s v="HSA-1"/>
    <s v="MAVİÇAM"/>
    <m/>
    <m/>
    <m/>
    <m/>
    <x v="19"/>
    <s v="Değişim"/>
    <s v="Haklı"/>
    <x v="8"/>
    <x v="0"/>
  </r>
  <r>
    <n v="2552"/>
    <x v="28"/>
    <s v="N/A"/>
    <d v="2025-09-24T00:00:00"/>
    <s v="AAAA"/>
    <n v="1"/>
    <s v="HSA-1"/>
    <s v="MAVİÇAM"/>
    <m/>
    <m/>
    <m/>
    <m/>
    <x v="19"/>
    <s v="Değişim"/>
    <s v="Haklı"/>
    <x v="8"/>
    <x v="0"/>
  </r>
  <r>
    <n v="2552"/>
    <x v="28"/>
    <s v="N/A"/>
    <d v="2025-09-24T00:00:00"/>
    <s v="AAAA"/>
    <n v="1"/>
    <s v="HSA-1"/>
    <s v="MAVİÇAM"/>
    <m/>
    <m/>
    <m/>
    <m/>
    <x v="19"/>
    <s v="Değişim"/>
    <s v="Haklı"/>
    <x v="8"/>
    <x v="0"/>
  </r>
  <r>
    <n v="2552"/>
    <x v="28"/>
    <s v="N/A"/>
    <d v="2025-09-24T00:00:00"/>
    <s v="AAAA"/>
    <n v="1"/>
    <s v="HSA-1"/>
    <s v="MAVİÇAM"/>
    <m/>
    <m/>
    <m/>
    <m/>
    <x v="19"/>
    <s v="Değişim"/>
    <s v="Haklı"/>
    <x v="8"/>
    <x v="0"/>
  </r>
  <r>
    <n v="2552"/>
    <x v="28"/>
    <s v="N/A"/>
    <d v="2025-09-24T00:00:00"/>
    <s v="AAAA"/>
    <n v="1"/>
    <s v="HSA-1"/>
    <s v="MAVİÇAM"/>
    <m/>
    <m/>
    <m/>
    <m/>
    <x v="19"/>
    <s v="Değişim"/>
    <s v="Haklı"/>
    <x v="8"/>
    <x v="0"/>
  </r>
  <r>
    <n v="2552"/>
    <x v="28"/>
    <s v="N/A"/>
    <d v="2025-09-24T00:00:00"/>
    <s v="AAAA"/>
    <n v="1"/>
    <s v="HSA-1"/>
    <s v="MAVİÇAM"/>
    <m/>
    <m/>
    <m/>
    <m/>
    <x v="19"/>
    <s v="Değişim"/>
    <s v="Haklı"/>
    <x v="8"/>
    <x v="0"/>
  </r>
  <r>
    <n v="2552"/>
    <x v="28"/>
    <s v="N/A"/>
    <d v="2025-09-24T00:00:00"/>
    <s v="AAAA"/>
    <n v="1"/>
    <s v="HSA-1"/>
    <s v="MAVİÇAM"/>
    <m/>
    <m/>
    <m/>
    <m/>
    <x v="19"/>
    <s v="Değişim"/>
    <s v="Haklı"/>
    <x v="8"/>
    <x v="0"/>
  </r>
  <r>
    <n v="2552"/>
    <x v="28"/>
    <s v="N/A"/>
    <d v="2025-09-24T00:00:00"/>
    <s v="AAAA"/>
    <n v="1"/>
    <s v="HSA-1"/>
    <s v="MAVİÇAM"/>
    <m/>
    <m/>
    <m/>
    <m/>
    <x v="19"/>
    <s v="Değişim"/>
    <s v="Haklı"/>
    <x v="8"/>
    <x v="0"/>
  </r>
  <r>
    <n v="2552"/>
    <x v="28"/>
    <s v="N/A"/>
    <d v="2025-09-24T00:00:00"/>
    <s v="AAAA"/>
    <n v="1"/>
    <s v="HSA-1"/>
    <s v="MAVİÇAM"/>
    <m/>
    <m/>
    <m/>
    <m/>
    <x v="19"/>
    <s v="Değişim"/>
    <s v="Haklı"/>
    <x v="8"/>
    <x v="0"/>
  </r>
  <r>
    <n v="2552"/>
    <x v="28"/>
    <s v="N/A"/>
    <d v="2025-09-24T00:00:00"/>
    <s v="AAAA"/>
    <n v="1"/>
    <s v="HSA-1"/>
    <s v="MAVİÇAM"/>
    <m/>
    <m/>
    <m/>
    <m/>
    <x v="19"/>
    <s v="Değişim"/>
    <s v="Haklı"/>
    <x v="8"/>
    <x v="0"/>
  </r>
  <r>
    <n v="2552"/>
    <x v="28"/>
    <s v="N/A"/>
    <d v="2025-09-24T00:00:00"/>
    <s v="AAAA"/>
    <n v="1"/>
    <s v="HSA-1"/>
    <s v="MAVİÇAM"/>
    <m/>
    <m/>
    <m/>
    <m/>
    <x v="19"/>
    <s v="Değişim"/>
    <s v="Haklı"/>
    <x v="8"/>
    <x v="0"/>
  </r>
  <r>
    <n v="2552"/>
    <x v="28"/>
    <s v="N/A"/>
    <d v="2025-09-24T00:00:00"/>
    <s v="AAAA"/>
    <n v="1"/>
    <s v="HSA-1"/>
    <s v="MAVİÇAM"/>
    <m/>
    <m/>
    <m/>
    <m/>
    <x v="19"/>
    <s v="Değişim"/>
    <s v="Haklı"/>
    <x v="8"/>
    <x v="0"/>
  </r>
  <r>
    <n v="2552"/>
    <x v="28"/>
    <s v="N/A"/>
    <d v="2025-09-24T00:00:00"/>
    <s v="AAAA"/>
    <n v="1"/>
    <s v="HSA-1"/>
    <s v="MAVİÇAM"/>
    <m/>
    <m/>
    <m/>
    <m/>
    <x v="19"/>
    <s v="Değişim"/>
    <s v="Haklı"/>
    <x v="8"/>
    <x v="0"/>
  </r>
  <r>
    <n v="2552"/>
    <x v="28"/>
    <s v="N/A"/>
    <d v="2025-09-24T00:00:00"/>
    <s v="AAAA"/>
    <n v="1"/>
    <s v="HSA-1"/>
    <s v="MAVİÇAM"/>
    <m/>
    <m/>
    <m/>
    <m/>
    <x v="19"/>
    <s v="Değişim"/>
    <s v="Haklı"/>
    <x v="8"/>
    <x v="0"/>
  </r>
  <r>
    <n v="2552"/>
    <x v="28"/>
    <s v="N/A"/>
    <d v="2025-09-24T00:00:00"/>
    <s v="AAAA"/>
    <n v="1"/>
    <s v="HSA-1"/>
    <s v="MAVİÇAM"/>
    <m/>
    <m/>
    <m/>
    <m/>
    <x v="19"/>
    <s v="Değişim"/>
    <s v="Haklı"/>
    <x v="8"/>
    <x v="0"/>
  </r>
  <r>
    <n v="2552"/>
    <x v="28"/>
    <s v="N/A"/>
    <d v="2025-09-24T00:00:00"/>
    <s v="AAAA"/>
    <n v="1"/>
    <s v="HSA-1"/>
    <s v="MAVİÇAM"/>
    <m/>
    <m/>
    <m/>
    <m/>
    <x v="19"/>
    <s v="Değişim"/>
    <s v="Haklı"/>
    <x v="8"/>
    <x v="0"/>
  </r>
  <r>
    <n v="2552"/>
    <x v="28"/>
    <s v="N/A"/>
    <d v="2025-09-24T00:00:00"/>
    <s v="AAAA"/>
    <n v="1"/>
    <s v="HSA-1"/>
    <s v="MAVİÇAM"/>
    <m/>
    <m/>
    <m/>
    <m/>
    <x v="19"/>
    <s v="Değişim"/>
    <s v="Haklı"/>
    <x v="8"/>
    <x v="0"/>
  </r>
  <r>
    <n v="2552"/>
    <x v="28"/>
    <s v="N/A"/>
    <d v="2025-09-24T00:00:00"/>
    <s v="AAAA"/>
    <n v="1"/>
    <s v="HSA-1"/>
    <s v="MAVİÇAM"/>
    <m/>
    <m/>
    <m/>
    <m/>
    <x v="19"/>
    <s v="Değişim"/>
    <s v="Haklı"/>
    <x v="8"/>
    <x v="0"/>
  </r>
  <r>
    <n v="2552"/>
    <x v="28"/>
    <s v="N/A"/>
    <d v="2025-09-24T00:00:00"/>
    <s v="AAAA"/>
    <n v="1"/>
    <s v="HSA-1"/>
    <s v="MAVİÇAM"/>
    <m/>
    <m/>
    <m/>
    <m/>
    <x v="19"/>
    <s v="Değişim"/>
    <s v="Haklı"/>
    <x v="8"/>
    <x v="0"/>
  </r>
  <r>
    <n v="2552"/>
    <x v="28"/>
    <s v="N/A"/>
    <d v="2025-09-24T00:00:00"/>
    <s v="AAAA"/>
    <n v="1"/>
    <s v="HSA-1"/>
    <s v="MAVİÇAM"/>
    <m/>
    <m/>
    <m/>
    <m/>
    <x v="19"/>
    <s v="Değişim"/>
    <s v="Haklı"/>
    <x v="8"/>
    <x v="0"/>
  </r>
  <r>
    <n v="2552"/>
    <x v="28"/>
    <s v="N/A"/>
    <d v="2025-09-24T00:00:00"/>
    <s v="AAAA"/>
    <n v="1"/>
    <s v="HSA-1"/>
    <s v="MAVİÇAM"/>
    <m/>
    <m/>
    <m/>
    <m/>
    <x v="19"/>
    <s v="Değişim"/>
    <s v="Haklı"/>
    <x v="8"/>
    <x v="0"/>
  </r>
  <r>
    <n v="2552"/>
    <x v="28"/>
    <s v="N/A"/>
    <d v="2025-09-24T00:00:00"/>
    <s v="AAAA"/>
    <n v="1"/>
    <s v="HSA-1"/>
    <s v="MAVİÇAM"/>
    <m/>
    <m/>
    <m/>
    <m/>
    <x v="19"/>
    <s v="Değişim"/>
    <s v="Haklı"/>
    <x v="8"/>
    <x v="0"/>
  </r>
  <r>
    <n v="2552"/>
    <x v="28"/>
    <s v="N/A"/>
    <d v="2025-09-24T00:00:00"/>
    <s v="AAAA"/>
    <n v="1"/>
    <s v="HSA-1"/>
    <s v="MAVİÇAM"/>
    <m/>
    <m/>
    <m/>
    <m/>
    <x v="19"/>
    <s v="Değişim"/>
    <s v="Haklı"/>
    <x v="8"/>
    <x v="0"/>
  </r>
  <r>
    <n v="2552"/>
    <x v="28"/>
    <s v="N/A"/>
    <d v="2025-09-24T00:00:00"/>
    <s v="AAAA"/>
    <n v="1"/>
    <s v="HSA-1"/>
    <s v="MAVİÇAM"/>
    <m/>
    <m/>
    <m/>
    <m/>
    <x v="19"/>
    <s v="Değişim"/>
    <s v="Haklı"/>
    <x v="8"/>
    <x v="0"/>
  </r>
  <r>
    <n v="2553"/>
    <x v="29"/>
    <s v="ÖZCIVATA GES"/>
    <d v="2025-10-02T00:00:00"/>
    <s v="AAAA"/>
    <n v="1"/>
    <s v="HSA-2"/>
    <m/>
    <m/>
    <m/>
    <m/>
    <m/>
    <x v="2"/>
    <s v="Tamir"/>
    <s v="Haklı"/>
    <x v="9"/>
    <x v="0"/>
  </r>
  <r>
    <n v="2553"/>
    <x v="29"/>
    <s v="ÖZCIVATA GES"/>
    <d v="2025-10-02T00:00:00"/>
    <s v="AAAA"/>
    <n v="1"/>
    <s v="HSA-2"/>
    <m/>
    <m/>
    <m/>
    <m/>
    <m/>
    <x v="2"/>
    <s v="Tamir"/>
    <s v="Haklı"/>
    <x v="9"/>
    <x v="0"/>
  </r>
  <r>
    <n v="2553"/>
    <x v="29"/>
    <s v="ÖZCIVATA GES"/>
    <d v="2025-10-02T00:00:00"/>
    <s v="AAAA"/>
    <n v="1"/>
    <s v="HSA-2"/>
    <m/>
    <m/>
    <m/>
    <m/>
    <m/>
    <x v="2"/>
    <s v="Tamir"/>
    <s v="Haklı"/>
    <x v="9"/>
    <x v="0"/>
  </r>
  <r>
    <n v="2553"/>
    <x v="29"/>
    <s v="ÖZCIVATA GES"/>
    <d v="2025-10-02T00:00:00"/>
    <s v="AAAA"/>
    <n v="1"/>
    <s v="HSA-2"/>
    <m/>
    <m/>
    <m/>
    <m/>
    <m/>
    <x v="2"/>
    <s v="Tamir"/>
    <s v="Haklı"/>
    <x v="9"/>
    <x v="0"/>
  </r>
  <r>
    <n v="2553"/>
    <x v="29"/>
    <s v="ÖZCIVATA GES"/>
    <d v="2025-10-02T00:00:00"/>
    <s v="AAAA"/>
    <n v="1"/>
    <s v="HSA-2"/>
    <m/>
    <m/>
    <m/>
    <m/>
    <m/>
    <x v="2"/>
    <s v="Tamir"/>
    <s v="Haklı"/>
    <x v="9"/>
    <x v="0"/>
  </r>
  <r>
    <n v="2553"/>
    <x v="29"/>
    <s v="ÖZCIVATA GES"/>
    <d v="2025-10-02T00:00:00"/>
    <s v="AAAA"/>
    <n v="1"/>
    <s v="HSA-2"/>
    <m/>
    <m/>
    <m/>
    <m/>
    <m/>
    <x v="2"/>
    <s v="Tamir"/>
    <s v="Haklı"/>
    <x v="9"/>
    <x v="0"/>
  </r>
  <r>
    <n v="2553"/>
    <x v="29"/>
    <s v="ÖZCIVATA GES"/>
    <d v="2025-10-02T00:00:00"/>
    <s v="AAAA"/>
    <n v="1"/>
    <s v="HSA-2"/>
    <m/>
    <m/>
    <m/>
    <m/>
    <m/>
    <x v="2"/>
    <s v="Tamir"/>
    <s v="Haklı"/>
    <x v="9"/>
    <x v="0"/>
  </r>
  <r>
    <n v="2553"/>
    <x v="29"/>
    <s v="ÖZCIVATA GES"/>
    <d v="2025-10-02T00:00:00"/>
    <s v="AAAA"/>
    <n v="1"/>
    <s v="HSA-2"/>
    <m/>
    <m/>
    <m/>
    <m/>
    <m/>
    <x v="2"/>
    <s v="Tamir"/>
    <s v="Haklı"/>
    <x v="9"/>
    <x v="0"/>
  </r>
  <r>
    <n v="2553"/>
    <x v="29"/>
    <s v="ÖZCIVATA GES"/>
    <d v="2025-10-02T00:00:00"/>
    <s v="AAAA"/>
    <n v="1"/>
    <s v="HSA-2"/>
    <m/>
    <m/>
    <m/>
    <m/>
    <m/>
    <x v="2"/>
    <s v="Tamir"/>
    <s v="Haklı"/>
    <x v="9"/>
    <x v="0"/>
  </r>
  <r>
    <n v="2553"/>
    <x v="29"/>
    <s v="ÖZCIVATA GES"/>
    <d v="2025-10-02T00:00:00"/>
    <s v="AAAA"/>
    <n v="1"/>
    <s v="HSA-2"/>
    <m/>
    <m/>
    <m/>
    <m/>
    <m/>
    <x v="2"/>
    <s v="Tamir"/>
    <s v="Haklı"/>
    <x v="9"/>
    <x v="0"/>
  </r>
  <r>
    <n v="2553"/>
    <x v="29"/>
    <s v="ÖZCIVATA GES"/>
    <d v="2025-10-02T00:00:00"/>
    <s v="AAAA"/>
    <n v="1"/>
    <s v="HSA-2"/>
    <m/>
    <m/>
    <m/>
    <m/>
    <m/>
    <x v="2"/>
    <s v="Tamir"/>
    <s v="Haklı"/>
    <x v="9"/>
    <x v="0"/>
  </r>
  <r>
    <n v="2553"/>
    <x v="29"/>
    <s v="ÖZCIVATA GES"/>
    <d v="2025-10-02T00:00:00"/>
    <s v="AAAA"/>
    <n v="1"/>
    <s v="HSA-2"/>
    <m/>
    <m/>
    <m/>
    <m/>
    <m/>
    <x v="2"/>
    <s v="Tamir"/>
    <s v="Haklı"/>
    <x v="9"/>
    <x v="0"/>
  </r>
  <r>
    <n v="2553"/>
    <x v="29"/>
    <s v="ÖZCIVATA GES"/>
    <d v="2025-10-02T00:00:00"/>
    <s v="AAAA"/>
    <n v="1"/>
    <s v="HSA-2"/>
    <m/>
    <m/>
    <m/>
    <m/>
    <m/>
    <x v="2"/>
    <s v="Tamir"/>
    <s v="Haklı"/>
    <x v="9"/>
    <x v="0"/>
  </r>
  <r>
    <n v="2553"/>
    <x v="29"/>
    <s v="ÖZCIVATA GES"/>
    <d v="2025-10-02T00:00:00"/>
    <s v="AAAA"/>
    <n v="1"/>
    <s v="HSA-2"/>
    <m/>
    <m/>
    <m/>
    <m/>
    <m/>
    <x v="2"/>
    <s v="Tamir"/>
    <s v="Haklı"/>
    <x v="9"/>
    <x v="0"/>
  </r>
  <r>
    <n v="2553"/>
    <x v="29"/>
    <s v="ÖZCIVATA GES"/>
    <d v="2025-10-02T00:00:00"/>
    <s v="AAAA"/>
    <n v="1"/>
    <s v="HSA-2"/>
    <m/>
    <m/>
    <m/>
    <m/>
    <m/>
    <x v="2"/>
    <s v="Tamir"/>
    <s v="Haklı"/>
    <x v="9"/>
    <x v="0"/>
  </r>
  <r>
    <n v="2553"/>
    <x v="29"/>
    <s v="ÖZCIVATA GES"/>
    <d v="2025-10-02T00:00:00"/>
    <s v="AAAA"/>
    <n v="1"/>
    <s v="HSA-2"/>
    <m/>
    <m/>
    <m/>
    <m/>
    <m/>
    <x v="2"/>
    <s v="Tamir"/>
    <s v="Haklı"/>
    <x v="9"/>
    <x v="0"/>
  </r>
  <r>
    <n v="2553"/>
    <x v="29"/>
    <s v="ÖZCIVATA GES"/>
    <d v="2025-10-02T00:00:00"/>
    <s v="AAAA"/>
    <n v="1"/>
    <s v="HSA-2"/>
    <m/>
    <m/>
    <m/>
    <m/>
    <m/>
    <x v="2"/>
    <s v="Tamir"/>
    <s v="Haklı"/>
    <x v="9"/>
    <x v="0"/>
  </r>
  <r>
    <n v="2553"/>
    <x v="29"/>
    <s v="ÖZCIVATA GES"/>
    <d v="2025-10-02T00:00:00"/>
    <s v="AAAA"/>
    <n v="1"/>
    <s v="HSA-2"/>
    <m/>
    <m/>
    <m/>
    <m/>
    <m/>
    <x v="2"/>
    <s v="Tamir"/>
    <s v="Haklı"/>
    <x v="9"/>
    <x v="0"/>
  </r>
  <r>
    <n v="2553"/>
    <x v="29"/>
    <s v="ÖZCIVATA GES"/>
    <d v="2025-10-02T00:00:00"/>
    <s v="AAAA"/>
    <n v="1"/>
    <s v="HSA-2"/>
    <m/>
    <m/>
    <m/>
    <m/>
    <m/>
    <x v="2"/>
    <s v="Tamir"/>
    <s v="Haklı"/>
    <x v="9"/>
    <x v="0"/>
  </r>
  <r>
    <n v="2553"/>
    <x v="29"/>
    <s v="ÖZCIVATA GES"/>
    <d v="2025-10-02T00:00:00"/>
    <s v="AAAA"/>
    <n v="1"/>
    <s v="HSA-2"/>
    <m/>
    <m/>
    <m/>
    <m/>
    <m/>
    <x v="2"/>
    <s v="Tamir"/>
    <s v="Haklı"/>
    <x v="9"/>
    <x v="0"/>
  </r>
  <r>
    <n v="2553"/>
    <x v="29"/>
    <s v="ÖZCIVATA GES"/>
    <d v="2025-10-02T00:00:00"/>
    <s v="AAAA"/>
    <n v="1"/>
    <s v="HSA-2"/>
    <m/>
    <m/>
    <m/>
    <m/>
    <m/>
    <x v="2"/>
    <s v="Tamir"/>
    <s v="Haklı"/>
    <x v="9"/>
    <x v="0"/>
  </r>
  <r>
    <n v="2553"/>
    <x v="29"/>
    <s v="ÖZCIVATA GES"/>
    <d v="2025-10-02T00:00:00"/>
    <s v="AAAA"/>
    <n v="1"/>
    <s v="HSA-2"/>
    <m/>
    <m/>
    <m/>
    <m/>
    <m/>
    <x v="2"/>
    <s v="Tamir"/>
    <s v="Haklı"/>
    <x v="9"/>
    <x v="0"/>
  </r>
  <r>
    <n v="2553"/>
    <x v="29"/>
    <s v="ÖZCIVATA GES"/>
    <d v="2025-10-02T00:00:00"/>
    <s v="AAAA"/>
    <n v="1"/>
    <s v="HSA-2"/>
    <m/>
    <m/>
    <m/>
    <m/>
    <m/>
    <x v="2"/>
    <s v="Tamir"/>
    <s v="Haklı"/>
    <x v="9"/>
    <x v="0"/>
  </r>
  <r>
    <n v="2553"/>
    <x v="29"/>
    <s v="ÖZCIVATA GES"/>
    <d v="2025-10-02T00:00:00"/>
    <s v="AAAA"/>
    <n v="1"/>
    <s v="HSA-2"/>
    <m/>
    <m/>
    <m/>
    <m/>
    <m/>
    <x v="2"/>
    <s v="Tamir"/>
    <s v="Haklı"/>
    <x v="9"/>
    <x v="0"/>
  </r>
  <r>
    <n v="2553"/>
    <x v="29"/>
    <s v="ÖZCIVATA GES"/>
    <d v="2025-10-02T00:00:00"/>
    <s v="AAAA"/>
    <n v="1"/>
    <s v="HSA-2"/>
    <m/>
    <m/>
    <m/>
    <m/>
    <m/>
    <x v="2"/>
    <s v="Tamir"/>
    <s v="Haklı"/>
    <x v="9"/>
    <x v="0"/>
  </r>
  <r>
    <n v="2554"/>
    <x v="29"/>
    <s v="ÖZCIVATA GES"/>
    <d v="2025-10-02T00:00:00"/>
    <s v="AAAA"/>
    <n v="1"/>
    <s v="HSA-1"/>
    <m/>
    <m/>
    <m/>
    <m/>
    <m/>
    <x v="2"/>
    <s v="Tamir"/>
    <s v="Haklı"/>
    <x v="9"/>
    <x v="0"/>
  </r>
  <r>
    <n v="2554"/>
    <x v="29"/>
    <s v="ÖZCIVATA GES"/>
    <d v="2025-10-02T00:00:00"/>
    <s v="AAAA"/>
    <n v="1"/>
    <s v="HSA-1"/>
    <m/>
    <m/>
    <m/>
    <m/>
    <m/>
    <x v="2"/>
    <s v="Tamir"/>
    <s v="Haklı"/>
    <x v="9"/>
    <x v="0"/>
  </r>
  <r>
    <n v="2554"/>
    <x v="29"/>
    <s v="ÖZCIVATA GES"/>
    <d v="2025-10-02T00:00:00"/>
    <s v="AAAA"/>
    <n v="1"/>
    <s v="HSA-1"/>
    <m/>
    <m/>
    <m/>
    <m/>
    <m/>
    <x v="2"/>
    <s v="Değişim"/>
    <s v="Haklı"/>
    <x v="9"/>
    <x v="0"/>
  </r>
  <r>
    <n v="2555"/>
    <x v="30"/>
    <s v="AS OFİS"/>
    <d v="2025-10-17T00:00:00"/>
    <s v="2320108MC2000750"/>
    <n v="1"/>
    <s v="HSA-2"/>
    <s v="MAVİÇAM"/>
    <m/>
    <m/>
    <m/>
    <m/>
    <x v="2"/>
    <s v="Tamir"/>
    <s v="Haklı"/>
    <x v="9"/>
    <x v="0"/>
  </r>
  <r>
    <n v="2557"/>
    <x v="31"/>
    <s v="ÖZKOYUNCU"/>
    <d v="2025-10-02T00:00:00"/>
    <s v="2370108MC1007654"/>
    <n v="1"/>
    <s v="HSA-1"/>
    <s v="MAVİÇAM"/>
    <m/>
    <m/>
    <m/>
    <m/>
    <x v="2"/>
    <s v="Tamir"/>
    <s v="Haklı"/>
    <x v="9"/>
    <x v="0"/>
  </r>
  <r>
    <n v="2557"/>
    <x v="31"/>
    <s v="ÖZKOYUNCU"/>
    <d v="2025-10-02T00:00:00"/>
    <s v="2370108MC1018922"/>
    <n v="1"/>
    <s v="HSA-1"/>
    <s v="MAVİÇAM"/>
    <m/>
    <m/>
    <m/>
    <m/>
    <x v="2"/>
    <s v="Tamir"/>
    <s v="Haklı"/>
    <x v="9"/>
    <x v="0"/>
  </r>
  <r>
    <n v="2557"/>
    <x v="31"/>
    <s v="ÖZKOYUNCU"/>
    <d v="2025-10-02T00:00:00"/>
    <s v="2370108MC1012533"/>
    <n v="1"/>
    <s v="HSA-1"/>
    <s v="MAVİÇAM"/>
    <m/>
    <m/>
    <m/>
    <m/>
    <x v="2"/>
    <s v="Tamir"/>
    <s v="Haklı"/>
    <x v="9"/>
    <x v="0"/>
  </r>
  <r>
    <n v="2557"/>
    <x v="31"/>
    <s v="ÖZKOYUNCU"/>
    <d v="2025-10-02T00:00:00"/>
    <s v="2370108MC1018436"/>
    <n v="1"/>
    <s v="HSA-1"/>
    <s v="MAVİÇAM"/>
    <m/>
    <m/>
    <m/>
    <m/>
    <x v="2"/>
    <s v="Tamir"/>
    <s v="Haklı"/>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8"/>
    <x v="32"/>
    <s v="KARADAĞ MÜHENDİSLİK"/>
    <d v="2025-10-20T00:00:00"/>
    <s v="AAAA"/>
    <n v="1"/>
    <s v="HSA-2"/>
    <s v="JINKOSOLAR"/>
    <m/>
    <m/>
    <m/>
    <m/>
    <x v="20"/>
    <m/>
    <s v="Haksız"/>
    <x v="9"/>
    <x v="0"/>
  </r>
  <r>
    <n v="2559"/>
    <x v="0"/>
    <s v="ENTEGRO"/>
    <d v="2025-10-22T00:00:00"/>
    <s v="2520107BW0011982"/>
    <n v="1"/>
    <s v="HSA-1"/>
    <s v="JASOLAR"/>
    <m/>
    <m/>
    <m/>
    <m/>
    <x v="21"/>
    <s v="Değişim"/>
    <s v="Haklı"/>
    <x v="9"/>
    <x v="0"/>
  </r>
  <r>
    <n v="2560"/>
    <x v="0"/>
    <s v="ENTEGRO"/>
    <d v="2025-10-22T00:00:00"/>
    <s v="2520107BW0009769"/>
    <n v="1"/>
    <s v="HSA-1"/>
    <s v="JASOLAR"/>
    <m/>
    <m/>
    <m/>
    <m/>
    <x v="22"/>
    <m/>
    <s v="Haksız"/>
    <x v="9"/>
    <x v="0"/>
  </r>
  <r>
    <n v="2560"/>
    <x v="0"/>
    <s v="ENTEGRO"/>
    <d v="2025-10-22T00:00:00"/>
    <s v="2520107BW0010124"/>
    <n v="1"/>
    <s v="HSA-1"/>
    <s v="JASOLAR"/>
    <m/>
    <m/>
    <m/>
    <m/>
    <x v="22"/>
    <m/>
    <s v="Haksız"/>
    <x v="9"/>
    <x v="0"/>
  </r>
  <r>
    <n v="2561"/>
    <x v="1"/>
    <s v="TİRSAN-KARDAN"/>
    <d v="2025-10-22T00:00:00"/>
    <s v="AAAA"/>
    <n v="1"/>
    <s v="HSA-2"/>
    <s v="MAVİÇAM"/>
    <m/>
    <m/>
    <m/>
    <m/>
    <x v="3"/>
    <m/>
    <s v="Devam Ediyor"/>
    <x v="9"/>
    <x v="0"/>
  </r>
  <r>
    <n v="2561"/>
    <x v="1"/>
    <s v="TİRSAN-KARDAN"/>
    <d v="2025-10-22T00:00:00"/>
    <s v="AAAA"/>
    <n v="1"/>
    <s v="HSA-2"/>
    <s v="MAVİÇAM"/>
    <m/>
    <m/>
    <m/>
    <m/>
    <x v="3"/>
    <s v="Değişim"/>
    <s v="Haklı"/>
    <x v="9"/>
    <x v="0"/>
  </r>
  <r>
    <n v="2561"/>
    <x v="1"/>
    <s v="TİRSAN-KARDAN"/>
    <d v="2025-10-22T00:00:00"/>
    <s v="AAAA"/>
    <n v="1"/>
    <s v="HSA-2"/>
    <s v="MAVİÇAM"/>
    <m/>
    <m/>
    <m/>
    <m/>
    <x v="3"/>
    <s v="Değişim"/>
    <s v="Haklı"/>
    <x v="9"/>
    <x v="0"/>
  </r>
  <r>
    <n v="2561"/>
    <x v="1"/>
    <s v="TİRSAN-KARDAN"/>
    <d v="2025-10-22T00:00:00"/>
    <s v="AAAA"/>
    <n v="1"/>
    <s v="HSA-2"/>
    <s v="MAVİÇAM"/>
    <m/>
    <m/>
    <m/>
    <m/>
    <x v="3"/>
    <s v="Değişim"/>
    <s v="Haklı"/>
    <x v="9"/>
    <x v="0"/>
  </r>
  <r>
    <n v="2561"/>
    <x v="1"/>
    <s v="TİRSAN-KARDAN"/>
    <d v="2025-10-22T00:00:00"/>
    <s v="AAAA"/>
    <n v="1"/>
    <s v="HSA-2"/>
    <s v="MAVİÇAM"/>
    <m/>
    <m/>
    <m/>
    <m/>
    <x v="3"/>
    <s v="Değişim"/>
    <s v="Haklı"/>
    <x v="9"/>
    <x v="0"/>
  </r>
  <r>
    <n v="2561"/>
    <x v="1"/>
    <s v="TİRSAN-KARDAN"/>
    <d v="2025-10-22T00:00:00"/>
    <s v="AAAA"/>
    <n v="1"/>
    <s v="HSA-2"/>
    <s v="MAVİÇAM"/>
    <m/>
    <m/>
    <m/>
    <m/>
    <x v="3"/>
    <s v="Değişim"/>
    <s v="Haklı"/>
    <x v="9"/>
    <x v="0"/>
  </r>
  <r>
    <n v="2561"/>
    <x v="1"/>
    <s v="TİRSAN-KARDAN"/>
    <d v="2025-10-22T00:00:00"/>
    <s v="AAAA"/>
    <n v="1"/>
    <s v="HSA-2"/>
    <s v="MAVİÇAM"/>
    <m/>
    <m/>
    <m/>
    <m/>
    <x v="3"/>
    <s v="Değişim"/>
    <s v="Haklı"/>
    <x v="9"/>
    <x v="0"/>
  </r>
  <r>
    <n v="2561"/>
    <x v="1"/>
    <s v="TİRSAN-KARDAN"/>
    <d v="2025-10-22T00:00:00"/>
    <s v="AAAA"/>
    <n v="1"/>
    <s v="HSA-2"/>
    <s v="MAVİÇAM"/>
    <m/>
    <m/>
    <m/>
    <m/>
    <x v="3"/>
    <s v="Değişim"/>
    <s v="Haklı"/>
    <x v="9"/>
    <x v="0"/>
  </r>
  <r>
    <n v="2561"/>
    <x v="1"/>
    <s v="TİRSAN-KARDAN"/>
    <d v="2025-10-22T00:00:00"/>
    <s v="AAAA"/>
    <n v="1"/>
    <s v="HSA-2"/>
    <s v="MAVİÇAM"/>
    <m/>
    <m/>
    <m/>
    <m/>
    <x v="3"/>
    <s v="Değişim"/>
    <s v="Haklı"/>
    <x v="9"/>
    <x v="0"/>
  </r>
  <r>
    <n v="2561"/>
    <x v="1"/>
    <s v="TİRSAN-KARDAN"/>
    <d v="2025-10-22T00:00:00"/>
    <s v="AAAA"/>
    <n v="1"/>
    <s v="HSA-2"/>
    <s v="MAVİÇAM"/>
    <m/>
    <m/>
    <m/>
    <m/>
    <x v="3"/>
    <s v="Değişim"/>
    <s v="Haklı"/>
    <x v="9"/>
    <x v="0"/>
  </r>
  <r>
    <n v="2562"/>
    <x v="23"/>
    <s v="GENBA ENERJİ"/>
    <d v="2025-10-30T00:00:00"/>
    <s v=" 2490108BX0013640"/>
    <n v="1"/>
    <s v="HSA-2"/>
    <s v="MAVİÇAM"/>
    <m/>
    <m/>
    <m/>
    <m/>
    <x v="1"/>
    <m/>
    <s v="Haksız"/>
    <x v="9"/>
    <x v="0"/>
  </r>
  <r>
    <n v="2562"/>
    <x v="23"/>
    <s v="GENBA ENERJİ"/>
    <d v="2025-10-30T00:00:00"/>
    <s v=" 2470108BX0012478"/>
    <n v="1"/>
    <s v="HSA-2"/>
    <s v="MAVİÇAM"/>
    <m/>
    <m/>
    <m/>
    <m/>
    <x v="1"/>
    <m/>
    <s v="Haksız"/>
    <x v="9"/>
    <x v="0"/>
  </r>
  <r>
    <n v="2563"/>
    <x v="17"/>
    <s v="ALUFEM"/>
    <d v="2025-10-30T00:00:00"/>
    <s v="22C0108BW0031649"/>
    <n v="1"/>
    <s v="HSA-1"/>
    <s v="JASOLAR"/>
    <m/>
    <m/>
    <m/>
    <m/>
    <x v="2"/>
    <s v="Tamir"/>
    <s v="Haklı"/>
    <x v="9"/>
    <x v="0"/>
  </r>
  <r>
    <n v="2563"/>
    <x v="17"/>
    <s v="ALUFEM"/>
    <d v="2025-10-30T00:00:00"/>
    <s v="22C0108BW0031702"/>
    <n v="1"/>
    <s v="HSA-1"/>
    <s v="JASOLAR"/>
    <m/>
    <m/>
    <m/>
    <m/>
    <x v="2"/>
    <s v="Tamir"/>
    <s v="Haklı"/>
    <x v="9"/>
    <x v="0"/>
  </r>
  <r>
    <n v="2564"/>
    <x v="1"/>
    <s v="DAIKIN"/>
    <d v="2025-11-03T00:00:00"/>
    <s v="AAAA"/>
    <n v="1"/>
    <s v="HSA-2"/>
    <s v="MAVİÇAM"/>
    <m/>
    <m/>
    <m/>
    <m/>
    <x v="2"/>
    <s v="Tamir"/>
    <s v="Haklı"/>
    <x v="10"/>
    <x v="0"/>
  </r>
  <r>
    <n v="2564"/>
    <x v="1"/>
    <s v="DAIKIN"/>
    <d v="2025-11-03T00:00:00"/>
    <s v="AAAA"/>
    <n v="1"/>
    <s v="HSA-2"/>
    <s v="MAVİÇAM"/>
    <m/>
    <m/>
    <m/>
    <m/>
    <x v="2"/>
    <s v="Tamir"/>
    <s v="Haklı"/>
    <x v="10"/>
    <x v="0"/>
  </r>
  <r>
    <n v="2564"/>
    <x v="1"/>
    <s v="DAIKIN"/>
    <d v="2025-11-03T00:00:00"/>
    <s v="AAAA"/>
    <n v="1"/>
    <s v="HSA-2"/>
    <s v="MAVİÇAM"/>
    <m/>
    <m/>
    <m/>
    <m/>
    <x v="2"/>
    <s v="Tamir"/>
    <s v="Haklı"/>
    <x v="10"/>
    <x v="0"/>
  </r>
  <r>
    <n v="2564"/>
    <x v="1"/>
    <s v="DAIKIN"/>
    <d v="2025-11-03T00:00:00"/>
    <s v="AAAA"/>
    <n v="1"/>
    <s v="HSA-2"/>
    <s v="MAVİÇAM"/>
    <m/>
    <m/>
    <m/>
    <m/>
    <x v="2"/>
    <s v="Tamir"/>
    <s v="Haklı"/>
    <x v="10"/>
    <x v="0"/>
  </r>
  <r>
    <n v="2564"/>
    <x v="1"/>
    <s v="DAIKIN"/>
    <d v="2025-11-03T00:00:00"/>
    <s v="AAAA"/>
    <n v="1"/>
    <s v="HSA-2"/>
    <s v="MAVİÇAM"/>
    <m/>
    <m/>
    <m/>
    <m/>
    <x v="2"/>
    <s v="Tamir"/>
    <s v="Haklı"/>
    <x v="10"/>
    <x v="0"/>
  </r>
  <r>
    <n v="2564"/>
    <x v="1"/>
    <s v="DAIKIN"/>
    <d v="2025-11-03T00:00:00"/>
    <s v="AAAA"/>
    <n v="1"/>
    <s v="HSA-2"/>
    <s v="MAVİÇAM"/>
    <m/>
    <m/>
    <m/>
    <m/>
    <x v="2"/>
    <s v="Tamir"/>
    <s v="Haklı"/>
    <x v="10"/>
    <x v="0"/>
  </r>
  <r>
    <n v="2564"/>
    <x v="1"/>
    <s v="DAIKIN"/>
    <d v="2025-11-03T00:00:00"/>
    <s v="AAAA"/>
    <n v="1"/>
    <s v="HSA-2"/>
    <s v="MAVİÇAM"/>
    <m/>
    <m/>
    <m/>
    <m/>
    <x v="2"/>
    <s v="Tamir"/>
    <s v="Haklı"/>
    <x v="10"/>
    <x v="0"/>
  </r>
  <r>
    <n v="2564"/>
    <x v="1"/>
    <s v="DAIKIN"/>
    <d v="2025-11-03T00:00:00"/>
    <s v="AAAA"/>
    <n v="1"/>
    <s v="HSA-2"/>
    <s v="MAVİÇAM"/>
    <m/>
    <m/>
    <m/>
    <m/>
    <x v="2"/>
    <s v="Tamir"/>
    <s v="Haklı"/>
    <x v="10"/>
    <x v="0"/>
  </r>
  <r>
    <n v="2564"/>
    <x v="1"/>
    <s v="DAIKIN"/>
    <d v="2025-11-03T00:00:00"/>
    <s v="AAAA"/>
    <n v="1"/>
    <s v="HSA-2"/>
    <s v="MAVİÇAM"/>
    <m/>
    <m/>
    <m/>
    <m/>
    <x v="2"/>
    <s v="Tamir"/>
    <s v="Haklı"/>
    <x v="10"/>
    <x v="0"/>
  </r>
  <r>
    <n v="2564"/>
    <x v="1"/>
    <s v="DAIKIN"/>
    <d v="2025-11-03T00:00:00"/>
    <s v="AAAA"/>
    <n v="1"/>
    <s v="HSA-2"/>
    <s v="MAVİÇAM"/>
    <m/>
    <m/>
    <m/>
    <m/>
    <x v="2"/>
    <s v="Tamir"/>
    <s v="Haklı"/>
    <x v="10"/>
    <x v="0"/>
  </r>
  <r>
    <n v="2564"/>
    <x v="1"/>
    <s v="DAIKIN"/>
    <d v="2025-11-03T00:00:00"/>
    <s v="AAAA"/>
    <n v="1"/>
    <s v="HSA-2"/>
    <s v="MAVİÇAM"/>
    <m/>
    <m/>
    <m/>
    <m/>
    <x v="2"/>
    <s v="Tamir"/>
    <s v="Haklı"/>
    <x v="10"/>
    <x v="0"/>
  </r>
  <r>
    <n v="2564"/>
    <x v="1"/>
    <s v="DAIKIN"/>
    <d v="2025-11-03T00:00:00"/>
    <s v="AAAA"/>
    <n v="1"/>
    <s v="HSA-2"/>
    <s v="MAVİÇAM"/>
    <m/>
    <m/>
    <m/>
    <m/>
    <x v="2"/>
    <s v="Tamir"/>
    <s v="Haklı"/>
    <x v="10"/>
    <x v="0"/>
  </r>
  <r>
    <n v="2564"/>
    <x v="1"/>
    <s v="DAIKIN"/>
    <d v="2025-11-03T00:00:00"/>
    <s v="AAAA"/>
    <n v="1"/>
    <s v="HSA-2"/>
    <s v="MAVİÇAM"/>
    <m/>
    <m/>
    <m/>
    <m/>
    <x v="2"/>
    <s v="Tamir"/>
    <s v="Haklı"/>
    <x v="10"/>
    <x v="0"/>
  </r>
  <r>
    <n v="2564"/>
    <x v="1"/>
    <s v="DAIKIN"/>
    <d v="2025-11-03T00:00:00"/>
    <s v="AAAA"/>
    <n v="1"/>
    <s v="HSA-2"/>
    <s v="MAVİÇAM"/>
    <m/>
    <m/>
    <m/>
    <m/>
    <x v="2"/>
    <s v="Tamir"/>
    <s v="Haklı"/>
    <x v="10"/>
    <x v="0"/>
  </r>
  <r>
    <n v="2564"/>
    <x v="1"/>
    <s v="DAIKIN"/>
    <d v="2025-11-03T00:00:00"/>
    <s v="AAAA"/>
    <n v="1"/>
    <s v="HSA-2"/>
    <s v="MAVİÇAM"/>
    <m/>
    <m/>
    <m/>
    <m/>
    <x v="2"/>
    <s v="Tamir"/>
    <s v="Haklı"/>
    <x v="10"/>
    <x v="0"/>
  </r>
  <r>
    <n v="2564"/>
    <x v="1"/>
    <s v="DAIKIN"/>
    <d v="2025-11-03T00:00:00"/>
    <s v="AAAA"/>
    <n v="1"/>
    <s v="HSA-2"/>
    <s v="MAVİÇAM"/>
    <m/>
    <m/>
    <m/>
    <m/>
    <x v="2"/>
    <s v="Tamir"/>
    <s v="Haklı"/>
    <x v="10"/>
    <x v="0"/>
  </r>
  <r>
    <n v="2564"/>
    <x v="1"/>
    <s v="DAIKIN"/>
    <d v="2025-11-03T00:00:00"/>
    <s v="AAAA"/>
    <n v="1"/>
    <s v="HSA-2"/>
    <s v="MAVİÇAM"/>
    <m/>
    <m/>
    <m/>
    <m/>
    <x v="2"/>
    <s v="Tamir"/>
    <s v="Haklı"/>
    <x v="10"/>
    <x v="0"/>
  </r>
  <r>
    <n v="2564"/>
    <x v="1"/>
    <s v="DAIKIN"/>
    <d v="2025-11-03T00:00:00"/>
    <s v="AAAA"/>
    <n v="1"/>
    <s v="HSA-2"/>
    <s v="MAVİÇAM"/>
    <m/>
    <m/>
    <m/>
    <m/>
    <x v="2"/>
    <s v="Tamir"/>
    <s v="Haklı"/>
    <x v="10"/>
    <x v="0"/>
  </r>
  <r>
    <n v="2564"/>
    <x v="1"/>
    <s v="DAIKIN"/>
    <d v="2025-11-03T00:00:00"/>
    <s v="AAAA"/>
    <n v="1"/>
    <s v="HSA-2"/>
    <s v="MAVİÇAM"/>
    <m/>
    <m/>
    <m/>
    <m/>
    <x v="2"/>
    <s v="Tamir"/>
    <s v="Haklı"/>
    <x v="10"/>
    <x v="0"/>
  </r>
  <r>
    <n v="2564"/>
    <x v="1"/>
    <s v="DAIKIN"/>
    <d v="2025-11-03T00:00:00"/>
    <s v="AAAA"/>
    <n v="1"/>
    <s v="HSA-2"/>
    <s v="MAVİÇAM"/>
    <m/>
    <m/>
    <m/>
    <m/>
    <x v="2"/>
    <s v="Tamir"/>
    <s v="Haklı"/>
    <x v="10"/>
    <x v="0"/>
  </r>
  <r>
    <n v="2564"/>
    <x v="1"/>
    <s v="DAIKIN"/>
    <d v="2025-11-03T00:00:00"/>
    <s v="AAAA"/>
    <n v="1"/>
    <s v="HSA-2"/>
    <s v="MAVİÇAM"/>
    <m/>
    <m/>
    <m/>
    <m/>
    <x v="2"/>
    <s v="Tamir"/>
    <s v="Haklı"/>
    <x v="10"/>
    <x v="0"/>
  </r>
  <r>
    <n v="2564"/>
    <x v="1"/>
    <s v="DAIKIN"/>
    <d v="2025-11-03T00:00:00"/>
    <s v="AAAA"/>
    <n v="1"/>
    <s v="HSA-2"/>
    <s v="MAVİÇAM"/>
    <m/>
    <m/>
    <m/>
    <m/>
    <x v="2"/>
    <s v="Tamir"/>
    <s v="Haklı"/>
    <x v="10"/>
    <x v="0"/>
  </r>
  <r>
    <n v="2564"/>
    <x v="1"/>
    <s v="DAIKIN"/>
    <d v="2025-11-03T00:00:00"/>
    <s v="AAAA"/>
    <n v="1"/>
    <s v="HSA-2"/>
    <s v="MAVİÇAM"/>
    <m/>
    <m/>
    <m/>
    <m/>
    <x v="2"/>
    <s v="Tamir"/>
    <s v="Haklı"/>
    <x v="10"/>
    <x v="0"/>
  </r>
  <r>
    <n v="2564"/>
    <x v="1"/>
    <s v="DAIKIN"/>
    <d v="2025-11-03T00:00:00"/>
    <s v="AAAA"/>
    <n v="1"/>
    <s v="HSA-2"/>
    <s v="MAVİÇAM"/>
    <m/>
    <m/>
    <m/>
    <m/>
    <x v="2"/>
    <s v="Tamir"/>
    <s v="Haklı"/>
    <x v="10"/>
    <x v="0"/>
  </r>
  <r>
    <n v="2564"/>
    <x v="1"/>
    <s v="DAIKIN"/>
    <d v="2025-11-03T00:00:00"/>
    <s v="AAAA"/>
    <n v="1"/>
    <s v="HSA-2"/>
    <s v="MAVİÇAM"/>
    <m/>
    <m/>
    <m/>
    <m/>
    <x v="2"/>
    <s v="Tamir"/>
    <s v="Haklı"/>
    <x v="10"/>
    <x v="0"/>
  </r>
  <r>
    <n v="2564"/>
    <x v="1"/>
    <s v="DAIKIN"/>
    <d v="2025-11-03T00:00:00"/>
    <s v="AAAA"/>
    <n v="1"/>
    <s v="HSA-2"/>
    <s v="MAVİÇAM"/>
    <m/>
    <m/>
    <m/>
    <m/>
    <x v="2"/>
    <s v="Tamir"/>
    <s v="Haklı"/>
    <x v="10"/>
    <x v="0"/>
  </r>
  <r>
    <n v="2564"/>
    <x v="1"/>
    <s v="DAIKIN"/>
    <d v="2025-11-03T00:00:00"/>
    <s v="AAAA"/>
    <n v="1"/>
    <s v="HSA-2"/>
    <s v="MAVİÇAM"/>
    <m/>
    <m/>
    <m/>
    <m/>
    <x v="2"/>
    <s v="Tamir"/>
    <s v="Haklı"/>
    <x v="10"/>
    <x v="0"/>
  </r>
  <r>
    <n v="2564"/>
    <x v="1"/>
    <s v="DAIKIN"/>
    <d v="2025-11-03T00:00:00"/>
    <s v="AAAA"/>
    <n v="1"/>
    <s v="HSA-2"/>
    <s v="MAVİÇAM"/>
    <m/>
    <m/>
    <m/>
    <m/>
    <x v="2"/>
    <s v="Tamir"/>
    <s v="Haklı"/>
    <x v="10"/>
    <x v="0"/>
  </r>
  <r>
    <n v="2564"/>
    <x v="1"/>
    <s v="DAIKIN"/>
    <d v="2025-11-03T00:00:00"/>
    <s v="AAAA"/>
    <n v="1"/>
    <s v="HSA-2"/>
    <s v="MAVİÇAM"/>
    <m/>
    <m/>
    <m/>
    <m/>
    <x v="2"/>
    <s v="Tamir"/>
    <s v="Haklı"/>
    <x v="10"/>
    <x v="0"/>
  </r>
  <r>
    <n v="2564"/>
    <x v="1"/>
    <s v="DAIKIN"/>
    <d v="2025-11-03T00:00:00"/>
    <s v="AAAA"/>
    <n v="1"/>
    <s v="HSA-2"/>
    <s v="MAVİÇAM"/>
    <m/>
    <m/>
    <m/>
    <m/>
    <x v="2"/>
    <s v="Tamir"/>
    <s v="Haklı"/>
    <x v="10"/>
    <x v="0"/>
  </r>
  <r>
    <n v="2564"/>
    <x v="1"/>
    <s v="DAIKIN"/>
    <d v="2025-11-03T00:00:00"/>
    <s v="AAAA"/>
    <n v="1"/>
    <s v="HSA-2"/>
    <s v="MAVİÇAM"/>
    <m/>
    <m/>
    <m/>
    <m/>
    <x v="2"/>
    <s v="Tamir"/>
    <s v="Haklı"/>
    <x v="10"/>
    <x v="0"/>
  </r>
  <r>
    <n v="2564"/>
    <x v="1"/>
    <s v="DAIKIN"/>
    <d v="2025-11-03T00:00:00"/>
    <s v="AAAA"/>
    <n v="1"/>
    <s v="HSA-2"/>
    <s v="MAVİÇAM"/>
    <m/>
    <m/>
    <m/>
    <m/>
    <x v="2"/>
    <s v="Tamir"/>
    <s v="Haklı"/>
    <x v="10"/>
    <x v="0"/>
  </r>
  <r>
    <n v="2564"/>
    <x v="1"/>
    <s v="DAIKIN"/>
    <d v="2025-11-03T00:00:00"/>
    <s v="AAAA"/>
    <n v="1"/>
    <s v="HSA-2"/>
    <s v="MAVİÇAM"/>
    <m/>
    <m/>
    <m/>
    <m/>
    <x v="2"/>
    <s v="Tamir"/>
    <s v="Haklı"/>
    <x v="10"/>
    <x v="0"/>
  </r>
  <r>
    <n v="2564"/>
    <x v="1"/>
    <s v="DAIKIN"/>
    <d v="2025-11-03T00:00:00"/>
    <s v="AAAA"/>
    <n v="1"/>
    <s v="HSA-2"/>
    <s v="MAVİÇAM"/>
    <m/>
    <m/>
    <m/>
    <m/>
    <x v="2"/>
    <s v="Tamir"/>
    <s v="Haklı"/>
    <x v="10"/>
    <x v="0"/>
  </r>
  <r>
    <n v="2564"/>
    <x v="1"/>
    <s v="DAIKIN"/>
    <d v="2025-11-03T00:00:00"/>
    <s v="AAAA"/>
    <n v="1"/>
    <s v="HSA-2"/>
    <s v="MAVİÇAM"/>
    <m/>
    <m/>
    <m/>
    <m/>
    <x v="2"/>
    <s v="Tamir"/>
    <s v="Haklı"/>
    <x v="10"/>
    <x v="0"/>
  </r>
  <r>
    <n v="2564"/>
    <x v="1"/>
    <s v="DAIKIN"/>
    <d v="2025-11-03T00:00:00"/>
    <s v="AAAA"/>
    <n v="1"/>
    <s v="HSA-2"/>
    <s v="MAVİÇAM"/>
    <m/>
    <m/>
    <m/>
    <m/>
    <x v="2"/>
    <s v="Tamir"/>
    <s v="Haklı"/>
    <x v="10"/>
    <x v="0"/>
  </r>
  <r>
    <n v="2564"/>
    <x v="1"/>
    <s v="DAIKIN"/>
    <d v="2025-11-03T00:00:00"/>
    <s v="AAAA"/>
    <n v="1"/>
    <s v="HSA-2"/>
    <s v="MAVİÇAM"/>
    <m/>
    <m/>
    <m/>
    <m/>
    <x v="2"/>
    <s v="Tamir"/>
    <s v="Haklı"/>
    <x v="10"/>
    <x v="0"/>
  </r>
  <r>
    <n v="2564"/>
    <x v="1"/>
    <s v="DAIKIN"/>
    <d v="2025-11-03T00:00:00"/>
    <s v="AAAA"/>
    <n v="1"/>
    <s v="HSA-2"/>
    <s v="MAVİÇAM"/>
    <m/>
    <m/>
    <m/>
    <m/>
    <x v="2"/>
    <s v="Tamir"/>
    <s v="Haklı"/>
    <x v="10"/>
    <x v="0"/>
  </r>
  <r>
    <n v="2564"/>
    <x v="1"/>
    <s v="DAIKIN"/>
    <d v="2025-11-03T00:00:00"/>
    <s v="AAAA"/>
    <n v="1"/>
    <s v="HSA-2"/>
    <s v="MAVİÇAM"/>
    <m/>
    <m/>
    <m/>
    <m/>
    <x v="2"/>
    <s v="Tamir"/>
    <s v="Haklı"/>
    <x v="10"/>
    <x v="0"/>
  </r>
  <r>
    <n v="2564"/>
    <x v="1"/>
    <s v="DAIKIN"/>
    <d v="2025-11-03T00:00:00"/>
    <s v="AAAA"/>
    <n v="1"/>
    <s v="HSA-2"/>
    <s v="MAVİÇAM"/>
    <m/>
    <m/>
    <m/>
    <m/>
    <x v="2"/>
    <s v="Tamir"/>
    <s v="Haklı"/>
    <x v="10"/>
    <x v="0"/>
  </r>
  <r>
    <n v="2564"/>
    <x v="1"/>
    <s v="DAIKIN"/>
    <d v="2025-11-03T00:00:00"/>
    <s v="AAAA"/>
    <n v="1"/>
    <s v="HSA-2"/>
    <s v="MAVİÇAM"/>
    <m/>
    <m/>
    <m/>
    <m/>
    <x v="2"/>
    <s v="Tamir"/>
    <s v="Haklı"/>
    <x v="10"/>
    <x v="0"/>
  </r>
  <r>
    <n v="2564"/>
    <x v="1"/>
    <s v="DAIKIN"/>
    <d v="2025-11-03T00:00:00"/>
    <s v="AAAA"/>
    <n v="1"/>
    <s v="HSA-2"/>
    <s v="MAVİÇAM"/>
    <m/>
    <m/>
    <m/>
    <m/>
    <x v="2"/>
    <s v="Tamir"/>
    <s v="Haklı"/>
    <x v="10"/>
    <x v="0"/>
  </r>
  <r>
    <n v="2564"/>
    <x v="1"/>
    <s v="DAIKIN"/>
    <d v="2025-11-03T00:00:00"/>
    <s v="AAAA"/>
    <n v="1"/>
    <s v="HSA-2"/>
    <s v="MAVİÇAM"/>
    <m/>
    <m/>
    <m/>
    <m/>
    <x v="2"/>
    <s v="Tamir"/>
    <s v="Haklı"/>
    <x v="10"/>
    <x v="0"/>
  </r>
  <r>
    <n v="2564"/>
    <x v="1"/>
    <s v="DAIKIN"/>
    <d v="2025-11-03T00:00:00"/>
    <s v="AAAA"/>
    <n v="1"/>
    <s v="HSA-2"/>
    <s v="MAVİÇAM"/>
    <m/>
    <m/>
    <m/>
    <m/>
    <x v="2"/>
    <s v="Tamir"/>
    <s v="Haklı"/>
    <x v="10"/>
    <x v="0"/>
  </r>
  <r>
    <n v="2564"/>
    <x v="1"/>
    <s v="DAIKIN"/>
    <d v="2025-11-03T00:00:00"/>
    <s v="AAAA"/>
    <n v="1"/>
    <s v="HSA-2"/>
    <s v="MAVİÇAM"/>
    <m/>
    <m/>
    <m/>
    <m/>
    <x v="2"/>
    <s v="Tamir"/>
    <s v="Haklı"/>
    <x v="10"/>
    <x v="0"/>
  </r>
  <r>
    <n v="2564"/>
    <x v="1"/>
    <s v="DAIKIN"/>
    <d v="2025-11-03T00:00:00"/>
    <s v="AAAA"/>
    <n v="1"/>
    <s v="HSA-2"/>
    <s v="MAVİÇAM"/>
    <m/>
    <m/>
    <m/>
    <m/>
    <x v="2"/>
    <s v="Tamir"/>
    <s v="Haklı"/>
    <x v="10"/>
    <x v="0"/>
  </r>
  <r>
    <n v="2564"/>
    <x v="1"/>
    <s v="DAIKIN"/>
    <d v="2025-11-03T00:00:00"/>
    <s v="AAAA"/>
    <n v="1"/>
    <s v="HSA-2"/>
    <s v="MAVİÇAM"/>
    <m/>
    <m/>
    <m/>
    <m/>
    <x v="2"/>
    <s v="Tamir"/>
    <s v="Haklı"/>
    <x v="10"/>
    <x v="0"/>
  </r>
  <r>
    <n v="2564"/>
    <x v="1"/>
    <s v="DAIKIN"/>
    <d v="2025-11-03T00:00:00"/>
    <s v="AAAA"/>
    <n v="1"/>
    <s v="HSA-2"/>
    <s v="MAVİÇAM"/>
    <m/>
    <m/>
    <m/>
    <m/>
    <x v="2"/>
    <s v="Tamir"/>
    <s v="Haklı"/>
    <x v="10"/>
    <x v="0"/>
  </r>
  <r>
    <n v="2564"/>
    <x v="1"/>
    <s v="DAIKIN"/>
    <d v="2025-11-03T00:00:00"/>
    <s v="AAAA"/>
    <n v="1"/>
    <s v="HSA-2"/>
    <s v="MAVİÇAM"/>
    <m/>
    <m/>
    <m/>
    <m/>
    <x v="2"/>
    <s v="Tamir"/>
    <s v="Haklı"/>
    <x v="10"/>
    <x v="0"/>
  </r>
  <r>
    <n v="2564"/>
    <x v="1"/>
    <s v="DAIKIN"/>
    <d v="2025-11-03T00:00:00"/>
    <s v="AAAA"/>
    <n v="1"/>
    <s v="HSA-2"/>
    <s v="MAVİÇAM"/>
    <m/>
    <m/>
    <m/>
    <m/>
    <x v="2"/>
    <s v="Tamir"/>
    <s v="Haklı"/>
    <x v="10"/>
    <x v="0"/>
  </r>
  <r>
    <n v="2564"/>
    <x v="1"/>
    <s v="DAIKIN"/>
    <d v="2025-11-03T00:00:00"/>
    <s v="AAAA"/>
    <n v="1"/>
    <s v="HSA-2"/>
    <s v="MAVİÇAM"/>
    <m/>
    <m/>
    <m/>
    <m/>
    <x v="2"/>
    <s v="Tamir"/>
    <s v="Haklı"/>
    <x v="10"/>
    <x v="0"/>
  </r>
  <r>
    <n v="2564"/>
    <x v="1"/>
    <s v="DAIKIN"/>
    <d v="2025-11-03T00:00:00"/>
    <s v="AAAA"/>
    <n v="1"/>
    <s v="HSA-2"/>
    <s v="MAVİÇAM"/>
    <m/>
    <m/>
    <m/>
    <m/>
    <x v="2"/>
    <s v="Tamir"/>
    <s v="Haklı"/>
    <x v="10"/>
    <x v="0"/>
  </r>
  <r>
    <n v="2564"/>
    <x v="1"/>
    <s v="DAIKIN"/>
    <d v="2025-11-03T00:00:00"/>
    <s v="AAAA"/>
    <n v="1"/>
    <s v="HSA-2"/>
    <s v="MAVİÇAM"/>
    <m/>
    <m/>
    <m/>
    <m/>
    <x v="2"/>
    <s v="Tamir"/>
    <s v="Haklı"/>
    <x v="10"/>
    <x v="0"/>
  </r>
  <r>
    <n v="2564"/>
    <x v="1"/>
    <s v="DAIKIN"/>
    <d v="2025-11-03T00:00:00"/>
    <s v="AAAA"/>
    <n v="1"/>
    <s v="HSA-2"/>
    <s v="MAVİÇAM"/>
    <m/>
    <m/>
    <m/>
    <m/>
    <x v="2"/>
    <s v="Tamir"/>
    <s v="Haklı"/>
    <x v="10"/>
    <x v="0"/>
  </r>
  <r>
    <n v="2564"/>
    <x v="1"/>
    <s v="DAIKIN"/>
    <d v="2025-11-03T00:00:00"/>
    <s v="AAAA"/>
    <n v="1"/>
    <s v="HSA-2"/>
    <s v="MAVİÇAM"/>
    <m/>
    <m/>
    <m/>
    <m/>
    <x v="2"/>
    <s v="Tamir"/>
    <s v="Haklı"/>
    <x v="10"/>
    <x v="0"/>
  </r>
  <r>
    <n v="2564"/>
    <x v="1"/>
    <s v="DAIKIN"/>
    <d v="2025-11-03T00:00:00"/>
    <s v="AAAA"/>
    <n v="1"/>
    <s v="HSA-2"/>
    <s v="MAVİÇAM"/>
    <m/>
    <m/>
    <m/>
    <m/>
    <x v="2"/>
    <s v="Tamir"/>
    <s v="Haklı"/>
    <x v="10"/>
    <x v="0"/>
  </r>
  <r>
    <n v="2564"/>
    <x v="1"/>
    <s v="DAIKIN"/>
    <d v="2025-11-03T00:00:00"/>
    <s v="AAAA"/>
    <n v="1"/>
    <s v="HSA-2"/>
    <s v="MAVİÇAM"/>
    <m/>
    <m/>
    <m/>
    <m/>
    <x v="2"/>
    <s v="Tamir"/>
    <s v="Haklı"/>
    <x v="10"/>
    <x v="0"/>
  </r>
  <r>
    <n v="2564"/>
    <x v="1"/>
    <s v="DAIKIN"/>
    <d v="2025-11-03T00:00:00"/>
    <s v="AAAA"/>
    <n v="1"/>
    <s v="HSA-2"/>
    <s v="MAVİÇAM"/>
    <m/>
    <m/>
    <m/>
    <m/>
    <x v="2"/>
    <s v="Tamir"/>
    <s v="Haklı"/>
    <x v="10"/>
    <x v="0"/>
  </r>
  <r>
    <n v="2564"/>
    <x v="1"/>
    <s v="DAIKIN"/>
    <d v="2025-11-03T00:00:00"/>
    <s v="AAAA"/>
    <n v="1"/>
    <s v="HSA-2"/>
    <s v="MAVİÇAM"/>
    <m/>
    <m/>
    <m/>
    <m/>
    <x v="2"/>
    <s v="Tamir"/>
    <s v="Haklı"/>
    <x v="10"/>
    <x v="0"/>
  </r>
  <r>
    <n v="2564"/>
    <x v="1"/>
    <s v="DAIKIN"/>
    <d v="2025-11-03T00:00:00"/>
    <s v="AAAA"/>
    <n v="1"/>
    <s v="HSA-2"/>
    <s v="MAVİÇAM"/>
    <m/>
    <m/>
    <m/>
    <m/>
    <x v="2"/>
    <s v="Tamir"/>
    <s v="Haklı"/>
    <x v="10"/>
    <x v="0"/>
  </r>
  <r>
    <n v="2564"/>
    <x v="1"/>
    <s v="DAIKIN"/>
    <d v="2025-11-03T00:00:00"/>
    <s v="AAAA"/>
    <n v="1"/>
    <s v="HSA-2"/>
    <s v="MAVİÇAM"/>
    <m/>
    <m/>
    <m/>
    <m/>
    <x v="2"/>
    <s v="Tamir"/>
    <s v="Haklı"/>
    <x v="10"/>
    <x v="0"/>
  </r>
  <r>
    <n v="2564"/>
    <x v="1"/>
    <s v="DAIKIN"/>
    <d v="2025-11-03T00:00:00"/>
    <s v="AAAA"/>
    <n v="1"/>
    <s v="HSA-2"/>
    <s v="MAVİÇAM"/>
    <m/>
    <m/>
    <m/>
    <m/>
    <x v="2"/>
    <s v="Tamir"/>
    <s v="Haklı"/>
    <x v="10"/>
    <x v="0"/>
  </r>
  <r>
    <n v="2564"/>
    <x v="1"/>
    <s v="DAIKIN"/>
    <d v="2025-11-03T00:00:00"/>
    <s v="AAAA"/>
    <n v="1"/>
    <s v="HSA-2"/>
    <s v="MAVİÇAM"/>
    <m/>
    <m/>
    <m/>
    <m/>
    <x v="2"/>
    <s v="Tamir"/>
    <s v="Haklı"/>
    <x v="10"/>
    <x v="0"/>
  </r>
  <r>
    <n v="2564"/>
    <x v="1"/>
    <s v="DAIKIN"/>
    <d v="2025-11-03T00:00:00"/>
    <s v="AAAA"/>
    <n v="1"/>
    <s v="HSA-2"/>
    <s v="MAVİÇAM"/>
    <m/>
    <m/>
    <m/>
    <m/>
    <x v="2"/>
    <s v="Tamir"/>
    <s v="Haklı"/>
    <x v="10"/>
    <x v="0"/>
  </r>
  <r>
    <n v="2564"/>
    <x v="1"/>
    <s v="DAIKIN"/>
    <d v="2025-11-03T00:00:00"/>
    <s v="AAAA"/>
    <n v="1"/>
    <s v="HSA-2"/>
    <s v="MAVİÇAM"/>
    <m/>
    <m/>
    <m/>
    <m/>
    <x v="2"/>
    <s v="Tamir"/>
    <s v="Haklı"/>
    <x v="10"/>
    <x v="0"/>
  </r>
  <r>
    <n v="2564"/>
    <x v="1"/>
    <s v="DAIKIN"/>
    <d v="2025-11-03T00:00:00"/>
    <s v="AAAA"/>
    <n v="1"/>
    <s v="HSA-2"/>
    <s v="MAVİÇAM"/>
    <m/>
    <m/>
    <m/>
    <m/>
    <x v="2"/>
    <s v="Tamir"/>
    <s v="Haklı"/>
    <x v="10"/>
    <x v="0"/>
  </r>
  <r>
    <n v="2564"/>
    <x v="1"/>
    <s v="DAIKIN"/>
    <d v="2025-11-03T00:00:00"/>
    <s v="AAAA"/>
    <n v="1"/>
    <s v="HSA-2"/>
    <s v="MAVİÇAM"/>
    <m/>
    <m/>
    <m/>
    <m/>
    <x v="2"/>
    <s v="Tamir"/>
    <s v="Haklı"/>
    <x v="10"/>
    <x v="0"/>
  </r>
  <r>
    <n v="2564"/>
    <x v="1"/>
    <s v="DAIKIN"/>
    <d v="2025-11-03T00:00:00"/>
    <s v="AAAA"/>
    <n v="1"/>
    <s v="HSA-2"/>
    <s v="MAVİÇAM"/>
    <m/>
    <m/>
    <m/>
    <m/>
    <x v="2"/>
    <s v="Tamir"/>
    <s v="Haklı"/>
    <x v="10"/>
    <x v="0"/>
  </r>
  <r>
    <n v="2564"/>
    <x v="1"/>
    <s v="DAIKIN"/>
    <d v="2025-11-03T00:00:00"/>
    <s v="AAAA"/>
    <n v="1"/>
    <s v="HSA-2"/>
    <s v="MAVİÇAM"/>
    <m/>
    <m/>
    <m/>
    <m/>
    <x v="2"/>
    <s v="Tamir"/>
    <s v="Haklı"/>
    <x v="10"/>
    <x v="0"/>
  </r>
  <r>
    <n v="2564"/>
    <x v="1"/>
    <s v="DAIKIN"/>
    <d v="2025-11-03T00:00:00"/>
    <s v="AAAA"/>
    <n v="1"/>
    <s v="HSA-2"/>
    <s v="MAVİÇAM"/>
    <m/>
    <m/>
    <m/>
    <m/>
    <x v="2"/>
    <s v="Tamir"/>
    <s v="Haklı"/>
    <x v="10"/>
    <x v="0"/>
  </r>
  <r>
    <n v="2564"/>
    <x v="1"/>
    <s v="DAIKIN"/>
    <d v="2025-11-03T00:00:00"/>
    <s v="AAAA"/>
    <n v="1"/>
    <s v="HSA-2"/>
    <s v="MAVİÇAM"/>
    <m/>
    <m/>
    <m/>
    <m/>
    <x v="2"/>
    <s v="Tamir"/>
    <s v="Haklı"/>
    <x v="10"/>
    <x v="0"/>
  </r>
  <r>
    <n v="2564"/>
    <x v="1"/>
    <s v="DAIKIN"/>
    <d v="2025-11-03T00:00:00"/>
    <s v="AAAA"/>
    <n v="1"/>
    <s v="HSA-2"/>
    <s v="MAVİÇAM"/>
    <m/>
    <m/>
    <m/>
    <m/>
    <x v="2"/>
    <s v="Tamir"/>
    <s v="Haklı"/>
    <x v="10"/>
    <x v="0"/>
  </r>
  <r>
    <n v="2564"/>
    <x v="1"/>
    <s v="DAIKIN"/>
    <d v="2025-11-03T00:00:00"/>
    <s v="AAAA"/>
    <n v="1"/>
    <s v="HSA-2"/>
    <s v="MAVİÇAM"/>
    <m/>
    <m/>
    <m/>
    <m/>
    <x v="2"/>
    <s v="Tamir"/>
    <s v="Haklı"/>
    <x v="10"/>
    <x v="0"/>
  </r>
  <r>
    <n v="2564"/>
    <x v="1"/>
    <s v="DAIKIN"/>
    <d v="2025-11-03T00:00:00"/>
    <s v="AAAA"/>
    <n v="1"/>
    <s v="HSA-2"/>
    <s v="MAVİÇAM"/>
    <m/>
    <m/>
    <m/>
    <m/>
    <x v="2"/>
    <s v="Tamir"/>
    <s v="Haklı"/>
    <x v="10"/>
    <x v="0"/>
  </r>
  <r>
    <n v="2564"/>
    <x v="1"/>
    <s v="DAIKIN"/>
    <d v="2025-11-03T00:00:00"/>
    <s v="AAAA"/>
    <n v="1"/>
    <s v="HSA-2"/>
    <s v="MAVİÇAM"/>
    <m/>
    <m/>
    <m/>
    <m/>
    <x v="2"/>
    <s v="Tamir"/>
    <s v="Haklı"/>
    <x v="10"/>
    <x v="0"/>
  </r>
  <r>
    <n v="2564"/>
    <x v="1"/>
    <s v="DAIKIN"/>
    <d v="2025-11-03T00:00:00"/>
    <s v="AAAA"/>
    <n v="1"/>
    <s v="HSA-2"/>
    <s v="MAVİÇAM"/>
    <m/>
    <m/>
    <m/>
    <m/>
    <x v="2"/>
    <s v="Tamir"/>
    <s v="Haklı"/>
    <x v="10"/>
    <x v="0"/>
  </r>
  <r>
    <n v="2564"/>
    <x v="1"/>
    <s v="DAIKIN"/>
    <d v="2025-11-03T00:00:00"/>
    <s v="AAAA"/>
    <n v="1"/>
    <s v="HSA-2"/>
    <s v="MAVİÇAM"/>
    <m/>
    <m/>
    <m/>
    <m/>
    <x v="2"/>
    <s v="Tamir"/>
    <s v="Haklı"/>
    <x v="10"/>
    <x v="0"/>
  </r>
  <r>
    <n v="2564"/>
    <x v="1"/>
    <s v="DAIKIN"/>
    <d v="2025-11-03T00:00:00"/>
    <s v="AAAA"/>
    <n v="1"/>
    <s v="HSA-2"/>
    <s v="MAVİÇAM"/>
    <m/>
    <m/>
    <m/>
    <m/>
    <x v="2"/>
    <s v="Tamir"/>
    <s v="Haklı"/>
    <x v="10"/>
    <x v="0"/>
  </r>
  <r>
    <n v="2564"/>
    <x v="1"/>
    <s v="DAIKIN"/>
    <d v="2025-11-03T00:00:00"/>
    <s v="AAAA"/>
    <n v="1"/>
    <s v="HSA-2"/>
    <s v="MAVİÇAM"/>
    <m/>
    <m/>
    <m/>
    <m/>
    <x v="2"/>
    <s v="Tamir"/>
    <s v="Haklı"/>
    <x v="10"/>
    <x v="0"/>
  </r>
  <r>
    <n v="2564"/>
    <x v="1"/>
    <s v="DAIKIN"/>
    <d v="2025-11-03T00:00:00"/>
    <s v="AAAA"/>
    <n v="1"/>
    <s v="HSA-2"/>
    <s v="MAVİÇAM"/>
    <m/>
    <m/>
    <m/>
    <m/>
    <x v="2"/>
    <s v="Tamir"/>
    <s v="Haklı"/>
    <x v="10"/>
    <x v="0"/>
  </r>
  <r>
    <n v="2564"/>
    <x v="1"/>
    <s v="DAIKIN"/>
    <d v="2025-11-03T00:00:00"/>
    <s v="AAAA"/>
    <n v="1"/>
    <s v="HSA-2"/>
    <s v="MAVİÇAM"/>
    <m/>
    <m/>
    <m/>
    <m/>
    <x v="2"/>
    <s v="Tamir"/>
    <s v="Haklı"/>
    <x v="10"/>
    <x v="0"/>
  </r>
  <r>
    <n v="2564"/>
    <x v="1"/>
    <s v="DAIKIN"/>
    <d v="2025-11-03T00:00:00"/>
    <s v="AAAA"/>
    <n v="1"/>
    <s v="HSA-2"/>
    <s v="MAVİÇAM"/>
    <m/>
    <m/>
    <m/>
    <m/>
    <x v="2"/>
    <s v="Tamir"/>
    <s v="Haklı"/>
    <x v="10"/>
    <x v="0"/>
  </r>
  <r>
    <n v="2564"/>
    <x v="1"/>
    <s v="DAIKIN"/>
    <d v="2025-11-03T00:00:00"/>
    <s v="AAAA"/>
    <n v="1"/>
    <s v="HSA-2"/>
    <s v="MAVİÇAM"/>
    <m/>
    <m/>
    <m/>
    <m/>
    <x v="2"/>
    <s v="Tamir"/>
    <s v="Haklı"/>
    <x v="10"/>
    <x v="0"/>
  </r>
  <r>
    <n v="2564"/>
    <x v="1"/>
    <s v="DAIKIN"/>
    <d v="2025-11-03T00:00:00"/>
    <s v="AAAA"/>
    <n v="1"/>
    <s v="HSA-2"/>
    <s v="MAVİÇAM"/>
    <m/>
    <m/>
    <m/>
    <m/>
    <x v="2"/>
    <s v="Tamir"/>
    <s v="Haklı"/>
    <x v="10"/>
    <x v="0"/>
  </r>
  <r>
    <n v="2564"/>
    <x v="1"/>
    <s v="DAIKIN"/>
    <d v="2025-11-03T00:00:00"/>
    <s v="AAAA"/>
    <n v="1"/>
    <s v="HSA-2"/>
    <s v="MAVİÇAM"/>
    <m/>
    <m/>
    <m/>
    <m/>
    <x v="2"/>
    <s v="Tamir"/>
    <s v="Haklı"/>
    <x v="10"/>
    <x v="0"/>
  </r>
  <r>
    <n v="2564"/>
    <x v="1"/>
    <s v="DAIKIN"/>
    <d v="2025-11-03T00:00:00"/>
    <s v="AAAA"/>
    <n v="1"/>
    <s v="HSA-2"/>
    <s v="MAVİÇAM"/>
    <m/>
    <m/>
    <m/>
    <m/>
    <x v="2"/>
    <s v="Tamir"/>
    <s v="Haklı"/>
    <x v="10"/>
    <x v="0"/>
  </r>
  <r>
    <n v="2564"/>
    <x v="1"/>
    <s v="DAIKIN"/>
    <d v="2025-11-03T00:00:00"/>
    <s v="AAAA"/>
    <n v="1"/>
    <s v="HSA-2"/>
    <s v="MAVİÇAM"/>
    <m/>
    <m/>
    <m/>
    <m/>
    <x v="2"/>
    <s v="Tamir"/>
    <s v="Haklı"/>
    <x v="10"/>
    <x v="0"/>
  </r>
  <r>
    <n v="2564"/>
    <x v="1"/>
    <s v="DAIKIN"/>
    <d v="2025-11-03T00:00:00"/>
    <s v="AAAA"/>
    <n v="1"/>
    <s v="HSA-2"/>
    <s v="MAVİÇAM"/>
    <m/>
    <m/>
    <m/>
    <m/>
    <x v="2"/>
    <s v="Tamir"/>
    <s v="Haklı"/>
    <x v="10"/>
    <x v="0"/>
  </r>
  <r>
    <n v="2565"/>
    <x v="0"/>
    <s v="ENTEGRO"/>
    <d v="2025-11-20T00:00:00"/>
    <s v="2320108MC2011418"/>
    <n v="1"/>
    <s v="HSA-2"/>
    <s v="MAVİÇAM"/>
    <m/>
    <m/>
    <m/>
    <m/>
    <x v="2"/>
    <s v="Tamir"/>
    <s v="Haklı"/>
    <x v="10"/>
    <x v="0"/>
  </r>
  <r>
    <n v="2565"/>
    <x v="0"/>
    <s v="ENTEGRO"/>
    <d v="2025-11-20T00:00:00"/>
    <s v="2320108MC2019769"/>
    <n v="1"/>
    <s v="HSA-2"/>
    <s v="MAVİÇAM"/>
    <m/>
    <m/>
    <m/>
    <m/>
    <x v="2"/>
    <s v="Tamir"/>
    <s v="Haklı"/>
    <x v="10"/>
    <x v="0"/>
  </r>
  <r>
    <n v="2566"/>
    <x v="16"/>
    <s v="CANSUYUHAYVANCILIK"/>
    <d v="2025-12-08T00:00:00"/>
    <s v="2520107BW0001100"/>
    <n v="1"/>
    <s v="HSA-1"/>
    <s v="JASOLAR"/>
    <m/>
    <m/>
    <m/>
    <m/>
    <x v="1"/>
    <m/>
    <s v="Haksız"/>
    <x v="11"/>
    <x v="0"/>
  </r>
  <r>
    <n v="2566"/>
    <x v="16"/>
    <s v="CANSUYUHAYVANCILIK"/>
    <d v="2025-12-08T00:00:00"/>
    <s v="2520107BW005987"/>
    <n v="1"/>
    <s v="HSA-1"/>
    <s v="JASOLAR"/>
    <m/>
    <m/>
    <m/>
    <m/>
    <x v="1"/>
    <m/>
    <s v="Haksız"/>
    <x v="11"/>
    <x v="0"/>
  </r>
  <r>
    <n v="2566"/>
    <x v="16"/>
    <s v="CANSUYUHAYVANCILIK"/>
    <d v="2025-12-08T00:00:00"/>
    <s v="2520107BW0006137"/>
    <n v="1"/>
    <s v="HSA-1"/>
    <s v="JASOLAR"/>
    <m/>
    <m/>
    <m/>
    <m/>
    <x v="1"/>
    <m/>
    <s v="Haksız"/>
    <x v="11"/>
    <x v="0"/>
  </r>
  <r>
    <n v="2566"/>
    <x v="16"/>
    <s v="CANSUYUHAYVANCILIK"/>
    <d v="2025-12-08T00:00:00"/>
    <s v="2520107BW0006224"/>
    <n v="1"/>
    <s v="HSA-1"/>
    <s v="JASOLAR"/>
    <m/>
    <m/>
    <m/>
    <m/>
    <x v="1"/>
    <m/>
    <s v="Haksız"/>
    <x v="11"/>
    <x v="0"/>
  </r>
  <r>
    <n v="2566"/>
    <x v="16"/>
    <s v="CANSUYUHAYVANCILIK"/>
    <d v="2025-12-08T00:00:00"/>
    <s v="2520107BW0001793"/>
    <n v="1"/>
    <s v="HSA-1"/>
    <s v="JASOLAR"/>
    <m/>
    <m/>
    <m/>
    <m/>
    <x v="1"/>
    <m/>
    <s v="Haksız"/>
    <x v="11"/>
    <x v="0"/>
  </r>
  <r>
    <n v="2566"/>
    <x v="16"/>
    <s v="CANSUYUHAYVANCILIK"/>
    <d v="2025-12-08T00:00:00"/>
    <s v="2520107BW0000889"/>
    <n v="1"/>
    <s v="HSA-1"/>
    <s v="JASOLAR"/>
    <m/>
    <m/>
    <m/>
    <m/>
    <x v="1"/>
    <m/>
    <s v="Haksız"/>
    <x v="11"/>
    <x v="0"/>
  </r>
  <r>
    <n v="2567"/>
    <x v="33"/>
    <s v="METİNAYAZ"/>
    <d v="2025-12-09T00:00:00"/>
    <s v="24C0107BW0027728"/>
    <n v="1"/>
    <s v="HSA-1"/>
    <s v="MAVİÇAM"/>
    <m/>
    <m/>
    <m/>
    <m/>
    <x v="8"/>
    <m/>
    <s v="Devam Ediyor"/>
    <x v="11"/>
    <x v="0"/>
  </r>
  <r>
    <n v="2567"/>
    <x v="33"/>
    <s v="METİNAYAZ"/>
    <d v="2025-12-09T00:00:00"/>
    <s v="24C0107BW0034300"/>
    <n v="1"/>
    <s v="HSA-1"/>
    <s v="MAVİÇAM"/>
    <m/>
    <m/>
    <m/>
    <m/>
    <x v="8"/>
    <m/>
    <s v="Devam Ediyor"/>
    <x v="11"/>
    <x v="0"/>
  </r>
  <r>
    <n v="2567"/>
    <x v="33"/>
    <s v="METİNAYAZ"/>
    <d v="2025-12-09T00:00:00"/>
    <s v="24A0107BW0043630"/>
    <n v="1"/>
    <s v="HSA-1"/>
    <s v="MAVİÇAM"/>
    <m/>
    <m/>
    <m/>
    <m/>
    <x v="8"/>
    <m/>
    <s v="Devam Ediyor"/>
    <x v="11"/>
    <x v="0"/>
  </r>
  <r>
    <n v="2567"/>
    <x v="33"/>
    <s v="METİNAYAZ"/>
    <d v="2025-12-09T00:00:00"/>
    <s v="24A0107BW0050063"/>
    <n v="1"/>
    <s v="HSA-1"/>
    <s v="MAVİÇAM"/>
    <m/>
    <m/>
    <m/>
    <m/>
    <x v="8"/>
    <m/>
    <s v="Devam Ediyor"/>
    <x v="11"/>
    <x v="0"/>
  </r>
  <r>
    <n v="2567"/>
    <x v="33"/>
    <s v="METİNAYAZ"/>
    <d v="2025-12-09T00:00:00"/>
    <s v="24B0107BW0004714"/>
    <n v="1"/>
    <s v="HSA-1"/>
    <s v="MAVİÇAM"/>
    <m/>
    <m/>
    <m/>
    <m/>
    <x v="8"/>
    <m/>
    <s v="Devam Ediyor"/>
    <x v="11"/>
    <x v="0"/>
  </r>
  <r>
    <n v="2567"/>
    <x v="33"/>
    <s v="METİNAYAZ"/>
    <d v="2025-12-09T00:00:00"/>
    <s v="24C0107BW0043841"/>
    <n v="1"/>
    <s v="HSA-1"/>
    <s v="MAVİÇAM"/>
    <m/>
    <m/>
    <m/>
    <m/>
    <x v="8"/>
    <m/>
    <s v="Devam Ediyor"/>
    <x v="11"/>
    <x v="0"/>
  </r>
  <r>
    <n v="2567"/>
    <x v="33"/>
    <s v="METİNAYAZ"/>
    <d v="2025-12-09T00:00:00"/>
    <s v="24C0107BW0027872"/>
    <n v="1"/>
    <s v="HSA-1"/>
    <s v="MAVİÇAM"/>
    <m/>
    <m/>
    <m/>
    <m/>
    <x v="8"/>
    <m/>
    <s v="Devam Ediyor"/>
    <x v="11"/>
    <x v="0"/>
  </r>
  <r>
    <n v="2567"/>
    <x v="33"/>
    <s v="METİNAYAZ"/>
    <d v="2025-12-09T00:00:00"/>
    <s v="24C0107BW0034613"/>
    <n v="1"/>
    <s v="HSA-1"/>
    <s v="MAVİÇAM"/>
    <m/>
    <m/>
    <m/>
    <m/>
    <x v="8"/>
    <m/>
    <s v="Devam Ediyor"/>
    <x v="11"/>
    <x v="0"/>
  </r>
  <r>
    <n v="2567"/>
    <x v="33"/>
    <s v="METİNAYAZ"/>
    <d v="2025-12-09T00:00:00"/>
    <s v="24C0107BW0037853"/>
    <n v="1"/>
    <s v="HSA-1"/>
    <s v="MAVİÇAM"/>
    <m/>
    <m/>
    <m/>
    <m/>
    <x v="8"/>
    <m/>
    <s v="Devam Ediyor"/>
    <x v="11"/>
    <x v="0"/>
  </r>
  <r>
    <n v="2567"/>
    <x v="33"/>
    <s v="METİNAYAZ"/>
    <d v="2025-12-09T00:00:00"/>
    <s v="2460307MC1002108"/>
    <n v="1"/>
    <s v="HSA-1"/>
    <s v="MAVİÇAM"/>
    <m/>
    <m/>
    <m/>
    <m/>
    <x v="8"/>
    <m/>
    <s v="Devam Ediyor"/>
    <x v="11"/>
    <x v="0"/>
  </r>
  <r>
    <n v="2567"/>
    <x v="33"/>
    <s v="METİNAYAZ"/>
    <d v="2025-12-09T00:00:00"/>
    <s v="24B0107BW0004716"/>
    <n v="1"/>
    <s v="HSA-1"/>
    <s v="MAVİÇAM"/>
    <m/>
    <m/>
    <m/>
    <m/>
    <x v="8"/>
    <m/>
    <s v="Devam Ediyor"/>
    <x v="11"/>
    <x v="0"/>
  </r>
  <r>
    <n v="2567"/>
    <x v="33"/>
    <s v="METİNAYAZ"/>
    <d v="2025-12-09T00:00:00"/>
    <s v="24B0107BW0000567"/>
    <n v="1"/>
    <s v="HSA-1"/>
    <s v="MAVİÇAM"/>
    <m/>
    <m/>
    <m/>
    <m/>
    <x v="8"/>
    <m/>
    <s v="Devam Ediyor"/>
    <x v="11"/>
    <x v="0"/>
  </r>
  <r>
    <n v="2567"/>
    <x v="33"/>
    <s v="METİNAYAZ"/>
    <d v="2025-12-09T00:00:00"/>
    <s v="24A0107BW0022015"/>
    <n v="1"/>
    <s v="HSA-1"/>
    <s v="MAVİÇAM"/>
    <m/>
    <m/>
    <m/>
    <m/>
    <x v="8"/>
    <m/>
    <s v="Devam Ediyor"/>
    <x v="11"/>
    <x v="0"/>
  </r>
  <r>
    <n v="2567"/>
    <x v="33"/>
    <s v="METİNAYAZ"/>
    <d v="2025-12-09T00:00:00"/>
    <s v="24C0107BW0029465"/>
    <n v="1"/>
    <s v="HSA-1"/>
    <s v="MAVİÇAM"/>
    <m/>
    <m/>
    <m/>
    <m/>
    <x v="8"/>
    <m/>
    <s v="Devam Ediyor"/>
    <x v="11"/>
    <x v="0"/>
  </r>
  <r>
    <n v="2567"/>
    <x v="33"/>
    <s v="METİNAYAZ"/>
    <d v="2025-12-09T00:00:00"/>
    <s v="24C0107BW0032557"/>
    <n v="1"/>
    <s v="HSA-1"/>
    <s v="MAVİÇAM"/>
    <m/>
    <m/>
    <m/>
    <m/>
    <x v="8"/>
    <m/>
    <s v="Devam Ediyor"/>
    <x v="11"/>
    <x v="0"/>
  </r>
  <r>
    <n v="2567"/>
    <x v="33"/>
    <s v="METİNAYAZ"/>
    <d v="2025-12-09T00:00:00"/>
    <s v="24C0107BW0032329"/>
    <n v="1"/>
    <s v="HSA-1"/>
    <s v="MAVİÇAM"/>
    <m/>
    <m/>
    <m/>
    <m/>
    <x v="8"/>
    <m/>
    <s v="Devam Ediyor"/>
    <x v="11"/>
    <x v="0"/>
  </r>
  <r>
    <n v="2567"/>
    <x v="33"/>
    <s v="METİNAYAZ"/>
    <d v="2025-12-09T00:00:00"/>
    <s v="24C0107BW0031126"/>
    <n v="1"/>
    <s v="HSA-1"/>
    <s v="MAVİÇAM"/>
    <m/>
    <m/>
    <m/>
    <m/>
    <x v="8"/>
    <m/>
    <s v="Devam Ediyor"/>
    <x v="11"/>
    <x v="0"/>
  </r>
  <r>
    <n v="2567"/>
    <x v="33"/>
    <s v="METİNAYAZ"/>
    <d v="2025-12-09T00:00:00"/>
    <s v="24C0107BW0031193"/>
    <n v="1"/>
    <s v="HSA-1"/>
    <s v="MAVİÇAM"/>
    <m/>
    <m/>
    <m/>
    <m/>
    <x v="8"/>
    <m/>
    <s v="Devam Ediyor"/>
    <x v="11"/>
    <x v="0"/>
  </r>
  <r>
    <n v="2567"/>
    <x v="33"/>
    <s v="METİNAYAZ"/>
    <d v="2025-12-09T00:00:00"/>
    <s v="24C0107BW0029697"/>
    <n v="1"/>
    <s v="HSA-1"/>
    <s v="MAVİÇAM"/>
    <m/>
    <m/>
    <m/>
    <m/>
    <x v="8"/>
    <m/>
    <s v="Devam Ediyor"/>
    <x v="11"/>
    <x v="0"/>
  </r>
  <r>
    <n v="2567"/>
    <x v="33"/>
    <s v="METİNAYAZ"/>
    <d v="2025-12-09T00:00:00"/>
    <s v="24C0107BW0029688"/>
    <n v="1"/>
    <s v="HSA-1"/>
    <s v="MAVİÇAM"/>
    <m/>
    <m/>
    <m/>
    <m/>
    <x v="8"/>
    <m/>
    <s v="Devam Ediyor"/>
    <x v="11"/>
    <x v="0"/>
  </r>
  <r>
    <n v="2567"/>
    <x v="33"/>
    <s v="METİNAYAZ"/>
    <d v="2025-12-09T00:00:00"/>
    <s v="24C0107BW0041841"/>
    <n v="1"/>
    <s v="HSA-1"/>
    <s v="MAVİÇAM"/>
    <m/>
    <m/>
    <m/>
    <m/>
    <x v="8"/>
    <m/>
    <s v="Devam Ediyor"/>
    <x v="11"/>
    <x v="0"/>
  </r>
  <r>
    <n v="2567"/>
    <x v="33"/>
    <s v="METİNAYAZ"/>
    <d v="2025-12-09T00:00:00"/>
    <s v="24C0107BW0042050"/>
    <n v="1"/>
    <s v="HSA-1"/>
    <s v="MAVİÇAM"/>
    <m/>
    <m/>
    <m/>
    <m/>
    <x v="8"/>
    <m/>
    <s v="Devam Ediyor"/>
    <x v="11"/>
    <x v="0"/>
  </r>
  <r>
    <n v="2567"/>
    <x v="33"/>
    <s v="METİNAYAZ"/>
    <d v="2025-12-09T00:00:00"/>
    <s v="24C0107BW0041866"/>
    <n v="1"/>
    <s v="HSA-1"/>
    <s v="MAVİÇAM"/>
    <m/>
    <m/>
    <m/>
    <m/>
    <x v="8"/>
    <m/>
    <s v="Devam Ediyor"/>
    <x v="11"/>
    <x v="0"/>
  </r>
  <r>
    <n v="2567"/>
    <x v="33"/>
    <s v="METİNAYAZ"/>
    <d v="2025-12-09T00:00:00"/>
    <s v="24C0107BW0044461"/>
    <n v="1"/>
    <s v="HSA-1"/>
    <s v="MAVİÇAM"/>
    <m/>
    <m/>
    <m/>
    <m/>
    <x v="8"/>
    <m/>
    <s v="Devam Ediyor"/>
    <x v="11"/>
    <x v="0"/>
  </r>
  <r>
    <n v="2567"/>
    <x v="33"/>
    <s v="METİNAYAZ"/>
    <d v="2025-12-09T00:00:00"/>
    <s v="24C0107BW0044503"/>
    <n v="1"/>
    <s v="HSA-1"/>
    <s v="MAVİÇAM"/>
    <m/>
    <m/>
    <m/>
    <m/>
    <x v="8"/>
    <m/>
    <s v="Devam Ediyor"/>
    <x v="11"/>
    <x v="0"/>
  </r>
  <r>
    <n v="2567"/>
    <x v="33"/>
    <s v="METİNAYAZ"/>
    <d v="2025-12-09T00:00:00"/>
    <s v="24C0107BW0044521"/>
    <n v="1"/>
    <s v="HSA-1"/>
    <s v="MAVİÇAM"/>
    <m/>
    <m/>
    <m/>
    <m/>
    <x v="8"/>
    <m/>
    <s v="Devam Ediyor"/>
    <x v="11"/>
    <x v="0"/>
  </r>
  <r>
    <n v="2567"/>
    <x v="33"/>
    <s v="METİNAYAZ"/>
    <d v="2025-12-09T00:00:00"/>
    <s v="24C0107BW0044501"/>
    <n v="1"/>
    <s v="HSA-1"/>
    <s v="MAVİÇAM"/>
    <m/>
    <m/>
    <m/>
    <m/>
    <x v="8"/>
    <m/>
    <s v="Devam Ediyor"/>
    <x v="11"/>
    <x v="0"/>
  </r>
  <r>
    <n v="2567"/>
    <x v="33"/>
    <s v="METİNAYAZ"/>
    <d v="2025-12-09T00:00:00"/>
    <s v="24C0107BW0037782"/>
    <n v="1"/>
    <s v="HSA-1"/>
    <s v="MAVİÇAM"/>
    <m/>
    <m/>
    <m/>
    <m/>
    <x v="8"/>
    <m/>
    <s v="Devam Ediyor"/>
    <x v="11"/>
    <x v="0"/>
  </r>
  <r>
    <n v="2567"/>
    <x v="33"/>
    <s v="METİNAYAZ"/>
    <d v="2025-12-09T00:00:00"/>
    <s v="2460307MC1001661"/>
    <n v="1"/>
    <s v="HSA-1"/>
    <s v="MAVİÇAM"/>
    <m/>
    <m/>
    <m/>
    <m/>
    <x v="8"/>
    <m/>
    <s v="Devam Ediyor"/>
    <x v="11"/>
    <x v="0"/>
  </r>
  <r>
    <n v="2567"/>
    <x v="33"/>
    <s v="METİNAYAZ"/>
    <d v="2025-12-09T00:00:00"/>
    <s v="2460307MC1003139"/>
    <n v="1"/>
    <s v="HSA-1"/>
    <s v="MAVİÇAM"/>
    <m/>
    <m/>
    <m/>
    <m/>
    <x v="8"/>
    <m/>
    <s v="Devam Ediyor"/>
    <x v="11"/>
    <x v="0"/>
  </r>
  <r>
    <n v="2567"/>
    <x v="33"/>
    <s v="METİNAYAZ"/>
    <d v="2025-12-09T00:00:00"/>
    <s v="2460307MC1002101"/>
    <n v="1"/>
    <s v="HSA-1"/>
    <s v="MAVİÇAM"/>
    <m/>
    <m/>
    <m/>
    <m/>
    <x v="8"/>
    <m/>
    <s v="Devam Ediyor"/>
    <x v="11"/>
    <x v="0"/>
  </r>
  <r>
    <n v="2567"/>
    <x v="33"/>
    <s v="METİNAYAZ"/>
    <d v="2025-12-09T00:00:00"/>
    <s v="24C0107BW0026069"/>
    <n v="1"/>
    <s v="HSA-1"/>
    <s v="MAVİÇAM"/>
    <m/>
    <m/>
    <m/>
    <m/>
    <x v="8"/>
    <m/>
    <s v="Devam Ediyor"/>
    <x v="11"/>
    <x v="0"/>
  </r>
  <r>
    <n v="2567"/>
    <x v="33"/>
    <s v="METİNAYAZ"/>
    <d v="2025-12-09T00:00:00"/>
    <s v="24C0107BW0014022"/>
    <n v="1"/>
    <s v="HSA-1"/>
    <s v="MAVİÇAM"/>
    <m/>
    <m/>
    <m/>
    <m/>
    <x v="8"/>
    <m/>
    <s v="Devam Ediyor"/>
    <x v="11"/>
    <x v="0"/>
  </r>
  <r>
    <n v="2567"/>
    <x v="33"/>
    <s v="METİNAYAZ"/>
    <d v="2025-12-09T00:00:00"/>
    <s v="24C0107BW0015584"/>
    <n v="1"/>
    <s v="HSA-1"/>
    <s v="MAVİÇAM"/>
    <m/>
    <m/>
    <m/>
    <m/>
    <x v="8"/>
    <m/>
    <s v="Devam Ediyor"/>
    <x v="11"/>
    <x v="0"/>
  </r>
  <r>
    <n v="2567"/>
    <x v="33"/>
    <s v="METİNAYAZ"/>
    <d v="2025-12-09T00:00:00"/>
    <s v="24C0107BW0029875"/>
    <n v="1"/>
    <s v="HSA-1"/>
    <s v="MAVİÇAM"/>
    <m/>
    <m/>
    <m/>
    <m/>
    <x v="8"/>
    <m/>
    <s v="Devam Ediyor"/>
    <x v="11"/>
    <x v="0"/>
  </r>
  <r>
    <n v="2567"/>
    <x v="33"/>
    <s v="METİNAYAZ"/>
    <d v="2025-12-09T00:00:00"/>
    <s v="24C0107BW0029519"/>
    <n v="1"/>
    <s v="HSA-1"/>
    <s v="MAVİÇAM"/>
    <m/>
    <m/>
    <m/>
    <m/>
    <x v="8"/>
    <m/>
    <s v="Devam Ediyor"/>
    <x v="11"/>
    <x v="0"/>
  </r>
  <r>
    <n v="2567"/>
    <x v="33"/>
    <s v="METİNAYAZ"/>
    <d v="2025-12-09T00:00:00"/>
    <s v="24C0107BW0029535"/>
    <n v="1"/>
    <s v="HSA-1"/>
    <s v="MAVİÇAM"/>
    <m/>
    <m/>
    <m/>
    <m/>
    <x v="8"/>
    <m/>
    <s v="Devam Ediyor"/>
    <x v="11"/>
    <x v="0"/>
  </r>
  <r>
    <n v="2567"/>
    <x v="33"/>
    <s v="METİNAYAZ"/>
    <d v="2025-12-09T00:00:00"/>
    <s v="24C0107BW0011979"/>
    <n v="1"/>
    <s v="HSA-1"/>
    <s v="MAVİÇAM"/>
    <m/>
    <m/>
    <m/>
    <m/>
    <x v="8"/>
    <m/>
    <s v="Devam Ediyor"/>
    <x v="11"/>
    <x v="0"/>
  </r>
  <r>
    <n v="2567"/>
    <x v="33"/>
    <s v="METİNAYAZ"/>
    <d v="2025-12-09T00:00:00"/>
    <s v="24C0107BW0032240"/>
    <n v="1"/>
    <s v="HSA-1"/>
    <s v="MAVİÇAM"/>
    <m/>
    <m/>
    <m/>
    <m/>
    <x v="8"/>
    <m/>
    <s v="Devam Ediyor"/>
    <x v="11"/>
    <x v="0"/>
  </r>
  <r>
    <n v="2567"/>
    <x v="33"/>
    <s v="METİNAYAZ"/>
    <d v="2025-12-09T00:00:00"/>
    <s v="24C0107BW0031946"/>
    <n v="1"/>
    <s v="HSA-1"/>
    <s v="MAVİÇAM"/>
    <m/>
    <m/>
    <m/>
    <m/>
    <x v="8"/>
    <m/>
    <s v="Devam Ediyor"/>
    <x v="11"/>
    <x v="0"/>
  </r>
  <r>
    <n v="2567"/>
    <x v="33"/>
    <s v="METİNAYAZ"/>
    <d v="2025-12-09T00:00:00"/>
    <s v="24B0107BW0054082"/>
    <n v="1"/>
    <s v="HSA-1"/>
    <s v="MAVİÇAM"/>
    <m/>
    <m/>
    <m/>
    <m/>
    <x v="8"/>
    <m/>
    <s v="Devam Ediyor"/>
    <x v="11"/>
    <x v="0"/>
  </r>
  <r>
    <n v="2567"/>
    <x v="33"/>
    <s v="METİNAYAZ"/>
    <d v="2025-12-09T00:00:00"/>
    <s v="24B0107BW0054332"/>
    <n v="1"/>
    <s v="HSA-1"/>
    <s v="MAVİÇAM"/>
    <m/>
    <m/>
    <m/>
    <m/>
    <x v="8"/>
    <m/>
    <s v="Devam Ediyor"/>
    <x v="11"/>
    <x v="0"/>
  </r>
  <r>
    <n v="2567"/>
    <x v="33"/>
    <s v="METİNAYAZ"/>
    <d v="2025-12-09T00:00:00"/>
    <s v="24C0107BW0022519"/>
    <n v="1"/>
    <s v="HSA-1"/>
    <s v="MAVİÇAM"/>
    <m/>
    <m/>
    <m/>
    <m/>
    <x v="8"/>
    <m/>
    <s v="Devam Ediyor"/>
    <x v="11"/>
    <x v="0"/>
  </r>
  <r>
    <n v="2567"/>
    <x v="33"/>
    <s v="METİNAYAZ"/>
    <d v="2025-12-09T00:00:00"/>
    <s v="24C0107BW0033831"/>
    <n v="1"/>
    <s v="HSA-1"/>
    <s v="MAVİÇAM"/>
    <m/>
    <m/>
    <m/>
    <m/>
    <x v="8"/>
    <m/>
    <s v="Devam Ediyor"/>
    <x v="11"/>
    <x v="0"/>
  </r>
  <r>
    <n v="2567"/>
    <x v="33"/>
    <s v="METİNAYAZ"/>
    <d v="2025-12-09T00:00:00"/>
    <s v="24C0107BW0019377"/>
    <n v="1"/>
    <s v="HSA-1"/>
    <s v="MAVİÇAM"/>
    <m/>
    <m/>
    <m/>
    <m/>
    <x v="8"/>
    <m/>
    <s v="Devam Ediyor"/>
    <x v="11"/>
    <x v="0"/>
  </r>
  <r>
    <n v="2567"/>
    <x v="33"/>
    <s v="METİNAYAZ"/>
    <d v="2025-12-09T00:00:00"/>
    <s v="2450308MC1000039"/>
    <n v="1"/>
    <s v="HSA-1"/>
    <s v="MAVİÇAM"/>
    <m/>
    <m/>
    <m/>
    <m/>
    <x v="8"/>
    <m/>
    <s v="Devam Ediyor"/>
    <x v="11"/>
    <x v="0"/>
  </r>
  <r>
    <n v="2567"/>
    <x v="33"/>
    <s v="METİNAYAZ"/>
    <d v="2025-12-09T00:00:00"/>
    <s v="2450308MC1000359"/>
    <n v="1"/>
    <s v="HSA-1"/>
    <s v="MAVİÇAM"/>
    <m/>
    <m/>
    <m/>
    <m/>
    <x v="8"/>
    <m/>
    <s v="Devam Ediyor"/>
    <x v="11"/>
    <x v="0"/>
  </r>
  <r>
    <n v="2567"/>
    <x v="33"/>
    <s v="METİNAYAZ"/>
    <d v="2025-12-09T00:00:00"/>
    <s v="2450308MC1004874"/>
    <n v="1"/>
    <s v="HSA-1"/>
    <s v="MAVİÇAM"/>
    <m/>
    <m/>
    <m/>
    <m/>
    <x v="8"/>
    <m/>
    <s v="Devam Ediyor"/>
    <x v="11"/>
    <x v="0"/>
  </r>
  <r>
    <n v="2567"/>
    <x v="33"/>
    <s v="METİNAYAZ"/>
    <d v="2025-12-09T00:00:00"/>
    <s v="2450308MC1004897"/>
    <n v="1"/>
    <s v="HSA-1"/>
    <s v="MAVİÇAM"/>
    <m/>
    <m/>
    <m/>
    <m/>
    <x v="8"/>
    <m/>
    <s v="Devam Ediyor"/>
    <x v="11"/>
    <x v="0"/>
  </r>
  <r>
    <n v="2567"/>
    <x v="33"/>
    <s v="METİNAYAZ"/>
    <d v="2025-12-09T00:00:00"/>
    <s v="2450308MC1004675"/>
    <n v="1"/>
    <s v="HSA-1"/>
    <s v="MAVİÇAM"/>
    <m/>
    <m/>
    <m/>
    <m/>
    <x v="8"/>
    <m/>
    <s v="Devam Ediyor"/>
    <x v="11"/>
    <x v="0"/>
  </r>
  <r>
    <n v="2567"/>
    <x v="33"/>
    <s v="METİNAYAZ"/>
    <d v="2025-12-09T00:00:00"/>
    <s v="2450308MC1004640"/>
    <n v="1"/>
    <s v="HSA-1"/>
    <s v="MAVİÇAM"/>
    <m/>
    <m/>
    <m/>
    <m/>
    <x v="8"/>
    <m/>
    <s v="Devam Ediyor"/>
    <x v="11"/>
    <x v="0"/>
  </r>
  <r>
    <n v="2567"/>
    <x v="33"/>
    <s v="METİNAYAZ"/>
    <d v="2025-12-09T00:00:00"/>
    <s v="2450308MC1004795"/>
    <n v="1"/>
    <s v="HSA-1"/>
    <s v="MAVİÇAM"/>
    <m/>
    <m/>
    <m/>
    <m/>
    <x v="8"/>
    <m/>
    <s v="Devam Ediyor"/>
    <x v="11"/>
    <x v="0"/>
  </r>
  <r>
    <n v="2567"/>
    <x v="33"/>
    <s v="METİNAYAZ"/>
    <d v="2025-12-09T00:00:00"/>
    <s v="2450308MC1005038"/>
    <n v="1"/>
    <s v="HSA-1"/>
    <s v="MAVİÇAM"/>
    <m/>
    <m/>
    <m/>
    <m/>
    <x v="8"/>
    <m/>
    <s v="Devam Ediyor"/>
    <x v="11"/>
    <x v="0"/>
  </r>
  <r>
    <n v="2567"/>
    <x v="33"/>
    <s v="METİNAYAZ"/>
    <d v="2025-12-09T00:00:00"/>
    <s v="2450308MC1004711"/>
    <n v="1"/>
    <s v="HSA-1"/>
    <s v="MAVİÇAM"/>
    <m/>
    <m/>
    <m/>
    <m/>
    <x v="8"/>
    <m/>
    <s v="Devam Ediyor"/>
    <x v="11"/>
    <x v="0"/>
  </r>
  <r>
    <n v="2567"/>
    <x v="33"/>
    <s v="METİNAYAZ"/>
    <d v="2025-12-09T00:00:00"/>
    <s v="2450308MC1006868"/>
    <n v="1"/>
    <s v="HSA-1"/>
    <s v="MAVİÇAM"/>
    <m/>
    <m/>
    <m/>
    <m/>
    <x v="8"/>
    <m/>
    <s v="Devam Ediyor"/>
    <x v="11"/>
    <x v="0"/>
  </r>
  <r>
    <n v="2567"/>
    <x v="33"/>
    <s v="METİNAYAZ"/>
    <d v="2025-12-09T00:00:00"/>
    <s v="2450308MC1003927"/>
    <n v="1"/>
    <s v="HSA-1"/>
    <s v="MAVİÇAM"/>
    <m/>
    <m/>
    <m/>
    <m/>
    <x v="8"/>
    <m/>
    <s v="Devam Ediyor"/>
    <x v="11"/>
    <x v="0"/>
  </r>
  <r>
    <n v="2567"/>
    <x v="33"/>
    <s v="METİNAYAZ"/>
    <d v="2025-12-09T00:00:00"/>
    <s v="2450308MC1007642"/>
    <n v="1"/>
    <s v="HSA-1"/>
    <s v="MAVİÇAM"/>
    <m/>
    <m/>
    <m/>
    <m/>
    <x v="8"/>
    <m/>
    <s v="Devam Ediyor"/>
    <x v="11"/>
    <x v="0"/>
  </r>
  <r>
    <n v="2567"/>
    <x v="33"/>
    <s v="METİNAYAZ"/>
    <d v="2025-12-09T00:00:00"/>
    <s v="2450308MC1007514"/>
    <n v="1"/>
    <s v="HSA-1"/>
    <s v="MAVİÇAM"/>
    <m/>
    <m/>
    <m/>
    <m/>
    <x v="8"/>
    <m/>
    <s v="Devam Ediyor"/>
    <x v="11"/>
    <x v="0"/>
  </r>
  <r>
    <n v="2567"/>
    <x v="33"/>
    <s v="METİNAYAZ"/>
    <d v="2025-12-09T00:00:00"/>
    <s v="2450308MC1007661"/>
    <n v="1"/>
    <s v="HSA-1"/>
    <s v="MAVİÇAM"/>
    <m/>
    <m/>
    <m/>
    <m/>
    <x v="8"/>
    <m/>
    <s v="Devam Ediyor"/>
    <x v="11"/>
    <x v="0"/>
  </r>
  <r>
    <n v="2567"/>
    <x v="33"/>
    <s v="METİNAYAZ"/>
    <d v="2025-12-09T00:00:00"/>
    <s v="2450308MC1008985"/>
    <n v="1"/>
    <s v="HSA-1"/>
    <s v="MAVİÇAM"/>
    <m/>
    <m/>
    <m/>
    <m/>
    <x v="8"/>
    <m/>
    <s v="Devam Ediyor"/>
    <x v="11"/>
    <x v="0"/>
  </r>
  <r>
    <n v="2567"/>
    <x v="33"/>
    <s v="METİNAYAZ"/>
    <d v="2025-12-09T00:00:00"/>
    <s v="2440308MC1001417"/>
    <n v="1"/>
    <s v="HSA-1"/>
    <s v="MAVİÇAM"/>
    <m/>
    <m/>
    <m/>
    <m/>
    <x v="8"/>
    <m/>
    <s v="Devam Ediyor"/>
    <x v="11"/>
    <x v="0"/>
  </r>
  <r>
    <n v="2567"/>
    <x v="33"/>
    <s v="METİNAYAZ"/>
    <d v="2025-12-09T00:00:00"/>
    <s v="2450308MC1008787"/>
    <n v="1"/>
    <s v="HSA-1"/>
    <s v="MAVİÇAM"/>
    <m/>
    <m/>
    <m/>
    <m/>
    <x v="8"/>
    <m/>
    <s v="Devam Ediyor"/>
    <x v="11"/>
    <x v="0"/>
  </r>
  <r>
    <n v="2567"/>
    <x v="33"/>
    <s v="METİNAYAZ"/>
    <d v="2025-12-09T00:00:00"/>
    <s v="2450308MC1010322"/>
    <n v="1"/>
    <s v="HSA-1"/>
    <s v="MAVİÇAM"/>
    <m/>
    <m/>
    <m/>
    <m/>
    <x v="8"/>
    <m/>
    <s v="Devam Ediyor"/>
    <x v="11"/>
    <x v="0"/>
  </r>
  <r>
    <n v="2567"/>
    <x v="33"/>
    <s v="METİNAYAZ"/>
    <d v="2025-12-09T00:00:00"/>
    <s v="2450308MC1008823"/>
    <n v="1"/>
    <s v="HSA-1"/>
    <s v="MAVİÇAM"/>
    <m/>
    <m/>
    <m/>
    <m/>
    <x v="8"/>
    <m/>
    <s v="Devam Ediyor"/>
    <x v="11"/>
    <x v="0"/>
  </r>
  <r>
    <n v="2567"/>
    <x v="33"/>
    <s v="METİNAYAZ"/>
    <d v="2025-12-09T00:00:00"/>
    <s v="2450308MC1010493"/>
    <n v="1"/>
    <s v="HSA-1"/>
    <s v="MAVİÇAM"/>
    <m/>
    <m/>
    <m/>
    <m/>
    <x v="8"/>
    <m/>
    <s v="Devam Ediyor"/>
    <x v="11"/>
    <x v="0"/>
  </r>
  <r>
    <n v="2567"/>
    <x v="33"/>
    <s v="METİNAYAZ"/>
    <d v="2025-12-09T00:00:00"/>
    <s v="2450308MC1010456"/>
    <n v="1"/>
    <s v="HSA-1"/>
    <s v="MAVİÇAM"/>
    <m/>
    <m/>
    <m/>
    <m/>
    <x v="8"/>
    <m/>
    <s v="Devam Ediyor"/>
    <x v="11"/>
    <x v="0"/>
  </r>
  <r>
    <n v="2567"/>
    <x v="33"/>
    <s v="METİNAYAZ"/>
    <d v="2025-12-09T00:00:00"/>
    <s v="2450308MC1010159"/>
    <n v="1"/>
    <s v="HSA-1"/>
    <s v="MAVİÇAM"/>
    <m/>
    <m/>
    <m/>
    <m/>
    <x v="8"/>
    <m/>
    <s v="Devam Ediyor"/>
    <x v="11"/>
    <x v="0"/>
  </r>
  <r>
    <n v="2567"/>
    <x v="33"/>
    <s v="METİNAYAZ"/>
    <d v="2025-12-09T00:00:00"/>
    <s v="2450308MC1012379"/>
    <n v="1"/>
    <s v="HSA-1"/>
    <s v="MAVİÇAM"/>
    <m/>
    <m/>
    <m/>
    <m/>
    <x v="8"/>
    <m/>
    <s v="Devam Ediyor"/>
    <x v="11"/>
    <x v="0"/>
  </r>
  <r>
    <n v="2567"/>
    <x v="33"/>
    <s v="METİNAYAZ"/>
    <d v="2025-12-09T00:00:00"/>
    <s v="2450308MC1009639"/>
    <n v="1"/>
    <s v="HSA-1"/>
    <s v="MAVİÇAM"/>
    <m/>
    <m/>
    <m/>
    <m/>
    <x v="8"/>
    <m/>
    <s v="Devam Ediyor"/>
    <x v="11"/>
    <x v="0"/>
  </r>
  <r>
    <n v="2567"/>
    <x v="33"/>
    <s v="METİNAYAZ"/>
    <d v="2025-12-09T00:00:00"/>
    <s v="2450308MC1011964"/>
    <n v="1"/>
    <s v="HSA-1"/>
    <s v="MAVİÇAM"/>
    <m/>
    <m/>
    <m/>
    <m/>
    <x v="8"/>
    <m/>
    <s v="Devam Ediyor"/>
    <x v="11"/>
    <x v="0"/>
  </r>
  <r>
    <n v="2567"/>
    <x v="33"/>
    <s v="METİNAYAZ"/>
    <d v="2025-12-09T00:00:00"/>
    <s v="2450308MC1011561"/>
    <n v="1"/>
    <s v="HSA-1"/>
    <s v="MAVİÇAM"/>
    <m/>
    <m/>
    <m/>
    <m/>
    <x v="8"/>
    <m/>
    <s v="Devam Ediyor"/>
    <x v="11"/>
    <x v="0"/>
  </r>
  <r>
    <n v="2567"/>
    <x v="33"/>
    <s v="METİNAYAZ"/>
    <d v="2025-12-09T00:00:00"/>
    <s v="2450308MC1011633"/>
    <n v="1"/>
    <s v="HSA-1"/>
    <s v="MAVİÇAM"/>
    <m/>
    <m/>
    <m/>
    <m/>
    <x v="8"/>
    <m/>
    <s v="Devam Ediyor"/>
    <x v="11"/>
    <x v="0"/>
  </r>
  <r>
    <n v="2567"/>
    <x v="33"/>
    <s v="METİNAYAZ"/>
    <d v="2025-12-09T00:00:00"/>
    <s v="2450308MC1009897"/>
    <n v="1"/>
    <s v="HSA-1"/>
    <s v="MAVİÇAM"/>
    <m/>
    <m/>
    <m/>
    <m/>
    <x v="8"/>
    <m/>
    <s v="Devam Ediyor"/>
    <x v="11"/>
    <x v="0"/>
  </r>
  <r>
    <n v="2567"/>
    <x v="33"/>
    <s v="METİNAYAZ"/>
    <d v="2025-12-09T00:00:00"/>
    <s v="2450308MC1011339"/>
    <n v="1"/>
    <s v="HSA-1"/>
    <s v="MAVİÇAM"/>
    <m/>
    <m/>
    <m/>
    <m/>
    <x v="8"/>
    <m/>
    <s v="Devam Ediyor"/>
    <x v="11"/>
    <x v="0"/>
  </r>
  <r>
    <n v="2567"/>
    <x v="33"/>
    <s v="METİNAYAZ"/>
    <d v="2025-12-09T00:00:00"/>
    <s v="2450308MC1011298"/>
    <n v="1"/>
    <s v="HSA-1"/>
    <s v="MAVİÇAM"/>
    <m/>
    <m/>
    <m/>
    <m/>
    <x v="8"/>
    <m/>
    <s v="Devam Ediyor"/>
    <x v="11"/>
    <x v="0"/>
  </r>
  <r>
    <n v="2567"/>
    <x v="33"/>
    <s v="METİNAYAZ"/>
    <d v="2025-12-09T00:00:00"/>
    <s v="2450308MC1011236"/>
    <n v="1"/>
    <s v="HSA-1"/>
    <s v="MAVİÇAM"/>
    <m/>
    <m/>
    <m/>
    <m/>
    <x v="8"/>
    <m/>
    <s v="Devam Ediyor"/>
    <x v="11"/>
    <x v="0"/>
  </r>
  <r>
    <n v="2567"/>
    <x v="33"/>
    <s v="METİNAYAZ"/>
    <d v="2025-12-09T00:00:00"/>
    <s v="2450308MC1011919"/>
    <n v="1"/>
    <s v="HSA-1"/>
    <s v="MAVİÇAM"/>
    <m/>
    <m/>
    <m/>
    <m/>
    <x v="8"/>
    <m/>
    <s v="Devam Ediyor"/>
    <x v="11"/>
    <x v="0"/>
  </r>
  <r>
    <n v="2567"/>
    <x v="33"/>
    <s v="METİNAYAZ"/>
    <d v="2025-12-09T00:00:00"/>
    <s v="24A0107BW0010682"/>
    <n v="1"/>
    <s v="HSA-1"/>
    <s v="MAVİÇAM"/>
    <m/>
    <m/>
    <m/>
    <m/>
    <x v="8"/>
    <m/>
    <s v="Devam Ediyor"/>
    <x v="11"/>
    <x v="0"/>
  </r>
  <r>
    <n v="2567"/>
    <x v="33"/>
    <s v="METİNAYAZ"/>
    <d v="2025-12-09T00:00:00"/>
    <s v="24A0107BW0033256"/>
    <n v="1"/>
    <s v="HSA-1"/>
    <s v="MAVİÇAM"/>
    <m/>
    <m/>
    <m/>
    <m/>
    <x v="8"/>
    <m/>
    <s v="Devam Ediyor"/>
    <x v="11"/>
    <x v="0"/>
  </r>
  <r>
    <n v="2567"/>
    <x v="33"/>
    <s v="METİNAYAZ"/>
    <d v="2025-12-09T00:00:00"/>
    <s v="24A0107BW0050016"/>
    <n v="1"/>
    <s v="HSA-1"/>
    <s v="MAVİÇAM"/>
    <m/>
    <m/>
    <m/>
    <m/>
    <x v="8"/>
    <m/>
    <s v="Devam Ediyor"/>
    <x v="11"/>
    <x v="0"/>
  </r>
  <r>
    <n v="2567"/>
    <x v="33"/>
    <s v="METİNAYAZ"/>
    <d v="2025-12-09T00:00:00"/>
    <s v="24A0107BW0010319"/>
    <n v="1"/>
    <s v="HSA-1"/>
    <s v="MAVİÇAM"/>
    <m/>
    <m/>
    <m/>
    <m/>
    <x v="8"/>
    <m/>
    <s v="Devam Ediyor"/>
    <x v="11"/>
    <x v="0"/>
  </r>
  <r>
    <n v="2567"/>
    <x v="33"/>
    <s v="METİNAYAZ"/>
    <d v="2025-12-09T00:00:00"/>
    <s v="24B0107BW0004719"/>
    <n v="1"/>
    <s v="HSA-1"/>
    <s v="MAVİÇAM"/>
    <m/>
    <m/>
    <m/>
    <m/>
    <x v="8"/>
    <m/>
    <s v="Devam Ediyor"/>
    <x v="11"/>
    <x v="0"/>
  </r>
  <r>
    <n v="2567"/>
    <x v="33"/>
    <s v="METİNAYAZ"/>
    <d v="2025-12-09T00:00:00"/>
    <s v="24A0107BW0053020"/>
    <n v="1"/>
    <s v="HSA-1"/>
    <s v="MAVİÇAM"/>
    <m/>
    <m/>
    <m/>
    <m/>
    <x v="8"/>
    <m/>
    <s v="Devam Ediyor"/>
    <x v="11"/>
    <x v="0"/>
  </r>
  <r>
    <n v="2567"/>
    <x v="33"/>
    <s v="METİNAYAZ"/>
    <d v="2025-12-09T00:00:00"/>
    <s v="24B0107BW0004529"/>
    <n v="1"/>
    <s v="HSA-1"/>
    <s v="MAVİÇAM"/>
    <m/>
    <m/>
    <m/>
    <m/>
    <x v="8"/>
    <m/>
    <s v="Devam Ediyor"/>
    <x v="11"/>
    <x v="0"/>
  </r>
  <r>
    <n v="2567"/>
    <x v="33"/>
    <s v="METİNAYAZ"/>
    <d v="2025-12-09T00:00:00"/>
    <s v="24A0107BW0019468"/>
    <n v="1"/>
    <s v="HSA-1"/>
    <s v="MAVİÇAM"/>
    <m/>
    <m/>
    <m/>
    <m/>
    <x v="8"/>
    <m/>
    <s v="Devam Ediyor"/>
    <x v="11"/>
    <x v="0"/>
  </r>
  <r>
    <n v="2567"/>
    <x v="33"/>
    <s v="METİNAYAZ"/>
    <d v="2025-12-09T00:00:00"/>
    <s v="2460307MC1004632"/>
    <n v="1"/>
    <s v="HSA-1"/>
    <s v="MAVİÇAM"/>
    <m/>
    <m/>
    <m/>
    <m/>
    <x v="8"/>
    <m/>
    <s v="Devam Ediyor"/>
    <x v="11"/>
    <x v="0"/>
  </r>
  <r>
    <n v="2567"/>
    <x v="33"/>
    <s v="METİNAYAZ"/>
    <d v="2025-12-09T00:00:00"/>
    <s v="2460307MC1000982"/>
    <n v="1"/>
    <s v="HSA-1"/>
    <s v="MAVİÇAM"/>
    <m/>
    <m/>
    <m/>
    <m/>
    <x v="8"/>
    <m/>
    <s v="Devam Ediyor"/>
    <x v="11"/>
    <x v="0"/>
  </r>
  <r>
    <n v="2567"/>
    <x v="33"/>
    <s v="METİNAYAZ"/>
    <d v="2025-12-09T00:00:00"/>
    <s v="24C0107BW0020568"/>
    <n v="1"/>
    <s v="HSA-1"/>
    <s v="MAVİÇAM"/>
    <m/>
    <m/>
    <m/>
    <m/>
    <x v="8"/>
    <m/>
    <s v="Devam Ediyor"/>
    <x v="11"/>
    <x v="0"/>
  </r>
  <r>
    <n v="2567"/>
    <x v="33"/>
    <s v="METİNAYAZ"/>
    <d v="2025-12-09T00:00:00"/>
    <s v="2450308MC1002671"/>
    <n v="1"/>
    <s v="HSA-1"/>
    <s v="MAVİÇAM"/>
    <m/>
    <m/>
    <m/>
    <m/>
    <x v="8"/>
    <m/>
    <s v="Devam Ediyor"/>
    <x v="11"/>
    <x v="0"/>
  </r>
  <r>
    <n v="2568"/>
    <x v="0"/>
    <s v="GÜRALSERAMİK"/>
    <d v="2025-12-24T00:00:00"/>
    <s v="2490108MC2023041"/>
    <n v="1"/>
    <s v="HSA-2"/>
    <s v="MAVİÇAM"/>
    <m/>
    <m/>
    <m/>
    <m/>
    <x v="2"/>
    <s v="Tamir"/>
    <s v="Haklı"/>
    <x v="11"/>
    <x v="0"/>
  </r>
  <r>
    <n v="2568"/>
    <x v="0"/>
    <s v="GÜRALSERAMİK"/>
    <d v="2025-12-24T00:00:00"/>
    <s v="2490108MC2004858"/>
    <n v="1"/>
    <s v="HSA-2"/>
    <s v="MAVİÇAM"/>
    <m/>
    <m/>
    <m/>
    <m/>
    <x v="2"/>
    <s v="Tamir"/>
    <s v="Haklı"/>
    <x v="11"/>
    <x v="0"/>
  </r>
  <r>
    <n v="2568"/>
    <x v="0"/>
    <s v="GÜRALSERAMİK"/>
    <d v="2025-12-24T00:00:00"/>
    <s v="2490108MC2008298"/>
    <n v="1"/>
    <s v="HSA-2"/>
    <s v="MAVİÇAM"/>
    <m/>
    <m/>
    <m/>
    <m/>
    <x v="2"/>
    <s v="Tamir"/>
    <s v="Haklı"/>
    <x v="11"/>
    <x v="0"/>
  </r>
  <r>
    <n v="2568"/>
    <x v="0"/>
    <s v="GÜRALSERAMİK"/>
    <d v="2025-12-24T00:00:00"/>
    <s v="2490108MC2015963"/>
    <n v="1"/>
    <s v="HSA-2"/>
    <s v="MAVİÇAM"/>
    <m/>
    <m/>
    <m/>
    <m/>
    <x v="2"/>
    <s v="Tamir"/>
    <s v="Haklı"/>
    <x v="11"/>
    <x v="0"/>
  </r>
  <r>
    <n v="2568"/>
    <x v="0"/>
    <s v="GÜRALSERAMİK"/>
    <d v="2025-12-24T00:00:00"/>
    <s v="2490108MC2003459"/>
    <n v="1"/>
    <s v="HSA-2"/>
    <s v="MAVİÇAM"/>
    <m/>
    <m/>
    <m/>
    <m/>
    <x v="2"/>
    <s v="Tamir"/>
    <s v="Haklı"/>
    <x v="11"/>
    <x v="0"/>
  </r>
  <r>
    <n v="2568"/>
    <x v="0"/>
    <s v="GÜRALSERAMİK"/>
    <d v="2025-12-24T00:00:00"/>
    <s v="2490108MC2002992"/>
    <n v="1"/>
    <s v="HSA-2"/>
    <s v="MAVİÇAM"/>
    <m/>
    <m/>
    <m/>
    <m/>
    <x v="2"/>
    <s v="Tamir"/>
    <s v="Haklı"/>
    <x v="11"/>
    <x v="0"/>
  </r>
  <r>
    <n v="2601"/>
    <x v="34"/>
    <s v="LEOSOLAR"/>
    <d v="2026-01-19T00:00:00"/>
    <s v="AAAA"/>
    <n v="1"/>
    <m/>
    <s v="SUNPWT"/>
    <m/>
    <m/>
    <m/>
    <m/>
    <x v="6"/>
    <m/>
    <s v="Haklı"/>
    <x v="0"/>
    <x v="1"/>
  </r>
  <r>
    <n v="2602"/>
    <x v="35"/>
    <s v="ARITEKSTİL"/>
    <d v="2026-01-19T00:00:00"/>
    <s v="E4FXT425H199990048611714"/>
    <n v="1"/>
    <s v="HSA-2"/>
    <s v="JINKOSOLAR"/>
    <m/>
    <m/>
    <m/>
    <m/>
    <x v="1"/>
    <m/>
    <s v="Haksız"/>
    <x v="0"/>
    <x v="1"/>
  </r>
  <r>
    <n v="2602"/>
    <x v="35"/>
    <s v="ARITEKSTİL"/>
    <d v="2026-01-19T00:00:00"/>
    <s v="E4FXT325H129990048205538"/>
    <n v="1"/>
    <s v="HSA-1"/>
    <s v="JINKOSOLAR"/>
    <m/>
    <m/>
    <m/>
    <m/>
    <x v="1"/>
    <m/>
    <s v="Haksız"/>
    <x v="0"/>
    <x v="1"/>
  </r>
  <r>
    <n v="2602"/>
    <x v="35"/>
    <s v="ARITEKSTİL"/>
    <d v="2026-01-19T00:00:00"/>
    <s v="E4FXT425H169990048608721"/>
    <n v="1"/>
    <s v="HSA-2"/>
    <s v="JINKOSOLAR"/>
    <m/>
    <m/>
    <m/>
    <m/>
    <x v="1"/>
    <m/>
    <s v="Haksız"/>
    <x v="0"/>
    <x v="1"/>
  </r>
  <r>
    <n v="2602"/>
    <x v="35"/>
    <s v="ARITEKSTİL"/>
    <d v="2026-01-19T00:00:00"/>
    <s v="E4FXT425H159990048607296"/>
    <n v="1"/>
    <s v="HSA-2"/>
    <s v="JINKOSOLAR"/>
    <m/>
    <m/>
    <m/>
    <m/>
    <x v="1"/>
    <m/>
    <s v="Haksız"/>
    <x v="0"/>
    <x v="1"/>
  </r>
  <r>
    <n v="2602"/>
    <x v="35"/>
    <s v="ARITEKSTİL"/>
    <d v="2026-01-19T00:00:00"/>
    <s v="E4FXT325H129990048205207"/>
    <n v="1"/>
    <s v="HSA-1"/>
    <s v="JINKOSOLAR"/>
    <m/>
    <m/>
    <m/>
    <m/>
    <x v="1"/>
    <m/>
    <s v="Haksız"/>
    <x v="0"/>
    <x v="1"/>
  </r>
  <r>
    <n v="2602"/>
    <x v="35"/>
    <s v="ARITEKSTİL"/>
    <d v="2026-01-19T00:00:00"/>
    <s v="E4FXT325H099990048203055"/>
    <n v="1"/>
    <s v="HSA-1"/>
    <s v="JINKOSOLAR"/>
    <m/>
    <m/>
    <m/>
    <m/>
    <x v="1"/>
    <m/>
    <s v="Haksız"/>
    <x v="0"/>
    <x v="1"/>
  </r>
  <r>
    <n v="2603"/>
    <x v="21"/>
    <s v="TEKSAN"/>
    <d v="2026-02-17T00:00:00"/>
    <s v="AAAA"/>
    <n v="1"/>
    <s v="1&amp;2"/>
    <s v="SUNPWT"/>
    <m/>
    <m/>
    <m/>
    <m/>
    <x v="23"/>
    <m/>
    <s v="Haklı"/>
    <x v="1"/>
    <x v="1"/>
  </r>
  <r>
    <n v="2603"/>
    <x v="21"/>
    <s v="TEKSAN"/>
    <d v="2026-02-17T00:00:00"/>
    <s v="AAAA"/>
    <n v="1"/>
    <s v="1&amp;2"/>
    <s v="SUNPWT"/>
    <m/>
    <m/>
    <m/>
    <m/>
    <x v="23"/>
    <m/>
    <s v="Haklı"/>
    <x v="1"/>
    <x v="1"/>
  </r>
  <r>
    <n v="2603"/>
    <x v="21"/>
    <s v="TEKSAN"/>
    <d v="2026-02-17T00:00:00"/>
    <s v="AAAA"/>
    <n v="1"/>
    <s v="1&amp;2"/>
    <s v="SUNPWT"/>
    <m/>
    <m/>
    <m/>
    <m/>
    <x v="23"/>
    <m/>
    <s v="Haklı"/>
    <x v="1"/>
    <x v="1"/>
  </r>
  <r>
    <n v="2603"/>
    <x v="21"/>
    <s v="TEKSAN"/>
    <d v="2026-02-17T00:00:00"/>
    <s v="AAAA"/>
    <n v="1"/>
    <s v="1&amp;2"/>
    <s v="SUNPWT"/>
    <m/>
    <m/>
    <m/>
    <m/>
    <x v="23"/>
    <m/>
    <s v="Haklı"/>
    <x v="1"/>
    <x v="1"/>
  </r>
  <r>
    <n v="2603"/>
    <x v="21"/>
    <s v="TEKSAN"/>
    <d v="2026-02-17T00:00:00"/>
    <s v="AAAA"/>
    <n v="1"/>
    <s v="1&amp;2"/>
    <s v="SUNPWT"/>
    <m/>
    <m/>
    <m/>
    <m/>
    <x v="23"/>
    <m/>
    <s v="Haklı"/>
    <x v="1"/>
    <x v="1"/>
  </r>
  <r>
    <n v="2603"/>
    <x v="21"/>
    <s v="TEKSAN"/>
    <d v="2026-02-17T00:00:00"/>
    <s v="AAAA"/>
    <n v="1"/>
    <s v="1&amp;2"/>
    <s v="SUNPWT"/>
    <m/>
    <m/>
    <m/>
    <m/>
    <x v="23"/>
    <m/>
    <s v="Haklı"/>
    <x v="1"/>
    <x v="1"/>
  </r>
  <r>
    <n v="2603"/>
    <x v="21"/>
    <s v="TEKSAN"/>
    <d v="2026-02-17T00:00:00"/>
    <s v="AAAA"/>
    <n v="1"/>
    <s v="1&amp;2"/>
    <s v="SUNPWT"/>
    <m/>
    <m/>
    <m/>
    <m/>
    <x v="23"/>
    <m/>
    <s v="Haklı"/>
    <x v="1"/>
    <x v="1"/>
  </r>
  <r>
    <n v="2603"/>
    <x v="21"/>
    <s v="TEKSAN"/>
    <d v="2026-02-17T00:00:00"/>
    <s v="AAAA"/>
    <n v="1"/>
    <s v="1&amp;2"/>
    <s v="SUNPWT"/>
    <m/>
    <m/>
    <m/>
    <m/>
    <x v="23"/>
    <m/>
    <s v="Haklı"/>
    <x v="1"/>
    <x v="1"/>
  </r>
  <r>
    <n v="2603"/>
    <x v="21"/>
    <s v="TEKSAN"/>
    <d v="2026-02-17T00:00:00"/>
    <s v="AAAA"/>
    <n v="1"/>
    <s v="1&amp;2"/>
    <s v="SUNPWT"/>
    <m/>
    <m/>
    <m/>
    <m/>
    <x v="23"/>
    <m/>
    <s v="Haklı"/>
    <x v="1"/>
    <x v="1"/>
  </r>
  <r>
    <n v="2603"/>
    <x v="21"/>
    <s v="TEKSAN"/>
    <d v="2026-02-17T00:00:00"/>
    <s v="AAAA"/>
    <n v="1"/>
    <s v="1&amp;2"/>
    <s v="SUNPWT"/>
    <m/>
    <m/>
    <m/>
    <m/>
    <x v="23"/>
    <m/>
    <s v="Haklı"/>
    <x v="1"/>
    <x v="1"/>
  </r>
  <r>
    <n v="2603"/>
    <x v="21"/>
    <s v="TEKSAN"/>
    <d v="2026-02-17T00:00:00"/>
    <s v="AAAA"/>
    <n v="1"/>
    <s v="1&amp;2"/>
    <s v="SUNPWT"/>
    <m/>
    <m/>
    <m/>
    <m/>
    <x v="23"/>
    <m/>
    <s v="Haklı"/>
    <x v="1"/>
    <x v="1"/>
  </r>
  <r>
    <n v="2603"/>
    <x v="21"/>
    <s v="TEKSAN"/>
    <d v="2026-02-17T00:00:00"/>
    <s v="AAAA"/>
    <n v="1"/>
    <s v="1&amp;2"/>
    <s v="SUNPWT"/>
    <m/>
    <m/>
    <m/>
    <m/>
    <x v="23"/>
    <m/>
    <s v="Haklı"/>
    <x v="1"/>
    <x v="1"/>
  </r>
  <r>
    <n v="2603"/>
    <x v="21"/>
    <s v="TEKSAN"/>
    <d v="2026-02-17T00:00:00"/>
    <s v="AAAA"/>
    <n v="1"/>
    <s v="1&amp;2"/>
    <s v="SUNPWT"/>
    <m/>
    <m/>
    <m/>
    <m/>
    <x v="23"/>
    <m/>
    <s v="Haklı"/>
    <x v="1"/>
    <x v="1"/>
  </r>
  <r>
    <n v="2603"/>
    <x v="21"/>
    <s v="TEKSAN"/>
    <d v="2026-02-17T00:00:00"/>
    <s v="AAAA"/>
    <n v="1"/>
    <s v="1&amp;2"/>
    <s v="SUNPWT"/>
    <m/>
    <m/>
    <m/>
    <m/>
    <x v="23"/>
    <m/>
    <s v="Haklı"/>
    <x v="1"/>
    <x v="1"/>
  </r>
  <r>
    <n v="2603"/>
    <x v="21"/>
    <s v="TEKSAN"/>
    <d v="2026-02-17T00:00:00"/>
    <s v="AAAA"/>
    <n v="1"/>
    <s v="1&amp;2"/>
    <s v="SUNPWT"/>
    <m/>
    <m/>
    <m/>
    <m/>
    <x v="23"/>
    <m/>
    <s v="Haklı"/>
    <x v="1"/>
    <x v="1"/>
  </r>
  <r>
    <n v="2603"/>
    <x v="21"/>
    <s v="TEKSAN"/>
    <d v="2026-02-17T00:00:00"/>
    <s v="AAAA"/>
    <n v="1"/>
    <s v="1&amp;2"/>
    <s v="SUNPWT"/>
    <m/>
    <m/>
    <m/>
    <m/>
    <x v="23"/>
    <m/>
    <s v="Haklı"/>
    <x v="1"/>
    <x v="1"/>
  </r>
  <r>
    <n v="2603"/>
    <x v="21"/>
    <s v="TEKSAN"/>
    <d v="2026-02-17T00:00:00"/>
    <s v="AAAA"/>
    <n v="1"/>
    <s v="1&amp;2"/>
    <s v="SUNPWT"/>
    <m/>
    <m/>
    <m/>
    <m/>
    <x v="23"/>
    <m/>
    <s v="Haklı"/>
    <x v="1"/>
    <x v="1"/>
  </r>
  <r>
    <n v="2603"/>
    <x v="21"/>
    <s v="TEKSAN"/>
    <d v="2026-02-17T00:00:00"/>
    <s v="AAAA"/>
    <n v="1"/>
    <s v="1&amp;2"/>
    <s v="SUNPWT"/>
    <m/>
    <m/>
    <m/>
    <m/>
    <x v="23"/>
    <m/>
    <s v="Haklı"/>
    <x v="1"/>
    <x v="1"/>
  </r>
  <r>
    <n v="2603"/>
    <x v="21"/>
    <s v="TEKSAN"/>
    <d v="2026-02-17T00:00:00"/>
    <s v="AAAA"/>
    <n v="1"/>
    <s v="1&amp;2"/>
    <s v="SUNPWT"/>
    <m/>
    <m/>
    <m/>
    <m/>
    <x v="23"/>
    <m/>
    <s v="Haklı"/>
    <x v="1"/>
    <x v="1"/>
  </r>
  <r>
    <n v="2603"/>
    <x v="21"/>
    <s v="TEKSAN"/>
    <d v="2026-02-17T00:00:00"/>
    <s v="AAAA"/>
    <n v="1"/>
    <s v="1&amp;2"/>
    <s v="SUNPWT"/>
    <m/>
    <m/>
    <m/>
    <m/>
    <x v="23"/>
    <m/>
    <s v="Haklı"/>
    <x v="1"/>
    <x v="1"/>
  </r>
  <r>
    <n v="2603"/>
    <x v="21"/>
    <s v="TEKSAN"/>
    <d v="2026-02-17T00:00:00"/>
    <s v="AAAA"/>
    <n v="1"/>
    <s v="1&amp;2"/>
    <s v="SUNPWT"/>
    <m/>
    <m/>
    <m/>
    <m/>
    <x v="23"/>
    <m/>
    <s v="Haklı"/>
    <x v="1"/>
    <x v="1"/>
  </r>
  <r>
    <n v="2603"/>
    <x v="21"/>
    <s v="TEKSAN"/>
    <d v="2026-02-17T00:00:00"/>
    <s v="AAAA"/>
    <n v="1"/>
    <s v="1&amp;2"/>
    <s v="SUNPWT"/>
    <m/>
    <m/>
    <m/>
    <m/>
    <x v="23"/>
    <m/>
    <s v="Haklı"/>
    <x v="1"/>
    <x v="1"/>
  </r>
  <r>
    <n v="2603"/>
    <x v="21"/>
    <s v="TEKSAN"/>
    <d v="2026-02-17T00:00:00"/>
    <s v="AAAA"/>
    <n v="1"/>
    <s v="1&amp;2"/>
    <s v="SUNPWT"/>
    <m/>
    <m/>
    <m/>
    <m/>
    <x v="23"/>
    <m/>
    <s v="Haklı"/>
    <x v="1"/>
    <x v="1"/>
  </r>
  <r>
    <n v="2603"/>
    <x v="21"/>
    <s v="TEKSAN"/>
    <d v="2026-02-17T00:00:00"/>
    <s v="AAAA"/>
    <n v="1"/>
    <s v="1&amp;2"/>
    <s v="SUNPWT"/>
    <m/>
    <m/>
    <m/>
    <m/>
    <x v="23"/>
    <m/>
    <s v="Haklı"/>
    <x v="1"/>
    <x v="1"/>
  </r>
  <r>
    <n v="2603"/>
    <x v="21"/>
    <s v="TEKSAN"/>
    <d v="2026-02-17T00:00:00"/>
    <s v="AAAA"/>
    <n v="1"/>
    <s v="1&amp;2"/>
    <s v="SUNPWT"/>
    <m/>
    <m/>
    <m/>
    <m/>
    <x v="23"/>
    <m/>
    <s v="Haklı"/>
    <x v="1"/>
    <x v="1"/>
  </r>
  <r>
    <n v="2603"/>
    <x v="21"/>
    <s v="TEKSAN"/>
    <d v="2026-02-17T00:00:00"/>
    <s v="AAAA"/>
    <n v="1"/>
    <s v="1&amp;2"/>
    <s v="SUNPWT"/>
    <m/>
    <m/>
    <m/>
    <m/>
    <x v="23"/>
    <m/>
    <s v="Haklı"/>
    <x v="1"/>
    <x v="1"/>
  </r>
  <r>
    <n v="2603"/>
    <x v="21"/>
    <s v="TEKSAN"/>
    <d v="2026-02-17T00:00:00"/>
    <s v="AAAA"/>
    <n v="1"/>
    <s v="1&amp;2"/>
    <s v="SUNPWT"/>
    <m/>
    <m/>
    <m/>
    <m/>
    <x v="23"/>
    <m/>
    <s v="Haklı"/>
    <x v="1"/>
    <x v="1"/>
  </r>
  <r>
    <n v="2603"/>
    <x v="21"/>
    <s v="TEKSAN"/>
    <d v="2026-02-17T00:00:00"/>
    <s v="AAAA"/>
    <n v="1"/>
    <s v="1&amp;2"/>
    <s v="SUNPWT"/>
    <m/>
    <m/>
    <m/>
    <m/>
    <x v="23"/>
    <m/>
    <s v="Haklı"/>
    <x v="1"/>
    <x v="1"/>
  </r>
  <r>
    <n v="2603"/>
    <x v="21"/>
    <s v="TEKSAN"/>
    <d v="2026-02-17T00:00:00"/>
    <s v="AAAA"/>
    <n v="1"/>
    <s v="1&amp;2"/>
    <s v="SUNPWT"/>
    <m/>
    <m/>
    <m/>
    <m/>
    <x v="23"/>
    <m/>
    <s v="Haklı"/>
    <x v="1"/>
    <x v="1"/>
  </r>
  <r>
    <n v="2603"/>
    <x v="21"/>
    <s v="TEKSAN"/>
    <d v="2026-02-17T00:00:00"/>
    <s v="AAAA"/>
    <n v="1"/>
    <s v="1&amp;2"/>
    <s v="SUNPWT"/>
    <m/>
    <m/>
    <m/>
    <m/>
    <x v="23"/>
    <m/>
    <s v="Haklı"/>
    <x v="1"/>
    <x v="1"/>
  </r>
  <r>
    <n v="2603"/>
    <x v="21"/>
    <s v="TEKSAN"/>
    <d v="2026-02-17T00:00:00"/>
    <s v="AAAA"/>
    <n v="1"/>
    <s v="1&amp;2"/>
    <s v="SUNPWT"/>
    <m/>
    <m/>
    <m/>
    <m/>
    <x v="23"/>
    <m/>
    <s v="Haklı"/>
    <x v="1"/>
    <x v="1"/>
  </r>
  <r>
    <n v="2603"/>
    <x v="21"/>
    <s v="TEKSAN"/>
    <d v="2026-02-17T00:00:00"/>
    <s v="AAAA"/>
    <n v="1"/>
    <s v="1&amp;2"/>
    <s v="SUNPWT"/>
    <m/>
    <m/>
    <m/>
    <m/>
    <x v="23"/>
    <m/>
    <s v="Haklı"/>
    <x v="1"/>
    <x v="1"/>
  </r>
  <r>
    <n v="2603"/>
    <x v="21"/>
    <s v="TEKSAN"/>
    <d v="2026-02-17T00:00:00"/>
    <s v="AAAA"/>
    <n v="1"/>
    <s v="1&amp;2"/>
    <s v="SUNPWT"/>
    <m/>
    <m/>
    <m/>
    <m/>
    <x v="23"/>
    <m/>
    <s v="Haklı"/>
    <x v="1"/>
    <x v="1"/>
  </r>
  <r>
    <n v="2603"/>
    <x v="21"/>
    <s v="TEKSAN"/>
    <d v="2026-02-17T00:00:00"/>
    <s v="AAAA"/>
    <n v="1"/>
    <s v="1&amp;2"/>
    <s v="SUNPWT"/>
    <m/>
    <m/>
    <m/>
    <m/>
    <x v="23"/>
    <m/>
    <s v="Haklı"/>
    <x v="1"/>
    <x v="1"/>
  </r>
  <r>
    <n v="2603"/>
    <x v="21"/>
    <s v="TEKSAN"/>
    <d v="2026-02-17T00:00:00"/>
    <s v="AAAA"/>
    <n v="1"/>
    <s v="1&amp;2"/>
    <s v="SUNPWT"/>
    <m/>
    <m/>
    <m/>
    <m/>
    <x v="23"/>
    <m/>
    <s v="Haklı"/>
    <x v="1"/>
    <x v="1"/>
  </r>
  <r>
    <n v="2603"/>
    <x v="21"/>
    <s v="TEKSAN"/>
    <d v="2026-02-17T00:00:00"/>
    <s v="AAAA"/>
    <n v="1"/>
    <s v="1&amp;2"/>
    <s v="SUNPWT"/>
    <m/>
    <m/>
    <m/>
    <m/>
    <x v="23"/>
    <m/>
    <s v="Haklı"/>
    <x v="1"/>
    <x v="1"/>
  </r>
  <r>
    <n v="2603"/>
    <x v="21"/>
    <s v="TEKSAN"/>
    <d v="2026-02-17T00:00:00"/>
    <s v="AAAA"/>
    <n v="1"/>
    <s v="1&amp;2"/>
    <s v="SUNPWT"/>
    <m/>
    <m/>
    <m/>
    <m/>
    <x v="23"/>
    <m/>
    <s v="Haklı"/>
    <x v="1"/>
    <x v="1"/>
  </r>
  <r>
    <n v="2603"/>
    <x v="21"/>
    <s v="TEKSAN"/>
    <d v="2026-02-17T00:00:00"/>
    <s v="AAAA"/>
    <n v="1"/>
    <s v="1&amp;2"/>
    <s v="SUNPWT"/>
    <m/>
    <m/>
    <m/>
    <m/>
    <x v="23"/>
    <m/>
    <s v="Haklı"/>
    <x v="1"/>
    <x v="1"/>
  </r>
  <r>
    <n v="2603"/>
    <x v="21"/>
    <s v="TEKSAN"/>
    <d v="2026-02-17T00:00:00"/>
    <s v="AAAA"/>
    <n v="1"/>
    <s v="1&amp;2"/>
    <s v="SUNPWT"/>
    <m/>
    <m/>
    <m/>
    <m/>
    <x v="23"/>
    <m/>
    <s v="Haklı"/>
    <x v="1"/>
    <x v="1"/>
  </r>
  <r>
    <n v="2603"/>
    <x v="21"/>
    <s v="TEKSAN"/>
    <d v="2026-02-17T00:00:00"/>
    <s v="AAAA"/>
    <n v="1"/>
    <s v="1&amp;2"/>
    <s v="SUNPWT"/>
    <m/>
    <m/>
    <m/>
    <m/>
    <x v="23"/>
    <m/>
    <s v="Haklı"/>
    <x v="1"/>
    <x v="1"/>
  </r>
  <r>
    <n v="2603"/>
    <x v="21"/>
    <s v="TEKSAN"/>
    <d v="2026-02-17T00:00:00"/>
    <s v="AAAA"/>
    <n v="1"/>
    <s v="1&amp;2"/>
    <s v="SUNPWT"/>
    <m/>
    <m/>
    <m/>
    <m/>
    <x v="23"/>
    <m/>
    <s v="Haklı"/>
    <x v="1"/>
    <x v="1"/>
  </r>
  <r>
    <n v="2603"/>
    <x v="21"/>
    <s v="TEKSAN"/>
    <d v="2026-02-17T00:00:00"/>
    <s v="AAAA"/>
    <n v="1"/>
    <s v="1&amp;2"/>
    <s v="SUNPWT"/>
    <m/>
    <m/>
    <m/>
    <m/>
    <x v="23"/>
    <m/>
    <s v="Haklı"/>
    <x v="1"/>
    <x v="1"/>
  </r>
  <r>
    <n v="2603"/>
    <x v="21"/>
    <s v="TEKSAN"/>
    <d v="2026-02-17T00:00:00"/>
    <s v="AAAA"/>
    <n v="1"/>
    <s v="1&amp;2"/>
    <s v="SUNPWT"/>
    <m/>
    <m/>
    <m/>
    <m/>
    <x v="23"/>
    <m/>
    <s v="Haklı"/>
    <x v="1"/>
    <x v="1"/>
  </r>
  <r>
    <n v="2603"/>
    <x v="21"/>
    <s v="TEKSAN"/>
    <d v="2026-02-17T00:00:00"/>
    <s v="AAAA"/>
    <n v="1"/>
    <s v="1&amp;2"/>
    <s v="SUNPWT"/>
    <m/>
    <m/>
    <m/>
    <m/>
    <x v="23"/>
    <m/>
    <s v="Haklı"/>
    <x v="1"/>
    <x v="1"/>
  </r>
  <r>
    <n v="2603"/>
    <x v="21"/>
    <s v="TEKSAN"/>
    <d v="2026-02-17T00:00:00"/>
    <s v="AAAA"/>
    <n v="1"/>
    <s v="1&amp;2"/>
    <s v="SUNPWT"/>
    <m/>
    <m/>
    <m/>
    <m/>
    <x v="23"/>
    <m/>
    <s v="Haklı"/>
    <x v="1"/>
    <x v="1"/>
  </r>
  <r>
    <n v="2603"/>
    <x v="21"/>
    <s v="TEKSAN"/>
    <d v="2026-02-17T00:00:00"/>
    <s v="AAAA"/>
    <n v="1"/>
    <s v="1&amp;2"/>
    <s v="SUNPWT"/>
    <m/>
    <m/>
    <m/>
    <m/>
    <x v="23"/>
    <m/>
    <s v="Haklı"/>
    <x v="1"/>
    <x v="1"/>
  </r>
  <r>
    <n v="2603"/>
    <x v="21"/>
    <s v="TEKSAN"/>
    <d v="2026-02-17T00:00:00"/>
    <s v="AAAA"/>
    <n v="1"/>
    <s v="1&amp;2"/>
    <s v="SUNPWT"/>
    <m/>
    <m/>
    <m/>
    <m/>
    <x v="23"/>
    <m/>
    <s v="Haklı"/>
    <x v="1"/>
    <x v="1"/>
  </r>
  <r>
    <n v="2603"/>
    <x v="21"/>
    <s v="TEKSAN"/>
    <d v="2026-02-17T00:00:00"/>
    <s v="AAAA"/>
    <n v="1"/>
    <s v="1&amp;2"/>
    <s v="SUNPWT"/>
    <m/>
    <m/>
    <m/>
    <m/>
    <x v="23"/>
    <m/>
    <s v="Haklı"/>
    <x v="1"/>
    <x v="1"/>
  </r>
  <r>
    <n v="2603"/>
    <x v="21"/>
    <s v="TEKSAN"/>
    <d v="2026-02-17T00:00:00"/>
    <s v="AAAA"/>
    <n v="1"/>
    <s v="1&amp;2"/>
    <s v="SUNPWT"/>
    <m/>
    <m/>
    <m/>
    <m/>
    <x v="23"/>
    <m/>
    <s v="Haklı"/>
    <x v="1"/>
    <x v="1"/>
  </r>
  <r>
    <n v="2603"/>
    <x v="21"/>
    <s v="TEKSAN"/>
    <d v="2026-02-17T00:00:00"/>
    <s v="AAAA"/>
    <n v="1"/>
    <s v="1&amp;2"/>
    <s v="SUNPWT"/>
    <m/>
    <m/>
    <m/>
    <m/>
    <x v="23"/>
    <m/>
    <s v="Haklı"/>
    <x v="1"/>
    <x v="1"/>
  </r>
  <r>
    <n v="2603"/>
    <x v="21"/>
    <s v="TEKSAN"/>
    <d v="2026-02-17T00:00:00"/>
    <s v="AAAA"/>
    <n v="1"/>
    <s v="1&amp;2"/>
    <s v="SUNPWT"/>
    <m/>
    <m/>
    <m/>
    <m/>
    <x v="23"/>
    <m/>
    <s v="Haklı"/>
    <x v="1"/>
    <x v="1"/>
  </r>
  <r>
    <n v="2603"/>
    <x v="21"/>
    <s v="TEKSAN"/>
    <d v="2026-02-17T00:00:00"/>
    <s v="AAAA"/>
    <n v="1"/>
    <s v="1&amp;2"/>
    <s v="SUNPWT"/>
    <m/>
    <m/>
    <m/>
    <m/>
    <x v="23"/>
    <m/>
    <s v="Haklı"/>
    <x v="1"/>
    <x v="1"/>
  </r>
  <r>
    <n v="2603"/>
    <x v="21"/>
    <s v="TEKSAN"/>
    <d v="2026-02-17T00:00:00"/>
    <s v="AAAA"/>
    <n v="1"/>
    <s v="1&amp;2"/>
    <s v="SUNPWT"/>
    <m/>
    <m/>
    <m/>
    <m/>
    <x v="23"/>
    <m/>
    <s v="Haklı"/>
    <x v="1"/>
    <x v="1"/>
  </r>
  <r>
    <n v="2603"/>
    <x v="21"/>
    <s v="TEKSAN"/>
    <d v="2026-02-17T00:00:00"/>
    <s v="AAAA"/>
    <n v="1"/>
    <s v="1&amp;2"/>
    <s v="SUNPWT"/>
    <m/>
    <m/>
    <m/>
    <m/>
    <x v="23"/>
    <m/>
    <s v="Haklı"/>
    <x v="1"/>
    <x v="1"/>
  </r>
  <r>
    <n v="2603"/>
    <x v="21"/>
    <s v="TEKSAN"/>
    <d v="2026-02-17T00:00:00"/>
    <s v="AAAA"/>
    <n v="1"/>
    <s v="1&amp;2"/>
    <s v="SUNPWT"/>
    <m/>
    <m/>
    <m/>
    <m/>
    <x v="23"/>
    <m/>
    <s v="Haklı"/>
    <x v="1"/>
    <x v="1"/>
  </r>
  <r>
    <n v="2603"/>
    <x v="21"/>
    <s v="TEKSAN"/>
    <d v="2026-02-17T00:00:00"/>
    <s v="AAAA"/>
    <n v="1"/>
    <s v="1&amp;2"/>
    <s v="SUNPWT"/>
    <m/>
    <m/>
    <m/>
    <m/>
    <x v="23"/>
    <m/>
    <s v="Haklı"/>
    <x v="1"/>
    <x v="1"/>
  </r>
  <r>
    <n v="2603"/>
    <x v="21"/>
    <s v="TEKSAN"/>
    <d v="2026-02-17T00:00:00"/>
    <s v="AAAA"/>
    <n v="1"/>
    <s v="1&amp;2"/>
    <s v="SUNPWT"/>
    <m/>
    <m/>
    <m/>
    <m/>
    <x v="23"/>
    <m/>
    <s v="Haklı"/>
    <x v="1"/>
    <x v="1"/>
  </r>
  <r>
    <n v="2603"/>
    <x v="21"/>
    <s v="TEKSAN"/>
    <d v="2026-02-17T00:00:00"/>
    <s v="AAAA"/>
    <n v="1"/>
    <s v="1&amp;2"/>
    <s v="SUNPWT"/>
    <m/>
    <m/>
    <m/>
    <m/>
    <x v="23"/>
    <m/>
    <s v="Haklı"/>
    <x v="1"/>
    <x v="1"/>
  </r>
  <r>
    <n v="2603"/>
    <x v="21"/>
    <s v="TEKSAN"/>
    <d v="2026-02-17T00:00:00"/>
    <s v="AAAA"/>
    <n v="1"/>
    <s v="1&amp;2"/>
    <s v="SUNPWT"/>
    <m/>
    <m/>
    <m/>
    <m/>
    <x v="23"/>
    <m/>
    <s v="Haklı"/>
    <x v="1"/>
    <x v="1"/>
  </r>
  <r>
    <n v="2603"/>
    <x v="21"/>
    <s v="TEKSAN"/>
    <d v="2026-02-17T00:00:00"/>
    <s v="AAAA"/>
    <n v="1"/>
    <s v="1&amp;2"/>
    <s v="SUNPWT"/>
    <m/>
    <m/>
    <m/>
    <m/>
    <x v="23"/>
    <m/>
    <s v="Haklı"/>
    <x v="1"/>
    <x v="1"/>
  </r>
  <r>
    <n v="2603"/>
    <x v="21"/>
    <s v="TEKSAN"/>
    <d v="2026-02-17T00:00:00"/>
    <s v="AAAA"/>
    <n v="1"/>
    <s v="1&amp;2"/>
    <s v="SUNPWT"/>
    <m/>
    <m/>
    <m/>
    <m/>
    <x v="23"/>
    <m/>
    <s v="Haklı"/>
    <x v="1"/>
    <x v="1"/>
  </r>
  <r>
    <n v="2603"/>
    <x v="21"/>
    <s v="TEKSAN"/>
    <d v="2026-02-17T00:00:00"/>
    <s v="AAAA"/>
    <n v="1"/>
    <s v="1&amp;2"/>
    <s v="SUNPWT"/>
    <m/>
    <m/>
    <m/>
    <m/>
    <x v="23"/>
    <m/>
    <s v="Haklı"/>
    <x v="1"/>
    <x v="1"/>
  </r>
  <r>
    <n v="2538"/>
    <x v="19"/>
    <s v="ACACIA"/>
    <d v="2025-08-20T00:00:00"/>
    <s v="24A0107BW0017630"/>
    <n v="1"/>
    <s v="HSA-1"/>
    <s v="JASOLAR"/>
    <m/>
    <m/>
    <m/>
    <m/>
    <x v="2"/>
    <s v="Tamir"/>
    <s v="Haklı"/>
    <x v="7"/>
    <x v="0"/>
  </r>
  <r>
    <n v="2538"/>
    <x v="19"/>
    <s v="ACACIA"/>
    <d v="2025-08-20T00:00:00"/>
    <s v="24C0107BW0006532"/>
    <n v="1"/>
    <s v="HSA-1"/>
    <s v="JASOLAR"/>
    <m/>
    <m/>
    <m/>
    <m/>
    <x v="2"/>
    <s v="Tamir"/>
    <s v="Haklı"/>
    <x v="7"/>
    <x v="0"/>
  </r>
  <r>
    <n v="2538"/>
    <x v="19"/>
    <s v="ACACIA"/>
    <d v="2025-08-20T00:00:00"/>
    <s v="24C0107BW0029422"/>
    <n v="1"/>
    <s v="HSA-1"/>
    <s v="JASOLAR"/>
    <m/>
    <m/>
    <m/>
    <m/>
    <x v="2"/>
    <s v="Tamir"/>
    <s v="Haklı"/>
    <x v="7"/>
    <x v="0"/>
  </r>
  <r>
    <n v="2538"/>
    <x v="19"/>
    <s v="ACACIA"/>
    <d v="2025-08-20T00:00:00"/>
    <s v="2510107BW0002346"/>
    <n v="1"/>
    <s v="HSA-1"/>
    <s v="JASOLAR"/>
    <s v="Diyot Hatası"/>
    <s v="Tamir"/>
    <s v="Haklı"/>
    <m/>
    <x v="2"/>
    <s v="Tamir"/>
    <s v="Haklı"/>
    <x v="7"/>
    <x v="0"/>
  </r>
  <r>
    <n v="2538"/>
    <x v="19"/>
    <s v="ACACIA"/>
    <d v="2025-08-20T00:00:00"/>
    <s v="2420107BW0003183"/>
    <n v="1"/>
    <s v="HSA-1"/>
    <s v="JASOLAR"/>
    <m/>
    <m/>
    <m/>
    <m/>
    <x v="2"/>
    <s v="Tamir"/>
    <s v="Haklı"/>
    <x v="7"/>
    <x v="0"/>
  </r>
  <r>
    <n v="2538"/>
    <x v="19"/>
    <s v="ACACIA"/>
    <d v="2025-08-20T00:00:00"/>
    <s v="2480107BW0023523 "/>
    <n v="1"/>
    <s v="HSA-1"/>
    <s v="JASOLAR"/>
    <m/>
    <m/>
    <m/>
    <m/>
    <x v="2"/>
    <s v="Tamir"/>
    <s v="Haklı"/>
    <x v="7"/>
    <x v="0"/>
  </r>
  <r>
    <n v="2538"/>
    <x v="19"/>
    <s v="ACACIA"/>
    <d v="2025-08-20T00:00:00"/>
    <s v="2480107BW0018063"/>
    <n v="1"/>
    <s v="HSA-1"/>
    <s v="JASOLAR"/>
    <m/>
    <m/>
    <m/>
    <m/>
    <x v="2"/>
    <s v="Tamir"/>
    <s v="Haklı"/>
    <x v="7"/>
    <x v="0"/>
  </r>
  <r>
    <n v="2538"/>
    <x v="19"/>
    <s v="ACACIA"/>
    <d v="2025-08-20T00:00:00"/>
    <s v="24C0107BW0048348 "/>
    <n v="1"/>
    <s v="HSA-1"/>
    <s v="JASOLAR"/>
    <m/>
    <m/>
    <m/>
    <m/>
    <x v="2"/>
    <s v="Tamir"/>
    <s v="Haklı"/>
    <x v="7"/>
    <x v="0"/>
  </r>
  <r>
    <n v="2538"/>
    <x v="19"/>
    <s v="ACACIA"/>
    <d v="2025-08-20T00:00:00"/>
    <s v="2430107BW0018320"/>
    <n v="1"/>
    <s v="HSA-1"/>
    <s v="JASOLAR"/>
    <m/>
    <m/>
    <m/>
    <m/>
    <x v="2"/>
    <s v="Tamir"/>
    <s v="Haklı"/>
    <x v="7"/>
    <x v="0"/>
  </r>
  <r>
    <n v="2538"/>
    <x v="19"/>
    <s v="ACACIA"/>
    <d v="2025-08-20T00:00:00"/>
    <s v="2460107BW0058471"/>
    <n v="1"/>
    <s v="HSA-1"/>
    <s v="JASOLAR"/>
    <m/>
    <m/>
    <m/>
    <m/>
    <x v="2"/>
    <s v="Tamir"/>
    <s v="Haklı"/>
    <x v="7"/>
    <x v="0"/>
  </r>
  <r>
    <n v="2556"/>
    <x v="30"/>
    <s v="AS OFİS"/>
    <d v="2025-10-17T00:00:00"/>
    <s v="2320108MC2028589"/>
    <n v="1"/>
    <s v="HSA-2"/>
    <s v="MAVİÇAM"/>
    <m/>
    <m/>
    <m/>
    <m/>
    <x v="2"/>
    <s v="Tamir"/>
    <s v="Haklı"/>
    <x v="9"/>
    <x v="0"/>
  </r>
  <r>
    <n v="2556"/>
    <x v="30"/>
    <s v="AS OFİS"/>
    <d v="2025-10-17T00:00:00"/>
    <s v="2310108BW0030699"/>
    <n v="1"/>
    <s v="HSA-1"/>
    <s v="MAVİÇAM"/>
    <m/>
    <m/>
    <m/>
    <m/>
    <x v="2"/>
    <s v="Tamir"/>
    <s v="Haklı"/>
    <x v="9"/>
    <x v="0"/>
  </r>
  <r>
    <n v="2556"/>
    <x v="30"/>
    <s v="AS OFİS"/>
    <d v="2025-10-17T00:00:00"/>
    <s v="2310908BW0031046 "/>
    <n v="1"/>
    <s v="HSA-1"/>
    <s v="MAVİÇAM"/>
    <m/>
    <m/>
    <m/>
    <m/>
    <x v="2"/>
    <s v="Tamir"/>
    <s v="Haklı"/>
    <x v="9"/>
    <x v="0"/>
  </r>
  <r>
    <n v="2556"/>
    <x v="30"/>
    <s v="AS OFİS"/>
    <d v="2025-10-17T00:00:00"/>
    <s v="2310108BW0031161"/>
    <n v="1"/>
    <s v="HSA-1"/>
    <s v="MAVİÇAM"/>
    <m/>
    <m/>
    <m/>
    <m/>
    <x v="2"/>
    <s v="Tamir"/>
    <s v="Haklı"/>
    <x v="9"/>
    <x v="0"/>
  </r>
  <r>
    <n v="2556"/>
    <x v="30"/>
    <s v="AS OFİS"/>
    <d v="2025-10-17T00:00:00"/>
    <s v="2310108BW0031341"/>
    <n v="1"/>
    <s v="HSA-1"/>
    <s v="MAVİÇAM"/>
    <m/>
    <m/>
    <m/>
    <m/>
    <x v="2"/>
    <s v="Tamir"/>
    <s v="Haklı"/>
    <x v="9"/>
    <x v="0"/>
  </r>
  <r>
    <n v="2604"/>
    <x v="0"/>
    <s v="AKGÜÇ"/>
    <d v="2026-03-11T00:00:00"/>
    <s v="2490107BW0003117"/>
    <n v="1"/>
    <s v="HSA-2"/>
    <s v="JASOLAR"/>
    <m/>
    <m/>
    <m/>
    <m/>
    <x v="1"/>
    <m/>
    <s v="Devam Ediyor"/>
    <x v="2"/>
    <x v="1"/>
  </r>
  <r>
    <n v="2604"/>
    <x v="0"/>
    <s v="AKGÜÇ"/>
    <d v="2026-03-11T00:00:00"/>
    <s v="2490107BW0009073"/>
    <n v="1"/>
    <s v="HSA-2"/>
    <s v="JASOLAR"/>
    <m/>
    <m/>
    <m/>
    <m/>
    <x v="1"/>
    <m/>
    <s v="Devam Ediyor"/>
    <x v="2"/>
    <x v="1"/>
  </r>
  <r>
    <n v="2604"/>
    <x v="0"/>
    <s v="AKGÜÇ"/>
    <d v="2026-03-11T00:00:00"/>
    <s v="24A0107BW0030689"/>
    <n v="1"/>
    <s v="HSA-2"/>
    <s v="JASOLAR"/>
    <m/>
    <m/>
    <m/>
    <m/>
    <x v="1"/>
    <m/>
    <s v="Devam Ediyor"/>
    <x v="2"/>
    <x v="1"/>
  </r>
  <r>
    <n v="2604"/>
    <x v="0"/>
    <s v="AKGÜÇ"/>
    <d v="2026-03-11T00:00:00"/>
    <s v="2480107BW0014665"/>
    <n v="1"/>
    <s v="HSA-2"/>
    <s v="JASOLAR"/>
    <m/>
    <m/>
    <m/>
    <m/>
    <x v="1"/>
    <m/>
    <s v="Devam Ediyor"/>
    <x v="2"/>
    <x v="1"/>
  </r>
  <r>
    <n v="2604"/>
    <x v="0"/>
    <s v="AKGÜÇ"/>
    <d v="2026-03-11T00:00:00"/>
    <s v="2480107BW0017369"/>
    <n v="1"/>
    <s v="HSA-2"/>
    <s v="JASOLAR"/>
    <m/>
    <m/>
    <m/>
    <m/>
    <x v="1"/>
    <m/>
    <s v="Devam Ediyor"/>
    <x v="2"/>
    <x v="1"/>
  </r>
  <r>
    <n v="2604"/>
    <x v="0"/>
    <s v="AKGÜÇ"/>
    <d v="2026-03-11T00:00:00"/>
    <s v="2510107BW0015199"/>
    <n v="1"/>
    <s v="HSA-2"/>
    <s v="JASOLAR"/>
    <m/>
    <m/>
    <m/>
    <m/>
    <x v="1"/>
    <m/>
    <s v="Devam Ediyor"/>
    <x v="2"/>
    <x v="1"/>
  </r>
  <r>
    <n v="2604"/>
    <x v="0"/>
    <s v="AKGÜÇ"/>
    <d v="2026-03-11T00:00:00"/>
    <s v="2480107BW0015081"/>
    <n v="1"/>
    <s v="HSA-2"/>
    <s v="JASOLAR"/>
    <m/>
    <m/>
    <m/>
    <m/>
    <x v="1"/>
    <m/>
    <s v="Devam Ediyor"/>
    <x v="2"/>
    <x v="1"/>
  </r>
  <r>
    <n v="2604"/>
    <x v="0"/>
    <s v="AKGÜÇ"/>
    <d v="2026-03-11T00:00:00"/>
    <s v="2510107BW0016582"/>
    <n v="1"/>
    <s v="HSA-2"/>
    <s v="JASOLAR"/>
    <m/>
    <m/>
    <m/>
    <m/>
    <x v="1"/>
    <m/>
    <s v="Devam Ediyor"/>
    <x v="2"/>
    <x v="1"/>
  </r>
  <r>
    <n v="2604"/>
    <x v="0"/>
    <s v="AKGÜÇ"/>
    <d v="2026-03-11T00:00:00"/>
    <s v="2510107BW0014595"/>
    <n v="1"/>
    <s v="HSA-2"/>
    <s v="JASOLAR"/>
    <m/>
    <m/>
    <m/>
    <m/>
    <x v="1"/>
    <m/>
    <s v="Devam Ediyor"/>
    <x v="2"/>
    <x v="1"/>
  </r>
  <r>
    <n v="2604"/>
    <x v="0"/>
    <s v="AKGÜÇ"/>
    <d v="2026-03-11T00:00:00"/>
    <s v="2480107BW0013824"/>
    <n v="1"/>
    <s v="HSA-2"/>
    <s v="JASOLAR"/>
    <m/>
    <m/>
    <m/>
    <m/>
    <x v="1"/>
    <m/>
    <s v="Devam Ediyor"/>
    <x v="2"/>
    <x v="1"/>
  </r>
  <r>
    <n v="2604"/>
    <x v="0"/>
    <s v="AKGÜÇ"/>
    <d v="2026-03-11T00:00:00"/>
    <s v="24C0107BW0001442"/>
    <n v="1"/>
    <s v="HSA-2"/>
    <s v="JASOLAR"/>
    <m/>
    <m/>
    <m/>
    <m/>
    <x v="1"/>
    <m/>
    <s v="Devam Ediyor"/>
    <x v="2"/>
    <x v="1"/>
  </r>
  <r>
    <n v="2604"/>
    <x v="0"/>
    <s v="AKGÜÇ"/>
    <d v="2026-03-11T00:00:00"/>
    <s v="2480107BW0017378"/>
    <n v="1"/>
    <s v="HSA-2"/>
    <s v="JASOLAR"/>
    <m/>
    <m/>
    <m/>
    <m/>
    <x v="1"/>
    <m/>
    <s v="Devam Ediyor"/>
    <x v="2"/>
    <x v="1"/>
  </r>
  <r>
    <n v="2604"/>
    <x v="0"/>
    <s v="AKGÜÇ"/>
    <d v="2026-03-11T00:00:00"/>
    <s v="2510107BW0017485"/>
    <n v="1"/>
    <s v="HSA-2"/>
    <s v="JASOLAR"/>
    <m/>
    <m/>
    <m/>
    <m/>
    <x v="1"/>
    <m/>
    <s v="Devam Ediyor"/>
    <x v="2"/>
    <x v="1"/>
  </r>
  <r>
    <n v="2604"/>
    <x v="0"/>
    <s v="AKGÜÇ"/>
    <d v="2026-03-11T00:00:00"/>
    <s v="2490107BW0004023"/>
    <n v="1"/>
    <s v="HSA-2"/>
    <s v="JASOLAR"/>
    <m/>
    <m/>
    <m/>
    <m/>
    <x v="1"/>
    <m/>
    <s v="Devam Ediyor"/>
    <x v="2"/>
    <x v="1"/>
  </r>
  <r>
    <n v="2604"/>
    <x v="0"/>
    <s v="AKGÜÇ"/>
    <d v="2026-03-11T00:00:00"/>
    <s v="2480107BW0035102"/>
    <n v="1"/>
    <s v="HSA-2"/>
    <s v="JASOLAR"/>
    <m/>
    <m/>
    <m/>
    <m/>
    <x v="1"/>
    <m/>
    <s v="Devam Ediyor"/>
    <x v="2"/>
    <x v="1"/>
  </r>
  <r>
    <n v="2604"/>
    <x v="0"/>
    <s v="AKGÜÇ"/>
    <d v="2026-03-11T00:00:00"/>
    <s v="2480107BW0016392"/>
    <n v="1"/>
    <s v="HSA-2"/>
    <s v="JASOLAR"/>
    <m/>
    <m/>
    <m/>
    <m/>
    <x v="1"/>
    <m/>
    <s v="Devam Ediyor"/>
    <x v="2"/>
    <x v="1"/>
  </r>
  <r>
    <n v="2604"/>
    <x v="0"/>
    <s v="AKGÜÇ"/>
    <d v="2026-03-11T00:00:00"/>
    <s v="24C0107BW0001453"/>
    <n v="1"/>
    <s v="HSA-2"/>
    <s v="JASOLAR"/>
    <m/>
    <m/>
    <m/>
    <m/>
    <x v="1"/>
    <m/>
    <s v="Devam Ediyor"/>
    <x v="2"/>
    <x v="1"/>
  </r>
  <r>
    <n v="2604"/>
    <x v="0"/>
    <s v="AKGÜÇ"/>
    <d v="2026-03-11T00:00:00"/>
    <s v="2490107BW0003734"/>
    <n v="1"/>
    <s v="HSA-2"/>
    <s v="JASOLAR"/>
    <m/>
    <m/>
    <m/>
    <m/>
    <x v="1"/>
    <m/>
    <s v="Devam Ediyor"/>
    <x v="2"/>
    <x v="1"/>
  </r>
  <r>
    <n v="2604"/>
    <x v="0"/>
    <s v="AKGÜÇ"/>
    <d v="2026-03-11T00:00:00"/>
    <s v="2480107BW0016388"/>
    <n v="1"/>
    <s v="HSA-2"/>
    <s v="JASOLAR"/>
    <m/>
    <m/>
    <m/>
    <m/>
    <x v="1"/>
    <m/>
    <s v="Devam Ediyor"/>
    <x v="2"/>
    <x v="1"/>
  </r>
  <r>
    <n v="2604"/>
    <x v="0"/>
    <s v="AKGÜÇ"/>
    <d v="2026-03-11T00:00:00"/>
    <s v="24A0107BW0017148"/>
    <n v="1"/>
    <s v="HSA-2"/>
    <s v="JASOLAR"/>
    <m/>
    <m/>
    <m/>
    <m/>
    <x v="1"/>
    <m/>
    <s v="Devam Ediyor"/>
    <x v="2"/>
    <x v="1"/>
  </r>
  <r>
    <n v="2604"/>
    <x v="0"/>
    <s v="AKGÜÇ"/>
    <d v="2026-03-11T00:00:00"/>
    <s v="24A0107BW0008541"/>
    <n v="1"/>
    <s v="HSA-2"/>
    <s v="JASOLAR"/>
    <m/>
    <m/>
    <m/>
    <m/>
    <x v="1"/>
    <m/>
    <s v="Devam Ediyor"/>
    <x v="2"/>
    <x v="1"/>
  </r>
  <r>
    <n v="2604"/>
    <x v="0"/>
    <s v="AKGÜÇ"/>
    <d v="2026-03-11T00:00:00"/>
    <s v="2480107BW0015373"/>
    <n v="1"/>
    <s v="HSA-2"/>
    <s v="JASOLAR"/>
    <m/>
    <m/>
    <m/>
    <m/>
    <x v="1"/>
    <m/>
    <s v="Devam Ediyor"/>
    <x v="2"/>
    <x v="1"/>
  </r>
  <r>
    <n v="2605"/>
    <x v="31"/>
    <s v="ÖZKOYUNCU"/>
    <d v="2026-03-17T00:00:00"/>
    <s v="2370108MC1004663"/>
    <n v="1"/>
    <s v="HSA-1"/>
    <s v="MAVİÇAM"/>
    <m/>
    <m/>
    <m/>
    <m/>
    <x v="2"/>
    <m/>
    <s v="Haklı"/>
    <x v="2"/>
    <x v="1"/>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r>
    <m/>
    <x v="36"/>
    <m/>
    <m/>
    <m/>
    <m/>
    <m/>
    <m/>
    <m/>
    <m/>
    <m/>
    <m/>
    <x v="24"/>
    <m/>
    <m/>
    <x v="12"/>
    <x v="2"/>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5">
  <r>
    <n v="2501"/>
    <s v="ENTEGRO"/>
    <s v="GÜRALSERAMİK"/>
    <s v="KÜTAHYA"/>
    <d v="2025-01-21T00:00:00"/>
    <x v="0"/>
    <x v="0"/>
    <s v="N/A"/>
    <n v="9"/>
    <x v="0"/>
    <x v="0"/>
    <s v="Cam çiziği_x000a_Paketten çizik çıkmıştır._x000a__x000a_Hat üzerinden geçerken VI görüntüleri temiz. Çizikler paketlemede elleçlemede oluşmuş olabilir. C sınıfının birtanesi forklift bıçağı girmesi nedeniyle oluşmuş. Diğeri önyüzeyden darbe almış, son C sınıfı ise belli olmuyor videodan modülü incelemek gerek. Çiziklerin hepsi uzun ve çerçeve sürtmesi kaynaklı kalın. P sınıfı düzeyinde. Dolayısıyla geri dönüş olarak değiştirmek uygun olacaktır."/>
    <d v="2025-01-28T00:00:00"/>
    <x v="0"/>
    <x v="0"/>
    <n v="4"/>
    <m/>
  </r>
  <r>
    <n v="2502"/>
    <s v="KONTEK"/>
    <s v="JANTSA"/>
    <s v="AYDIN"/>
    <d v="2025-01-29T00:00:00"/>
    <x v="0"/>
    <x v="1"/>
    <n v="540"/>
    <n v="19"/>
    <x v="1"/>
    <x v="0"/>
    <s v="Diyot hatası_x000a__x000a_Ürünün EL ve VI larına bakılacak. Akabinde saha organizasyonu yapılacak._x000a__x000a_30.10.25'de saha ziyareti yapıldı. 2 değişim, 17 modül tamir olarak sonuçlandı."/>
    <d v="2025-10-30T00:00:00"/>
    <x v="0"/>
    <x v="0"/>
    <n v="5"/>
    <m/>
  </r>
  <r>
    <n v="2503"/>
    <s v="KONTEK"/>
    <s v="JANTSA-HADDEHANE"/>
    <s v="AYDIN"/>
    <d v="2025-01-29T00:00:00"/>
    <x v="0"/>
    <x v="0"/>
    <n v="545"/>
    <n v="11"/>
    <x v="1"/>
    <x v="0"/>
    <s v="Diyot hatası_x000a__x000a_Ürünün EL veVI ların abakılacak. Akabinde saha organizasyonu yapılacak."/>
    <d v="2025-11-21T00:00:00"/>
    <x v="0"/>
    <x v="0"/>
    <n v="5"/>
    <m/>
  </r>
  <r>
    <n v="2504"/>
    <s v="KONTEK"/>
    <s v="JANTSA-ORTAKLAR"/>
    <s v="AYDIN"/>
    <d v="2025-01-29T00:00:00"/>
    <x v="0"/>
    <x v="1"/>
    <n v="540"/>
    <n v="7"/>
    <x v="1"/>
    <x v="0"/>
    <s v="Diyot hatası_x000a__x000a_Ürünün EL ve VI larına bakılacak. Akabinde saha organizasyonu yapılacak."/>
    <d v="2025-11-21T00:00:00"/>
    <x v="0"/>
    <x v="0"/>
    <n v="5"/>
    <m/>
  </r>
  <r>
    <n v="2505"/>
    <s v="KONTEK"/>
    <s v="PMI"/>
    <s v="İZMİR"/>
    <d v="2025-01-29T00:00:00"/>
    <x v="0"/>
    <x v="0"/>
    <n v="545"/>
    <n v="3"/>
    <x v="1"/>
    <x v="0"/>
    <s v="Diyot hatası_x000a__x000a_Ürünün EL ve VI larına bakılacak. Akabinde saha organizasyonu yapılacak._x000a__x000a_31.10.25'de saha ziyareti yapıldı. 1 değişim, 2 modül tamir olarak sonuçlandı."/>
    <m/>
    <x v="0"/>
    <x v="0"/>
    <n v="5"/>
    <m/>
  </r>
  <r>
    <n v="2506"/>
    <s v="KONTEK"/>
    <s v="ARNES"/>
    <s v="İZMİR"/>
    <d v="2025-02-04T00:00:00"/>
    <x v="0"/>
    <x v="1"/>
    <n v="545"/>
    <n v="3"/>
    <x v="1"/>
    <x v="1"/>
    <s v="12.12.25'de saha ziyareti yapıldı. Arızalı olduğu beyan edilen modüllerde yapılas ölçümlerde Volt degerleri 49,7'den düşük olduğu görslmöştür. Modaller tam kpasite Galışır doromdadır, Haksız şikayet olarak degerlendirilmiştir."/>
    <d v="2025-12-12T00:00:00"/>
    <x v="0"/>
    <x v="1"/>
    <n v="6"/>
    <m/>
  </r>
  <r>
    <n v="2507"/>
    <s v="KONTEK"/>
    <s v="MAYTEKS"/>
    <s v="İZMİR"/>
    <d v="2025-02-04T00:00:00"/>
    <x v="0"/>
    <x v="0"/>
    <n v="555"/>
    <n v="2"/>
    <x v="1"/>
    <x v="0"/>
    <s v="Diyot hatası_x000a__x000a_Ürünün EL ve VI larına bakılacak. Akabinde saha organizasyonu yapılacak."/>
    <d v="2025-10-20T00:00:00"/>
    <x v="0"/>
    <x v="1"/>
    <n v="6"/>
    <m/>
  </r>
  <r>
    <n v="2508"/>
    <s v="MELİKETEKSTİL"/>
    <s v="MELİKETEKSTİL"/>
    <s v="GAZİANTEP"/>
    <d v="2025-01-28T00:00:00"/>
    <x v="1"/>
    <x v="1"/>
    <s v="N/A"/>
    <n v="1"/>
    <x v="2"/>
    <x v="1"/>
    <s v="Backsheet hatası_x000a__x000a_EL ve VI larında problemgörünmemektedir. Sahada şartlarından kaynaklı deformasyon."/>
    <m/>
    <x v="0"/>
    <x v="0"/>
    <n v="5"/>
    <m/>
  </r>
  <r>
    <n v="2509"/>
    <s v="SOLARTODAY"/>
    <s v="LİMAK"/>
    <s v="KIRKLARELİ"/>
    <d v="2025-02-26T00:00:00"/>
    <x v="2"/>
    <x v="0"/>
    <s v="N/A"/>
    <n v="1"/>
    <x v="3"/>
    <x v="0"/>
    <s v="Ribbon kayması_x000a__x000a_Değişim yapılacak._x000a_Projenin tamaminin serilmesini beklemekistiyorlar, baska bir talep de olursa tek seferde isleme baslayacagiz"/>
    <d v="2025-02-28T00:00:00"/>
    <x v="0"/>
    <x v="1"/>
    <n v="9"/>
    <m/>
  </r>
  <r>
    <n v="2510"/>
    <s v="SOLARTODAY"/>
    <s v="LİMAK"/>
    <s v="KIRKLARELİ"/>
    <d v="2025-03-13T00:00:00"/>
    <x v="2"/>
    <x v="0"/>
    <s v="N/A"/>
    <n v="4"/>
    <x v="4"/>
    <x v="0"/>
    <s v="Konnektör hatası _x000a_Kendilerine doğru çekip parçayı çıkarmaları talebinde bulunduk. Üretimde kullanılan aparatınparçası üzerinde kalmış."/>
    <d v="2025-03-14T00:00:00"/>
    <x v="0"/>
    <x v="2"/>
    <n v="11"/>
    <m/>
  </r>
  <r>
    <n v="2511"/>
    <s v="IDAMARMERMER"/>
    <s v="IDAMARMERMER"/>
    <s v="İZMİR"/>
    <d v="2025-03-21T00:00:00"/>
    <x v="0"/>
    <x v="1"/>
    <s v="N/A"/>
    <n v="2"/>
    <x v="5"/>
    <x v="0"/>
    <s v="Kırık cam - panelin köşesinde kırık tespit edilmiştir."/>
    <d v="2025-04-03T00:00:00"/>
    <x v="0"/>
    <x v="2"/>
    <n v="12"/>
    <m/>
  </r>
  <r>
    <n v="2512"/>
    <s v="ENTEGRO"/>
    <s v="GÜRALSERAMİK"/>
    <s v="KÜTAHYA"/>
    <d v="2025-04-03T00:00:00"/>
    <x v="0"/>
    <x v="0"/>
    <s v="N/A"/>
    <n v="11"/>
    <x v="6"/>
    <x v="0"/>
    <s v="Diyot hatası_x000a__x000a_J.B lehim yenilendi"/>
    <m/>
    <x v="0"/>
    <x v="3"/>
    <n v="14"/>
    <m/>
  </r>
  <r>
    <n v="2513"/>
    <s v="YEŞİLYURT"/>
    <s v="YEŞİLYURT"/>
    <m/>
    <d v="2025-04-04T00:00:00"/>
    <x v="1"/>
    <x v="1"/>
    <s v="N/A"/>
    <n v="2"/>
    <x v="7"/>
    <x v="0"/>
    <s v="Sahaya giden modüllerin güç etiketlerindesözleşme dışında güc saptanmıştır. 545w-&gt;550w, 580w-&gt;585w olarak yazılmıştır, saha tam kaç adet olduğu konusunda emin değil ancak 10 adet modülün 2 adetinde buna denk geldiklerini söylediler."/>
    <m/>
    <x v="0"/>
    <x v="3"/>
    <n v="14"/>
    <m/>
  </r>
  <r>
    <n v="2514"/>
    <s v="ABCSOLAR"/>
    <s v="ABCSOLAR"/>
    <m/>
    <d v="2025-04-08T00:00:00"/>
    <x v="0"/>
    <x v="1"/>
    <s v="N/A"/>
    <n v="9"/>
    <x v="7"/>
    <x v="0"/>
    <m/>
    <m/>
    <x v="0"/>
    <x v="3"/>
    <n v="15"/>
    <m/>
  </r>
  <r>
    <n v="2515"/>
    <s v="CITUSENERJI"/>
    <s v="CIZMELIGIDA"/>
    <m/>
    <d v="2025-04-18T00:00:00"/>
    <x v="0"/>
    <x v="1"/>
    <s v="N/A"/>
    <n v="16"/>
    <x v="6"/>
    <x v="0"/>
    <m/>
    <m/>
    <x v="0"/>
    <x v="3"/>
    <n v="16"/>
    <m/>
  </r>
  <r>
    <n v="2516"/>
    <s v="ERTEKNİK"/>
    <s v="ERTEKNİKSULAMA"/>
    <s v="MANİSA"/>
    <d v="2025-04-24T00:00:00"/>
    <x v="3"/>
    <x v="1"/>
    <s v="N/A"/>
    <n v="35"/>
    <x v="7"/>
    <x v="0"/>
    <s v="Satışı T-20 yapılmı şürünlerin paketinin içinden T-10 çıkması"/>
    <m/>
    <x v="0"/>
    <x v="3"/>
    <n v="17"/>
    <m/>
  </r>
  <r>
    <n v="2517"/>
    <s v="KONTEK"/>
    <s v="PENGUENGES"/>
    <s v="UŞAK"/>
    <d v="2025-05-09T00:00:00"/>
    <x v="1"/>
    <x v="0"/>
    <s v="N/A"/>
    <n v="10"/>
    <x v="8"/>
    <x v="1"/>
    <s v="Hot-spot"/>
    <m/>
    <x v="0"/>
    <x v="4"/>
    <n v="19"/>
    <m/>
  </r>
  <r>
    <n v="2518"/>
    <s v="SOLARTODAY"/>
    <s v="LİMAK"/>
    <m/>
    <d v="2025-05-08T00:00:00"/>
    <x v="2"/>
    <x v="0"/>
    <s v="N/A"/>
    <n v="33"/>
    <x v="3"/>
    <x v="1"/>
    <s v="Ribbon sapması - _x000a__x000a_13.05.2025: İletilmiş olan görsellerdeki hataların hangi modüle ait olduğu eşleştirilememiştir. Müşteri tarafından hücre çiziği olarak ifade edilen tanımın incelemelerimiz sonucunda cam çiziği olduğu tespit edilmiştir. Prosesimizde paketleme istasyonu öncesinde görsel kontrol uygulaması 100% yapılmakta olup, bu seri numaralarına ait herhangi bir gözlem olmamıştır. Ayrıca üretim içerisindeki görsel kontrol kamera kontrol kayıtlarında da hata görülmemiştir. Ribon uçlarında sapma kriteri 3.5mmdir. İletilen iki görseldeki modüllerin biri kriter içindeyken, diğeri kriter dışıdır ve bu hata tipinin modül performansı üzerinde etkisi bulunmamaktadır. Mesh hatası için görsel olmadığı için yorum yapılamamıştır."/>
    <m/>
    <x v="0"/>
    <x v="4"/>
    <n v="19"/>
    <m/>
  </r>
  <r>
    <n v="2519"/>
    <s v="ERTEKNİK"/>
    <s v="ERTEKNİK"/>
    <m/>
    <d v="2025-05-05T00:00:00"/>
    <x v="3"/>
    <x v="1"/>
    <s v="N/A"/>
    <n v="36"/>
    <x v="7"/>
    <x v="0"/>
    <m/>
    <m/>
    <x v="0"/>
    <x v="4"/>
    <n v="19"/>
    <m/>
  </r>
  <r>
    <n v="2520"/>
    <s v="MİGROS"/>
    <s v="İNCİGES"/>
    <s v="KIRŞEHİR"/>
    <d v="2025-05-22T00:00:00"/>
    <x v="1"/>
    <x v="0"/>
    <s v="N/A"/>
    <n v="49"/>
    <x v="6"/>
    <x v="0"/>
    <s v="27.05.25: Raporda mevzu bahis olan 36 adet modül ziyaretimizöncesinde demonte edilebilir mi? 220V enerji temini, çalışılacak uygun bir alan ve modülleri koyabileceğimiz bir masa sağlanabilirse çok seviniriz. Bu modülleri yerinde inceleme ve müdahale gerçekleştirmek istiyoruz. Ayrıca diğer 13 modülü ise paraleldeçalışır iken incelemeyi isteriz. Öngörümüz burada 2 iş günü çalışma gerçekleştirmek. Uygun olursa bunu önümüzdeki hafta Ptesi, Salı günü gerçekleştirmeyi istiyoruz._x000a__x000a_12.06.2025'te saha ziyareti yapılmıştır. 49 adet tamir edildi. Hepsi zayıf lehim."/>
    <d v="2025-06-13T00:00:00"/>
    <x v="0"/>
    <x v="4"/>
    <n v="21"/>
    <m/>
  </r>
  <r>
    <n v="2521"/>
    <s v="OZENERGY"/>
    <s v="ÖRGÜGES"/>
    <s v="DENİZLİ"/>
    <d v="2025-05-22T00:00:00"/>
    <x v="0"/>
    <x v="1"/>
    <s v="N/A"/>
    <n v="16"/>
    <x v="6"/>
    <x v="0"/>
    <s v="27.05.2025tarihinde saha ziyareti yapılacak._x000a__x000a_Lehim tazelendi."/>
    <d v="2025-05-27T00:00:00"/>
    <x v="0"/>
    <x v="4"/>
    <n v="21"/>
    <m/>
  </r>
  <r>
    <n v="2522"/>
    <s v="ELEKTAENERJİ"/>
    <s v="ELEKTAENERJİ"/>
    <s v="MANİSA"/>
    <d v="2025-05-28T00:00:00"/>
    <x v="0"/>
    <x v="1"/>
    <n v="575"/>
    <n v="1"/>
    <x v="9"/>
    <x v="1"/>
    <s v="4 batchten oluşan (1069+1295+1012+1132) HSA66M1AGGNS-575w kodlu 1 tırlık malzemeden müşteri şikayeti gelmiştir. Müşterinin şikayeti panellerin başka x markanın alt serisine göre düşük voltaj üretmesidir._x000a__x000a_Görkem Bey merhaba; Mesut Bey ile gündüz telefonda görüştük, akşamda kendisini tekrararadım. Kendisinden telefonda da aynı talepte bulundum. Bir stringde kaç modül var? Problem yaşanılan stringdeki panellerin barkod bilgileri? Farklı 2 tip panel aynı stringe konulmuş olabilir mi? 66tip vs 72tip. Problem yaşanılan stringdeki panellerin aynı miktarda güneş aldığına emin olup, her bir panel j.box kablolarından ayrı ayrı açık devre voltajı ölçebilir mi?_x000a_Şu an için bilgileri anladığım bugün yarın temin edemeyecekler. Haftaya tekrar haberleşeceğiz gibi görünüyor._x000a__x000a_Elekta şikayetini buyuk olcude çozduk, pompa sistemine az panel bagladiklari icin sistem calismayip tekesiyor. Simdilik aksiyonumuz yok."/>
    <d v="2025-05-29T00:00:00"/>
    <x v="0"/>
    <x v="4"/>
    <n v="22"/>
    <m/>
  </r>
  <r>
    <n v="2523"/>
    <s v="YEO"/>
    <s v="BİM"/>
    <s v="ERZURUM"/>
    <d v="2025-06-17T00:00:00"/>
    <x v="0"/>
    <x v="0"/>
    <s v="N/A"/>
    <n v="14"/>
    <x v="1"/>
    <x v="2"/>
    <s v="Termal görüntü iletildi sadece, yorum yok_x000a__x000a_23.09.25: Satışa araması için hatırlatma yapıldı._x000a__x000a_22.10.25'de satış ekibine tekrar hatırlatma yapıldı._x000a__x000a_02.03.25: Satış ekibi tarafından organizasyon bilgi gelecek. Kemal Bey, Mehmet Bey ile kontak kişi bilgilerini paylaşacak._x000a__x000a_16.03.26: Mehmet Bey saha tarafındaki sorunmlu ile görüşmüş. Yeo'dan dönüş bekleniyor."/>
    <m/>
    <x v="0"/>
    <x v="5"/>
    <n v="25"/>
    <m/>
  </r>
  <r>
    <n v="2524"/>
    <s v="ENTEGRO"/>
    <s v="ABMEVPROJESİ"/>
    <s v="İZMİR"/>
    <d v="2025-06-19T00:00:00"/>
    <x v="0"/>
    <x v="0"/>
    <s v="N/A"/>
    <n v="1"/>
    <x v="5"/>
    <x v="3"/>
    <s v="Panelleri sizlerden uzun zaman önce teslim almıştık fakat ilgili paneller yatırımcının abonelik işlemleri tamamlanmadığından ürünleri sahaya sevk etmemiş depomuzda bekletmiştik. Bu ay yatırımcının abonelik işlemleri tamamlandı ve ürünleri paletli şekilde yatırımcının evine gönderdik. Panel montajı sırasında 12.06.2025 tarihinde 1 adet panelin paletten kırık çıktığı görülmüş ve ilgili panelin fotoğrafı çekilmiştir."/>
    <m/>
    <x v="0"/>
    <x v="5"/>
    <n v="25"/>
    <m/>
  </r>
  <r>
    <n v="2525"/>
    <s v="ENTEGRO"/>
    <s v="RAMADAARAZİGES"/>
    <s v="MANİSA"/>
    <d v="2025-06-19T00:00:00"/>
    <x v="0"/>
    <x v="1"/>
    <s v="N/A"/>
    <n v="2"/>
    <x v="6"/>
    <x v="0"/>
    <s v="2 adet panelde diyot arızası tespit edilmiştir. Süreci en geç Perşembe gününe kadar netleştirmemiz gerekiyor._x000a__x000a_25.06.25 tarihinde sahada JB değişim ve lehim tazeleme yapıldı."/>
    <d v="2025-06-25T00:00:00"/>
    <x v="0"/>
    <x v="5"/>
    <n v="25"/>
    <m/>
  </r>
  <r>
    <n v="2526"/>
    <s v="ENTEGRO"/>
    <s v="ADALYA"/>
    <s v="İZMİR"/>
    <d v="2025-06-19T00:00:00"/>
    <x v="0"/>
    <x v="0"/>
    <s v="N/A"/>
    <n v="1"/>
    <x v="1"/>
    <x v="0"/>
    <s v="Diyot hatası_x000a__x000a_26.06.2025 tarihinde JB değişimi yapıldı."/>
    <d v="2025-06-25T00:00:00"/>
    <x v="0"/>
    <x v="5"/>
    <n v="25"/>
    <m/>
  </r>
  <r>
    <n v="2527"/>
    <s v="PRONENENERJI"/>
    <s v="DEMSAN"/>
    <s v="DENİZLİ"/>
    <d v="2025-07-01T00:00:00"/>
    <x v="0"/>
    <x v="1"/>
    <s v="N/A"/>
    <n v="4"/>
    <x v="8"/>
    <x v="0"/>
    <s v="Yapılan termal drone kontrolünde 4 adet panelde arıza tespit edildi._x000a__x000a_Modül değişimi yapıldı."/>
    <d v="2025-07-22T00:00:00"/>
    <x v="0"/>
    <x v="6"/>
    <n v="27"/>
    <m/>
  </r>
  <r>
    <n v="2528"/>
    <s v="KONTEK"/>
    <s v="TİRSANKARDAN"/>
    <s v="MANİSA"/>
    <d v="2025-07-01T00:00:00"/>
    <x v="0"/>
    <x v="0"/>
    <s v="N/A"/>
    <n v="1"/>
    <x v="10"/>
    <x v="1"/>
    <s v="Tirsan Kardan GES santralinde yapılan kontrollerde,HSA marka bir PV panelde sıcaklık anomalisine (hotspot)rastlanmıştır. Panelde gözle görülür şekilde hücre hasarı ve yerel ısınma tespit edilmiştir. Termal kamera görüntüsünde ilgili hücrelerde maksimum sıcaklık 89.7°C’ye kadar çıkmaktadır. Multimetre ile yapılan ölçümlerde panelin DC gerilimi 45.4V olarak ölçülmüştür. Pane lyüzeyinde gözle görülür şekilde lokal yanık izleri mevcuttur. Bu durum enerji üretiminde kayba yol açmaktave panel yangın riski taşımaktadır._x000a__x000a_Fabrikayageriçağırıldı._x000a__x000a_Çatıya modül takıldı. Temizlik sonrası bir problem görülmedi. Düzenli temizlik önerildi."/>
    <d v="2025-07-25T00:00:00"/>
    <x v="0"/>
    <x v="6"/>
    <n v="27"/>
    <m/>
  </r>
  <r>
    <n v="2529"/>
    <s v="AYKAMÜHENDİSLİK"/>
    <s v="ALKANMAKİNE"/>
    <s v="MANİSA"/>
    <d v="2025-07-25T00:00:00"/>
    <x v="0"/>
    <x v="0"/>
    <s v="N/A"/>
    <n v="12"/>
    <x v="8"/>
    <x v="1"/>
    <s v="İlgilipanellerinüzerindegerçekleştirilentermalkameraincelemesisonucunda,panelyüzeylerindebelirginsıcak-soğukfarklarıtespitedilmiştir.Termalgörüntüde,bazıhücrelerinsıcaklıkdeğerlerininpanelingenelsıcaklıkyapısınakıyaslaanormalderecededüşükolduğugözlemlenmiştir._x000a_Budurum,sözkonusupanellerdebazıhücrelerinüretimyapmadığınıveyatamamendevredışıkaldığını(ölühücre-deadcell)göstermektedir.Hücreseldüzeydemeydanagelenbutürarızalar,panellerinperformansınıolumsuzetkilemekteolup,sistemingenelverimliliğindekayıplaranedenolmaktadır._x000a_Bunedenle,arızalıolduğutespitedilenpanellerindetaylışekildekontroledilmesivegerekiyorsaonarılmasıyadadeğiştirilmesiiçingerekliişlemlerinivediliklebaşlatılmasınıarzederim._x000a__x000a_14.08.25: EL incelemeleri sonucunda modüllerde bir hataya rastlanılmamıştır._x000a_Hata fotoğrafları incelendiğinde modüller üzerindeki kirlilik nedeniyle hotspot yapıldığı tespit edilmiştir._x000a_Fabrikasyon bir hata bulunmamaktadır. "/>
    <d v="2025-08-14T00:00:00"/>
    <x v="0"/>
    <x v="6"/>
    <n v="30"/>
    <m/>
  </r>
  <r>
    <n v="2530"/>
    <s v="PVLUXENERJI"/>
    <s v="PVLUXENERJI"/>
    <s v="İZMİR"/>
    <d v="2025-08-04T00:00:00"/>
    <x v="0"/>
    <x v="0"/>
    <s v="N/A"/>
    <n v="1"/>
    <x v="5"/>
    <x v="1"/>
    <s v="Palet açılışı sırasında orta sıralarda bulunan 1 adet panelin kırık olduğu tespit edilmiştir."/>
    <d v="2025-08-19T00:00:00"/>
    <x v="0"/>
    <x v="7"/>
    <n v="32"/>
    <m/>
  </r>
  <r>
    <n v="2531"/>
    <s v="VAGUS"/>
    <s v="BORTAR YEMEK"/>
    <m/>
    <d v="2025-07-28T00:00:00"/>
    <x v="4"/>
    <x v="1"/>
    <s v="N/A"/>
    <n v="6"/>
    <x v="11"/>
    <x v="1"/>
    <s v="20.08.25: Kağan Bey tarafından geribildirim formu paylaşıldı."/>
    <m/>
    <x v="0"/>
    <x v="6"/>
    <n v="31"/>
    <m/>
  </r>
  <r>
    <n v="2532"/>
    <s v="ENTEGRO"/>
    <s v="AKGÜÇ"/>
    <s v="MANİSA/DEMİRCİ"/>
    <d v="2025-07-30T00:00:00"/>
    <x v="1"/>
    <x v="0"/>
    <s v="N/A"/>
    <n v="150"/>
    <x v="8"/>
    <x v="1"/>
    <s v=" 30.07.25: TRHSA240326GCA_V26_R1 sipariş numaralı onaylı teklifte belirtilen 3484 adet 585Wp ve 5746 adet 580Wp panellerin içinde termal görüntüleme sonucunda toplam 156 adet panelde hücre hatası olduğu görülmüştür. _x000a__x000a_12.08.25: 400 adedi bulmuş hatalı panel adedi._x000a__x000a_12.08.25:_x000a_1.Termal kontrolde hücre arızası tespit edildiğini belirtmiş olduğunuz paneller hep aynı dizgilere denk gelmiş.. _x000a_Üretim kaynaklı bir hata olması çok olası gelmiyor. Zira bu sayıda hatalı panelin sahada aynı dizgiye denk gelmesi pek mümkün değil gibi._x000a_2.Bildiğiniz üzere EL fotoğrafları müşterilerimizden önce hem HSA teknisyen ve mühendisleri hem JA mühendisleri tarafından kontrolleri sağlanmakta.  Dolayısıyla pekçok kontrolden sonra bu sayıda bir hata olması çok olası değil._x000a_Fakat, 156 adet EL fotoğrafını tekrar bir tur daha inceleyip sizlere geri dönüş en kısa sürede sağlayacağız._x000a_3.Saha ziyareti gerçekleştirebiliriz. Bu hafta içerisinde ziyareti karşılıklı planlayacağız._x000a__x000a_15.08.25: Müşteri saha ziyareti_x000a_HSA Enerjiye iletilen 156 barkodun haricinde hotspot olduğu beyan edilen modüller incelendi. Herhangi bir görsel kusur görülmedi. EL görontüleeri incelendi ve temiz çıkt. Panellerde herhangi bir kirlilik görülmedi. Aynı zamanda görülen hotspotların farklı saatlerde her zaman görülmediği beyan edildi. Ayrıca panellerde belirgin sıcaklık farkı gözlenmedi. String bağlantılarının ve alınan değerlerin de sorunsuz olduğu belirtildi. Invertörlerde herhangi bir güç düşüşü yok. Üretici kaynaklı kusur saptanmadı._x000a_"/>
    <d v="2025-08-21T00:00:00"/>
    <x v="0"/>
    <x v="6"/>
    <n v="31"/>
    <m/>
  </r>
  <r>
    <n v="2533"/>
    <s v="SOLARAPEX"/>
    <s v="DEMİREZEN GIDA"/>
    <s v="KAYSERİ"/>
    <d v="2025-08-15T00:00:00"/>
    <x v="0"/>
    <x v="1"/>
    <n v="545"/>
    <n v="18"/>
    <x v="8"/>
    <x v="0"/>
    <s v="Barkod ve şikayet formu bekleniyor_x000a__x000a_10.09.25: Saha ziyareti yapıldı. 18 modüle tamir yapıldı."/>
    <m/>
    <x v="0"/>
    <x v="7"/>
    <n v="33"/>
    <m/>
  </r>
  <r>
    <n v="2534"/>
    <s v="ENTEGRO"/>
    <s v="VOLKAN İTFAİYE"/>
    <s v="İZMİR"/>
    <d v="2025-07-30T00:00:00"/>
    <x v="0"/>
    <x v="1"/>
    <n v="540"/>
    <n v="60"/>
    <x v="12"/>
    <x v="1"/>
    <s v="21:08.25: Sahaya yakın bir noktada bulunan taş ocağı nedeniyle modüllerin yoğun toza maruz kaldığı,_x000a_Hücre bazlı tozlanmaların yoğun olduğu bölgede birçok gölge unsurunun olduğu (baca,paratoner vs.),_x000a_Tozlanan hücreler kısa sürede temizlenmediği için daha da ısınarak daha fazla toz topladığı,"/>
    <d v="2025-08-21T00:00:00"/>
    <x v="0"/>
    <x v="6"/>
    <n v="31"/>
    <m/>
  </r>
  <r>
    <n v="2535"/>
    <s v="DKY ENERJİ"/>
    <s v="DKY ENERJİ"/>
    <s v="İZMİR"/>
    <d v="2025-08-19T00:00:00"/>
    <x v="0"/>
    <x v="0"/>
    <n v="580"/>
    <n v="1"/>
    <x v="13"/>
    <x v="0"/>
    <s v="19:08.25: Modül değişimi onaylandı"/>
    <d v="2025-08-19T00:00:00"/>
    <x v="0"/>
    <x v="7"/>
    <n v="34"/>
    <m/>
  </r>
  <r>
    <n v="2536"/>
    <s v="CİTUS POWER"/>
    <s v="ÇİZMECİ"/>
    <s v="ESKİŞEHİR/BEYLİKOVA"/>
    <d v="2025-08-20T00:00:00"/>
    <x v="0"/>
    <x v="1"/>
    <n v="580"/>
    <n v="2"/>
    <x v="1"/>
    <x v="0"/>
    <s v="22.08.25: Termal görüntüleri de talep edebilir misinzi ?_x000a_22.08.25: Çizmeci Projesi, Beylikova, Eskişehir. Ellerinde 2 adet yedek var. İlerleyen zaman diliminde planlama yapmamız gerekecek._x000a_27.02.26: MKV: 11.haftada tamamlanması hedefleniyor._x000a_13.03.26: 2 det panel sahada tamir edildi. 2 adet de bildirilmemiş panel tamiri yapıldı. (2510307MC1000847, 2510107BW0029935)"/>
    <d v="2026-03-13T00:00:00"/>
    <x v="0"/>
    <x v="7"/>
    <n v="34"/>
    <m/>
  </r>
  <r>
    <n v="2537"/>
    <s v="CİTUS POWER"/>
    <s v="BALSU"/>
    <s v="SAKARYA/HENDEK"/>
    <d v="2025-08-20T00:00:00"/>
    <x v="0"/>
    <x v="1"/>
    <n v="545"/>
    <n v="3"/>
    <x v="1"/>
    <x v="0"/>
    <s v="22.08.25: Termal görüntüleri de talep edebilir misinzi ?_x000a_22.08.25: Balsu Projesi, Hendek, Sakarya. Sadece 1 yedek panelleri kaldığı için acil olmamakla birlikte bir plan yapmalıyız derler._x000a_02.03.26: W11 için tamamlanması hedeflenecek._x000a_13.03.26: 3 det panel sahada tamir edildi."/>
    <d v="2026-03-13T00:00:00"/>
    <x v="0"/>
    <x v="7"/>
    <n v="34"/>
    <m/>
  </r>
  <r>
    <n v="2538"/>
    <s v="CİTUS POWER"/>
    <s v="ACACIA"/>
    <s v="ANKARA/POLATLI"/>
    <d v="2025-08-20T00:00:00"/>
    <x v="1"/>
    <x v="1"/>
    <s v="N/A"/>
    <n v="25"/>
    <x v="1"/>
    <x v="0"/>
    <s v="22.08.25: Termal görüntüleri de talep edebilir misinzi ?_x000a_22.08.25: Acacia Projesi, Polatlı Ankara tarafında Eylül ayı sonunda bir planlı bakım daha gerçekleştirecekler imiş. Buradaki servis desteğinizi akabinde planlayabiliriz der._x000a_12.01.26 için saha organizasyonu yapıldı. Saha organizasyonu hava şartlarından dolayı iptal edildi._x000a_09.01.26: SBŞ: Ankara-Polatlı ve Karabük sahalarını tek seferde bitireceğiz. Önümüzdeki hafta için plan yapmıştık ancak Karabük’te iletişimde olduğumuz yetkili hava durumundan dolayı ertelememiz gerektiğini belirtti. Daha ileri bir tarihe planlayacağız._x000a_27.01.26: MKV: 04.03.2026 Çarşamba günü sabah gidiş, 05.03.2026 Perşembe günü dönüş. Ziyaret kapsamında Ankara (Citus Power) ve Karabük (Point Enerji) firmaları ziyaret edilecek ve servis hizmeti verilecektir._x000a_05.03.26'da saha ziyareti Serdar Burak Şanal tarafından tamamlanmıştır."/>
    <m/>
    <x v="0"/>
    <x v="7"/>
    <n v="34"/>
    <m/>
  </r>
  <r>
    <n v="2539"/>
    <s v="PİRAMİT SENTETİK"/>
    <s v="PİRAMİT SENTETİK"/>
    <s v="TEKİRDAĞ"/>
    <d v="2025-08-22T00:00:00"/>
    <x v="0"/>
    <x v="1"/>
    <n v="585"/>
    <n v="740"/>
    <x v="14"/>
    <x v="1"/>
    <s v="28:08.25: Ürünleri temizleyip garanti kapsamında kullanmaya devam edebilirler."/>
    <d v="2025-08-28T00:00:00"/>
    <x v="0"/>
    <x v="7"/>
    <n v="34"/>
    <m/>
  </r>
  <r>
    <n v="2540"/>
    <s v="SOLARTODAY"/>
    <s v="ARTAŞ"/>
    <s v="ÜRGÜP"/>
    <d v="2025-08-15T00:00:00"/>
    <x v="2"/>
    <x v="0"/>
    <n v="590"/>
    <n v="42"/>
    <x v="15"/>
    <x v="0"/>
    <s v="28.08.25: 42 adet değişim için gönderildi, 42 adet iade alınacak (37 çerçeve açıklığı, 5 kırık hücre)"/>
    <d v="2025-08-28T00:00:00"/>
    <x v="0"/>
    <x v="7"/>
    <n v="33"/>
    <s v="8D"/>
  </r>
  <r>
    <n v="2541"/>
    <s v="SOLARTODAY"/>
    <s v="ARTAŞ"/>
    <s v="MALATYA"/>
    <d v="2025-08-15T00:00:00"/>
    <x v="2"/>
    <x v="0"/>
    <n v="585"/>
    <n v="96"/>
    <x v="16"/>
    <x v="1"/>
    <s v="Darbeli kırık ve çizik çok fazla modül var."/>
    <m/>
    <x v="0"/>
    <x v="7"/>
    <n v="33"/>
    <m/>
  </r>
  <r>
    <n v="2542"/>
    <s v="TEKSAN"/>
    <s v="TEKSAN"/>
    <s v="MANİSA/MURADİYE"/>
    <d v="2025-08-28T00:00:00"/>
    <x v="3"/>
    <x v="1"/>
    <s v="Karışık"/>
    <n v="243"/>
    <x v="7"/>
    <x v="1"/>
    <s v="28.08.25: Ürün güçleri doğrudur, bu şekilde kullanılabilir (Okan Aktaş)_x000a__x000a_03.09.25: Okan ve Serdar sahada paket etiketi değişimi yaptılar."/>
    <d v="2025-09-03T00:00:00"/>
    <x v="0"/>
    <x v="7"/>
    <n v="35"/>
    <m/>
  </r>
  <r>
    <n v="2543"/>
    <s v="INVESTT İNŞAAT"/>
    <s v="YAPINET"/>
    <s v="MANİSA"/>
    <d v="2025-09-05T00:00:00"/>
    <x v="0"/>
    <x v="0"/>
    <n v="615"/>
    <n v="6"/>
    <x v="5"/>
    <x v="1"/>
    <s v="09.09.25: 3 adet panel garanti kapsaminda 3 adet panel de bedelsiz olarak musteriye kesilecektir ve teslim edilecektir (Mehmet Aybaş)_x000a__x000a_Müşteri ile geribildirim formu paylaşılmadı._x000a__x000a_12.09.25 yeniler teslim edildi, eskiler alındı."/>
    <m/>
    <x v="0"/>
    <x v="8"/>
    <n v="36"/>
    <m/>
  </r>
  <r>
    <n v="2544"/>
    <s v="ENTEGRO"/>
    <s v="AKGÜÇ"/>
    <s v="MANİSA/DEMİRCİ"/>
    <d v="2025-09-03T00:00:00"/>
    <x v="1"/>
    <x v="0"/>
    <s v="N/A"/>
    <n v="37"/>
    <x v="5"/>
    <x v="1"/>
    <s v="11.09.25: Saha ziyareti yapıldı."/>
    <m/>
    <x v="0"/>
    <x v="8"/>
    <n v="36"/>
    <m/>
  </r>
  <r>
    <n v="2545"/>
    <s v="GENBA ENERJİ"/>
    <s v="GENBA ENERJİ"/>
    <s v="İZMİR / GAZİEMİR"/>
    <d v="2025-09-12T00:00:00"/>
    <x v="0"/>
    <x v="0"/>
    <n v="550"/>
    <n v="186"/>
    <x v="17"/>
    <x v="1"/>
    <s v="12.09.25:  Sahaya sevk edilen 186 adet güneş panelinin çoğunda Panel çaplarında ve diyagonal ile ilgili ölçülerde eşitsizlik söz konusu. Montaj konusunda ilk panel ile son panel arasında ciddi farklılıklar oluşmaktadır. Diyagonal ölçümlerde 3-4 mm farklar söz konusu. Panelde 3 farklı noktadan dikey bir şekilde ölçümler yapıldığında ise ölçümlerde tolerans değerlerinden daha fazla farklıklar almaktayız."/>
    <m/>
    <x v="0"/>
    <x v="8"/>
    <n v="37"/>
    <m/>
  </r>
  <r>
    <n v="2546"/>
    <s v=" ORIENT MÜHENDİSLİK"/>
    <s v="FIBA"/>
    <s v="BALIKESİR"/>
    <d v="2025-09-06T00:00:00"/>
    <x v="1"/>
    <x v="0"/>
    <n v="545"/>
    <n v="37"/>
    <x v="1"/>
    <x v="0"/>
    <s v="18.09.25: Here are comments of HSA._x000a_1. 39pcs of modules junction box may repair on site. But, if the customer not accept repair on sire, they may send us modules to HSA Factory, modules j.boxes can be repaired on HSA Factory._x000a_2. HSA may make a favour to run EL test for 213pcs of modules free of charge. It may lasted around 3weeks cause of line and labour availability. _x000a_But, we have to underline: Transportation process and modules failures (glass scracthes, frame scracthes, broken etc) will not under responsibility of HSA. Process must be run under JA representatives and customer responsibility. Warranty should be given by JA, not HSA. If customer provide proper packaging materials and tools, HSA teach them how to pack of modules online or on site. (M. Kemal Varol)_x000a__x000a_22.09.25: İlk gelen 52 adet idi hot spotlar listeden çıkarıldı. 39 j box + 220 yardım (M. Kemal Varol)_x000a_Paketleme öğretmek için gideceğiz, paneller buraya gelecek EL bakılıp bilgi verilecek._x000a__x000a_02.10.25'de paneller 253 adet olarak HSA'ya indirildi._x000a__x000a_Müşteri tarafından gelen dl: 04.11.25."/>
    <m/>
    <x v="0"/>
    <x v="8"/>
    <n v="36"/>
    <m/>
  </r>
  <r>
    <n v="2547"/>
    <s v="GENERAL SOLAR"/>
    <s v="N/A"/>
    <s v="GAZİANTEP"/>
    <d v="2025-09-18T00:00:00"/>
    <x v="1"/>
    <x v="0"/>
    <s v="N/A"/>
    <n v="23"/>
    <x v="1"/>
    <x v="0"/>
    <s v="02.10.25: Dears; Customer visited and all modules which were shown HSA team were fixed j.box issues._x000a_Modules are good condition currently. Here I attached signed form about. In addition, observation notes on site;_x000a_*Deformed j.boxes were replaced with new ones. Please see attached pictures._x000a_*Birddroppings must be cleaned, also weeding is needed.  Please see attached images. (Mustafa Kemal Varol)_x000a__x000a_7 tanesine de j box kablo'dan dolayı değişim yapıldı. Toplam 30 modül işlem gördü."/>
    <d v="2025-10-02T00:00:00"/>
    <x v="0"/>
    <x v="8"/>
    <n v="38"/>
    <m/>
  </r>
  <r>
    <n v="2548"/>
    <s v="ARAL TEKSTİL"/>
    <s v="N/A"/>
    <s v="KAHRAMANMARAŞ"/>
    <d v="2025-09-23T00:00:00"/>
    <x v="1"/>
    <x v="1"/>
    <n v="575"/>
    <n v="59"/>
    <x v="1"/>
    <x v="0"/>
    <s v="23.09.25: Alex'ten şikayet geldi_x000a__x000a_01.10.25 ve 02.10.25'de Serdar Bey tarafından tamir işlemi yapıldı. 81 adet olarak ilk bildirilen sayı 59'a düştü. 1 tane de modülde diyot hatası olmamasına rağmen lehim tazeleme yapıldı."/>
    <d v="2025-10-02T00:00:00"/>
    <x v="0"/>
    <x v="8"/>
    <n v="39"/>
    <m/>
  </r>
  <r>
    <n v="2549"/>
    <s v="INSIGHT ENERJİ"/>
    <s v="N/A"/>
    <s v="MANİSA"/>
    <d v="2025-09-24T00:00:00"/>
    <x v="0"/>
    <x v="1"/>
    <n v="580"/>
    <n v="72"/>
    <x v="18"/>
    <x v="0"/>
    <s v="ABC solar firmasından Mart.25’de iade alınan paletler A kalite olarak paketlenip stoğa alınmıştı. İade geliyor."/>
    <m/>
    <x v="0"/>
    <x v="8"/>
    <n v="39"/>
    <m/>
  </r>
  <r>
    <n v="2550"/>
    <s v="SOLARAPEX"/>
    <s v="YEŞİLYURT"/>
    <s v="ŞANLIURFA"/>
    <d v="2025-09-29T00:00:00"/>
    <x v="1"/>
    <x v="0"/>
    <n v="545"/>
    <n v="23"/>
    <x v="1"/>
    <x v="0"/>
    <s v="29.09.25: Servis planlaması için 15 Ekim 2025 tarihi sonrası için sizlerden destek talep etmekteyiz. Arızalı tüm paneller şuanda demonte edildi ve idari bina yanına alınarak işlem yapılmak üzere besleme vs hazır halde bulunmaktadır. (Deniz Sir)"/>
    <m/>
    <x v="0"/>
    <x v="8"/>
    <n v="40"/>
    <m/>
  </r>
  <r>
    <n v="2551"/>
    <s v="GENERAL SOLAR"/>
    <s v="PREDO GES "/>
    <s v="GAZİANTEP"/>
    <d v="2025-09-30T00:00:00"/>
    <x v="0"/>
    <x v="0"/>
    <s v="N/A"/>
    <n v="6"/>
    <x v="1"/>
    <x v="0"/>
    <s v="01.10.25'de sahada tamir yapıldı."/>
    <d v="2025-10-01T00:00:00"/>
    <x v="0"/>
    <x v="8"/>
    <n v="40"/>
    <m/>
  </r>
  <r>
    <n v="2552"/>
    <s v="ÇAĞATAY ELEKTRİK"/>
    <s v="N/A"/>
    <s v="MANİSA"/>
    <d v="2025-09-24T00:00:00"/>
    <x v="0"/>
    <x v="1"/>
    <n v="580"/>
    <n v="36"/>
    <x v="18"/>
    <x v="0"/>
    <s v="ABC solar firmasından Mart.25’de iade alınan paletler A kalite olarak paketlenip stoğa alınmıştı. İade geliyor."/>
    <m/>
    <x v="0"/>
    <x v="8"/>
    <n v="39"/>
    <m/>
  </r>
  <r>
    <n v="2553"/>
    <s v="GERİLİM ENERJİ"/>
    <s v="ÖZCIVATA GES"/>
    <s v="İZMİR/KEMALPAŞA"/>
    <d v="2025-10-02T00:00:00"/>
    <x v="0"/>
    <x v="0"/>
    <n v="540"/>
    <n v="25"/>
    <x v="1"/>
    <x v="0"/>
    <s v="Şikayet formunda  16.09.2025 fakat satıştan bize 02.10.25'de geldi. 13.10.25'de saha ziyareti tamamlandı."/>
    <d v="2025-10-13T00:00:00"/>
    <x v="0"/>
    <x v="9"/>
    <n v="40"/>
    <m/>
  </r>
  <r>
    <n v="2554"/>
    <s v="GERİLİM ENERJİ"/>
    <s v="ÖZCIVATA GES"/>
    <s v="İZMİR/KEMALPAŞA"/>
    <d v="2025-10-02T00:00:00"/>
    <x v="0"/>
    <x v="1"/>
    <n v="540"/>
    <n v="3"/>
    <x v="1"/>
    <x v="0"/>
    <s v="Şikayet formunda  16.09.2025 fakat satıştan bize 02.10.25'de geldi. 13.10.25'de saha ziyareti tamamlandı."/>
    <d v="2025-10-13T00:00:00"/>
    <x v="0"/>
    <x v="9"/>
    <n v="40"/>
    <m/>
  </r>
  <r>
    <n v="2555"/>
    <s v="POINT ENERJI"/>
    <s v="AS OFİS"/>
    <s v="KARABÜK"/>
    <d v="2025-10-17T00:00:00"/>
    <x v="0"/>
    <x v="0"/>
    <n v="540"/>
    <n v="3"/>
    <x v="1"/>
    <x v="0"/>
    <s v="Şikayet formunda  07.08.2025._x000a_12.01.26 için saha organizasyonu yapıldı. Saha organizasyonu hava şartlarından dolayı iptal edildi._x000a_09.01.26: SBŞ: Ankara-Polatlı ve Karabük sahalarını tek seferde bitireceğiz. Önümüzdeki hafta için plan yapmıştık ancak Karabük’te iletişimde olduğumuz yetkili hava durumundan dolayı ertelememiz gerektiğini belirtti. Daha ileri bir tarihe planlayacağız_x000a_27.01.26: MKV: 04.03.2026 Çarşamba günü sabah gidiş, 05.03.2026 Perşembe günü dönüş. Ziyaret kapsamında Ankara (Citus Power) ve Karabük (Point Enerji) firmaları ziyaret edilecek ve servis hizmeti verilecektir._x000a_04.03.26'da saha ziyareti Serdar Burak Şanal tarafından tamamlanmıştır."/>
    <m/>
    <x v="0"/>
    <x v="9"/>
    <n v="42"/>
    <m/>
  </r>
  <r>
    <n v="2556"/>
    <s v="POINT ENERJI"/>
    <s v="AS OFİS"/>
    <s v="KARABÜK"/>
    <d v="2025-10-17T00:00:00"/>
    <x v="0"/>
    <x v="1"/>
    <n v="540"/>
    <n v="3"/>
    <x v="1"/>
    <x v="0"/>
    <s v="Şikayet formunda  07.08.2025._x000a_12.01.26 için saha organizasyonu yapıldı. Saha organizasyonu hava şartlarından dolayı iptal edildi._x000a_09.01.26: SBŞ: Ankara-Polatlı ve Karabük sahalarını tek seferde bitireceğiz. Önümüzdeki hafta için plan yapmıştık ancak Karabük’te iletişimde olduğumuz yetkili hava durumundan dolayı ertelememiz gerektiğini belirtti. Daha ileri bir tarihe planlayacağız_x000a_27.01.26: MKV: 04.03.2026 Çarşamba günü sabah gidiş, 05.03.2026 Perşembe günü dönüş. Ziyaret kapsamında Ankara (Citus Power) ve Karabük (Point Enerji) firmaları ziyaret edilecek ve servis hizmeti verilecektir._x000a_04.03.26'da saha ziyareti Serdar Burak Şanal tarafından tamamlanmıştır."/>
    <m/>
    <x v="0"/>
    <x v="9"/>
    <n v="42"/>
    <m/>
  </r>
  <r>
    <n v="2557"/>
    <s v="HERAN ENERJİ"/>
    <s v="ÖZKOYUNCU"/>
    <s v="KAYSERİ/YAHYALI"/>
    <d v="2025-10-02T00:00:00"/>
    <x v="0"/>
    <x v="1"/>
    <n v="545"/>
    <n v="4"/>
    <x v="1"/>
    <x v="0"/>
    <s v="04.10.25: MKV: Hasan Bey ile görüştüm. 4 panel için plan yapmak makul olmayabilir diye izah ettim. _x000a_Kendilerinde yedek panel mevcut olduğunu, değiştirildiğini ve acil olmadığını söyledi._x000a_Kayseri tarafına plan yaptığımızda uğramak üzere iş listemizde olacağını belirttim._x000a_02.03.26: W12 için organizasyon yapılacak. Bayram haftası olması nedeni ile W13'e de ertelenebilir._x000a_16.03.26: 17.03.26'da Serdar Bey ziyaret için sahada olacak._x000a_17.03.26'da Serdar Bey tarafından saha ziyareti gerçekleştirildi."/>
    <d v="2026-03-17T00:00:00"/>
    <x v="0"/>
    <x v="9"/>
    <n v="40"/>
    <m/>
  </r>
  <r>
    <n v="2558"/>
    <s v="KARADAĞ MÜHENDİSLİK"/>
    <s v="KARADAĞ MÜHENDİSLİK"/>
    <s v="MERSİN/MUT"/>
    <d v="2025-10-20T00:00:00"/>
    <x v="2"/>
    <x v="0"/>
    <n v="600"/>
    <n v="300"/>
    <x v="19"/>
    <x v="1"/>
    <s v="20.10.25: Müşteri: Bu konuda aksiyon almak için zamanımız kısıtlıdır. İade ve değişim talep etmiyoruz. Fakat sehpa başlarındaki paneller için mc4 konnektör talebimiz vardır. 600 addet sehpa başı panelleri için konnektör temini rica ederim.  Konnektörler takılı paneller için de garanti kapsamında herhangi bir değişiklilik olmamasını talep ediyoruz.  Bu konuda yardımlarınızı ve acilen teknik ekipten bu konuda yardımcı olmalarını talep etmekteyiz._x000a_21.10.25: Mahmut Gül: Müşterimizin proje öncesinde bir özel talebi şartnamesi var mıydı ?  Bu özellikle belirtilmedi ise bir hata yok, BOM List’e göre üretim gerçekleştirilmiş. Bununla birlikte müşterimize gönderdiğimiz ürünler içerisinde 1,4m olan kablolar da olduğunu görüyorum._x000a_Aşağıdaki barkod numarasında kırmızı ile işaretlediğim numaranın 454 ve üzeri olanları kullanılır ise problem yaşamayacaklardır. Bunun için FR raporu kullanılabilir. @Serdar Bey arkadaşım size iletecektir. Bu yapılabilir değil derse müşterimiz satış ekibinin konnektör temini değerlendirmesi uygun olacaktır. Ek konnektör yapılan yerde bir bağlantı problemi olur ise garanti kapsamına alamayız doğal olarak."/>
    <m/>
    <x v="0"/>
    <x v="9"/>
    <n v="43"/>
    <m/>
  </r>
  <r>
    <n v="2559"/>
    <s v="ENTEGRO"/>
    <s v="ENTEGRO"/>
    <s v="MANİSA/DEMİRCİ"/>
    <d v="2025-10-22T00:00:00"/>
    <x v="1"/>
    <x v="1"/>
    <n v="585"/>
    <n v="1"/>
    <x v="20"/>
    <x v="0"/>
    <s v="22.10.25: Kağan Onar: VI fotoğrafına baktığımızda(*11982)  A12 de ara mesafe hatası mevcut. Fabrikasyon bir hata.  *9769 barkod nolu modülü incelediğimizde köşelerde herhangi bir deformasyon mevcut değildir. Fabrikasyon bir hata yoktur. Çerçevede kırık olan modülde ise (*10124) bu açıyı gören bir kamera yoktur fakat hata fotoğrafına göre değerlendirmek gerekir ise kurulum esnasında oluştuğu düşüncesindeyim. Bölge belirtilmemiş fakat klemp bölgesine benziyor. _x000a_22.10.25: MKV: Dear Alex; As you defined 1pcs of module is out of JA criteria. Can be considerable replacement according to inventory status. But, deformed modules are not manufacturing faults. Here I attached pictures about._x000a_23.10.25:Okan Aktaş: Dear JA Team, Update, Based on my conversation with the site, the shipment is currently not suitable due to the ongoing rainfall in the region. The organization will be arranged upon confirmation from the site."/>
    <m/>
    <x v="0"/>
    <x v="9"/>
    <n v="43"/>
    <m/>
  </r>
  <r>
    <n v="2560"/>
    <s v="ENTEGRO"/>
    <s v="ENTEGRO"/>
    <s v="MANİSA/DEMİRCİ"/>
    <d v="2025-10-22T00:00:00"/>
    <x v="1"/>
    <x v="1"/>
    <n v="585"/>
    <n v="2"/>
    <x v="21"/>
    <x v="1"/>
    <s v="22.10.25: Kağan Onar: VI fotoğrafına baktığımızda(*11982)  A12 de ara mesafe hatası mevcut. Fabrikasyon bir hata.  *9769 barkod nolu modülü incelediğimizde köşelerde herhangi bir deformasyon mevcut değildir. Fabrikasyon bir hata yoktur. Çerçevede kırık olan modülde ise (*10124) bu açıyı gören bir kamera yoktur fakat hata fotoğrafına göre değerlendirmek gerekir ise kurulum esnasında oluştuğu düşüncesindeyim. Bölge belirtilmemiş fakat klemp bölgesine benziyor. _x000a_22.10.25: MKV: Dear Alex; As you defined 1pcs of module is out of JA criteria. Can be considerable replacement according to inventory status. But, deformed modules are not manufacturing faults. Here I attached pictures about._x000a_23.10.25:Okan Aktaş: Dear JA Team, Update, Based on my conversation with the site, the shipment is currently not suitable due to the ongoing rainfall in the region. The organization will be arranged upon confirmation from the site."/>
    <m/>
    <x v="0"/>
    <x v="9"/>
    <n v="43"/>
    <m/>
  </r>
  <r>
    <n v="2561"/>
    <s v="KONTEK"/>
    <s v="TİRSAN-KARDAN"/>
    <s v="MANİSA"/>
    <d v="2025-10-22T00:00:00"/>
    <x v="0"/>
    <x v="0"/>
    <n v="550"/>
    <n v="8"/>
    <x v="2"/>
    <x v="0"/>
    <s v="Şikayet Serdar Burak Şanal'a geldi. Ek bilgiler bekleniyor._x000a_23.10.25'de izolasyon hatasını tanımlamak için paneller fabrikaya geri alındı. (2 adet) Geri kalan 8 adet bekleniyor._x000a_Değişim için gönderilen 10'lu yanlış gönderilip geri çekildi. Yenisi gönderildi._x000a_09.01.26: SBŞ: Hatalı modüllerin iadesi bekleniyor._x000a_02.03.26: İade modüllerin bugün ulaşması bekleniyor. / İade modüller 6 adet ulaştı. "/>
    <m/>
    <x v="0"/>
    <x v="9"/>
    <n v="43"/>
    <m/>
  </r>
  <r>
    <n v="2562"/>
    <s v="GENBA ENERJİ"/>
    <s v="GENBA ENERJİ"/>
    <s v="İZMİR/URLA"/>
    <d v="2025-10-30T00:00:00"/>
    <x v="0"/>
    <x v="0"/>
    <n v="550"/>
    <n v="2"/>
    <x v="5"/>
    <x v="1"/>
    <s v="Şikayet formunda 13.10.2025, bize gelişi 30.10.25_x000a__x000a_31.10.2025'de Mahmut Bey VI fotoğraflarını paylaştı._x000a__x000a_10.12.25'de müşteri geribildirim formu paylaşıldı."/>
    <d v="2025-12-10T00:00:00"/>
    <x v="0"/>
    <x v="9"/>
    <n v="44"/>
    <m/>
  </r>
  <r>
    <n v="2563"/>
    <s v="SOLARAPEX"/>
    <s v="ALUFEM"/>
    <s v="KAYSERİ/MERKEZ"/>
    <d v="2025-10-30T00:00:00"/>
    <x v="1"/>
    <x v="1"/>
    <n v="540"/>
    <n v="2"/>
    <x v="1"/>
    <x v="0"/>
    <s v="30.10.25: MKV: Deniz Bey merhaba, İlerleyen zamanlarda bir Kayseri planı yaptığımız durumunda buradaki müşterimize de j.box değişimi için planımızı yapalım. Şu an müşteri geribildirimi olarak listemize ekleyelim. Mümkünse bu zaman diliminde yedek panel takarlar ise uygun olacaktır._x000a_02.03.26: W12 için organizasyon yapılacak. Bayram haftası olması nedeni ile W13'e de ertelenebilir._x000a_02.03.26: W12 için organizasyon yapılacak. Bayram haftası olması nedeni ile W13'e de ertelenebilir._x000a_16.03.26: 17.03.26'da Serdar Bey ziyaret için sahada olacak._x000a_17.03.26'da Serdar Bey tarafından saha ziyareti gerçekleştirildi."/>
    <d v="2026-03-17T00:00:00"/>
    <x v="0"/>
    <x v="9"/>
    <n v="44"/>
    <m/>
  </r>
  <r>
    <n v="2564"/>
    <s v="KONTEK"/>
    <s v="DAIKIN"/>
    <s v="SAKARYA/HENDEK"/>
    <d v="2025-11-03T00:00:00"/>
    <x v="0"/>
    <x v="0"/>
    <s v="540/545/550"/>
    <n v="88"/>
    <x v="1"/>
    <x v="0"/>
    <s v="04.11.25: Okan Aktaş: * İlgili Modüllerin Seri Numaralarının Karşısına Hata Modlarının yazılmasını rica ederim.* Substring arızası olan Modüller için yerinde inceleme yapılacaktır, İnceleme öncesinde panellerin sökülmesi halinde Modüller Sahada uygun duruma getirilebilecektir. * Akım yok hataları için bağlantı noktaları kontrol edilmiş midir ? Hata Modunun bu şekilde belirlenmesinin bulgusu nedir ?"/>
    <m/>
    <x v="0"/>
    <x v="10"/>
    <n v="45"/>
    <m/>
  </r>
  <r>
    <n v="2565"/>
    <s v="ENTEGRO"/>
    <s v="TOBACCO"/>
    <s v="ADALYA"/>
    <d v="2025-11-20T00:00:00"/>
    <x v="0"/>
    <x v="0"/>
    <n v="550"/>
    <n v="2"/>
    <x v="1"/>
    <x v="0"/>
    <s v="12.12.2025'de saha ziyareti yapıldı, iki modül tamir edildi."/>
    <d v="2025-12-12T00:00:00"/>
    <x v="0"/>
    <x v="10"/>
    <n v="47"/>
    <m/>
  </r>
  <r>
    <n v="2566"/>
    <s v="VAGUS"/>
    <s v="CANSUYUHAYVANCILIK"/>
    <s v="İZMİR/TORBALI"/>
    <d v="2025-12-08T00:00:00"/>
    <x v="1"/>
    <x v="1"/>
    <n v="580"/>
    <n v="6"/>
    <x v="5"/>
    <x v="1"/>
    <s v="08.12.25: OA: 6 Adet üründe kurulum aşaması sırasında hasarlar ile karşılaşılmıştır. Montajın tamamlanıp santralin_x000a_devreye alınabilmesi için gerekli süreçlerin ivedilikle yürütülmesini rica ederiz. "/>
    <m/>
    <x v="0"/>
    <x v="11"/>
    <n v="50"/>
    <m/>
  </r>
  <r>
    <n v="2567"/>
    <s v="METİNAYAZ"/>
    <s v="METİNAYAZ"/>
    <s v="ŞANLIURFA"/>
    <d v="2025-12-09T00:00:00"/>
    <x v="0"/>
    <x v="1"/>
    <n v="575"/>
    <n v="89"/>
    <x v="9"/>
    <x v="2"/>
    <s v="Müşteri: Panellerin gerilim, güç ve akım etikette belirtilen değerlerin çok altında çalışması. _x000a__x000a_21.01.26: Elekta Enerji için gerçekleşecek sevkiyat detayı aşağıdaki gibidir. (88 adet panel sevki). Akabinde şikayete konu olan modüller fabrikaya gelecek._x000a__x000a_Modüllerin fabrikaya gelmesi bekleniyor._x000a__x000a_02.03.26: İki hafta sonraki değerlendirme toplantısında Görkem Çam tarafından bilgi paylaşılacak._x000a__x000a_16.03.26: Tekrar değerlendirilecek."/>
    <m/>
    <x v="0"/>
    <x v="11"/>
    <n v="50"/>
    <m/>
  </r>
  <r>
    <n v="2568"/>
    <s v="ENTEGRO"/>
    <s v="GÜRALSERAMİK"/>
    <s v="KÜTAHYA"/>
    <d v="2025-12-24T00:00:00"/>
    <x v="0"/>
    <x v="0"/>
    <n v="550"/>
    <n v="6"/>
    <x v="1"/>
    <x v="0"/>
    <s v="16.01.26: MKV: Hava koşulları nedeniyle saha ziyaretini Ocak ayı başlangıcında gerçekleştiremedik. Şubat ayı içerisinde program yapacağız. Hangi gün gerçekleştireceğimiz ile ilgili olarak ayrıca haberleşiyor oluruz._x000a_27.02.26: MKV: 11.haftada tamamlanması hedefleniyor._x000a_12.03.26: 6 det panel sahada tamir edildi."/>
    <d v="2026-03-12T00:00:00"/>
    <x v="0"/>
    <x v="11"/>
    <n v="52"/>
    <m/>
  </r>
  <r>
    <n v="2601"/>
    <s v="LEOSOLAR"/>
    <s v="LEOSOLAR"/>
    <s v="MANİSA"/>
    <d v="2026-01-19T00:00:00"/>
    <x v="3"/>
    <x v="2"/>
    <n v="575"/>
    <n v="50"/>
    <x v="7"/>
    <x v="0"/>
    <s v="19.01.26: GÇ: Geçen hafta Leo Solar firmasına gönderdiğimiz 575W T-20 ürünlerin palet içerisinden ürünlerin tamamı 545W çıkmıştır. Ayrıca gönderilen 615W T-10 ürünlerinden de içerisinden 610W T-20 çıkmıştır. Ödemeler Watt değerine göre yapıldığı için bu durum müşterilerle aramızda sıkıntı oluşturmaktadır._x000a_02.03.26: İki hafta sonraki değerlendirme toplantısında Görkem Çam tarafından bilgi paylaşılacak."/>
    <m/>
    <x v="1"/>
    <x v="0"/>
    <n v="4"/>
    <m/>
  </r>
  <r>
    <n v="2602"/>
    <s v="AKAROĞLUENERJ"/>
    <s v="ARITEKSTİL"/>
    <m/>
    <d v="2026-01-19T00:00:00"/>
    <x v="2"/>
    <x v="2"/>
    <n v="615"/>
    <n v="6"/>
    <x v="5"/>
    <x v="1"/>
    <s v="Şikayet formunda tarih 12.01.26. 3 adet HSA1, 3 adet HSA2._x000a__x000a_21.01.26'da Kağan Onar geribldirim formunu paylaştı."/>
    <m/>
    <x v="1"/>
    <x v="0"/>
    <n v="4"/>
    <m/>
  </r>
  <r>
    <n v="2603"/>
    <s v="TEKSAN"/>
    <s v="TEKSAN"/>
    <s v="MANİSA"/>
    <d v="2026-02-17T00:00:00"/>
    <x v="3"/>
    <x v="2"/>
    <n v="545"/>
    <n v="62"/>
    <x v="22"/>
    <x v="0"/>
    <s v="18.02.26: EK: Müşteriye ürünlerin fabrikaya gönderilmesi konusunda bilgi verildi._x000a__x000a_23.02.26: Müşteri ile tekrar görüşüldü, kendi müşterilerinden ürünleri bekliyorlar. Adet de düşecek._x000a__x000a_02.03.26'da Emre Bey'den bilgi alınacak."/>
    <m/>
    <x v="1"/>
    <x v="1"/>
    <n v="8"/>
    <m/>
  </r>
  <r>
    <n v="2604"/>
    <s v="ENTEGRO"/>
    <s v="AKGÜÇ"/>
    <s v="MANİSA/DEMİRCİ"/>
    <d v="2026-03-11T00:00:00"/>
    <x v="1"/>
    <x v="0"/>
    <s v="N/A"/>
    <n v="22"/>
    <x v="23"/>
    <x v="2"/>
    <s v="Benzer şikayetin aynı müşteriden ikinci tekrarı_x000a__x000a_16.03.26: KI: JA konuya dahil edilsin. MKV: Bayramdan sonra saha ziyareti organize edilecek."/>
    <m/>
    <x v="1"/>
    <x v="2"/>
    <n v="11"/>
    <m/>
  </r>
  <r>
    <n v="2605"/>
    <s v="HERAN ENERJİ"/>
    <s v="ÖZKOYUNCU"/>
    <s v="KAYSERİ/YAHYALI"/>
    <d v="2026-03-17T00:00:00"/>
    <x v="0"/>
    <x v="1"/>
    <n v="545"/>
    <n v="1"/>
    <x v="1"/>
    <x v="0"/>
    <s v="17.03.26'da Serdar Bey tarafından saha ziyareti sırasında görüldü. İlgili panel C class."/>
    <m/>
    <x v="1"/>
    <x v="2"/>
    <n v="12"/>
    <m/>
  </r>
  <r>
    <m/>
    <m/>
    <m/>
    <m/>
    <m/>
    <x v="5"/>
    <x v="3"/>
    <m/>
    <m/>
    <x v="24"/>
    <x v="4"/>
    <m/>
    <m/>
    <x v="2"/>
    <x v="12"/>
    <m/>
    <m/>
  </r>
  <r>
    <m/>
    <m/>
    <m/>
    <m/>
    <m/>
    <x v="5"/>
    <x v="3"/>
    <m/>
    <m/>
    <x v="24"/>
    <x v="4"/>
    <m/>
    <m/>
    <x v="2"/>
    <x v="12"/>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AAA5E88-1FEF-4865-A27B-6AA4C77D3403}" name="PivotTable1" cacheId="13" applyNumberFormats="0" applyBorderFormats="0" applyFontFormats="0" applyPatternFormats="0" applyAlignmentFormats="0" applyWidthHeightFormats="1" dataCaption="Değerler" updatedVersion="8" minRefreshableVersion="3" useAutoFormatting="1" itemPrintTitles="1" createdVersion="8" indent="0" outline="1" outlineData="1" multipleFieldFilters="0" chartFormat="18">
  <location ref="A4:E9" firstHeaderRow="1" firstDataRow="2" firstDataCol="1" rowPageCount="1" colPageCount="1"/>
  <pivotFields count="17">
    <pivotField dataField="1" showAll="0"/>
    <pivotField showAll="0"/>
    <pivotField showAll="0"/>
    <pivotField showAll="0"/>
    <pivotField showAll="0"/>
    <pivotField showAll="0"/>
    <pivotField showAll="0"/>
    <pivotField showAll="0"/>
    <pivotField showAll="0"/>
    <pivotField showAll="0"/>
    <pivotField axis="axisCol" showAll="0">
      <items count="6">
        <item x="3"/>
        <item x="2"/>
        <item x="0"/>
        <item x="1"/>
        <item x="4"/>
        <item t="default"/>
      </items>
    </pivotField>
    <pivotField showAll="0"/>
    <pivotField showAll="0"/>
    <pivotField axis="axisPage" multipleItemSelectionAllowed="1" showAll="0">
      <items count="4">
        <item h="1" x="0"/>
        <item x="1"/>
        <item h="1" x="2"/>
        <item t="default"/>
      </items>
    </pivotField>
    <pivotField axis="axisRow" multipleItemSelectionAllowed="1" showAll="0">
      <items count="14">
        <item x="0"/>
        <item x="1"/>
        <item x="2"/>
        <item h="1" x="3"/>
        <item h="1" x="4"/>
        <item h="1" x="5"/>
        <item h="1" x="6"/>
        <item h="1" x="7"/>
        <item h="1" x="8"/>
        <item h="1" x="9"/>
        <item h="1" x="10"/>
        <item h="1" x="11"/>
        <item h="1" x="12"/>
        <item t="default"/>
      </items>
    </pivotField>
    <pivotField showAll="0"/>
    <pivotField showAll="0"/>
  </pivotFields>
  <rowFields count="1">
    <field x="14"/>
  </rowFields>
  <rowItems count="4">
    <i>
      <x/>
    </i>
    <i>
      <x v="1"/>
    </i>
    <i>
      <x v="2"/>
    </i>
    <i t="grand">
      <x/>
    </i>
  </rowItems>
  <colFields count="1">
    <field x="10"/>
  </colFields>
  <colItems count="4">
    <i>
      <x v="1"/>
    </i>
    <i>
      <x v="2"/>
    </i>
    <i>
      <x v="3"/>
    </i>
    <i t="grand">
      <x/>
    </i>
  </colItems>
  <pageFields count="1">
    <pageField fld="13" hier="-1"/>
  </pageFields>
  <dataFields count="1">
    <dataField name="Say NO" fld="0" subtotal="count" baseField="14" baseItem="0"/>
  </dataFields>
  <chartFormats count="3">
    <chartFormat chart="0" format="0" series="1">
      <pivotArea type="data" outline="0" fieldPosition="0">
        <references count="2">
          <reference field="4294967294" count="1" selected="0">
            <x v="0"/>
          </reference>
          <reference field="10" count="1" selected="0">
            <x v="2"/>
          </reference>
        </references>
      </pivotArea>
    </chartFormat>
    <chartFormat chart="0" format="1" series="1">
      <pivotArea type="data" outline="0" fieldPosition="0">
        <references count="2">
          <reference field="4294967294" count="1" selected="0">
            <x v="0"/>
          </reference>
          <reference field="10" count="1" selected="0">
            <x v="3"/>
          </reference>
        </references>
      </pivotArea>
    </chartFormat>
    <chartFormat chart="0" format="2"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320A84C-DCEE-42DC-8A71-574383CD1D47}" name="PivotTable2" cacheId="2" applyNumberFormats="0" applyBorderFormats="0" applyFontFormats="0" applyPatternFormats="0" applyAlignmentFormats="0" applyWidthHeightFormats="1" dataCaption="Değerler" updatedVersion="8" minRefreshableVersion="3" useAutoFormatting="1" itemPrintTitles="1" createdVersion="8" indent="0" outline="1" outlineData="1" multipleFieldFilters="0" chartFormat="18">
  <location ref="A4:B7" firstHeaderRow="1" firstDataRow="1" firstDataCol="1" rowPageCount="2" colPageCount="1"/>
  <pivotFields count="13">
    <pivotField showAll="0"/>
    <pivotField axis="axisRow" showAll="0">
      <items count="7">
        <item x="4"/>
        <item x="1"/>
        <item x="2"/>
        <item x="0"/>
        <item x="3"/>
        <item x="5"/>
        <item t="default"/>
      </items>
    </pivotField>
    <pivotField showAll="0"/>
    <pivotField showAll="0"/>
    <pivotField dataField="1" showAll="0"/>
    <pivotField showAll="0"/>
    <pivotField showAll="0"/>
    <pivotField showAll="0"/>
    <pivotField showAll="0"/>
    <pivotField axis="axisPage" multipleItemSelectionAllowed="1" showAll="0">
      <items count="4">
        <item h="1" x="0"/>
        <item x="1"/>
        <item h="1" x="2"/>
        <item t="default"/>
      </items>
    </pivotField>
    <pivotField axis="axisPage" multipleItemSelectionAllowed="1" showAll="0">
      <items count="14">
        <item h="1" x="0"/>
        <item h="1" x="1"/>
        <item x="2"/>
        <item h="1" x="3"/>
        <item h="1" x="4"/>
        <item h="1" x="5"/>
        <item h="1" x="6"/>
        <item h="1" x="7"/>
        <item h="1" x="8"/>
        <item h="1" x="9"/>
        <item h="1" x="10"/>
        <item h="1" x="11"/>
        <item h="1" x="12"/>
        <item t="default"/>
      </items>
    </pivotField>
    <pivotField showAll="0"/>
    <pivotField showAll="0"/>
  </pivotFields>
  <rowFields count="1">
    <field x="1"/>
  </rowFields>
  <rowItems count="3">
    <i>
      <x v="1"/>
    </i>
    <i>
      <x v="3"/>
    </i>
    <i t="grand">
      <x/>
    </i>
  </rowItems>
  <colItems count="1">
    <i/>
  </colItems>
  <pageFields count="2">
    <pageField fld="9" hier="-1"/>
    <pageField fld="10" hier="-1"/>
  </pageFields>
  <dataFields count="1">
    <dataField name="Toplam KUSURLU ÜRÜN MİKTARI" fld="4" baseField="0" baseItem="0"/>
  </dataFields>
  <chartFormats count="3">
    <chartFormat chart="0"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0EB8F4E-9EDC-4B1B-82B1-878E939394F1}" name="PivotTable4" cacheId="0" applyNumberFormats="0" applyBorderFormats="0" applyFontFormats="0" applyPatternFormats="0" applyAlignmentFormats="0" applyWidthHeightFormats="1" dataCaption="Değerler" updatedVersion="8" minRefreshableVersion="3" useAutoFormatting="1" itemPrintTitles="1" createdVersion="8" indent="0" outline="1" outlineData="1" multipleFieldFilters="0" chartFormat="20">
  <location ref="A3:D14" firstHeaderRow="1" firstDataRow="2" firstDataCol="1" rowPageCount="1" colPageCount="1"/>
  <pivotFields count="15">
    <pivotField showAll="0"/>
    <pivotField showAll="0"/>
    <pivotField showAll="0"/>
    <pivotField axis="axisPage" multipleItemSelectionAllowed="1" showAll="0">
      <items count="41">
        <item h="1" x="0"/>
        <item h="1" x="3"/>
        <item h="1" x="1"/>
        <item h="1" x="2"/>
        <item h="1" x="4"/>
        <item h="1" x="5"/>
        <item h="1" x="6"/>
        <item h="1" x="7"/>
        <item h="1" x="8"/>
        <item h="1" x="9"/>
        <item h="1" x="10"/>
        <item h="1" x="11"/>
        <item h="1" x="14"/>
        <item h="1" x="13"/>
        <item h="1" x="12"/>
        <item h="1" x="15"/>
        <item h="1" x="16"/>
        <item h="1" x="17"/>
        <item h="1" x="18"/>
        <item h="1" x="19"/>
        <item h="1" x="20"/>
        <item h="1" x="22"/>
        <item h="1" x="23"/>
        <item h="1" x="21"/>
        <item h="1" x="24"/>
        <item h="1" x="25"/>
        <item h="1" x="26"/>
        <item h="1" x="27"/>
        <item h="1" x="28"/>
        <item x="30"/>
        <item x="29"/>
        <item h="1" x="39"/>
        <item x="31"/>
        <item x="32"/>
        <item x="33"/>
        <item x="34"/>
        <item x="35"/>
        <item x="36"/>
        <item x="37"/>
        <item h="1" x="38"/>
        <item t="default"/>
      </items>
    </pivotField>
    <pivotField showAll="0"/>
    <pivotField dataField="1" showAll="0"/>
    <pivotField axis="axisCol" showAll="0">
      <items count="4">
        <item x="2"/>
        <item x="1"/>
        <item x="0"/>
        <item t="default"/>
      </items>
    </pivotField>
    <pivotField showAll="0"/>
    <pivotField showAll="0"/>
    <pivotField showAll="0"/>
    <pivotField showAll="0"/>
    <pivotField showAll="0"/>
    <pivotField axis="axisRow" showAll="0">
      <items count="28">
        <item x="5"/>
        <item x="0"/>
        <item x="21"/>
        <item x="14"/>
        <item x="4"/>
        <item x="11"/>
        <item x="10"/>
        <item x="8"/>
        <item x="16"/>
        <item x="22"/>
        <item x="9"/>
        <item x="3"/>
        <item x="2"/>
        <item x="20"/>
        <item x="1"/>
        <item x="7"/>
        <item x="18"/>
        <item x="15"/>
        <item x="6"/>
        <item x="19"/>
        <item x="17"/>
        <item x="12"/>
        <item x="13"/>
        <item x="26"/>
        <item x="23"/>
        <item x="24"/>
        <item x="25"/>
        <item t="default"/>
      </items>
    </pivotField>
    <pivotField showAll="0"/>
    <pivotField axis="axisRow" showAll="0">
      <items count="5">
        <item x="3"/>
        <item x="2"/>
        <item x="1"/>
        <item x="0"/>
        <item t="default"/>
      </items>
    </pivotField>
  </pivotFields>
  <rowFields count="2">
    <field x="14"/>
    <field x="12"/>
  </rowFields>
  <rowItems count="10">
    <i>
      <x/>
    </i>
    <i r="1">
      <x v="4"/>
    </i>
    <i>
      <x v="1"/>
    </i>
    <i r="1">
      <x v="4"/>
    </i>
    <i r="1">
      <x v="26"/>
    </i>
    <i>
      <x v="2"/>
    </i>
    <i r="1">
      <x v="12"/>
    </i>
    <i r="1">
      <x v="24"/>
    </i>
    <i r="1">
      <x v="25"/>
    </i>
    <i t="grand">
      <x/>
    </i>
  </rowItems>
  <colFields count="1">
    <field x="6"/>
  </colFields>
  <colItems count="3">
    <i>
      <x/>
    </i>
    <i>
      <x v="1"/>
    </i>
    <i t="grand">
      <x/>
    </i>
  </colItems>
  <pageFields count="1">
    <pageField fld="3" hier="-1"/>
  </pageFields>
  <dataFields count="1">
    <dataField name="Toplam KUSURLU ÜRÜN MİKTARI" fld="5" baseField="14" baseItem="0"/>
  </dataFields>
  <chartFormats count="3">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9014D1C-343B-4340-A42E-550DA434F9A6}" name="PivotTable3" cacheId="13" applyNumberFormats="0" applyBorderFormats="0" applyFontFormats="0" applyPatternFormats="0" applyAlignmentFormats="0" applyWidthHeightFormats="1" dataCaption="Değerler" updatedVersion="8" minRefreshableVersion="3" useAutoFormatting="1" itemPrintTitles="1" createdVersion="8" indent="0" outline="1" outlineData="1" multipleFieldFilters="0" chartFormat="7">
  <location ref="A4:D8" firstHeaderRow="1" firstDataRow="2" firstDataCol="1" rowPageCount="2" colPageCount="1"/>
  <pivotFields count="17">
    <pivotField showAll="0"/>
    <pivotField showAll="0"/>
    <pivotField showAll="0"/>
    <pivotField showAll="0"/>
    <pivotField showAll="0"/>
    <pivotField axis="axisCol" showAll="0">
      <items count="7">
        <item x="4"/>
        <item x="1"/>
        <item x="2"/>
        <item x="0"/>
        <item x="3"/>
        <item x="5"/>
        <item t="default"/>
      </items>
    </pivotField>
    <pivotField showAll="0"/>
    <pivotField showAll="0"/>
    <pivotField dataField="1" showAll="0"/>
    <pivotField axis="axisRow" showAll="0" sortType="descending">
      <items count="27">
        <item x="2"/>
        <item x="0"/>
        <item x="15"/>
        <item x="21"/>
        <item x="1"/>
        <item x="9"/>
        <item x="7"/>
        <item x="16"/>
        <item m="1" x="25"/>
        <item x="8"/>
        <item x="18"/>
        <item x="6"/>
        <item x="19"/>
        <item x="5"/>
        <item x="4"/>
        <item x="13"/>
        <item x="11"/>
        <item x="17"/>
        <item x="3"/>
        <item x="14"/>
        <item x="20"/>
        <item x="10"/>
        <item x="12"/>
        <item x="24"/>
        <item x="22"/>
        <item x="23"/>
        <item t="default"/>
      </items>
      <autoSortScope>
        <pivotArea dataOnly="0" outline="0" fieldPosition="0">
          <references count="1">
            <reference field="4294967294" count="1" selected="0">
              <x v="0"/>
            </reference>
          </references>
        </pivotArea>
      </autoSortScope>
    </pivotField>
    <pivotField showAll="0"/>
    <pivotField showAll="0"/>
    <pivotField showAll="0"/>
    <pivotField axis="axisPage" multipleItemSelectionAllowed="1" showAll="0">
      <items count="4">
        <item h="1" x="0"/>
        <item x="1"/>
        <item h="1" x="2"/>
        <item t="default"/>
      </items>
    </pivotField>
    <pivotField axis="axisPage" multipleItemSelectionAllowed="1" showAll="0">
      <items count="14">
        <item h="1" x="0"/>
        <item h="1" x="1"/>
        <item x="2"/>
        <item h="1" x="3"/>
        <item h="1" x="4"/>
        <item h="1" x="5"/>
        <item h="1" x="6"/>
        <item h="1" x="7"/>
        <item h="1" x="8"/>
        <item h="1" x="9"/>
        <item h="1" x="10"/>
        <item h="1" x="11"/>
        <item h="1" x="12"/>
        <item t="default"/>
      </items>
    </pivotField>
    <pivotField showAll="0"/>
    <pivotField showAll="0"/>
  </pivotFields>
  <rowFields count="1">
    <field x="9"/>
  </rowFields>
  <rowItems count="3">
    <i>
      <x v="25"/>
    </i>
    <i>
      <x v="4"/>
    </i>
    <i t="grand">
      <x/>
    </i>
  </rowItems>
  <colFields count="1">
    <field x="5"/>
  </colFields>
  <colItems count="3">
    <i>
      <x v="1"/>
    </i>
    <i>
      <x v="3"/>
    </i>
    <i t="grand">
      <x/>
    </i>
  </colItems>
  <pageFields count="2">
    <pageField fld="13" hier="-1"/>
    <pageField fld="14" hier="-1"/>
  </pageFields>
  <dataFields count="1">
    <dataField name="Toplam KUSURLU ÜRÜN MİKTARI" fld="8" baseField="0" baseItem="0"/>
  </dataFields>
  <chartFormats count="3">
    <chartFormat chart="0" format="0" series="1">
      <pivotArea type="data" outline="0" fieldPosition="0">
        <references count="2">
          <reference field="4294967294" count="1" selected="0">
            <x v="0"/>
          </reference>
          <reference field="5" count="1" selected="0">
            <x v="3"/>
          </reference>
        </references>
      </pivotArea>
    </chartFormat>
    <chartFormat chart="0" format="1" series="1">
      <pivotArea type="data" outline="0" fieldPosition="0">
        <references count="2">
          <reference field="4294967294" count="1" selected="0">
            <x v="0"/>
          </reference>
          <reference field="5" count="1" selected="0">
            <x v="4"/>
          </reference>
        </references>
      </pivotArea>
    </chartFormat>
    <chartFormat chart="0" format="2"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4A4AFFE-A715-4C94-80E0-04BBB46BC53D}" name="PivotTable1" cacheId="3" applyNumberFormats="0" applyBorderFormats="0" applyFontFormats="0" applyPatternFormats="0" applyAlignmentFormats="0" applyWidthHeightFormats="1" dataCaption="Değerler" updatedVersion="8" minRefreshableVersion="3" useAutoFormatting="1" itemPrintTitles="1" createdVersion="8" indent="0" outline="1" outlineData="1" multipleFieldFilters="0" chartFormat="7">
  <location ref="A4:B9" firstHeaderRow="1" firstDataRow="1" firstDataCol="1" rowPageCount="2" colPageCount="1"/>
  <pivotFields count="17">
    <pivotField showAll="0"/>
    <pivotField axis="axisRow" showAll="0">
      <items count="38">
        <item x="24"/>
        <item x="6"/>
        <item x="35"/>
        <item x="26"/>
        <item x="14"/>
        <item x="7"/>
        <item x="19"/>
        <item x="28"/>
        <item x="18"/>
        <item x="11"/>
        <item x="0"/>
        <item x="8"/>
        <item x="23"/>
        <item x="25"/>
        <item x="29"/>
        <item x="31"/>
        <item x="4"/>
        <item x="27"/>
        <item x="22"/>
        <item x="32"/>
        <item x="1"/>
        <item x="34"/>
        <item x="2"/>
        <item x="33"/>
        <item x="9"/>
        <item x="10"/>
        <item x="20"/>
        <item x="30"/>
        <item x="13"/>
        <item x="15"/>
        <item x="17"/>
        <item x="3"/>
        <item x="21"/>
        <item x="16"/>
        <item x="12"/>
        <item x="5"/>
        <item x="36"/>
        <item t="default"/>
      </items>
    </pivotField>
    <pivotField showAll="0"/>
    <pivotField showAll="0"/>
    <pivotField showAll="0"/>
    <pivotField dataField="1" showAll="0"/>
    <pivotField showAll="0"/>
    <pivotField showAll="0"/>
    <pivotField showAll="0"/>
    <pivotField showAll="0"/>
    <pivotField showAll="0"/>
    <pivotField showAll="0"/>
    <pivotField axis="axisRow" showAll="0">
      <items count="26">
        <item x="3"/>
        <item x="0"/>
        <item x="17"/>
        <item x="22"/>
        <item x="11"/>
        <item x="2"/>
        <item x="8"/>
        <item x="6"/>
        <item x="13"/>
        <item x="7"/>
        <item x="19"/>
        <item x="20"/>
        <item x="1"/>
        <item x="16"/>
        <item x="5"/>
        <item x="14"/>
        <item x="12"/>
        <item x="18"/>
        <item x="23"/>
        <item x="4"/>
        <item x="15"/>
        <item x="21"/>
        <item x="9"/>
        <item x="10"/>
        <item x="24"/>
        <item t="default"/>
      </items>
    </pivotField>
    <pivotField showAll="0"/>
    <pivotField showAll="0"/>
    <pivotField axis="axisPage" multipleItemSelectionAllowed="1" showAll="0">
      <items count="14">
        <item h="1" x="0"/>
        <item h="1" x="1"/>
        <item x="2"/>
        <item h="1" x="3"/>
        <item h="1" x="4"/>
        <item h="1" x="5"/>
        <item h="1" x="6"/>
        <item h="1" x="7"/>
        <item h="1" x="8"/>
        <item h="1" x="9"/>
        <item h="1" x="10"/>
        <item h="1" x="11"/>
        <item h="1" x="12"/>
        <item t="default"/>
      </items>
    </pivotField>
    <pivotField axis="axisPage" multipleItemSelectionAllowed="1" showAll="0">
      <items count="4">
        <item h="1" x="0"/>
        <item x="1"/>
        <item h="1" x="2"/>
        <item t="default"/>
      </items>
    </pivotField>
  </pivotFields>
  <rowFields count="2">
    <field x="1"/>
    <field x="12"/>
  </rowFields>
  <rowItems count="5">
    <i>
      <x v="10"/>
    </i>
    <i r="1">
      <x v="12"/>
    </i>
    <i>
      <x v="15"/>
    </i>
    <i r="1">
      <x v="5"/>
    </i>
    <i t="grand">
      <x/>
    </i>
  </rowItems>
  <colItems count="1">
    <i/>
  </colItems>
  <pageFields count="2">
    <pageField fld="16" hier="-1"/>
    <pageField fld="15" hier="-1"/>
  </pageFields>
  <dataFields count="1">
    <dataField name="Toplam KUSURLU ÜRÜN MİKTARI" fld="5"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F8EE20E-6706-4853-8DBE-7369CB570A08}" name="PivotTable1" cacheId="13" applyNumberFormats="0" applyBorderFormats="0" applyFontFormats="0" applyPatternFormats="0" applyAlignmentFormats="0" applyWidthHeightFormats="1" dataCaption="Değerler" updatedVersion="8" minRefreshableVersion="3" useAutoFormatting="1" itemPrintTitles="1" createdVersion="8" indent="0" outline="1" outlineData="1" multipleFieldFilters="0" chartFormat="7">
  <location ref="A5:E10" firstHeaderRow="1" firstDataRow="2" firstDataCol="1" rowPageCount="2" colPageCount="1"/>
  <pivotFields count="17">
    <pivotField showAll="0"/>
    <pivotField showAll="0"/>
    <pivotField showAll="0"/>
    <pivotField showAll="0"/>
    <pivotField showAll="0"/>
    <pivotField showAll="0"/>
    <pivotField axis="axisRow" showAll="0">
      <items count="5">
        <item x="2"/>
        <item x="1"/>
        <item x="0"/>
        <item x="3"/>
        <item t="default"/>
      </items>
    </pivotField>
    <pivotField showAll="0"/>
    <pivotField dataField="1" showAll="0"/>
    <pivotField showAll="0"/>
    <pivotField axis="axisCol" multipleItemSelectionAllowed="1" showAll="0">
      <items count="6">
        <item x="3"/>
        <item x="2"/>
        <item x="0"/>
        <item x="1"/>
        <item x="4"/>
        <item t="default"/>
      </items>
    </pivotField>
    <pivotField showAll="0"/>
    <pivotField showAll="0"/>
    <pivotField axis="axisPage" multipleItemSelectionAllowed="1" showAll="0">
      <items count="4">
        <item h="1" x="0"/>
        <item x="1"/>
        <item h="1" x="2"/>
        <item t="default"/>
      </items>
    </pivotField>
    <pivotField axis="axisPage" multipleItemSelectionAllowed="1" showAll="0">
      <items count="14">
        <item x="0"/>
        <item x="1"/>
        <item x="2"/>
        <item h="1" x="3"/>
        <item h="1" x="4"/>
        <item h="1" x="5"/>
        <item h="1" x="6"/>
        <item h="1" x="7"/>
        <item h="1" x="8"/>
        <item h="1" x="9"/>
        <item h="1" x="10"/>
        <item h="1" x="11"/>
        <item h="1" x="12"/>
        <item t="default"/>
      </items>
    </pivotField>
    <pivotField showAll="0"/>
    <pivotField showAll="0"/>
  </pivotFields>
  <rowFields count="1">
    <field x="6"/>
  </rowFields>
  <rowItems count="4">
    <i>
      <x/>
    </i>
    <i>
      <x v="1"/>
    </i>
    <i>
      <x v="2"/>
    </i>
    <i t="grand">
      <x/>
    </i>
  </rowItems>
  <colFields count="1">
    <field x="10"/>
  </colFields>
  <colItems count="4">
    <i>
      <x v="1"/>
    </i>
    <i>
      <x v="2"/>
    </i>
    <i>
      <x v="3"/>
    </i>
    <i t="grand">
      <x/>
    </i>
  </colItems>
  <pageFields count="2">
    <pageField fld="13" hier="-1"/>
    <pageField fld="14" hier="-1"/>
  </pageFields>
  <dataFields count="1">
    <dataField name="Toplam KUSURLU ÜRÜN MİKTARI" fld="8" baseField="0" baseItem="0"/>
  </dataFields>
  <chartFormats count="8">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10" count="1" selected="0">
            <x v="3"/>
          </reference>
        </references>
      </pivotArea>
    </chartFormat>
    <chartFormat chart="0" format="2" series="1">
      <pivotArea type="data" outline="0" fieldPosition="0">
        <references count="2">
          <reference field="4294967294" count="1" selected="0">
            <x v="0"/>
          </reference>
          <reference field="10" count="1" selected="0">
            <x v="2"/>
          </reference>
        </references>
      </pivotArea>
    </chartFormat>
    <chartFormat chart="1" format="3" series="1">
      <pivotArea type="data" outline="0" fieldPosition="0">
        <references count="2">
          <reference field="4294967294" count="1" selected="0">
            <x v="0"/>
          </reference>
          <reference field="10" count="1" selected="0">
            <x v="2"/>
          </reference>
        </references>
      </pivotArea>
    </chartFormat>
    <chartFormat chart="1" format="4" series="1">
      <pivotArea type="data" outline="0" fieldPosition="0">
        <references count="2">
          <reference field="4294967294" count="1" selected="0">
            <x v="0"/>
          </reference>
          <reference field="10" count="1" selected="0">
            <x v="3"/>
          </reference>
        </references>
      </pivotArea>
    </chartFormat>
    <chartFormat chart="2" format="5" series="1">
      <pivotArea type="data" outline="0" fieldPosition="0">
        <references count="2">
          <reference field="4294967294" count="1" selected="0">
            <x v="0"/>
          </reference>
          <reference field="10" count="1" selected="0">
            <x v="2"/>
          </reference>
        </references>
      </pivotArea>
    </chartFormat>
    <chartFormat chart="2" format="6" series="1">
      <pivotArea type="data" outline="0" fieldPosition="0">
        <references count="2">
          <reference field="4294967294" count="1" selected="0">
            <x v="0"/>
          </reference>
          <reference field="10" count="1" selected="0">
            <x v="3"/>
          </reference>
        </references>
      </pivotArea>
    </chartFormat>
    <chartFormat chart="0" format="3"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DCCB5A4-3656-4E64-A23C-9CCC19219DAF}" name="PivotTable1" cacheId="1" applyNumberFormats="0" applyBorderFormats="0" applyFontFormats="0" applyPatternFormats="0" applyAlignmentFormats="0" applyWidthHeightFormats="1" dataCaption="Değerler" updatedVersion="8" minRefreshableVersion="3" useAutoFormatting="1" itemPrintTitles="1" createdVersion="8" indent="0" outline="1" outlineData="1" multipleFieldFilters="0" chartFormat="8">
  <location ref="A5:H9" firstHeaderRow="1" firstDataRow="2" firstDataCol="1" rowPageCount="2" colPageCount="1"/>
  <pivotFields count="16">
    <pivotField showAll="0"/>
    <pivotField showAll="0"/>
    <pivotField showAll="0"/>
    <pivotField showAll="0"/>
    <pivotField dataField="1" showAll="0"/>
    <pivotField showAll="0"/>
    <pivotField showAll="0"/>
    <pivotField showAll="0"/>
    <pivotField showAll="0"/>
    <pivotField showAll="0"/>
    <pivotField showAll="0"/>
    <pivotField showAll="0"/>
    <pivotField axis="axisCol" showAll="0">
      <items count="39">
        <item x="3"/>
        <item x="0"/>
        <item x="17"/>
        <item x="22"/>
        <item x="11"/>
        <item x="2"/>
        <item m="1" x="36"/>
        <item m="1" x="26"/>
        <item m="1" x="25"/>
        <item x="13"/>
        <item m="1" x="28"/>
        <item m="1" x="29"/>
        <item x="7"/>
        <item x="19"/>
        <item m="1" x="34"/>
        <item m="1" x="35"/>
        <item x="20"/>
        <item x="1"/>
        <item m="1" x="31"/>
        <item x="16"/>
        <item m="1" x="30"/>
        <item m="1" x="33"/>
        <item x="14"/>
        <item x="12"/>
        <item x="18"/>
        <item m="1" x="32"/>
        <item x="15"/>
        <item x="21"/>
        <item x="9"/>
        <item m="1" x="37"/>
        <item m="1" x="27"/>
        <item x="24"/>
        <item x="6"/>
        <item x="4"/>
        <item x="5"/>
        <item x="8"/>
        <item x="10"/>
        <item x="23"/>
        <item t="default"/>
      </items>
    </pivotField>
    <pivotField axis="axisRow" showAll="0">
      <items count="6">
        <item x="0"/>
        <item m="1" x="4"/>
        <item x="1"/>
        <item x="2"/>
        <item x="3"/>
        <item t="default"/>
      </items>
    </pivotField>
    <pivotField axis="axisPage" multipleItemSelectionAllowed="1" showAll="0">
      <items count="5">
        <item h="1" x="2"/>
        <item x="0"/>
        <item h="1" x="1"/>
        <item h="1" x="3"/>
        <item t="default"/>
      </items>
    </pivotField>
    <pivotField axis="axisPage" multipleItemSelectionAllowed="1" showAll="0">
      <items count="14">
        <item h="1" x="0"/>
        <item h="1" x="1"/>
        <item h="1" x="2"/>
        <item h="1" x="3"/>
        <item h="1" x="4"/>
        <item h="1" x="5"/>
        <item h="1" x="6"/>
        <item x="7"/>
        <item x="8"/>
        <item x="9"/>
        <item h="1" x="12"/>
        <item h="1" x="10"/>
        <item h="1" x="11"/>
        <item t="default"/>
      </items>
    </pivotField>
  </pivotFields>
  <rowFields count="1">
    <field x="13"/>
  </rowFields>
  <rowItems count="3">
    <i>
      <x/>
    </i>
    <i>
      <x v="2"/>
    </i>
    <i t="grand">
      <x/>
    </i>
  </rowItems>
  <colFields count="1">
    <field x="12"/>
  </colFields>
  <colItems count="7">
    <i>
      <x v="2"/>
    </i>
    <i>
      <x v="5"/>
    </i>
    <i>
      <x v="13"/>
    </i>
    <i>
      <x v="19"/>
    </i>
    <i>
      <x v="22"/>
    </i>
    <i>
      <x v="27"/>
    </i>
    <i t="grand">
      <x/>
    </i>
  </colItems>
  <pageFields count="2">
    <pageField fld="14" hier="-1"/>
    <pageField fld="15" hier="-1"/>
  </pageFields>
  <dataFields count="1">
    <dataField name="Say MODÜL SERİ NO" fld="4" subtotal="count" baseField="0" baseItem="0"/>
  </dataFields>
  <chartFormats count="5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0" format="3" series="1">
      <pivotArea type="data" outline="0" fieldPosition="0">
        <references count="2">
          <reference field="4294967294" count="1" selected="0">
            <x v="0"/>
          </reference>
          <reference field="13" count="1" selected="0">
            <x v="3"/>
          </reference>
        </references>
      </pivotArea>
    </chartFormat>
    <chartFormat chart="0" format="4" series="1">
      <pivotArea type="data" outline="0" fieldPosition="0">
        <references count="3">
          <reference field="4294967294" count="1" selected="0">
            <x v="0"/>
          </reference>
          <reference field="12" count="1" selected="0">
            <x v="19"/>
          </reference>
          <reference field="13" count="1" selected="0">
            <x v="0"/>
          </reference>
        </references>
      </pivotArea>
    </chartFormat>
    <chartFormat chart="0" format="5" series="1">
      <pivotArea type="data" outline="0" fieldPosition="0">
        <references count="3">
          <reference field="4294967294" count="1" selected="0">
            <x v="0"/>
          </reference>
          <reference field="12" count="1" selected="0">
            <x v="22"/>
          </reference>
          <reference field="13" count="1" selected="0">
            <x v="0"/>
          </reference>
        </references>
      </pivotArea>
    </chartFormat>
    <chartFormat chart="0" format="6" series="1">
      <pivotArea type="data" outline="0" fieldPosition="0">
        <references count="3">
          <reference field="4294967294" count="1" selected="0">
            <x v="0"/>
          </reference>
          <reference field="12" count="1" selected="0">
            <x v="27"/>
          </reference>
          <reference field="13" count="1" selected="0">
            <x v="0"/>
          </reference>
        </references>
      </pivotArea>
    </chartFormat>
    <chartFormat chart="0" format="7" series="1">
      <pivotArea type="data" outline="0" fieldPosition="0">
        <references count="3">
          <reference field="4294967294" count="1" selected="0">
            <x v="0"/>
          </reference>
          <reference field="12" count="1" selected="0">
            <x v="26"/>
          </reference>
          <reference field="13" count="1" selected="0">
            <x v="1"/>
          </reference>
        </references>
      </pivotArea>
    </chartFormat>
    <chartFormat chart="0" format="8" series="1">
      <pivotArea type="data" outline="0" fieldPosition="0">
        <references count="3">
          <reference field="4294967294" count="1" selected="0">
            <x v="0"/>
          </reference>
          <reference field="12" count="1" selected="0">
            <x v="5"/>
          </reference>
          <reference field="13" count="1" selected="0">
            <x v="2"/>
          </reference>
        </references>
      </pivotArea>
    </chartFormat>
    <chartFormat chart="0" format="9" series="1">
      <pivotArea type="data" outline="0" fieldPosition="0">
        <references count="3">
          <reference field="4294967294" count="1" selected="0">
            <x v="0"/>
          </reference>
          <reference field="12" count="1" selected="0">
            <x v="10"/>
          </reference>
          <reference field="13" count="1" selected="0">
            <x v="2"/>
          </reference>
        </references>
      </pivotArea>
    </chartFormat>
    <chartFormat chart="0" format="10" series="1">
      <pivotArea type="data" outline="0" fieldPosition="0">
        <references count="3">
          <reference field="4294967294" count="1" selected="0">
            <x v="0"/>
          </reference>
          <reference field="12" count="1" selected="0">
            <x v="11"/>
          </reference>
          <reference field="13" count="1" selected="0">
            <x v="2"/>
          </reference>
        </references>
      </pivotArea>
    </chartFormat>
    <chartFormat chart="0" format="11" series="1">
      <pivotArea type="data" outline="0" fieldPosition="0">
        <references count="3">
          <reference field="4294967294" count="1" selected="0">
            <x v="0"/>
          </reference>
          <reference field="12" count="1" selected="0">
            <x v="2"/>
          </reference>
          <reference field="13" count="1" selected="0">
            <x v="3"/>
          </reference>
        </references>
      </pivotArea>
    </chartFormat>
    <chartFormat chart="0" format="12" series="1">
      <pivotArea type="data" outline="0" fieldPosition="0">
        <references count="3">
          <reference field="4294967294" count="1" selected="0">
            <x v="0"/>
          </reference>
          <reference field="12" count="1" selected="0">
            <x v="3"/>
          </reference>
          <reference field="13" count="1" selected="0">
            <x v="3"/>
          </reference>
        </references>
      </pivotArea>
    </chartFormat>
    <chartFormat chart="0" format="13" series="1">
      <pivotArea type="data" outline="0" fieldPosition="0">
        <references count="3">
          <reference field="4294967294" count="1" selected="0">
            <x v="0"/>
          </reference>
          <reference field="12" count="1" selected="0">
            <x v="16"/>
          </reference>
          <reference field="13" count="1" selected="0">
            <x v="3"/>
          </reference>
        </references>
      </pivotArea>
    </chartFormat>
    <chartFormat chart="0" format="14" series="1">
      <pivotArea type="data" outline="0" fieldPosition="0">
        <references count="3">
          <reference field="4294967294" count="1" selected="0">
            <x v="0"/>
          </reference>
          <reference field="12" count="1" selected="0">
            <x v="18"/>
          </reference>
          <reference field="13" count="1" selected="0">
            <x v="3"/>
          </reference>
        </references>
      </pivotArea>
    </chartFormat>
    <chartFormat chart="0" format="15" series="1">
      <pivotArea type="data" outline="0" fieldPosition="0">
        <references count="3">
          <reference field="4294967294" count="1" selected="0">
            <x v="0"/>
          </reference>
          <reference field="12" count="1" selected="0">
            <x v="20"/>
          </reference>
          <reference field="13" count="1" selected="0">
            <x v="3"/>
          </reference>
        </references>
      </pivotArea>
    </chartFormat>
    <chartFormat chart="0" format="16" series="1">
      <pivotArea type="data" outline="0" fieldPosition="0">
        <references count="3">
          <reference field="4294967294" count="1" selected="0">
            <x v="0"/>
          </reference>
          <reference field="12" count="1" selected="0">
            <x v="24"/>
          </reference>
          <reference field="13" count="1" selected="0">
            <x v="3"/>
          </reference>
        </references>
      </pivotArea>
    </chartFormat>
    <chartFormat chart="0" format="17" series="1">
      <pivotArea type="data" outline="0" fieldPosition="0">
        <references count="2">
          <reference field="4294967294" count="1" selected="0">
            <x v="0"/>
          </reference>
          <reference field="12" count="1" selected="0">
            <x v="2"/>
          </reference>
        </references>
      </pivotArea>
    </chartFormat>
    <chartFormat chart="0" format="18" series="1">
      <pivotArea type="data" outline="0" fieldPosition="0">
        <references count="2">
          <reference field="4294967294" count="1" selected="0">
            <x v="0"/>
          </reference>
          <reference field="12" count="1" selected="0">
            <x v="3"/>
          </reference>
        </references>
      </pivotArea>
    </chartFormat>
    <chartFormat chart="0" format="19" series="1">
      <pivotArea type="data" outline="0" fieldPosition="0">
        <references count="2">
          <reference field="4294967294" count="1" selected="0">
            <x v="0"/>
          </reference>
          <reference field="12" count="1" selected="0">
            <x v="5"/>
          </reference>
        </references>
      </pivotArea>
    </chartFormat>
    <chartFormat chart="0" format="20" series="1">
      <pivotArea type="data" outline="0" fieldPosition="0">
        <references count="2">
          <reference field="4294967294" count="1" selected="0">
            <x v="0"/>
          </reference>
          <reference field="12" count="1" selected="0">
            <x v="10"/>
          </reference>
        </references>
      </pivotArea>
    </chartFormat>
    <chartFormat chart="0" format="21" series="1">
      <pivotArea type="data" outline="0" fieldPosition="0">
        <references count="2">
          <reference field="4294967294" count="1" selected="0">
            <x v="0"/>
          </reference>
          <reference field="12" count="1" selected="0">
            <x v="11"/>
          </reference>
        </references>
      </pivotArea>
    </chartFormat>
    <chartFormat chart="0" format="22" series="1">
      <pivotArea type="data" outline="0" fieldPosition="0">
        <references count="2">
          <reference field="4294967294" count="1" selected="0">
            <x v="0"/>
          </reference>
          <reference field="12" count="1" selected="0">
            <x v="13"/>
          </reference>
        </references>
      </pivotArea>
    </chartFormat>
    <chartFormat chart="0" format="23" series="1">
      <pivotArea type="data" outline="0" fieldPosition="0">
        <references count="2">
          <reference field="4294967294" count="1" selected="0">
            <x v="0"/>
          </reference>
          <reference field="12" count="1" selected="0">
            <x v="16"/>
          </reference>
        </references>
      </pivotArea>
    </chartFormat>
    <chartFormat chart="0" format="24" series="1">
      <pivotArea type="data" outline="0" fieldPosition="0">
        <references count="2">
          <reference field="4294967294" count="1" selected="0">
            <x v="0"/>
          </reference>
          <reference field="12" count="1" selected="0">
            <x v="18"/>
          </reference>
        </references>
      </pivotArea>
    </chartFormat>
    <chartFormat chart="0" format="25" series="1">
      <pivotArea type="data" outline="0" fieldPosition="0">
        <references count="2">
          <reference field="4294967294" count="1" selected="0">
            <x v="0"/>
          </reference>
          <reference field="12" count="1" selected="0">
            <x v="19"/>
          </reference>
        </references>
      </pivotArea>
    </chartFormat>
    <chartFormat chart="0" format="26" series="1">
      <pivotArea type="data" outline="0" fieldPosition="0">
        <references count="2">
          <reference field="4294967294" count="1" selected="0">
            <x v="0"/>
          </reference>
          <reference field="12" count="1" selected="0">
            <x v="20"/>
          </reference>
        </references>
      </pivotArea>
    </chartFormat>
    <chartFormat chart="0" format="27" series="1">
      <pivotArea type="data" outline="0" fieldPosition="0">
        <references count="2">
          <reference field="4294967294" count="1" selected="0">
            <x v="0"/>
          </reference>
          <reference field="12" count="1" selected="0">
            <x v="22"/>
          </reference>
        </references>
      </pivotArea>
    </chartFormat>
    <chartFormat chart="0" format="28" series="1">
      <pivotArea type="data" outline="0" fieldPosition="0">
        <references count="2">
          <reference field="4294967294" count="1" selected="0">
            <x v="0"/>
          </reference>
          <reference field="12" count="1" selected="0">
            <x v="24"/>
          </reference>
        </references>
      </pivotArea>
    </chartFormat>
    <chartFormat chart="0" format="29" series="1">
      <pivotArea type="data" outline="0" fieldPosition="0">
        <references count="2">
          <reference field="4294967294" count="1" selected="0">
            <x v="0"/>
          </reference>
          <reference field="12" count="1" selected="0">
            <x v="26"/>
          </reference>
        </references>
      </pivotArea>
    </chartFormat>
    <chartFormat chart="0" format="30" series="1">
      <pivotArea type="data" outline="0" fieldPosition="0">
        <references count="2">
          <reference field="4294967294" count="1" selected="0">
            <x v="0"/>
          </reference>
          <reference field="12" count="1" selected="0">
            <x v="27"/>
          </reference>
        </references>
      </pivotArea>
    </chartFormat>
    <chartFormat chart="2" format="0" series="1">
      <pivotArea type="data" outline="0" fieldPosition="0">
        <references count="2">
          <reference field="4294967294" count="1" selected="0">
            <x v="0"/>
          </reference>
          <reference field="12" count="1" selected="0">
            <x v="2"/>
          </reference>
        </references>
      </pivotArea>
    </chartFormat>
    <chartFormat chart="2" format="1" series="1">
      <pivotArea type="data" outline="0" fieldPosition="0">
        <references count="2">
          <reference field="4294967294" count="1" selected="0">
            <x v="0"/>
          </reference>
          <reference field="12" count="1" selected="0">
            <x v="5"/>
          </reference>
        </references>
      </pivotArea>
    </chartFormat>
    <chartFormat chart="2" format="2" series="1">
      <pivotArea type="data" outline="0" fieldPosition="0">
        <references count="2">
          <reference field="4294967294" count="1" selected="0">
            <x v="0"/>
          </reference>
          <reference field="12" count="1" selected="0">
            <x v="10"/>
          </reference>
        </references>
      </pivotArea>
    </chartFormat>
    <chartFormat chart="2" format="3" series="1">
      <pivotArea type="data" outline="0" fieldPosition="0">
        <references count="2">
          <reference field="4294967294" count="1" selected="0">
            <x v="0"/>
          </reference>
          <reference field="12" count="1" selected="0">
            <x v="13"/>
          </reference>
        </references>
      </pivotArea>
    </chartFormat>
    <chartFormat chart="2" format="4" series="1">
      <pivotArea type="data" outline="0" fieldPosition="0">
        <references count="2">
          <reference field="4294967294" count="1" selected="0">
            <x v="0"/>
          </reference>
          <reference field="12" count="1" selected="0">
            <x v="19"/>
          </reference>
        </references>
      </pivotArea>
    </chartFormat>
    <chartFormat chart="2" format="5" series="1">
      <pivotArea type="data" outline="0" fieldPosition="0">
        <references count="2">
          <reference field="4294967294" count="1" selected="0">
            <x v="0"/>
          </reference>
          <reference field="12" count="1" selected="0">
            <x v="22"/>
          </reference>
        </references>
      </pivotArea>
    </chartFormat>
    <chartFormat chart="2" format="6" series="1">
      <pivotArea type="data" outline="0" fieldPosition="0">
        <references count="2">
          <reference field="4294967294" count="1" selected="0">
            <x v="0"/>
          </reference>
          <reference field="12" count="1" selected="0">
            <x v="26"/>
          </reference>
        </references>
      </pivotArea>
    </chartFormat>
    <chartFormat chart="2" format="7" series="1">
      <pivotArea type="data" outline="0" fieldPosition="0">
        <references count="2">
          <reference field="4294967294" count="1" selected="0">
            <x v="0"/>
          </reference>
          <reference field="12" count="1" selected="0">
            <x v="27"/>
          </reference>
        </references>
      </pivotArea>
    </chartFormat>
    <chartFormat chart="0" format="31">
      <pivotArea type="data" outline="0" fieldPosition="0">
        <references count="3">
          <reference field="4294967294" count="1" selected="0">
            <x v="0"/>
          </reference>
          <reference field="12" count="1" selected="0">
            <x v="27"/>
          </reference>
          <reference field="13" count="1" selected="0">
            <x v="0"/>
          </reference>
        </references>
      </pivotArea>
    </chartFormat>
    <chartFormat chart="5" format="32" series="1">
      <pivotArea type="data" outline="0" fieldPosition="0">
        <references count="2">
          <reference field="4294967294" count="1" selected="0">
            <x v="0"/>
          </reference>
          <reference field="12" count="1" selected="0">
            <x v="2"/>
          </reference>
        </references>
      </pivotArea>
    </chartFormat>
    <chartFormat chart="5" format="33" series="1">
      <pivotArea type="data" outline="0" fieldPosition="0">
        <references count="2">
          <reference field="4294967294" count="1" selected="0">
            <x v="0"/>
          </reference>
          <reference field="12" count="1" selected="0">
            <x v="5"/>
          </reference>
        </references>
      </pivotArea>
    </chartFormat>
    <chartFormat chart="5" format="34" series="1">
      <pivotArea type="data" outline="0" fieldPosition="0">
        <references count="2">
          <reference field="4294967294" count="1" selected="0">
            <x v="0"/>
          </reference>
          <reference field="12" count="1" selected="0">
            <x v="10"/>
          </reference>
        </references>
      </pivotArea>
    </chartFormat>
    <chartFormat chart="5" format="35" series="1">
      <pivotArea type="data" outline="0" fieldPosition="0">
        <references count="2">
          <reference field="4294967294" count="1" selected="0">
            <x v="0"/>
          </reference>
          <reference field="12" count="1" selected="0">
            <x v="13"/>
          </reference>
        </references>
      </pivotArea>
    </chartFormat>
    <chartFormat chart="5" format="36" series="1">
      <pivotArea type="data" outline="0" fieldPosition="0">
        <references count="2">
          <reference field="4294967294" count="1" selected="0">
            <x v="0"/>
          </reference>
          <reference field="12" count="1" selected="0">
            <x v="19"/>
          </reference>
        </references>
      </pivotArea>
    </chartFormat>
    <chartFormat chart="5" format="37" series="1">
      <pivotArea type="data" outline="0" fieldPosition="0">
        <references count="2">
          <reference field="4294967294" count="1" selected="0">
            <x v="0"/>
          </reference>
          <reference field="12" count="1" selected="0">
            <x v="22"/>
          </reference>
        </references>
      </pivotArea>
    </chartFormat>
    <chartFormat chart="5" format="38" series="1">
      <pivotArea type="data" outline="0" fieldPosition="0">
        <references count="2">
          <reference field="4294967294" count="1" selected="0">
            <x v="0"/>
          </reference>
          <reference field="12" count="1" selected="0">
            <x v="26"/>
          </reference>
        </references>
      </pivotArea>
    </chartFormat>
    <chartFormat chart="5" format="39" series="1">
      <pivotArea type="data" outline="0" fieldPosition="0">
        <references count="2">
          <reference field="4294967294" count="1" selected="0">
            <x v="0"/>
          </reference>
          <reference field="12" count="1" selected="0">
            <x v="27"/>
          </reference>
        </references>
      </pivotArea>
    </chartFormat>
    <chartFormat chart="5" format="40">
      <pivotArea type="data" outline="0" fieldPosition="0">
        <references count="3">
          <reference field="4294967294" count="1" selected="0">
            <x v="0"/>
          </reference>
          <reference field="12" count="1" selected="0">
            <x v="27"/>
          </reference>
          <reference field="13" count="1" selected="0">
            <x v="0"/>
          </reference>
        </references>
      </pivotArea>
    </chartFormat>
    <chartFormat chart="6" format="41" series="1">
      <pivotArea type="data" outline="0" fieldPosition="0">
        <references count="2">
          <reference field="4294967294" count="1" selected="0">
            <x v="0"/>
          </reference>
          <reference field="12" count="1" selected="0">
            <x v="2"/>
          </reference>
        </references>
      </pivotArea>
    </chartFormat>
    <chartFormat chart="6" format="42" series="1">
      <pivotArea type="data" outline="0" fieldPosition="0">
        <references count="2">
          <reference field="4294967294" count="1" selected="0">
            <x v="0"/>
          </reference>
          <reference field="12" count="1" selected="0">
            <x v="5"/>
          </reference>
        </references>
      </pivotArea>
    </chartFormat>
    <chartFormat chart="6" format="43" series="1">
      <pivotArea type="data" outline="0" fieldPosition="0">
        <references count="2">
          <reference field="4294967294" count="1" selected="0">
            <x v="0"/>
          </reference>
          <reference field="12" count="1" selected="0">
            <x v="10"/>
          </reference>
        </references>
      </pivotArea>
    </chartFormat>
    <chartFormat chart="6" format="44" series="1">
      <pivotArea type="data" outline="0" fieldPosition="0">
        <references count="2">
          <reference field="4294967294" count="1" selected="0">
            <x v="0"/>
          </reference>
          <reference field="12" count="1" selected="0">
            <x v="13"/>
          </reference>
        </references>
      </pivotArea>
    </chartFormat>
    <chartFormat chart="6" format="45" series="1">
      <pivotArea type="data" outline="0" fieldPosition="0">
        <references count="2">
          <reference field="4294967294" count="1" selected="0">
            <x v="0"/>
          </reference>
          <reference field="12" count="1" selected="0">
            <x v="19"/>
          </reference>
        </references>
      </pivotArea>
    </chartFormat>
    <chartFormat chart="6" format="46" series="1">
      <pivotArea type="data" outline="0" fieldPosition="0">
        <references count="2">
          <reference field="4294967294" count="1" selected="0">
            <x v="0"/>
          </reference>
          <reference field="12" count="1" selected="0">
            <x v="22"/>
          </reference>
        </references>
      </pivotArea>
    </chartFormat>
    <chartFormat chart="6" format="47" series="1">
      <pivotArea type="data" outline="0" fieldPosition="0">
        <references count="2">
          <reference field="4294967294" count="1" selected="0">
            <x v="0"/>
          </reference>
          <reference field="12" count="1" selected="0">
            <x v="26"/>
          </reference>
        </references>
      </pivotArea>
    </chartFormat>
    <chartFormat chart="6" format="48" series="1">
      <pivotArea type="data" outline="0" fieldPosition="0">
        <references count="2">
          <reference field="4294967294" count="1" selected="0">
            <x v="0"/>
          </reference>
          <reference field="12" count="1" selected="0">
            <x v="27"/>
          </reference>
        </references>
      </pivotArea>
    </chartFormat>
    <chartFormat chart="6" format="49">
      <pivotArea type="data" outline="0" fieldPosition="0">
        <references count="3">
          <reference field="4294967294" count="1" selected="0">
            <x v="0"/>
          </reference>
          <reference field="12" count="1" selected="0">
            <x v="27"/>
          </reference>
          <reference field="1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2013 - 2022 Teması">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1713" dT="2026-03-30T10:23:07.88" personId="{25031EC1-D3A6-46E6-9DD4-F0E145817037}" id="{E89445D9-53DD-4E13-9A79-B3C276A863C2}">
    <text>***6190 yanlış kayıt edilmiş, düzeltildi</text>
  </threadedComment>
  <threadedComment ref="E1715" dT="2026-03-30T08:49:46.99" personId="{25031EC1-D3A6-46E6-9DD4-F0E145817037}" id="{806ADEE8-0D32-430A-87F7-35521BEB1867}">
    <text>JA 248*** olarak biliyor, ilk kayıt yanlış işlenmiş</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AF8AA-2F7A-43DA-A014-01ECD59F1A72}">
  <dimension ref="A1:Q75"/>
  <sheetViews>
    <sheetView showGridLines="0" zoomScale="85" zoomScaleNormal="85" zoomScaleSheetLayoutView="80" workbookViewId="0">
      <pane ySplit="1" topLeftCell="A67" activePane="bottomLeft" state="frozen"/>
      <selection pane="bottomLeft" activeCell="L70" sqref="A70:L70"/>
    </sheetView>
  </sheetViews>
  <sheetFormatPr defaultRowHeight="15" x14ac:dyDescent="0.25"/>
  <cols>
    <col min="1" max="1" width="7.85546875" style="15" bestFit="1" customWidth="1"/>
    <col min="2" max="2" width="22.85546875" style="18" bestFit="1" customWidth="1"/>
    <col min="3" max="3" width="29.7109375" style="18" bestFit="1" customWidth="1"/>
    <col min="4" max="4" width="21.28515625" style="15" bestFit="1" customWidth="1"/>
    <col min="5" max="5" width="17" style="20" bestFit="1" customWidth="1"/>
    <col min="6" max="6" width="12" style="15" bestFit="1" customWidth="1"/>
    <col min="7" max="7" width="12.28515625" style="15" bestFit="1" customWidth="1"/>
    <col min="8" max="8" width="14.28515625" style="15" bestFit="1" customWidth="1"/>
    <col min="9" max="9" width="17.28515625" style="15" bestFit="1" customWidth="1"/>
    <col min="10" max="10" width="24.85546875" style="15" bestFit="1" customWidth="1"/>
    <col min="11" max="11" width="26.140625" style="15" bestFit="1" customWidth="1"/>
    <col min="12" max="12" width="109.5703125" style="46" customWidth="1"/>
    <col min="13" max="16" width="20.7109375" style="15" bestFit="1" customWidth="1"/>
    <col min="17" max="17" width="9.5703125" style="15" bestFit="1" customWidth="1"/>
  </cols>
  <sheetData>
    <row r="1" spans="1:17" ht="24" x14ac:dyDescent="0.25">
      <c r="A1" s="5" t="s">
        <v>11</v>
      </c>
      <c r="B1" s="5" t="s">
        <v>478</v>
      </c>
      <c r="C1" s="5" t="s">
        <v>25</v>
      </c>
      <c r="D1" s="5" t="s">
        <v>479</v>
      </c>
      <c r="E1" s="19" t="s">
        <v>480</v>
      </c>
      <c r="F1" s="5" t="s">
        <v>482</v>
      </c>
      <c r="G1" s="5" t="s">
        <v>481</v>
      </c>
      <c r="H1" s="5" t="s">
        <v>483</v>
      </c>
      <c r="I1" s="6" t="s">
        <v>484</v>
      </c>
      <c r="J1" s="5" t="s">
        <v>683</v>
      </c>
      <c r="K1" s="5" t="s">
        <v>310</v>
      </c>
      <c r="L1" s="42" t="s">
        <v>489</v>
      </c>
      <c r="M1" s="5" t="s">
        <v>491</v>
      </c>
      <c r="N1" s="5" t="s">
        <v>1096</v>
      </c>
      <c r="O1" s="5" t="s">
        <v>549</v>
      </c>
      <c r="P1" s="5" t="s">
        <v>555</v>
      </c>
      <c r="Q1" s="5" t="s">
        <v>1097</v>
      </c>
    </row>
    <row r="2" spans="1:17" ht="105" x14ac:dyDescent="0.25">
      <c r="A2" s="7">
        <v>2501</v>
      </c>
      <c r="B2" s="9" t="s">
        <v>9</v>
      </c>
      <c r="C2" s="9" t="s">
        <v>316</v>
      </c>
      <c r="D2" s="7" t="s">
        <v>30</v>
      </c>
      <c r="E2" s="8">
        <v>45678</v>
      </c>
      <c r="F2" s="7" t="s">
        <v>314</v>
      </c>
      <c r="G2" s="7" t="s">
        <v>15</v>
      </c>
      <c r="H2" s="7" t="s">
        <v>59</v>
      </c>
      <c r="I2" s="7">
        <v>9</v>
      </c>
      <c r="J2" s="7" t="s">
        <v>495</v>
      </c>
      <c r="K2" s="7" t="s">
        <v>680</v>
      </c>
      <c r="L2" s="43" t="s">
        <v>496</v>
      </c>
      <c r="M2" s="8">
        <v>45685</v>
      </c>
      <c r="N2" s="7">
        <f>YEAR(E2)</f>
        <v>2025</v>
      </c>
      <c r="O2" s="7">
        <f>MONTH(E2)</f>
        <v>1</v>
      </c>
      <c r="P2" s="7">
        <f>WEEKNUM(E2)</f>
        <v>4</v>
      </c>
      <c r="Q2" s="7"/>
    </row>
    <row r="3" spans="1:17" ht="75" x14ac:dyDescent="0.25">
      <c r="A3" s="7">
        <v>2502</v>
      </c>
      <c r="B3" s="9" t="s">
        <v>10</v>
      </c>
      <c r="C3" s="9" t="s">
        <v>26</v>
      </c>
      <c r="D3" s="7" t="s">
        <v>23</v>
      </c>
      <c r="E3" s="8">
        <v>45686</v>
      </c>
      <c r="F3" s="7" t="s">
        <v>314</v>
      </c>
      <c r="G3" s="7" t="s">
        <v>14</v>
      </c>
      <c r="H3" s="7">
        <v>540</v>
      </c>
      <c r="I3" s="7">
        <v>19</v>
      </c>
      <c r="J3" s="16" t="s">
        <v>497</v>
      </c>
      <c r="K3" s="7" t="s">
        <v>680</v>
      </c>
      <c r="L3" s="43" t="s">
        <v>910</v>
      </c>
      <c r="M3" s="8">
        <v>45960</v>
      </c>
      <c r="N3" s="7">
        <f t="shared" ref="N3:N66" si="0">YEAR(E3)</f>
        <v>2025</v>
      </c>
      <c r="O3" s="7">
        <f t="shared" ref="O3:O45" si="1">MONTH(E3)</f>
        <v>1</v>
      </c>
      <c r="P3" s="7">
        <f t="shared" ref="P3:P45" si="2">WEEKNUM(E3)</f>
        <v>5</v>
      </c>
      <c r="Q3" s="7"/>
    </row>
    <row r="4" spans="1:17" ht="45" x14ac:dyDescent="0.25">
      <c r="A4" s="7">
        <v>2503</v>
      </c>
      <c r="B4" s="9" t="s">
        <v>10</v>
      </c>
      <c r="C4" s="9" t="s">
        <v>883</v>
      </c>
      <c r="D4" s="7" t="s">
        <v>23</v>
      </c>
      <c r="E4" s="8">
        <v>45686</v>
      </c>
      <c r="F4" s="7" t="s">
        <v>314</v>
      </c>
      <c r="G4" s="7" t="s">
        <v>15</v>
      </c>
      <c r="H4" s="7">
        <v>545</v>
      </c>
      <c r="I4" s="7">
        <v>11</v>
      </c>
      <c r="J4" s="16" t="s">
        <v>497</v>
      </c>
      <c r="K4" s="7" t="s">
        <v>680</v>
      </c>
      <c r="L4" s="43" t="s">
        <v>498</v>
      </c>
      <c r="M4" s="8">
        <v>45982</v>
      </c>
      <c r="N4" s="7">
        <f t="shared" si="0"/>
        <v>2025</v>
      </c>
      <c r="O4" s="7">
        <f t="shared" si="1"/>
        <v>1</v>
      </c>
      <c r="P4" s="7">
        <f t="shared" si="2"/>
        <v>5</v>
      </c>
      <c r="Q4" s="7"/>
    </row>
    <row r="5" spans="1:17" ht="45" x14ac:dyDescent="0.25">
      <c r="A5" s="7">
        <v>2504</v>
      </c>
      <c r="B5" s="9" t="s">
        <v>10</v>
      </c>
      <c r="C5" s="9" t="s">
        <v>108</v>
      </c>
      <c r="D5" s="7" t="s">
        <v>23</v>
      </c>
      <c r="E5" s="8">
        <v>45686</v>
      </c>
      <c r="F5" s="7" t="s">
        <v>314</v>
      </c>
      <c r="G5" s="7" t="s">
        <v>14</v>
      </c>
      <c r="H5" s="7">
        <v>540</v>
      </c>
      <c r="I5" s="7">
        <v>7</v>
      </c>
      <c r="J5" s="16" t="s">
        <v>497</v>
      </c>
      <c r="K5" s="7" t="s">
        <v>680</v>
      </c>
      <c r="L5" s="43" t="s">
        <v>507</v>
      </c>
      <c r="M5" s="8">
        <v>45982</v>
      </c>
      <c r="N5" s="7">
        <f t="shared" si="0"/>
        <v>2025</v>
      </c>
      <c r="O5" s="7">
        <f t="shared" si="1"/>
        <v>1</v>
      </c>
      <c r="P5" s="7">
        <f t="shared" si="2"/>
        <v>5</v>
      </c>
      <c r="Q5" s="7"/>
    </row>
    <row r="6" spans="1:17" ht="75" x14ac:dyDescent="0.25">
      <c r="A6" s="7">
        <v>2505</v>
      </c>
      <c r="B6" s="47" t="s">
        <v>10</v>
      </c>
      <c r="C6" s="9" t="s">
        <v>27</v>
      </c>
      <c r="D6" s="7" t="s">
        <v>18</v>
      </c>
      <c r="E6" s="8">
        <v>45686</v>
      </c>
      <c r="F6" s="7" t="s">
        <v>314</v>
      </c>
      <c r="G6" s="7" t="s">
        <v>15</v>
      </c>
      <c r="H6" s="7">
        <v>545</v>
      </c>
      <c r="I6" s="7">
        <v>3</v>
      </c>
      <c r="J6" s="16" t="s">
        <v>497</v>
      </c>
      <c r="K6" s="7" t="s">
        <v>680</v>
      </c>
      <c r="L6" s="43" t="s">
        <v>911</v>
      </c>
      <c r="M6" s="7"/>
      <c r="N6" s="7">
        <f t="shared" si="0"/>
        <v>2025</v>
      </c>
      <c r="O6" s="7">
        <f t="shared" si="1"/>
        <v>1</v>
      </c>
      <c r="P6" s="7">
        <f t="shared" si="2"/>
        <v>5</v>
      </c>
      <c r="Q6" s="7"/>
    </row>
    <row r="7" spans="1:17" ht="30" x14ac:dyDescent="0.25">
      <c r="A7" s="7">
        <v>2506</v>
      </c>
      <c r="B7" s="47" t="s">
        <v>10</v>
      </c>
      <c r="C7" s="9" t="s">
        <v>112</v>
      </c>
      <c r="D7" s="7" t="s">
        <v>18</v>
      </c>
      <c r="E7" s="8">
        <v>45692</v>
      </c>
      <c r="F7" s="7" t="s">
        <v>314</v>
      </c>
      <c r="G7" s="7" t="s">
        <v>14</v>
      </c>
      <c r="H7" s="7">
        <v>545</v>
      </c>
      <c r="I7" s="7">
        <v>3</v>
      </c>
      <c r="J7" s="16" t="s">
        <v>497</v>
      </c>
      <c r="K7" s="7" t="s">
        <v>682</v>
      </c>
      <c r="L7" s="43" t="s">
        <v>1075</v>
      </c>
      <c r="M7" s="8">
        <v>46003</v>
      </c>
      <c r="N7" s="7">
        <f t="shared" si="0"/>
        <v>2025</v>
      </c>
      <c r="O7" s="7">
        <f t="shared" si="1"/>
        <v>2</v>
      </c>
      <c r="P7" s="7">
        <f t="shared" si="2"/>
        <v>6</v>
      </c>
      <c r="Q7" s="7"/>
    </row>
    <row r="8" spans="1:17" ht="45" x14ac:dyDescent="0.25">
      <c r="A8" s="7">
        <v>2507</v>
      </c>
      <c r="B8" s="47" t="s">
        <v>10</v>
      </c>
      <c r="C8" s="9" t="s">
        <v>115</v>
      </c>
      <c r="D8" s="7" t="s">
        <v>18</v>
      </c>
      <c r="E8" s="8">
        <v>45692</v>
      </c>
      <c r="F8" s="7" t="s">
        <v>314</v>
      </c>
      <c r="G8" s="7" t="s">
        <v>15</v>
      </c>
      <c r="H8" s="7">
        <v>555</v>
      </c>
      <c r="I8" s="7">
        <v>2</v>
      </c>
      <c r="J8" s="16" t="s">
        <v>497</v>
      </c>
      <c r="K8" s="7" t="s">
        <v>680</v>
      </c>
      <c r="L8" s="43" t="s">
        <v>507</v>
      </c>
      <c r="M8" s="13">
        <v>45950</v>
      </c>
      <c r="N8" s="7">
        <f t="shared" si="0"/>
        <v>2025</v>
      </c>
      <c r="O8" s="7">
        <f t="shared" si="1"/>
        <v>2</v>
      </c>
      <c r="P8" s="7">
        <f t="shared" si="2"/>
        <v>6</v>
      </c>
      <c r="Q8" s="7"/>
    </row>
    <row r="9" spans="1:17" ht="45" x14ac:dyDescent="0.25">
      <c r="A9" s="7">
        <v>2508</v>
      </c>
      <c r="B9" s="47" t="s">
        <v>315</v>
      </c>
      <c r="C9" s="9" t="s">
        <v>315</v>
      </c>
      <c r="D9" s="7" t="s">
        <v>17</v>
      </c>
      <c r="E9" s="8">
        <v>45685</v>
      </c>
      <c r="F9" s="7" t="s">
        <v>311</v>
      </c>
      <c r="G9" s="7" t="s">
        <v>14</v>
      </c>
      <c r="H9" s="7" t="s">
        <v>59</v>
      </c>
      <c r="I9" s="7">
        <v>1</v>
      </c>
      <c r="J9" s="7" t="s">
        <v>494</v>
      </c>
      <c r="K9" s="7" t="s">
        <v>682</v>
      </c>
      <c r="L9" s="43" t="s">
        <v>523</v>
      </c>
      <c r="M9" s="7"/>
      <c r="N9" s="7">
        <f t="shared" si="0"/>
        <v>2025</v>
      </c>
      <c r="O9" s="7">
        <f t="shared" si="1"/>
        <v>1</v>
      </c>
      <c r="P9" s="7">
        <f t="shared" si="2"/>
        <v>5</v>
      </c>
      <c r="Q9" s="7"/>
    </row>
    <row r="10" spans="1:17" ht="60" x14ac:dyDescent="0.25">
      <c r="A10" s="7">
        <v>2509</v>
      </c>
      <c r="B10" s="48" t="s">
        <v>317</v>
      </c>
      <c r="C10" s="33" t="s">
        <v>116</v>
      </c>
      <c r="D10" s="32" t="s">
        <v>117</v>
      </c>
      <c r="E10" s="34">
        <v>45714</v>
      </c>
      <c r="F10" s="32" t="s">
        <v>318</v>
      </c>
      <c r="G10" s="32" t="s">
        <v>15</v>
      </c>
      <c r="H10" s="7" t="s">
        <v>59</v>
      </c>
      <c r="I10" s="32">
        <v>1</v>
      </c>
      <c r="J10" s="7" t="s">
        <v>518</v>
      </c>
      <c r="K10" s="7" t="s">
        <v>680</v>
      </c>
      <c r="L10" s="43" t="s">
        <v>519</v>
      </c>
      <c r="M10" s="8">
        <v>45716</v>
      </c>
      <c r="N10" s="7">
        <f t="shared" si="0"/>
        <v>2025</v>
      </c>
      <c r="O10" s="7">
        <f t="shared" si="1"/>
        <v>2</v>
      </c>
      <c r="P10" s="7">
        <f t="shared" si="2"/>
        <v>9</v>
      </c>
      <c r="Q10" s="51"/>
    </row>
    <row r="11" spans="1:17" ht="30" x14ac:dyDescent="0.25">
      <c r="A11" s="7">
        <v>2510</v>
      </c>
      <c r="B11" s="49" t="s">
        <v>317</v>
      </c>
      <c r="C11" s="36" t="s">
        <v>116</v>
      </c>
      <c r="D11" s="35" t="s">
        <v>117</v>
      </c>
      <c r="E11" s="37">
        <v>45729</v>
      </c>
      <c r="F11" s="32" t="s">
        <v>318</v>
      </c>
      <c r="G11" s="35" t="s">
        <v>15</v>
      </c>
      <c r="H11" s="7" t="s">
        <v>59</v>
      </c>
      <c r="I11" s="35">
        <v>4</v>
      </c>
      <c r="J11" s="7" t="s">
        <v>516</v>
      </c>
      <c r="K11" s="7" t="s">
        <v>680</v>
      </c>
      <c r="L11" s="43" t="s">
        <v>517</v>
      </c>
      <c r="M11" s="8">
        <v>45730</v>
      </c>
      <c r="N11" s="7">
        <f t="shared" si="0"/>
        <v>2025</v>
      </c>
      <c r="O11" s="7">
        <f t="shared" si="1"/>
        <v>3</v>
      </c>
      <c r="P11" s="7">
        <f t="shared" si="2"/>
        <v>11</v>
      </c>
      <c r="Q11" s="7"/>
    </row>
    <row r="12" spans="1:17" x14ac:dyDescent="0.25">
      <c r="A12" s="7">
        <v>2511</v>
      </c>
      <c r="B12" s="47" t="s">
        <v>319</v>
      </c>
      <c r="C12" s="9" t="s">
        <v>319</v>
      </c>
      <c r="D12" s="7" t="s">
        <v>18</v>
      </c>
      <c r="E12" s="8">
        <v>45737</v>
      </c>
      <c r="F12" s="7" t="s">
        <v>314</v>
      </c>
      <c r="G12" s="7" t="s">
        <v>14</v>
      </c>
      <c r="H12" s="7" t="s">
        <v>59</v>
      </c>
      <c r="I12" s="7">
        <v>2</v>
      </c>
      <c r="J12" s="7" t="s">
        <v>917</v>
      </c>
      <c r="K12" s="7" t="s">
        <v>680</v>
      </c>
      <c r="L12" s="44" t="s">
        <v>513</v>
      </c>
      <c r="M12" s="8">
        <v>45750</v>
      </c>
      <c r="N12" s="7">
        <f t="shared" si="0"/>
        <v>2025</v>
      </c>
      <c r="O12" s="7">
        <f t="shared" si="1"/>
        <v>3</v>
      </c>
      <c r="P12" s="7">
        <f t="shared" si="2"/>
        <v>12</v>
      </c>
      <c r="Q12" s="7"/>
    </row>
    <row r="13" spans="1:17" ht="45" x14ac:dyDescent="0.25">
      <c r="A13" s="7">
        <v>2512</v>
      </c>
      <c r="B13" s="47" t="s">
        <v>9</v>
      </c>
      <c r="C13" s="9" t="s">
        <v>316</v>
      </c>
      <c r="D13" s="7" t="s">
        <v>30</v>
      </c>
      <c r="E13" s="8">
        <v>45750</v>
      </c>
      <c r="F13" s="7" t="s">
        <v>314</v>
      </c>
      <c r="G13" s="7" t="s">
        <v>15</v>
      </c>
      <c r="H13" s="7" t="s">
        <v>59</v>
      </c>
      <c r="I13" s="7">
        <v>11</v>
      </c>
      <c r="J13" s="7" t="s">
        <v>506</v>
      </c>
      <c r="K13" s="7" t="s">
        <v>680</v>
      </c>
      <c r="L13" s="43" t="s">
        <v>508</v>
      </c>
      <c r="M13" s="7"/>
      <c r="N13" s="7">
        <f t="shared" si="0"/>
        <v>2025</v>
      </c>
      <c r="O13" s="7">
        <f t="shared" si="1"/>
        <v>4</v>
      </c>
      <c r="P13" s="7">
        <f t="shared" si="2"/>
        <v>14</v>
      </c>
      <c r="Q13" s="7"/>
    </row>
    <row r="14" spans="1:17" ht="45" x14ac:dyDescent="0.25">
      <c r="A14" s="7">
        <v>2513</v>
      </c>
      <c r="B14" s="9" t="s">
        <v>33</v>
      </c>
      <c r="C14" s="9" t="s">
        <v>33</v>
      </c>
      <c r="D14" s="7"/>
      <c r="E14" s="8">
        <v>45751</v>
      </c>
      <c r="F14" s="7" t="s">
        <v>311</v>
      </c>
      <c r="G14" s="7" t="s">
        <v>14</v>
      </c>
      <c r="H14" s="7" t="s">
        <v>59</v>
      </c>
      <c r="I14" s="7">
        <v>2</v>
      </c>
      <c r="J14" s="7" t="s">
        <v>502</v>
      </c>
      <c r="K14" s="7" t="s">
        <v>680</v>
      </c>
      <c r="L14" s="43" t="s">
        <v>503</v>
      </c>
      <c r="M14" s="7"/>
      <c r="N14" s="7">
        <f t="shared" si="0"/>
        <v>2025</v>
      </c>
      <c r="O14" s="7">
        <f t="shared" si="1"/>
        <v>4</v>
      </c>
      <c r="P14" s="7">
        <f t="shared" si="2"/>
        <v>14</v>
      </c>
      <c r="Q14" s="7"/>
    </row>
    <row r="15" spans="1:17" x14ac:dyDescent="0.25">
      <c r="A15" s="7">
        <v>2514</v>
      </c>
      <c r="B15" s="9" t="s">
        <v>320</v>
      </c>
      <c r="C15" s="9" t="s">
        <v>320</v>
      </c>
      <c r="D15" s="7"/>
      <c r="E15" s="8">
        <v>45755</v>
      </c>
      <c r="F15" s="7" t="s">
        <v>314</v>
      </c>
      <c r="G15" s="7" t="s">
        <v>14</v>
      </c>
      <c r="H15" s="7" t="s">
        <v>59</v>
      </c>
      <c r="I15" s="7">
        <v>9</v>
      </c>
      <c r="J15" s="7" t="s">
        <v>502</v>
      </c>
      <c r="K15" s="7" t="s">
        <v>680</v>
      </c>
      <c r="L15" s="44"/>
      <c r="M15" s="7"/>
      <c r="N15" s="7">
        <f t="shared" si="0"/>
        <v>2025</v>
      </c>
      <c r="O15" s="7">
        <f t="shared" si="1"/>
        <v>4</v>
      </c>
      <c r="P15" s="7">
        <f t="shared" si="2"/>
        <v>15</v>
      </c>
      <c r="Q15" s="7"/>
    </row>
    <row r="16" spans="1:17" x14ac:dyDescent="0.25">
      <c r="A16" s="7">
        <v>2515</v>
      </c>
      <c r="B16" s="9" t="s">
        <v>321</v>
      </c>
      <c r="C16" s="9" t="s">
        <v>322</v>
      </c>
      <c r="D16" s="7"/>
      <c r="E16" s="8">
        <v>45765</v>
      </c>
      <c r="F16" s="7" t="s">
        <v>314</v>
      </c>
      <c r="G16" s="7" t="s">
        <v>14</v>
      </c>
      <c r="H16" s="7" t="s">
        <v>59</v>
      </c>
      <c r="I16" s="7">
        <v>16</v>
      </c>
      <c r="J16" s="7" t="s">
        <v>506</v>
      </c>
      <c r="K16" s="7" t="s">
        <v>680</v>
      </c>
      <c r="L16" s="44"/>
      <c r="M16" s="7"/>
      <c r="N16" s="7">
        <f t="shared" si="0"/>
        <v>2025</v>
      </c>
      <c r="O16" s="7">
        <f t="shared" si="1"/>
        <v>4</v>
      </c>
      <c r="P16" s="7">
        <f t="shared" si="2"/>
        <v>16</v>
      </c>
      <c r="Q16" s="7"/>
    </row>
    <row r="17" spans="1:17" x14ac:dyDescent="0.25">
      <c r="A17" s="7">
        <v>2516</v>
      </c>
      <c r="B17" s="9" t="s">
        <v>62</v>
      </c>
      <c r="C17" s="9" t="s">
        <v>323</v>
      </c>
      <c r="D17" s="7" t="s">
        <v>16</v>
      </c>
      <c r="E17" s="8">
        <v>45771</v>
      </c>
      <c r="F17" s="7" t="s">
        <v>492</v>
      </c>
      <c r="G17" s="7" t="s">
        <v>14</v>
      </c>
      <c r="H17" s="7" t="s">
        <v>59</v>
      </c>
      <c r="I17" s="7">
        <v>35</v>
      </c>
      <c r="J17" s="7" t="s">
        <v>502</v>
      </c>
      <c r="K17" s="7" t="s">
        <v>680</v>
      </c>
      <c r="L17" s="44" t="s">
        <v>504</v>
      </c>
      <c r="M17" s="7"/>
      <c r="N17" s="7">
        <f t="shared" si="0"/>
        <v>2025</v>
      </c>
      <c r="O17" s="7">
        <f t="shared" si="1"/>
        <v>4</v>
      </c>
      <c r="P17" s="7">
        <f t="shared" si="2"/>
        <v>17</v>
      </c>
      <c r="Q17" s="7"/>
    </row>
    <row r="18" spans="1:17" x14ac:dyDescent="0.25">
      <c r="A18" s="7">
        <v>2517</v>
      </c>
      <c r="B18" s="9" t="s">
        <v>10</v>
      </c>
      <c r="C18" s="9" t="s">
        <v>324</v>
      </c>
      <c r="D18" s="7" t="s">
        <v>31</v>
      </c>
      <c r="E18" s="8">
        <v>45786</v>
      </c>
      <c r="F18" s="7" t="s">
        <v>311</v>
      </c>
      <c r="G18" s="7" t="s">
        <v>15</v>
      </c>
      <c r="H18" s="7" t="s">
        <v>59</v>
      </c>
      <c r="I18" s="7">
        <v>10</v>
      </c>
      <c r="J18" s="7" t="s">
        <v>152</v>
      </c>
      <c r="K18" s="7" t="s">
        <v>682</v>
      </c>
      <c r="L18" s="44" t="s">
        <v>152</v>
      </c>
      <c r="M18" s="7"/>
      <c r="N18" s="7">
        <f t="shared" si="0"/>
        <v>2025</v>
      </c>
      <c r="O18" s="7">
        <f t="shared" si="1"/>
        <v>5</v>
      </c>
      <c r="P18" s="7">
        <f t="shared" si="2"/>
        <v>19</v>
      </c>
      <c r="Q18" s="7"/>
    </row>
    <row r="19" spans="1:17" ht="120" x14ac:dyDescent="0.25">
      <c r="A19" s="7">
        <v>2518</v>
      </c>
      <c r="B19" s="9" t="s">
        <v>317</v>
      </c>
      <c r="C19" s="9" t="s">
        <v>116</v>
      </c>
      <c r="D19" s="7"/>
      <c r="E19" s="8">
        <v>45785</v>
      </c>
      <c r="F19" s="32" t="s">
        <v>318</v>
      </c>
      <c r="G19" s="7" t="s">
        <v>15</v>
      </c>
      <c r="H19" s="7" t="s">
        <v>59</v>
      </c>
      <c r="I19" s="7">
        <v>33</v>
      </c>
      <c r="J19" s="7" t="s">
        <v>518</v>
      </c>
      <c r="K19" s="7" t="s">
        <v>682</v>
      </c>
      <c r="L19" s="43" t="s">
        <v>520</v>
      </c>
      <c r="M19" s="7"/>
      <c r="N19" s="7">
        <f t="shared" si="0"/>
        <v>2025</v>
      </c>
      <c r="O19" s="7">
        <f t="shared" si="1"/>
        <v>5</v>
      </c>
      <c r="P19" s="7">
        <f t="shared" si="2"/>
        <v>19</v>
      </c>
      <c r="Q19" s="7"/>
    </row>
    <row r="20" spans="1:17" x14ac:dyDescent="0.25">
      <c r="A20" s="7">
        <v>2519</v>
      </c>
      <c r="B20" s="9" t="s">
        <v>62</v>
      </c>
      <c r="C20" s="9" t="s">
        <v>62</v>
      </c>
      <c r="D20" s="7"/>
      <c r="E20" s="8">
        <v>45782</v>
      </c>
      <c r="F20" s="7" t="s">
        <v>492</v>
      </c>
      <c r="G20" s="7" t="s">
        <v>14</v>
      </c>
      <c r="H20" s="7" t="s">
        <v>59</v>
      </c>
      <c r="I20" s="7">
        <v>36</v>
      </c>
      <c r="J20" s="7" t="s">
        <v>502</v>
      </c>
      <c r="K20" s="7" t="s">
        <v>680</v>
      </c>
      <c r="L20" s="44"/>
      <c r="M20" s="7"/>
      <c r="N20" s="7">
        <f t="shared" si="0"/>
        <v>2025</v>
      </c>
      <c r="O20" s="7">
        <f t="shared" si="1"/>
        <v>5</v>
      </c>
      <c r="P20" s="7">
        <f t="shared" si="2"/>
        <v>19</v>
      </c>
      <c r="Q20" s="7"/>
    </row>
    <row r="21" spans="1:17" ht="105" x14ac:dyDescent="0.25">
      <c r="A21" s="7">
        <v>2520</v>
      </c>
      <c r="B21" s="9" t="s">
        <v>232</v>
      </c>
      <c r="C21" s="9" t="s">
        <v>334</v>
      </c>
      <c r="D21" s="7" t="s">
        <v>233</v>
      </c>
      <c r="E21" s="8">
        <v>45799</v>
      </c>
      <c r="F21" s="7" t="s">
        <v>311</v>
      </c>
      <c r="G21" s="7" t="s">
        <v>15</v>
      </c>
      <c r="H21" s="7" t="s">
        <v>59</v>
      </c>
      <c r="I21" s="7">
        <v>49</v>
      </c>
      <c r="J21" s="7" t="s">
        <v>506</v>
      </c>
      <c r="K21" s="7" t="s">
        <v>680</v>
      </c>
      <c r="L21" s="43" t="s">
        <v>509</v>
      </c>
      <c r="M21" s="8">
        <v>45821</v>
      </c>
      <c r="N21" s="7">
        <f t="shared" si="0"/>
        <v>2025</v>
      </c>
      <c r="O21" s="7">
        <f t="shared" si="1"/>
        <v>5</v>
      </c>
      <c r="P21" s="7">
        <f t="shared" si="2"/>
        <v>21</v>
      </c>
      <c r="Q21" s="7"/>
    </row>
    <row r="22" spans="1:17" ht="45" x14ac:dyDescent="0.25">
      <c r="A22" s="7">
        <v>2521</v>
      </c>
      <c r="B22" s="9" t="s">
        <v>12</v>
      </c>
      <c r="C22" s="9" t="s">
        <v>335</v>
      </c>
      <c r="D22" s="7" t="s">
        <v>21</v>
      </c>
      <c r="E22" s="8">
        <v>45799</v>
      </c>
      <c r="F22" s="7" t="s">
        <v>314</v>
      </c>
      <c r="G22" s="7" t="s">
        <v>14</v>
      </c>
      <c r="H22" s="7" t="s">
        <v>59</v>
      </c>
      <c r="I22" s="7">
        <v>16</v>
      </c>
      <c r="J22" s="7" t="s">
        <v>506</v>
      </c>
      <c r="K22" s="7" t="s">
        <v>680</v>
      </c>
      <c r="L22" s="50" t="s">
        <v>510</v>
      </c>
      <c r="M22" s="8">
        <v>45804</v>
      </c>
      <c r="N22" s="7">
        <f t="shared" si="0"/>
        <v>2025</v>
      </c>
      <c r="O22" s="7">
        <f t="shared" si="1"/>
        <v>5</v>
      </c>
      <c r="P22" s="7">
        <f t="shared" si="2"/>
        <v>21</v>
      </c>
      <c r="Q22" s="7"/>
    </row>
    <row r="23" spans="1:17" ht="165" x14ac:dyDescent="0.25">
      <c r="A23" s="7">
        <v>2522</v>
      </c>
      <c r="B23" s="9" t="s">
        <v>336</v>
      </c>
      <c r="C23" s="9" t="s">
        <v>336</v>
      </c>
      <c r="D23" s="7" t="s">
        <v>16</v>
      </c>
      <c r="E23" s="8">
        <v>45805</v>
      </c>
      <c r="F23" s="7" t="s">
        <v>314</v>
      </c>
      <c r="G23" s="7" t="s">
        <v>14</v>
      </c>
      <c r="H23" s="7">
        <v>575</v>
      </c>
      <c r="I23" s="7">
        <v>1</v>
      </c>
      <c r="J23" s="7" t="s">
        <v>500</v>
      </c>
      <c r="K23" s="7" t="s">
        <v>682</v>
      </c>
      <c r="L23" s="43" t="s">
        <v>501</v>
      </c>
      <c r="M23" s="8">
        <v>45806</v>
      </c>
      <c r="N23" s="7">
        <f t="shared" si="0"/>
        <v>2025</v>
      </c>
      <c r="O23" s="7">
        <f t="shared" si="1"/>
        <v>5</v>
      </c>
      <c r="P23" s="7">
        <f t="shared" si="2"/>
        <v>22</v>
      </c>
      <c r="Q23" s="7"/>
    </row>
    <row r="24" spans="1:17" ht="135" x14ac:dyDescent="0.25">
      <c r="A24" s="7">
        <v>2523</v>
      </c>
      <c r="B24" s="9" t="s">
        <v>46</v>
      </c>
      <c r="C24" s="9" t="s">
        <v>32</v>
      </c>
      <c r="D24" s="7" t="s">
        <v>45</v>
      </c>
      <c r="E24" s="8">
        <v>45825</v>
      </c>
      <c r="F24" s="7" t="s">
        <v>314</v>
      </c>
      <c r="G24" s="7" t="s">
        <v>15</v>
      </c>
      <c r="H24" s="7" t="s">
        <v>59</v>
      </c>
      <c r="I24" s="7">
        <v>14</v>
      </c>
      <c r="J24" s="16" t="s">
        <v>497</v>
      </c>
      <c r="K24" s="7" t="s">
        <v>681</v>
      </c>
      <c r="L24" s="45" t="s">
        <v>1147</v>
      </c>
      <c r="M24" s="7"/>
      <c r="N24" s="7">
        <f t="shared" si="0"/>
        <v>2025</v>
      </c>
      <c r="O24" s="7">
        <f t="shared" si="1"/>
        <v>6</v>
      </c>
      <c r="P24" s="7">
        <f t="shared" si="2"/>
        <v>25</v>
      </c>
      <c r="Q24" s="7"/>
    </row>
    <row r="25" spans="1:17" ht="60" x14ac:dyDescent="0.25">
      <c r="A25" s="7">
        <v>2524</v>
      </c>
      <c r="B25" s="9" t="s">
        <v>9</v>
      </c>
      <c r="C25" s="9" t="s">
        <v>337</v>
      </c>
      <c r="D25" s="7" t="s">
        <v>18</v>
      </c>
      <c r="E25" s="8">
        <v>45827</v>
      </c>
      <c r="F25" s="7" t="s">
        <v>314</v>
      </c>
      <c r="G25" s="7" t="s">
        <v>15</v>
      </c>
      <c r="H25" s="7" t="s">
        <v>59</v>
      </c>
      <c r="I25" s="7">
        <v>1</v>
      </c>
      <c r="J25" s="7" t="s">
        <v>917</v>
      </c>
      <c r="K25" s="7" t="s">
        <v>13</v>
      </c>
      <c r="L25" s="43" t="s">
        <v>514</v>
      </c>
      <c r="M25" s="7"/>
      <c r="N25" s="7">
        <f t="shared" si="0"/>
        <v>2025</v>
      </c>
      <c r="O25" s="7">
        <f t="shared" si="1"/>
        <v>6</v>
      </c>
      <c r="P25" s="7">
        <f t="shared" si="2"/>
        <v>25</v>
      </c>
      <c r="Q25" s="7"/>
    </row>
    <row r="26" spans="1:17" ht="45" x14ac:dyDescent="0.25">
      <c r="A26" s="7">
        <v>2525</v>
      </c>
      <c r="B26" s="9" t="s">
        <v>9</v>
      </c>
      <c r="C26" s="9" t="s">
        <v>338</v>
      </c>
      <c r="D26" s="7" t="s">
        <v>16</v>
      </c>
      <c r="E26" s="8">
        <v>45827</v>
      </c>
      <c r="F26" s="7" t="s">
        <v>314</v>
      </c>
      <c r="G26" s="7" t="s">
        <v>14</v>
      </c>
      <c r="H26" s="7" t="s">
        <v>59</v>
      </c>
      <c r="I26" s="7">
        <v>2</v>
      </c>
      <c r="J26" s="7" t="s">
        <v>506</v>
      </c>
      <c r="K26" s="7" t="s">
        <v>680</v>
      </c>
      <c r="L26" s="45" t="s">
        <v>511</v>
      </c>
      <c r="M26" s="8">
        <v>45833</v>
      </c>
      <c r="N26" s="7">
        <f t="shared" si="0"/>
        <v>2025</v>
      </c>
      <c r="O26" s="7">
        <f t="shared" si="1"/>
        <v>6</v>
      </c>
      <c r="P26" s="7">
        <f t="shared" si="2"/>
        <v>25</v>
      </c>
      <c r="Q26" s="7"/>
    </row>
    <row r="27" spans="1:17" ht="45" x14ac:dyDescent="0.25">
      <c r="A27" s="7">
        <v>2526</v>
      </c>
      <c r="B27" s="9" t="s">
        <v>9</v>
      </c>
      <c r="C27" s="9" t="s">
        <v>269</v>
      </c>
      <c r="D27" s="7" t="s">
        <v>18</v>
      </c>
      <c r="E27" s="8">
        <v>45827</v>
      </c>
      <c r="F27" s="7" t="s">
        <v>314</v>
      </c>
      <c r="G27" s="7" t="s">
        <v>15</v>
      </c>
      <c r="H27" s="7" t="s">
        <v>59</v>
      </c>
      <c r="I27" s="7">
        <v>1</v>
      </c>
      <c r="J27" s="7" t="s">
        <v>497</v>
      </c>
      <c r="K27" s="7" t="s">
        <v>680</v>
      </c>
      <c r="L27" s="43" t="s">
        <v>499</v>
      </c>
      <c r="M27" s="8">
        <v>45833</v>
      </c>
      <c r="N27" s="7">
        <f t="shared" si="0"/>
        <v>2025</v>
      </c>
      <c r="O27" s="7">
        <f t="shared" si="1"/>
        <v>6</v>
      </c>
      <c r="P27" s="7">
        <f t="shared" si="2"/>
        <v>25</v>
      </c>
      <c r="Q27" s="7"/>
    </row>
    <row r="28" spans="1:17" ht="45" x14ac:dyDescent="0.25">
      <c r="A28" s="7">
        <v>2527</v>
      </c>
      <c r="B28" s="9" t="s">
        <v>340</v>
      </c>
      <c r="C28" s="9" t="s">
        <v>274</v>
      </c>
      <c r="D28" s="7" t="s">
        <v>21</v>
      </c>
      <c r="E28" s="8">
        <v>45839</v>
      </c>
      <c r="F28" s="7" t="s">
        <v>314</v>
      </c>
      <c r="G28" s="7" t="s">
        <v>14</v>
      </c>
      <c r="H28" s="7" t="s">
        <v>59</v>
      </c>
      <c r="I28" s="7">
        <v>4</v>
      </c>
      <c r="J28" s="7" t="s">
        <v>152</v>
      </c>
      <c r="K28" s="7" t="s">
        <v>680</v>
      </c>
      <c r="L28" s="45" t="s">
        <v>505</v>
      </c>
      <c r="M28" s="8">
        <v>45860</v>
      </c>
      <c r="N28" s="7">
        <f t="shared" si="0"/>
        <v>2025</v>
      </c>
      <c r="O28" s="7">
        <f t="shared" si="1"/>
        <v>7</v>
      </c>
      <c r="P28" s="7">
        <f t="shared" si="2"/>
        <v>27</v>
      </c>
      <c r="Q28" s="7"/>
    </row>
    <row r="29" spans="1:17" ht="135" x14ac:dyDescent="0.25">
      <c r="A29" s="7">
        <v>2528</v>
      </c>
      <c r="B29" s="12" t="s">
        <v>10</v>
      </c>
      <c r="C29" s="12" t="s">
        <v>313</v>
      </c>
      <c r="D29" s="11" t="s">
        <v>16</v>
      </c>
      <c r="E29" s="13">
        <v>45839</v>
      </c>
      <c r="F29" s="7" t="s">
        <v>314</v>
      </c>
      <c r="G29" s="11" t="s">
        <v>15</v>
      </c>
      <c r="H29" s="7" t="s">
        <v>59</v>
      </c>
      <c r="I29" s="11">
        <v>1</v>
      </c>
      <c r="J29" s="7" t="s">
        <v>521</v>
      </c>
      <c r="K29" s="7" t="s">
        <v>682</v>
      </c>
      <c r="L29" s="43" t="s">
        <v>522</v>
      </c>
      <c r="M29" s="8">
        <v>45863</v>
      </c>
      <c r="N29" s="7">
        <f t="shared" si="0"/>
        <v>2025</v>
      </c>
      <c r="O29" s="7">
        <f t="shared" si="1"/>
        <v>7</v>
      </c>
      <c r="P29" s="7">
        <f t="shared" si="2"/>
        <v>27</v>
      </c>
      <c r="Q29" s="7"/>
    </row>
    <row r="30" spans="1:17" ht="180" x14ac:dyDescent="0.25">
      <c r="A30" s="7">
        <v>2529</v>
      </c>
      <c r="B30" s="9" t="s">
        <v>312</v>
      </c>
      <c r="C30" s="9" t="s">
        <v>341</v>
      </c>
      <c r="D30" s="7" t="s">
        <v>16</v>
      </c>
      <c r="E30" s="8">
        <v>45863</v>
      </c>
      <c r="F30" s="7" t="s">
        <v>314</v>
      </c>
      <c r="G30" s="7" t="s">
        <v>15</v>
      </c>
      <c r="H30" s="7" t="s">
        <v>59</v>
      </c>
      <c r="I30" s="7">
        <v>12</v>
      </c>
      <c r="J30" s="7" t="s">
        <v>152</v>
      </c>
      <c r="K30" s="7" t="s">
        <v>682</v>
      </c>
      <c r="L30" s="45" t="s">
        <v>476</v>
      </c>
      <c r="M30" s="8">
        <v>45883</v>
      </c>
      <c r="N30" s="7">
        <f t="shared" si="0"/>
        <v>2025</v>
      </c>
      <c r="O30" s="7">
        <f t="shared" si="1"/>
        <v>7</v>
      </c>
      <c r="P30" s="7">
        <f t="shared" si="2"/>
        <v>30</v>
      </c>
      <c r="Q30" s="7"/>
    </row>
    <row r="31" spans="1:17" x14ac:dyDescent="0.25">
      <c r="A31" s="7">
        <v>2530</v>
      </c>
      <c r="B31" s="9" t="s">
        <v>342</v>
      </c>
      <c r="C31" s="9" t="s">
        <v>342</v>
      </c>
      <c r="D31" s="7" t="s">
        <v>18</v>
      </c>
      <c r="E31" s="8">
        <v>45873</v>
      </c>
      <c r="F31" s="7" t="s">
        <v>314</v>
      </c>
      <c r="G31" s="7" t="s">
        <v>15</v>
      </c>
      <c r="H31" s="7" t="s">
        <v>59</v>
      </c>
      <c r="I31" s="7">
        <v>1</v>
      </c>
      <c r="J31" s="7" t="s">
        <v>917</v>
      </c>
      <c r="K31" s="7" t="s">
        <v>682</v>
      </c>
      <c r="L31" s="43" t="s">
        <v>515</v>
      </c>
      <c r="M31" s="8">
        <v>45888</v>
      </c>
      <c r="N31" s="7">
        <f t="shared" si="0"/>
        <v>2025</v>
      </c>
      <c r="O31" s="7">
        <f t="shared" si="1"/>
        <v>8</v>
      </c>
      <c r="P31" s="7">
        <f t="shared" si="2"/>
        <v>32</v>
      </c>
      <c r="Q31" s="7"/>
    </row>
    <row r="32" spans="1:17" x14ac:dyDescent="0.25">
      <c r="A32" s="7">
        <v>2531</v>
      </c>
      <c r="B32" s="9" t="s">
        <v>289</v>
      </c>
      <c r="C32" s="9" t="s">
        <v>583</v>
      </c>
      <c r="D32" s="7"/>
      <c r="E32" s="8">
        <v>45866</v>
      </c>
      <c r="F32" s="7" t="s">
        <v>13</v>
      </c>
      <c r="G32" s="7" t="s">
        <v>14</v>
      </c>
      <c r="H32" s="7" t="s">
        <v>59</v>
      </c>
      <c r="I32" s="7">
        <v>6</v>
      </c>
      <c r="J32" s="7" t="s">
        <v>554</v>
      </c>
      <c r="K32" s="7" t="s">
        <v>682</v>
      </c>
      <c r="L32" s="44" t="s">
        <v>591</v>
      </c>
      <c r="M32" s="7"/>
      <c r="N32" s="7">
        <f t="shared" si="0"/>
        <v>2025</v>
      </c>
      <c r="O32" s="7">
        <f t="shared" si="1"/>
        <v>7</v>
      </c>
      <c r="P32" s="7">
        <f t="shared" si="2"/>
        <v>31</v>
      </c>
      <c r="Q32" s="7"/>
    </row>
    <row r="33" spans="1:17" ht="315" x14ac:dyDescent="0.25">
      <c r="A33" s="7">
        <v>2532</v>
      </c>
      <c r="B33" s="9" t="s">
        <v>9</v>
      </c>
      <c r="C33" s="9" t="s">
        <v>290</v>
      </c>
      <c r="D33" s="7" t="s">
        <v>343</v>
      </c>
      <c r="E33" s="8">
        <v>45868</v>
      </c>
      <c r="F33" s="7" t="s">
        <v>311</v>
      </c>
      <c r="G33" s="7" t="s">
        <v>15</v>
      </c>
      <c r="H33" s="7" t="s">
        <v>59</v>
      </c>
      <c r="I33" s="7">
        <v>150</v>
      </c>
      <c r="J33" s="7" t="s">
        <v>152</v>
      </c>
      <c r="K33" s="7" t="s">
        <v>682</v>
      </c>
      <c r="L33" s="45" t="s">
        <v>1150</v>
      </c>
      <c r="M33" s="8">
        <v>45890</v>
      </c>
      <c r="N33" s="7">
        <f t="shared" si="0"/>
        <v>2025</v>
      </c>
      <c r="O33" s="7">
        <f t="shared" si="1"/>
        <v>7</v>
      </c>
      <c r="P33" s="7">
        <f t="shared" si="2"/>
        <v>31</v>
      </c>
      <c r="Q33" s="7"/>
    </row>
    <row r="34" spans="1:17" ht="45" x14ac:dyDescent="0.25">
      <c r="A34" s="7">
        <v>2533</v>
      </c>
      <c r="B34" s="9" t="s">
        <v>28</v>
      </c>
      <c r="C34" s="9" t="s">
        <v>477</v>
      </c>
      <c r="D34" s="7" t="s">
        <v>22</v>
      </c>
      <c r="E34" s="8">
        <v>45884</v>
      </c>
      <c r="F34" s="7" t="s">
        <v>314</v>
      </c>
      <c r="G34" s="7" t="s">
        <v>14</v>
      </c>
      <c r="H34" s="7">
        <v>545</v>
      </c>
      <c r="I34" s="7">
        <v>18</v>
      </c>
      <c r="J34" s="7" t="s">
        <v>152</v>
      </c>
      <c r="K34" s="7" t="s">
        <v>680</v>
      </c>
      <c r="L34" s="43" t="s">
        <v>558</v>
      </c>
      <c r="M34" s="8"/>
      <c r="N34" s="7">
        <f t="shared" si="0"/>
        <v>2025</v>
      </c>
      <c r="O34" s="7">
        <f t="shared" si="1"/>
        <v>8</v>
      </c>
      <c r="P34" s="7">
        <f t="shared" si="2"/>
        <v>33</v>
      </c>
      <c r="Q34" s="7"/>
    </row>
    <row r="35" spans="1:17" ht="51.6" customHeight="1" x14ac:dyDescent="0.25">
      <c r="A35" s="7">
        <v>2534</v>
      </c>
      <c r="B35" s="9" t="s">
        <v>9</v>
      </c>
      <c r="C35" s="9" t="s">
        <v>493</v>
      </c>
      <c r="D35" s="7" t="s">
        <v>18</v>
      </c>
      <c r="E35" s="8">
        <v>45868</v>
      </c>
      <c r="F35" s="7" t="s">
        <v>314</v>
      </c>
      <c r="G35" s="7" t="s">
        <v>14</v>
      </c>
      <c r="H35" s="7">
        <v>540</v>
      </c>
      <c r="I35" s="7">
        <v>60</v>
      </c>
      <c r="J35" s="7" t="s">
        <v>527</v>
      </c>
      <c r="K35" s="7" t="s">
        <v>682</v>
      </c>
      <c r="L35" s="43" t="s">
        <v>526</v>
      </c>
      <c r="M35" s="8">
        <v>45890</v>
      </c>
      <c r="N35" s="7">
        <f t="shared" si="0"/>
        <v>2025</v>
      </c>
      <c r="O35" s="7">
        <f t="shared" si="1"/>
        <v>7</v>
      </c>
      <c r="P35" s="7">
        <f t="shared" si="2"/>
        <v>31</v>
      </c>
      <c r="Q35" s="7"/>
    </row>
    <row r="36" spans="1:17" x14ac:dyDescent="0.25">
      <c r="A36" s="7">
        <v>2535</v>
      </c>
      <c r="B36" s="9" t="s">
        <v>524</v>
      </c>
      <c r="C36" s="9" t="s">
        <v>524</v>
      </c>
      <c r="D36" s="7" t="s">
        <v>18</v>
      </c>
      <c r="E36" s="8">
        <v>45888</v>
      </c>
      <c r="F36" s="7" t="s">
        <v>314</v>
      </c>
      <c r="G36" s="7" t="s">
        <v>15</v>
      </c>
      <c r="H36" s="7">
        <v>580</v>
      </c>
      <c r="I36" s="7">
        <v>1</v>
      </c>
      <c r="J36" s="7" t="s">
        <v>525</v>
      </c>
      <c r="K36" s="7" t="s">
        <v>680</v>
      </c>
      <c r="L36" s="44" t="s">
        <v>528</v>
      </c>
      <c r="M36" s="8">
        <v>45888</v>
      </c>
      <c r="N36" s="7">
        <f t="shared" si="0"/>
        <v>2025</v>
      </c>
      <c r="O36" s="7">
        <f t="shared" si="1"/>
        <v>8</v>
      </c>
      <c r="P36" s="7">
        <f t="shared" si="2"/>
        <v>34</v>
      </c>
      <c r="Q36" s="7"/>
    </row>
    <row r="37" spans="1:17" ht="90" x14ac:dyDescent="0.25">
      <c r="A37" s="7">
        <v>2536</v>
      </c>
      <c r="B37" s="9" t="s">
        <v>529</v>
      </c>
      <c r="C37" s="9" t="s">
        <v>530</v>
      </c>
      <c r="D37" s="7" t="s">
        <v>539</v>
      </c>
      <c r="E37" s="8">
        <v>45889</v>
      </c>
      <c r="F37" s="7" t="s">
        <v>314</v>
      </c>
      <c r="G37" s="7" t="s">
        <v>14</v>
      </c>
      <c r="H37" s="7">
        <v>580</v>
      </c>
      <c r="I37" s="7">
        <v>2</v>
      </c>
      <c r="J37" s="7" t="s">
        <v>497</v>
      </c>
      <c r="K37" s="7" t="s">
        <v>680</v>
      </c>
      <c r="L37" s="43" t="s">
        <v>1144</v>
      </c>
      <c r="M37" s="8">
        <v>46094</v>
      </c>
      <c r="N37" s="7">
        <f t="shared" si="0"/>
        <v>2025</v>
      </c>
      <c r="O37" s="7">
        <f t="shared" si="1"/>
        <v>8</v>
      </c>
      <c r="P37" s="7">
        <f t="shared" si="2"/>
        <v>34</v>
      </c>
      <c r="Q37" s="7"/>
    </row>
    <row r="38" spans="1:17" ht="75" x14ac:dyDescent="0.25">
      <c r="A38" s="7">
        <v>2537</v>
      </c>
      <c r="B38" s="9" t="s">
        <v>529</v>
      </c>
      <c r="C38" s="9" t="s">
        <v>531</v>
      </c>
      <c r="D38" s="7" t="s">
        <v>535</v>
      </c>
      <c r="E38" s="8">
        <v>45889</v>
      </c>
      <c r="F38" s="7" t="s">
        <v>314</v>
      </c>
      <c r="G38" s="7" t="s">
        <v>14</v>
      </c>
      <c r="H38" s="7">
        <v>545</v>
      </c>
      <c r="I38" s="7">
        <v>3</v>
      </c>
      <c r="J38" s="7" t="s">
        <v>497</v>
      </c>
      <c r="K38" s="7" t="s">
        <v>680</v>
      </c>
      <c r="L38" s="43" t="s">
        <v>1141</v>
      </c>
      <c r="M38" s="8">
        <v>46094</v>
      </c>
      <c r="N38" s="7">
        <f t="shared" si="0"/>
        <v>2025</v>
      </c>
      <c r="O38" s="7">
        <f t="shared" si="1"/>
        <v>8</v>
      </c>
      <c r="P38" s="7">
        <f t="shared" si="2"/>
        <v>34</v>
      </c>
      <c r="Q38" s="7"/>
    </row>
    <row r="39" spans="1:17" ht="150" x14ac:dyDescent="0.25">
      <c r="A39" s="7">
        <v>2538</v>
      </c>
      <c r="B39" s="9" t="s">
        <v>529</v>
      </c>
      <c r="C39" s="9" t="s">
        <v>532</v>
      </c>
      <c r="D39" s="7" t="s">
        <v>536</v>
      </c>
      <c r="E39" s="8">
        <v>45889</v>
      </c>
      <c r="F39" s="7" t="s">
        <v>311</v>
      </c>
      <c r="G39" s="7" t="s">
        <v>14</v>
      </c>
      <c r="H39" s="7" t="s">
        <v>59</v>
      </c>
      <c r="I39" s="7">
        <v>25</v>
      </c>
      <c r="J39" s="7" t="s">
        <v>497</v>
      </c>
      <c r="K39" s="7" t="s">
        <v>680</v>
      </c>
      <c r="L39" s="43" t="s">
        <v>1119</v>
      </c>
      <c r="M39" s="7"/>
      <c r="N39" s="7">
        <f t="shared" si="0"/>
        <v>2025</v>
      </c>
      <c r="O39" s="7">
        <f t="shared" si="1"/>
        <v>8</v>
      </c>
      <c r="P39" s="7">
        <f t="shared" si="2"/>
        <v>34</v>
      </c>
      <c r="Q39" s="7"/>
    </row>
    <row r="40" spans="1:17" x14ac:dyDescent="0.25">
      <c r="A40" s="7">
        <v>2539</v>
      </c>
      <c r="B40" s="9" t="s">
        <v>533</v>
      </c>
      <c r="C40" s="9" t="s">
        <v>533</v>
      </c>
      <c r="D40" s="7" t="s">
        <v>534</v>
      </c>
      <c r="E40" s="8">
        <v>45891</v>
      </c>
      <c r="F40" s="7" t="s">
        <v>314</v>
      </c>
      <c r="G40" s="7" t="s">
        <v>14</v>
      </c>
      <c r="H40" s="7">
        <v>585</v>
      </c>
      <c r="I40" s="7">
        <v>740</v>
      </c>
      <c r="J40" s="7" t="s">
        <v>537</v>
      </c>
      <c r="K40" s="7" t="s">
        <v>682</v>
      </c>
      <c r="L40" s="46" t="s">
        <v>548</v>
      </c>
      <c r="M40" s="8">
        <v>45897</v>
      </c>
      <c r="N40" s="7">
        <f t="shared" si="0"/>
        <v>2025</v>
      </c>
      <c r="O40" s="7">
        <f t="shared" si="1"/>
        <v>8</v>
      </c>
      <c r="P40" s="7">
        <f t="shared" si="2"/>
        <v>34</v>
      </c>
      <c r="Q40" s="7"/>
    </row>
    <row r="41" spans="1:17" x14ac:dyDescent="0.25">
      <c r="A41" s="7">
        <v>2540</v>
      </c>
      <c r="B41" s="9" t="s">
        <v>317</v>
      </c>
      <c r="C41" s="9" t="s">
        <v>542</v>
      </c>
      <c r="D41" s="7" t="s">
        <v>543</v>
      </c>
      <c r="E41" s="8">
        <v>45884</v>
      </c>
      <c r="F41" s="7" t="s">
        <v>318</v>
      </c>
      <c r="G41" s="7" t="s">
        <v>15</v>
      </c>
      <c r="H41" s="7">
        <v>590</v>
      </c>
      <c r="I41" s="7">
        <v>42</v>
      </c>
      <c r="J41" s="7" t="s">
        <v>545</v>
      </c>
      <c r="K41" s="7" t="s">
        <v>680</v>
      </c>
      <c r="L41" s="43" t="s">
        <v>546</v>
      </c>
      <c r="M41" s="8">
        <v>45897</v>
      </c>
      <c r="N41" s="7">
        <f t="shared" si="0"/>
        <v>2025</v>
      </c>
      <c r="O41" s="7">
        <f t="shared" si="1"/>
        <v>8</v>
      </c>
      <c r="P41" s="7">
        <f t="shared" si="2"/>
        <v>33</v>
      </c>
      <c r="Q41" s="7" t="s">
        <v>912</v>
      </c>
    </row>
    <row r="42" spans="1:17" x14ac:dyDescent="0.25">
      <c r="A42" s="7">
        <v>2541</v>
      </c>
      <c r="B42" s="9" t="s">
        <v>317</v>
      </c>
      <c r="C42" s="9" t="s">
        <v>542</v>
      </c>
      <c r="D42" s="7" t="s">
        <v>547</v>
      </c>
      <c r="E42" s="8">
        <v>45884</v>
      </c>
      <c r="F42" s="7" t="s">
        <v>318</v>
      </c>
      <c r="G42" s="7" t="s">
        <v>15</v>
      </c>
      <c r="H42" s="7">
        <v>585</v>
      </c>
      <c r="I42" s="7">
        <v>96</v>
      </c>
      <c r="J42" s="7" t="s">
        <v>684</v>
      </c>
      <c r="K42" s="7" t="s">
        <v>682</v>
      </c>
      <c r="L42" s="44" t="s">
        <v>685</v>
      </c>
      <c r="M42" s="7"/>
      <c r="N42" s="7">
        <f t="shared" si="0"/>
        <v>2025</v>
      </c>
      <c r="O42" s="7">
        <f t="shared" si="1"/>
        <v>8</v>
      </c>
      <c r="P42" s="7">
        <f t="shared" si="2"/>
        <v>33</v>
      </c>
      <c r="Q42" s="7"/>
    </row>
    <row r="43" spans="1:17" ht="45" x14ac:dyDescent="0.25">
      <c r="A43" s="7">
        <v>2542</v>
      </c>
      <c r="B43" s="9" t="s">
        <v>540</v>
      </c>
      <c r="C43" s="9" t="s">
        <v>540</v>
      </c>
      <c r="D43" s="7" t="s">
        <v>541</v>
      </c>
      <c r="E43" s="8">
        <v>45897</v>
      </c>
      <c r="F43" s="7" t="s">
        <v>492</v>
      </c>
      <c r="G43" s="7" t="s">
        <v>14</v>
      </c>
      <c r="H43" s="7" t="s">
        <v>544</v>
      </c>
      <c r="I43" s="7">
        <v>243</v>
      </c>
      <c r="J43" s="7" t="s">
        <v>502</v>
      </c>
      <c r="K43" s="28" t="s">
        <v>682</v>
      </c>
      <c r="L43" s="43" t="s">
        <v>557</v>
      </c>
      <c r="M43" s="8">
        <v>45903</v>
      </c>
      <c r="N43" s="7">
        <f t="shared" si="0"/>
        <v>2025</v>
      </c>
      <c r="O43" s="7">
        <f t="shared" si="1"/>
        <v>8</v>
      </c>
      <c r="P43" s="7">
        <f t="shared" si="2"/>
        <v>35</v>
      </c>
      <c r="Q43" s="28"/>
    </row>
    <row r="44" spans="1:17" ht="90" x14ac:dyDescent="0.25">
      <c r="A44" s="7">
        <v>2543</v>
      </c>
      <c r="B44" s="9" t="s">
        <v>551</v>
      </c>
      <c r="C44" s="9" t="s">
        <v>550</v>
      </c>
      <c r="D44" s="7" t="s">
        <v>16</v>
      </c>
      <c r="E44" s="8">
        <v>45905</v>
      </c>
      <c r="F44" s="7" t="s">
        <v>314</v>
      </c>
      <c r="G44" s="7" t="s">
        <v>15</v>
      </c>
      <c r="H44" s="7">
        <v>615</v>
      </c>
      <c r="I44" s="7">
        <v>6</v>
      </c>
      <c r="J44" s="7" t="s">
        <v>917</v>
      </c>
      <c r="K44" s="7" t="s">
        <v>682</v>
      </c>
      <c r="L44" s="43" t="s">
        <v>686</v>
      </c>
      <c r="M44" s="7"/>
      <c r="N44" s="7">
        <f t="shared" si="0"/>
        <v>2025</v>
      </c>
      <c r="O44" s="7">
        <f t="shared" si="1"/>
        <v>9</v>
      </c>
      <c r="P44" s="7">
        <f t="shared" si="2"/>
        <v>36</v>
      </c>
      <c r="Q44" s="7"/>
    </row>
    <row r="45" spans="1:17" x14ac:dyDescent="0.25">
      <c r="A45" s="7">
        <v>2544</v>
      </c>
      <c r="B45" s="9" t="s">
        <v>9</v>
      </c>
      <c r="C45" s="9" t="s">
        <v>290</v>
      </c>
      <c r="D45" s="7" t="s">
        <v>343</v>
      </c>
      <c r="E45" s="8">
        <v>45903</v>
      </c>
      <c r="F45" s="7" t="s">
        <v>311</v>
      </c>
      <c r="G45" s="7" t="s">
        <v>15</v>
      </c>
      <c r="H45" s="7" t="s">
        <v>59</v>
      </c>
      <c r="I45" s="7">
        <v>37</v>
      </c>
      <c r="J45" s="7" t="s">
        <v>917</v>
      </c>
      <c r="K45" s="7" t="s">
        <v>682</v>
      </c>
      <c r="L45" s="44" t="s">
        <v>577</v>
      </c>
      <c r="M45" s="7"/>
      <c r="N45" s="7">
        <f t="shared" si="0"/>
        <v>2025</v>
      </c>
      <c r="O45" s="7">
        <f t="shared" si="1"/>
        <v>9</v>
      </c>
      <c r="P45" s="7">
        <f t="shared" si="2"/>
        <v>36</v>
      </c>
      <c r="Q45" s="7"/>
    </row>
    <row r="46" spans="1:17" ht="60" x14ac:dyDescent="0.25">
      <c r="A46" s="7">
        <v>2545</v>
      </c>
      <c r="B46" s="9" t="s">
        <v>636</v>
      </c>
      <c r="C46" s="9" t="s">
        <v>636</v>
      </c>
      <c r="D46" s="7" t="s">
        <v>637</v>
      </c>
      <c r="E46" s="8">
        <v>45912</v>
      </c>
      <c r="F46" s="7" t="s">
        <v>314</v>
      </c>
      <c r="G46" s="7" t="s">
        <v>15</v>
      </c>
      <c r="H46" s="7">
        <v>550</v>
      </c>
      <c r="I46" s="7">
        <v>186</v>
      </c>
      <c r="J46" s="7" t="s">
        <v>638</v>
      </c>
      <c r="K46" s="7" t="s">
        <v>682</v>
      </c>
      <c r="L46" s="43" t="s">
        <v>639</v>
      </c>
      <c r="M46" s="7"/>
      <c r="N46" s="7">
        <f t="shared" si="0"/>
        <v>2025</v>
      </c>
      <c r="O46" s="7">
        <f t="shared" ref="O46:O60" si="3">MONTH(E46)</f>
        <v>9</v>
      </c>
      <c r="P46" s="7">
        <f t="shared" ref="P46:P60" si="4">WEEKNUM(E46)</f>
        <v>37</v>
      </c>
      <c r="Q46" s="7"/>
    </row>
    <row r="47" spans="1:17" ht="240" x14ac:dyDescent="0.25">
      <c r="A47" s="7">
        <v>2546</v>
      </c>
      <c r="B47" s="9" t="s">
        <v>641</v>
      </c>
      <c r="C47" s="9" t="s">
        <v>678</v>
      </c>
      <c r="D47" s="7" t="s">
        <v>679</v>
      </c>
      <c r="E47" s="8">
        <v>45906</v>
      </c>
      <c r="F47" s="7" t="s">
        <v>311</v>
      </c>
      <c r="G47" s="7" t="s">
        <v>15</v>
      </c>
      <c r="H47" s="7">
        <v>545</v>
      </c>
      <c r="I47" s="7">
        <v>37</v>
      </c>
      <c r="J47" s="7" t="s">
        <v>497</v>
      </c>
      <c r="K47" s="7" t="s">
        <v>680</v>
      </c>
      <c r="L47" s="43" t="s">
        <v>889</v>
      </c>
      <c r="M47" s="7"/>
      <c r="N47" s="7">
        <f t="shared" si="0"/>
        <v>2025</v>
      </c>
      <c r="O47" s="7">
        <f t="shared" si="3"/>
        <v>9</v>
      </c>
      <c r="P47" s="7">
        <f t="shared" si="4"/>
        <v>36</v>
      </c>
      <c r="Q47" s="7"/>
    </row>
    <row r="48" spans="1:17" ht="90" x14ac:dyDescent="0.25">
      <c r="A48" s="7">
        <v>2547</v>
      </c>
      <c r="B48" s="9" t="s">
        <v>727</v>
      </c>
      <c r="C48" s="9" t="s">
        <v>59</v>
      </c>
      <c r="D48" s="7" t="s">
        <v>17</v>
      </c>
      <c r="E48" s="8">
        <v>45918</v>
      </c>
      <c r="F48" s="7" t="s">
        <v>311</v>
      </c>
      <c r="G48" s="7" t="s">
        <v>15</v>
      </c>
      <c r="H48" s="7" t="s">
        <v>59</v>
      </c>
      <c r="I48" s="7">
        <v>23</v>
      </c>
      <c r="J48" s="7" t="s">
        <v>497</v>
      </c>
      <c r="K48" s="7" t="s">
        <v>680</v>
      </c>
      <c r="L48" s="43" t="s">
        <v>882</v>
      </c>
      <c r="M48" s="8">
        <v>45932</v>
      </c>
      <c r="N48" s="7">
        <f t="shared" si="0"/>
        <v>2025</v>
      </c>
      <c r="O48" s="7">
        <f t="shared" si="3"/>
        <v>9</v>
      </c>
      <c r="P48" s="7">
        <f t="shared" si="4"/>
        <v>38</v>
      </c>
      <c r="Q48" s="7"/>
    </row>
    <row r="49" spans="1:17" ht="60" x14ac:dyDescent="0.25">
      <c r="A49" s="7">
        <v>2548</v>
      </c>
      <c r="B49" s="9" t="s">
        <v>843</v>
      </c>
      <c r="C49" s="9" t="s">
        <v>59</v>
      </c>
      <c r="D49" s="7" t="s">
        <v>785</v>
      </c>
      <c r="E49" s="8">
        <v>45923</v>
      </c>
      <c r="F49" s="7" t="s">
        <v>311</v>
      </c>
      <c r="G49" s="7" t="s">
        <v>14</v>
      </c>
      <c r="H49" s="7">
        <v>575</v>
      </c>
      <c r="I49" s="7">
        <v>59</v>
      </c>
      <c r="J49" s="7" t="s">
        <v>497</v>
      </c>
      <c r="K49" s="7" t="s">
        <v>680</v>
      </c>
      <c r="L49" s="43" t="s">
        <v>881</v>
      </c>
      <c r="M49" s="8">
        <v>45932</v>
      </c>
      <c r="N49" s="7">
        <f t="shared" si="0"/>
        <v>2025</v>
      </c>
      <c r="O49" s="7">
        <f t="shared" si="3"/>
        <v>9</v>
      </c>
      <c r="P49" s="7">
        <f t="shared" si="4"/>
        <v>39</v>
      </c>
      <c r="Q49" s="7"/>
    </row>
    <row r="50" spans="1:17" x14ac:dyDescent="0.25">
      <c r="A50" s="7">
        <v>2549</v>
      </c>
      <c r="B50" s="9" t="s">
        <v>862</v>
      </c>
      <c r="C50" s="9" t="s">
        <v>59</v>
      </c>
      <c r="D50" s="7" t="s">
        <v>16</v>
      </c>
      <c r="E50" s="8">
        <v>45924</v>
      </c>
      <c r="F50" s="7" t="s">
        <v>314</v>
      </c>
      <c r="G50" s="7" t="s">
        <v>14</v>
      </c>
      <c r="H50" s="7">
        <v>580</v>
      </c>
      <c r="I50" s="7">
        <v>72</v>
      </c>
      <c r="J50" s="7" t="s">
        <v>863</v>
      </c>
      <c r="K50" s="7" t="s">
        <v>680</v>
      </c>
      <c r="L50" s="44" t="s">
        <v>864</v>
      </c>
      <c r="M50" s="7"/>
      <c r="N50" s="7">
        <f t="shared" si="0"/>
        <v>2025</v>
      </c>
      <c r="O50" s="7">
        <f t="shared" si="3"/>
        <v>9</v>
      </c>
      <c r="P50" s="7">
        <f t="shared" si="4"/>
        <v>39</v>
      </c>
      <c r="Q50" s="7"/>
    </row>
    <row r="51" spans="1:17" ht="45" x14ac:dyDescent="0.25">
      <c r="A51" s="7">
        <v>2550</v>
      </c>
      <c r="B51" s="9" t="s">
        <v>28</v>
      </c>
      <c r="C51" s="9" t="s">
        <v>33</v>
      </c>
      <c r="D51" s="7" t="s">
        <v>884</v>
      </c>
      <c r="E51" s="8">
        <v>45929</v>
      </c>
      <c r="F51" s="7" t="s">
        <v>311</v>
      </c>
      <c r="G51" s="7" t="s">
        <v>15</v>
      </c>
      <c r="H51" s="7">
        <v>545</v>
      </c>
      <c r="I51" s="7">
        <v>23</v>
      </c>
      <c r="J51" s="7" t="s">
        <v>497</v>
      </c>
      <c r="K51" s="7" t="s">
        <v>680</v>
      </c>
      <c r="L51" s="43" t="s">
        <v>844</v>
      </c>
      <c r="M51" s="7"/>
      <c r="N51" s="7">
        <f t="shared" si="0"/>
        <v>2025</v>
      </c>
      <c r="O51" s="7">
        <f t="shared" si="3"/>
        <v>9</v>
      </c>
      <c r="P51" s="7">
        <f t="shared" si="4"/>
        <v>40</v>
      </c>
      <c r="Q51" s="7"/>
    </row>
    <row r="52" spans="1:17" x14ac:dyDescent="0.25">
      <c r="A52" s="7">
        <v>2551</v>
      </c>
      <c r="B52" s="9" t="s">
        <v>727</v>
      </c>
      <c r="C52" s="9" t="s">
        <v>869</v>
      </c>
      <c r="D52" s="7" t="s">
        <v>17</v>
      </c>
      <c r="E52" s="8">
        <v>45930</v>
      </c>
      <c r="F52" s="7" t="s">
        <v>314</v>
      </c>
      <c r="G52" s="7" t="s">
        <v>15</v>
      </c>
      <c r="H52" s="7" t="s">
        <v>59</v>
      </c>
      <c r="I52" s="7">
        <v>6</v>
      </c>
      <c r="J52" s="7" t="s">
        <v>497</v>
      </c>
      <c r="K52" s="7" t="s">
        <v>680</v>
      </c>
      <c r="L52" s="44" t="s">
        <v>875</v>
      </c>
      <c r="M52" s="8">
        <v>45931</v>
      </c>
      <c r="N52" s="7">
        <f t="shared" si="0"/>
        <v>2025</v>
      </c>
      <c r="O52" s="7">
        <f t="shared" si="3"/>
        <v>9</v>
      </c>
      <c r="P52" s="7">
        <f t="shared" si="4"/>
        <v>40</v>
      </c>
      <c r="Q52" s="7"/>
    </row>
    <row r="53" spans="1:17" x14ac:dyDescent="0.25">
      <c r="A53" s="7">
        <v>2552</v>
      </c>
      <c r="B53" s="9" t="s">
        <v>877</v>
      </c>
      <c r="C53" s="9" t="s">
        <v>59</v>
      </c>
      <c r="D53" s="7" t="s">
        <v>16</v>
      </c>
      <c r="E53" s="8">
        <v>45924</v>
      </c>
      <c r="F53" s="7" t="s">
        <v>314</v>
      </c>
      <c r="G53" s="7" t="s">
        <v>14</v>
      </c>
      <c r="H53" s="7">
        <v>580</v>
      </c>
      <c r="I53" s="7">
        <v>36</v>
      </c>
      <c r="J53" s="7" t="s">
        <v>863</v>
      </c>
      <c r="K53" s="7" t="s">
        <v>680</v>
      </c>
      <c r="L53" s="44" t="s">
        <v>864</v>
      </c>
      <c r="M53" s="7"/>
      <c r="N53" s="7">
        <f t="shared" si="0"/>
        <v>2025</v>
      </c>
      <c r="O53" s="7">
        <f t="shared" si="3"/>
        <v>9</v>
      </c>
      <c r="P53" s="7">
        <f t="shared" si="4"/>
        <v>39</v>
      </c>
      <c r="Q53" s="7"/>
    </row>
    <row r="54" spans="1:17" x14ac:dyDescent="0.25">
      <c r="A54" s="7">
        <v>2553</v>
      </c>
      <c r="B54" s="9" t="s">
        <v>878</v>
      </c>
      <c r="C54" s="9" t="s">
        <v>879</v>
      </c>
      <c r="D54" s="7" t="s">
        <v>880</v>
      </c>
      <c r="E54" s="8">
        <v>45932</v>
      </c>
      <c r="F54" s="7" t="s">
        <v>314</v>
      </c>
      <c r="G54" s="7" t="s">
        <v>15</v>
      </c>
      <c r="H54" s="7">
        <v>540</v>
      </c>
      <c r="I54" s="7">
        <v>25</v>
      </c>
      <c r="J54" s="7" t="s">
        <v>497</v>
      </c>
      <c r="K54" s="7" t="s">
        <v>680</v>
      </c>
      <c r="L54" s="44" t="s">
        <v>895</v>
      </c>
      <c r="M54" s="8">
        <v>45943</v>
      </c>
      <c r="N54" s="7">
        <f t="shared" si="0"/>
        <v>2025</v>
      </c>
      <c r="O54" s="7">
        <f t="shared" si="3"/>
        <v>10</v>
      </c>
      <c r="P54" s="7">
        <f t="shared" si="4"/>
        <v>40</v>
      </c>
      <c r="Q54" s="7"/>
    </row>
    <row r="55" spans="1:17" x14ac:dyDescent="0.25">
      <c r="A55" s="7">
        <v>2554</v>
      </c>
      <c r="B55" s="9" t="s">
        <v>878</v>
      </c>
      <c r="C55" s="9" t="s">
        <v>879</v>
      </c>
      <c r="D55" s="7" t="s">
        <v>880</v>
      </c>
      <c r="E55" s="8">
        <v>45932</v>
      </c>
      <c r="F55" s="7" t="s">
        <v>314</v>
      </c>
      <c r="G55" s="7" t="s">
        <v>14</v>
      </c>
      <c r="H55" s="7">
        <v>540</v>
      </c>
      <c r="I55" s="7">
        <v>3</v>
      </c>
      <c r="J55" s="7" t="s">
        <v>497</v>
      </c>
      <c r="K55" s="7" t="s">
        <v>680</v>
      </c>
      <c r="L55" s="44" t="s">
        <v>895</v>
      </c>
      <c r="M55" s="8">
        <v>45943</v>
      </c>
      <c r="N55" s="7">
        <f t="shared" si="0"/>
        <v>2025</v>
      </c>
      <c r="O55" s="7">
        <f t="shared" si="3"/>
        <v>10</v>
      </c>
      <c r="P55" s="7">
        <f t="shared" si="4"/>
        <v>40</v>
      </c>
      <c r="Q55" s="7"/>
    </row>
    <row r="56" spans="1:17" ht="120" x14ac:dyDescent="0.25">
      <c r="A56" s="7">
        <v>2555</v>
      </c>
      <c r="B56" s="9" t="s">
        <v>885</v>
      </c>
      <c r="C56" s="9" t="s">
        <v>886</v>
      </c>
      <c r="D56" s="7" t="s">
        <v>887</v>
      </c>
      <c r="E56" s="8">
        <v>45947</v>
      </c>
      <c r="F56" s="7" t="s">
        <v>314</v>
      </c>
      <c r="G56" s="7" t="s">
        <v>15</v>
      </c>
      <c r="H56" s="7">
        <v>540</v>
      </c>
      <c r="I56" s="7">
        <v>3</v>
      </c>
      <c r="J56" s="7" t="s">
        <v>497</v>
      </c>
      <c r="K56" s="7" t="s">
        <v>680</v>
      </c>
      <c r="L56" s="43" t="s">
        <v>1120</v>
      </c>
      <c r="M56" s="7"/>
      <c r="N56" s="7">
        <f t="shared" si="0"/>
        <v>2025</v>
      </c>
      <c r="O56" s="7">
        <f t="shared" si="3"/>
        <v>10</v>
      </c>
      <c r="P56" s="7">
        <f t="shared" si="4"/>
        <v>42</v>
      </c>
      <c r="Q56" s="7"/>
    </row>
    <row r="57" spans="1:17" ht="120" x14ac:dyDescent="0.25">
      <c r="A57" s="7">
        <v>2556</v>
      </c>
      <c r="B57" s="9" t="s">
        <v>885</v>
      </c>
      <c r="C57" s="9" t="s">
        <v>886</v>
      </c>
      <c r="D57" s="7" t="s">
        <v>887</v>
      </c>
      <c r="E57" s="8">
        <v>45947</v>
      </c>
      <c r="F57" s="7" t="s">
        <v>314</v>
      </c>
      <c r="G57" s="7" t="s">
        <v>14</v>
      </c>
      <c r="H57" s="7">
        <v>540</v>
      </c>
      <c r="I57" s="7">
        <v>3</v>
      </c>
      <c r="J57" s="7" t="s">
        <v>497</v>
      </c>
      <c r="K57" s="7" t="s">
        <v>680</v>
      </c>
      <c r="L57" s="43" t="s">
        <v>1120</v>
      </c>
      <c r="M57" s="7"/>
      <c r="N57" s="7">
        <f t="shared" si="0"/>
        <v>2025</v>
      </c>
      <c r="O57" s="7">
        <f t="shared" si="3"/>
        <v>10</v>
      </c>
      <c r="P57" s="7">
        <f t="shared" si="4"/>
        <v>42</v>
      </c>
      <c r="Q57" s="7"/>
    </row>
    <row r="58" spans="1:17" ht="90" x14ac:dyDescent="0.25">
      <c r="A58" s="7">
        <v>2557</v>
      </c>
      <c r="B58" s="9" t="s">
        <v>891</v>
      </c>
      <c r="C58" s="9" t="s">
        <v>890</v>
      </c>
      <c r="D58" s="7" t="s">
        <v>1117</v>
      </c>
      <c r="E58" s="8">
        <v>45932</v>
      </c>
      <c r="F58" s="7" t="s">
        <v>314</v>
      </c>
      <c r="G58" s="7" t="s">
        <v>14</v>
      </c>
      <c r="H58" s="7">
        <v>545</v>
      </c>
      <c r="I58" s="7">
        <v>4</v>
      </c>
      <c r="J58" s="7" t="s">
        <v>497</v>
      </c>
      <c r="K58" s="7" t="s">
        <v>680</v>
      </c>
      <c r="L58" s="43" t="s">
        <v>1151</v>
      </c>
      <c r="M58" s="8">
        <v>46098</v>
      </c>
      <c r="N58" s="7">
        <f t="shared" si="0"/>
        <v>2025</v>
      </c>
      <c r="O58" s="7">
        <f t="shared" si="3"/>
        <v>10</v>
      </c>
      <c r="P58" s="7">
        <f t="shared" si="4"/>
        <v>40</v>
      </c>
      <c r="Q58" s="7"/>
    </row>
    <row r="59" spans="1:17" ht="165" x14ac:dyDescent="0.25">
      <c r="A59" s="7">
        <v>2558</v>
      </c>
      <c r="B59" s="9" t="s">
        <v>897</v>
      </c>
      <c r="C59" s="9" t="s">
        <v>897</v>
      </c>
      <c r="D59" s="7" t="s">
        <v>896</v>
      </c>
      <c r="E59" s="8">
        <v>45950</v>
      </c>
      <c r="F59" s="7" t="s">
        <v>318</v>
      </c>
      <c r="G59" s="7" t="s">
        <v>15</v>
      </c>
      <c r="H59" s="7">
        <v>600</v>
      </c>
      <c r="I59" s="7">
        <v>300</v>
      </c>
      <c r="J59" s="7" t="s">
        <v>898</v>
      </c>
      <c r="K59" s="7" t="s">
        <v>682</v>
      </c>
      <c r="L59" s="43" t="s">
        <v>899</v>
      </c>
      <c r="M59" s="7"/>
      <c r="N59" s="7">
        <f t="shared" si="0"/>
        <v>2025</v>
      </c>
      <c r="O59" s="7">
        <f t="shared" si="3"/>
        <v>10</v>
      </c>
      <c r="P59" s="7">
        <f t="shared" si="4"/>
        <v>43</v>
      </c>
      <c r="Q59" s="7"/>
    </row>
    <row r="60" spans="1:17" ht="120" x14ac:dyDescent="0.25">
      <c r="A60" s="7">
        <v>2559</v>
      </c>
      <c r="B60" s="9" t="s">
        <v>9</v>
      </c>
      <c r="C60" s="9" t="s">
        <v>9</v>
      </c>
      <c r="D60" s="7" t="s">
        <v>343</v>
      </c>
      <c r="E60" s="8">
        <v>45952</v>
      </c>
      <c r="F60" s="7" t="s">
        <v>311</v>
      </c>
      <c r="G60" s="7" t="s">
        <v>14</v>
      </c>
      <c r="H60" s="7">
        <v>585</v>
      </c>
      <c r="I60" s="7">
        <v>1</v>
      </c>
      <c r="J60" s="7" t="s">
        <v>900</v>
      </c>
      <c r="K60" s="7" t="s">
        <v>680</v>
      </c>
      <c r="L60" s="43" t="s">
        <v>905</v>
      </c>
      <c r="M60" s="7"/>
      <c r="N60" s="7">
        <f t="shared" si="0"/>
        <v>2025</v>
      </c>
      <c r="O60" s="7">
        <f t="shared" si="3"/>
        <v>10</v>
      </c>
      <c r="P60" s="7">
        <f t="shared" si="4"/>
        <v>43</v>
      </c>
      <c r="Q60" s="7"/>
    </row>
    <row r="61" spans="1:17" ht="120" x14ac:dyDescent="0.25">
      <c r="A61" s="7">
        <v>2560</v>
      </c>
      <c r="B61" s="9" t="s">
        <v>9</v>
      </c>
      <c r="C61" s="9" t="s">
        <v>9</v>
      </c>
      <c r="D61" s="7" t="s">
        <v>343</v>
      </c>
      <c r="E61" s="8">
        <v>45952</v>
      </c>
      <c r="F61" s="7" t="s">
        <v>311</v>
      </c>
      <c r="G61" s="7" t="s">
        <v>14</v>
      </c>
      <c r="H61" s="7">
        <v>585</v>
      </c>
      <c r="I61" s="7">
        <v>2</v>
      </c>
      <c r="J61" s="7" t="s">
        <v>901</v>
      </c>
      <c r="K61" s="7" t="s">
        <v>682</v>
      </c>
      <c r="L61" s="43" t="s">
        <v>905</v>
      </c>
      <c r="M61" s="7"/>
      <c r="N61" s="7">
        <f t="shared" si="0"/>
        <v>2025</v>
      </c>
      <c r="O61" s="7">
        <f t="shared" ref="O61:O65" si="5">MONTH(E61)</f>
        <v>10</v>
      </c>
      <c r="P61" s="7">
        <f t="shared" ref="P61:P65" si="6">WEEKNUM(E61)</f>
        <v>43</v>
      </c>
      <c r="Q61" s="7"/>
    </row>
    <row r="62" spans="1:17" ht="75" x14ac:dyDescent="0.25">
      <c r="A62" s="7">
        <v>2561</v>
      </c>
      <c r="B62" s="9" t="s">
        <v>10</v>
      </c>
      <c r="C62" s="9" t="s">
        <v>906</v>
      </c>
      <c r="D62" s="7" t="s">
        <v>16</v>
      </c>
      <c r="E62" s="8">
        <v>45952</v>
      </c>
      <c r="F62" s="7" t="s">
        <v>314</v>
      </c>
      <c r="G62" s="7" t="s">
        <v>15</v>
      </c>
      <c r="H62" s="7">
        <v>550</v>
      </c>
      <c r="I62" s="7">
        <v>8</v>
      </c>
      <c r="J62" s="7" t="s">
        <v>494</v>
      </c>
      <c r="K62" s="7" t="s">
        <v>680</v>
      </c>
      <c r="L62" s="43" t="s">
        <v>1145</v>
      </c>
      <c r="M62" s="7"/>
      <c r="N62" s="7">
        <f t="shared" si="0"/>
        <v>2025</v>
      </c>
      <c r="O62" s="7">
        <f t="shared" si="5"/>
        <v>10</v>
      </c>
      <c r="P62" s="7">
        <f t="shared" si="6"/>
        <v>43</v>
      </c>
      <c r="Q62" s="7"/>
    </row>
    <row r="63" spans="1:17" ht="75" x14ac:dyDescent="0.25">
      <c r="A63" s="7">
        <v>2562</v>
      </c>
      <c r="B63" s="9" t="s">
        <v>636</v>
      </c>
      <c r="C63" s="9" t="s">
        <v>636</v>
      </c>
      <c r="D63" s="7" t="s">
        <v>914</v>
      </c>
      <c r="E63" s="8">
        <v>45960</v>
      </c>
      <c r="F63" s="7" t="s">
        <v>314</v>
      </c>
      <c r="G63" s="7" t="s">
        <v>15</v>
      </c>
      <c r="H63" s="7">
        <v>550</v>
      </c>
      <c r="I63" s="7">
        <v>2</v>
      </c>
      <c r="J63" s="7" t="s">
        <v>917</v>
      </c>
      <c r="K63" s="7" t="s">
        <v>682</v>
      </c>
      <c r="L63" s="43" t="s">
        <v>1071</v>
      </c>
      <c r="M63" s="8">
        <v>46001</v>
      </c>
      <c r="N63" s="7">
        <f t="shared" si="0"/>
        <v>2025</v>
      </c>
      <c r="O63" s="7">
        <f t="shared" si="5"/>
        <v>10</v>
      </c>
      <c r="P63" s="7">
        <f t="shared" si="6"/>
        <v>44</v>
      </c>
      <c r="Q63" s="7"/>
    </row>
    <row r="64" spans="1:17" ht="105" x14ac:dyDescent="0.25">
      <c r="A64" s="7">
        <v>2563</v>
      </c>
      <c r="B64" s="9" t="s">
        <v>28</v>
      </c>
      <c r="C64" s="9" t="s">
        <v>918</v>
      </c>
      <c r="D64" s="7" t="s">
        <v>1116</v>
      </c>
      <c r="E64" s="8">
        <v>45960</v>
      </c>
      <c r="F64" s="7" t="s">
        <v>311</v>
      </c>
      <c r="G64" s="7" t="s">
        <v>14</v>
      </c>
      <c r="H64" s="7">
        <v>540</v>
      </c>
      <c r="I64" s="7">
        <v>2</v>
      </c>
      <c r="J64" s="7" t="s">
        <v>497</v>
      </c>
      <c r="K64" s="7" t="s">
        <v>680</v>
      </c>
      <c r="L64" s="43" t="s">
        <v>1152</v>
      </c>
      <c r="M64" s="8">
        <v>46098</v>
      </c>
      <c r="N64" s="7">
        <f t="shared" si="0"/>
        <v>2025</v>
      </c>
      <c r="O64" s="7">
        <f t="shared" si="5"/>
        <v>10</v>
      </c>
      <c r="P64" s="7">
        <f t="shared" si="6"/>
        <v>44</v>
      </c>
      <c r="Q64" s="7"/>
    </row>
    <row r="65" spans="1:17" ht="60" x14ac:dyDescent="0.25">
      <c r="A65" s="7">
        <v>2564</v>
      </c>
      <c r="B65" s="9" t="s">
        <v>10</v>
      </c>
      <c r="C65" s="9" t="s">
        <v>969</v>
      </c>
      <c r="D65" s="7" t="s">
        <v>535</v>
      </c>
      <c r="E65" s="8">
        <v>45964</v>
      </c>
      <c r="F65" s="7" t="s">
        <v>314</v>
      </c>
      <c r="G65" s="7" t="s">
        <v>15</v>
      </c>
      <c r="H65" s="7" t="s">
        <v>970</v>
      </c>
      <c r="I65" s="7">
        <v>88</v>
      </c>
      <c r="J65" s="7" t="s">
        <v>497</v>
      </c>
      <c r="K65" s="7" t="s">
        <v>680</v>
      </c>
      <c r="L65" s="43" t="s">
        <v>971</v>
      </c>
      <c r="M65" s="7"/>
      <c r="N65" s="7">
        <f t="shared" si="0"/>
        <v>2025</v>
      </c>
      <c r="O65" s="7">
        <f t="shared" si="5"/>
        <v>11</v>
      </c>
      <c r="P65" s="7">
        <f t="shared" si="6"/>
        <v>45</v>
      </c>
      <c r="Q65" s="7"/>
    </row>
    <row r="66" spans="1:17" x14ac:dyDescent="0.25">
      <c r="A66" s="7">
        <v>2565</v>
      </c>
      <c r="B66" s="9" t="s">
        <v>9</v>
      </c>
      <c r="C66" s="9" t="s">
        <v>1072</v>
      </c>
      <c r="D66" s="9" t="s">
        <v>269</v>
      </c>
      <c r="E66" s="8">
        <v>45981</v>
      </c>
      <c r="F66" s="7" t="s">
        <v>314</v>
      </c>
      <c r="G66" s="7" t="s">
        <v>15</v>
      </c>
      <c r="H66" s="7">
        <v>550</v>
      </c>
      <c r="I66" s="7">
        <v>2</v>
      </c>
      <c r="J66" s="7" t="s">
        <v>497</v>
      </c>
      <c r="K66" s="7" t="s">
        <v>680</v>
      </c>
      <c r="L66" s="63" t="s">
        <v>1076</v>
      </c>
      <c r="M66" s="8">
        <v>46003</v>
      </c>
      <c r="N66" s="7">
        <f t="shared" si="0"/>
        <v>2025</v>
      </c>
      <c r="O66" s="7">
        <f t="shared" ref="O66:O70" si="7">MONTH(E66)</f>
        <v>11</v>
      </c>
      <c r="P66" s="7">
        <f t="shared" ref="P66:P70" si="8">WEEKNUM(E66)</f>
        <v>47</v>
      </c>
      <c r="Q66" s="7"/>
    </row>
    <row r="67" spans="1:17" ht="30" x14ac:dyDescent="0.25">
      <c r="A67" s="7">
        <v>2566</v>
      </c>
      <c r="B67" s="9" t="s">
        <v>289</v>
      </c>
      <c r="C67" s="9" t="s">
        <v>1070</v>
      </c>
      <c r="D67" s="7" t="s">
        <v>972</v>
      </c>
      <c r="E67" s="8">
        <v>45999</v>
      </c>
      <c r="F67" s="7" t="s">
        <v>311</v>
      </c>
      <c r="G67" s="7" t="s">
        <v>14</v>
      </c>
      <c r="H67" s="7">
        <v>580</v>
      </c>
      <c r="I67" s="7">
        <v>6</v>
      </c>
      <c r="J67" s="7" t="s">
        <v>917</v>
      </c>
      <c r="K67" s="7" t="s">
        <v>682</v>
      </c>
      <c r="L67" s="43" t="s">
        <v>973</v>
      </c>
      <c r="M67" s="7"/>
      <c r="N67" s="7">
        <f t="shared" ref="N67:N74" si="9">YEAR(E67)</f>
        <v>2025</v>
      </c>
      <c r="O67" s="7">
        <f t="shared" si="7"/>
        <v>12</v>
      </c>
      <c r="P67" s="7">
        <f t="shared" si="8"/>
        <v>50</v>
      </c>
      <c r="Q67" s="7"/>
    </row>
    <row r="68" spans="1:17" ht="150" x14ac:dyDescent="0.25">
      <c r="A68" s="7">
        <v>2567</v>
      </c>
      <c r="B68" s="9" t="s">
        <v>980</v>
      </c>
      <c r="C68" s="9" t="s">
        <v>980</v>
      </c>
      <c r="D68" s="7" t="s">
        <v>884</v>
      </c>
      <c r="E68" s="8">
        <v>46000</v>
      </c>
      <c r="F68" s="7" t="s">
        <v>314</v>
      </c>
      <c r="G68" s="7" t="s">
        <v>14</v>
      </c>
      <c r="H68" s="7">
        <v>575</v>
      </c>
      <c r="I68" s="7">
        <v>89</v>
      </c>
      <c r="J68" s="7" t="s">
        <v>500</v>
      </c>
      <c r="K68" s="7" t="s">
        <v>681</v>
      </c>
      <c r="L68" s="43" t="s">
        <v>1148</v>
      </c>
      <c r="M68" s="7"/>
      <c r="N68" s="7">
        <f t="shared" si="9"/>
        <v>2025</v>
      </c>
      <c r="O68" s="7">
        <f t="shared" si="7"/>
        <v>12</v>
      </c>
      <c r="P68" s="7">
        <f t="shared" si="8"/>
        <v>50</v>
      </c>
      <c r="Q68" s="7"/>
    </row>
    <row r="69" spans="1:17" ht="60" x14ac:dyDescent="0.25">
      <c r="A69" s="7">
        <v>2568</v>
      </c>
      <c r="B69" s="9" t="s">
        <v>9</v>
      </c>
      <c r="C69" s="9" t="s">
        <v>316</v>
      </c>
      <c r="D69" s="7" t="s">
        <v>30</v>
      </c>
      <c r="E69" s="8">
        <v>46015</v>
      </c>
      <c r="F69" s="7" t="s">
        <v>314</v>
      </c>
      <c r="G69" s="7" t="s">
        <v>15</v>
      </c>
      <c r="H69" s="7">
        <v>550</v>
      </c>
      <c r="I69" s="7">
        <v>6</v>
      </c>
      <c r="J69" s="7" t="s">
        <v>497</v>
      </c>
      <c r="K69" s="7" t="s">
        <v>680</v>
      </c>
      <c r="L69" s="43" t="s">
        <v>1143</v>
      </c>
      <c r="M69" s="8">
        <v>46093</v>
      </c>
      <c r="N69" s="7">
        <f t="shared" si="9"/>
        <v>2025</v>
      </c>
      <c r="O69" s="7">
        <f t="shared" si="7"/>
        <v>12</v>
      </c>
      <c r="P69" s="7">
        <f t="shared" si="8"/>
        <v>52</v>
      </c>
      <c r="Q69" s="7"/>
    </row>
    <row r="70" spans="1:17" ht="60" x14ac:dyDescent="0.25">
      <c r="A70" s="75">
        <v>2601</v>
      </c>
      <c r="B70" s="74" t="s">
        <v>1085</v>
      </c>
      <c r="C70" s="74" t="s">
        <v>1085</v>
      </c>
      <c r="D70" s="75" t="s">
        <v>16</v>
      </c>
      <c r="E70" s="76">
        <v>46041</v>
      </c>
      <c r="F70" s="75" t="s">
        <v>492</v>
      </c>
      <c r="G70" s="75" t="s">
        <v>1095</v>
      </c>
      <c r="H70" s="75">
        <v>575</v>
      </c>
      <c r="I70" s="75">
        <v>50</v>
      </c>
      <c r="J70" s="75" t="s">
        <v>502</v>
      </c>
      <c r="K70" s="75" t="s">
        <v>680</v>
      </c>
      <c r="L70" s="77" t="s">
        <v>1146</v>
      </c>
      <c r="M70" s="7"/>
      <c r="N70" s="7">
        <f t="shared" si="9"/>
        <v>2026</v>
      </c>
      <c r="O70" s="7">
        <f t="shared" si="7"/>
        <v>1</v>
      </c>
      <c r="P70" s="7">
        <f t="shared" si="8"/>
        <v>4</v>
      </c>
      <c r="Q70" s="7"/>
    </row>
    <row r="71" spans="1:17" ht="45" x14ac:dyDescent="0.25">
      <c r="A71" s="7">
        <v>2602</v>
      </c>
      <c r="B71" s="9" t="s">
        <v>1086</v>
      </c>
      <c r="C71" s="9" t="s">
        <v>1087</v>
      </c>
      <c r="D71" s="7"/>
      <c r="E71" s="8">
        <v>46041</v>
      </c>
      <c r="F71" s="7" t="s">
        <v>318</v>
      </c>
      <c r="G71" s="7" t="s">
        <v>1095</v>
      </c>
      <c r="H71" s="7">
        <v>615</v>
      </c>
      <c r="I71" s="7">
        <v>6</v>
      </c>
      <c r="J71" s="7" t="s">
        <v>917</v>
      </c>
      <c r="K71" s="7" t="s">
        <v>682</v>
      </c>
      <c r="L71" s="43" t="s">
        <v>1094</v>
      </c>
      <c r="M71" s="7"/>
      <c r="N71" s="7">
        <f t="shared" si="9"/>
        <v>2026</v>
      </c>
      <c r="O71" s="7">
        <f t="shared" ref="O71:O74" si="10">MONTH(E71)</f>
        <v>1</v>
      </c>
      <c r="P71" s="7">
        <f t="shared" ref="P71:P74" si="11">WEEKNUM(E71)</f>
        <v>4</v>
      </c>
      <c r="Q71" s="7"/>
    </row>
    <row r="72" spans="1:17" ht="75" x14ac:dyDescent="0.25">
      <c r="A72" s="7">
        <v>2603</v>
      </c>
      <c r="B72" s="9" t="s">
        <v>540</v>
      </c>
      <c r="C72" s="9" t="s">
        <v>540</v>
      </c>
      <c r="D72" s="7" t="s">
        <v>16</v>
      </c>
      <c r="E72" s="8">
        <v>46070</v>
      </c>
      <c r="F72" s="7" t="s">
        <v>492</v>
      </c>
      <c r="G72" s="7" t="s">
        <v>1095</v>
      </c>
      <c r="H72" s="7">
        <v>545</v>
      </c>
      <c r="I72" s="7">
        <v>62</v>
      </c>
      <c r="J72" s="7" t="s">
        <v>1100</v>
      </c>
      <c r="K72" s="7" t="s">
        <v>680</v>
      </c>
      <c r="L72" s="43" t="s">
        <v>1118</v>
      </c>
      <c r="M72" s="7"/>
      <c r="N72" s="7">
        <f t="shared" si="9"/>
        <v>2026</v>
      </c>
      <c r="O72" s="7">
        <f t="shared" si="10"/>
        <v>2</v>
      </c>
      <c r="P72" s="7">
        <f t="shared" si="11"/>
        <v>8</v>
      </c>
      <c r="Q72" s="7"/>
    </row>
    <row r="73" spans="1:17" ht="45" x14ac:dyDescent="0.25">
      <c r="A73" s="7">
        <v>2604</v>
      </c>
      <c r="B73" s="9" t="s">
        <v>9</v>
      </c>
      <c r="C73" s="9" t="s">
        <v>290</v>
      </c>
      <c r="D73" s="7" t="s">
        <v>343</v>
      </c>
      <c r="E73" s="8">
        <v>46092</v>
      </c>
      <c r="F73" s="7" t="s">
        <v>311</v>
      </c>
      <c r="G73" s="7" t="s">
        <v>15</v>
      </c>
      <c r="H73" s="7" t="s">
        <v>59</v>
      </c>
      <c r="I73" s="7">
        <v>22</v>
      </c>
      <c r="J73" s="7" t="s">
        <v>512</v>
      </c>
      <c r="K73" s="7" t="s">
        <v>681</v>
      </c>
      <c r="L73" s="43" t="s">
        <v>1149</v>
      </c>
      <c r="M73" s="7"/>
      <c r="N73" s="7">
        <f t="shared" si="9"/>
        <v>2026</v>
      </c>
      <c r="O73" s="7">
        <f t="shared" si="10"/>
        <v>3</v>
      </c>
      <c r="P73" s="7">
        <f t="shared" si="11"/>
        <v>11</v>
      </c>
      <c r="Q73" s="7"/>
    </row>
    <row r="74" spans="1:17" x14ac:dyDescent="0.25">
      <c r="A74" s="7">
        <v>2605</v>
      </c>
      <c r="B74" s="9" t="s">
        <v>891</v>
      </c>
      <c r="C74" s="9" t="s">
        <v>890</v>
      </c>
      <c r="D74" s="7" t="s">
        <v>1117</v>
      </c>
      <c r="E74" s="8">
        <v>46098</v>
      </c>
      <c r="F74" s="7" t="s">
        <v>314</v>
      </c>
      <c r="G74" s="7" t="s">
        <v>14</v>
      </c>
      <c r="H74" s="7">
        <v>545</v>
      </c>
      <c r="I74" s="7">
        <v>1</v>
      </c>
      <c r="J74" s="7" t="s">
        <v>497</v>
      </c>
      <c r="K74" s="7" t="s">
        <v>680</v>
      </c>
      <c r="L74" s="43" t="s">
        <v>1155</v>
      </c>
      <c r="M74" s="7"/>
      <c r="N74" s="7">
        <f t="shared" si="9"/>
        <v>2026</v>
      </c>
      <c r="O74" s="7">
        <f t="shared" si="10"/>
        <v>3</v>
      </c>
      <c r="P74" s="7">
        <f t="shared" si="11"/>
        <v>12</v>
      </c>
      <c r="Q74" s="7"/>
    </row>
    <row r="75" spans="1:17" x14ac:dyDescent="0.25">
      <c r="A75" s="7"/>
      <c r="B75" s="9"/>
      <c r="C75" s="9"/>
      <c r="D75" s="7"/>
      <c r="E75" s="8"/>
      <c r="F75" s="7"/>
      <c r="G75" s="7"/>
      <c r="H75" s="7"/>
      <c r="I75" s="7"/>
      <c r="J75" s="7"/>
      <c r="K75" s="7"/>
      <c r="L75" s="44"/>
      <c r="M75" s="7"/>
      <c r="N75" s="7"/>
      <c r="O75" s="7"/>
      <c r="P75" s="7"/>
      <c r="Q75" s="7"/>
    </row>
  </sheetData>
  <autoFilter ref="A1:Q74" xr:uid="{5B3AF8AA-2F7A-43DA-A014-01ECD59F1A72}"/>
  <phoneticPr fontId="4" type="noConversion"/>
  <pageMargins left="0.70866141732283472" right="0.70866141732283472" top="0.74803149606299213" bottom="0.74803149606299213" header="0.31496062992125984" footer="0.31496062992125984"/>
  <pageSetup paperSize="9" scale="15" orientation="portrait" r:id="rId1"/>
  <headerFooter>
    <oddFooter>&amp;LKG-LST-002/25.6.21/00</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0FEE2-2886-4674-9219-67280F25E979}">
  <dimension ref="A1:AV5254"/>
  <sheetViews>
    <sheetView showGridLines="0" zoomScale="115" zoomScaleNormal="115" zoomScaleSheetLayoutView="80" workbookViewId="0">
      <pane ySplit="1" topLeftCell="A2844" activePane="bottomLeft" state="frozen"/>
      <selection pane="bottomLeft" activeCell="M2855" sqref="M2855"/>
    </sheetView>
  </sheetViews>
  <sheetFormatPr defaultColWidth="4.5703125" defaultRowHeight="15" x14ac:dyDescent="0.25"/>
  <cols>
    <col min="1" max="1" width="9.5703125" style="62" bestFit="1" customWidth="1"/>
    <col min="2" max="3" width="22.85546875" style="9" bestFit="1" customWidth="1"/>
    <col min="4" max="4" width="21.7109375" style="8" bestFit="1" customWidth="1"/>
    <col min="5" max="5" width="26.42578125" style="7" bestFit="1" customWidth="1"/>
    <col min="6" max="6" width="15" style="7" bestFit="1" customWidth="1"/>
    <col min="7" max="7" width="9.85546875" style="7" bestFit="1" customWidth="1"/>
    <col min="8" max="8" width="12" style="7" bestFit="1" customWidth="1"/>
    <col min="9" max="9" width="13.28515625" style="8" hidden="1" customWidth="1"/>
    <col min="10" max="11" width="10.5703125" style="7" hidden="1" customWidth="1"/>
    <col min="12" max="12" width="12.42578125" style="7" hidden="1" customWidth="1"/>
    <col min="13" max="13" width="22.28515625" style="7" bestFit="1" customWidth="1"/>
    <col min="14" max="14" width="17.140625" style="7" bestFit="1" customWidth="1"/>
    <col min="15" max="15" width="28.140625" style="7" bestFit="1" customWidth="1"/>
    <col min="16" max="17" width="10.7109375" style="7" bestFit="1" customWidth="1"/>
    <col min="24" max="26" width="18.85546875" bestFit="1" customWidth="1"/>
  </cols>
  <sheetData>
    <row r="1" spans="1:17" ht="31.5" x14ac:dyDescent="0.25">
      <c r="A1" s="53" t="s">
        <v>11</v>
      </c>
      <c r="B1" s="53" t="s">
        <v>478</v>
      </c>
      <c r="C1" s="53" t="s">
        <v>25</v>
      </c>
      <c r="D1" s="53" t="s">
        <v>480</v>
      </c>
      <c r="E1" s="54" t="s">
        <v>488</v>
      </c>
      <c r="F1" s="55" t="s">
        <v>484</v>
      </c>
      <c r="G1" s="55" t="s">
        <v>481</v>
      </c>
      <c r="H1" s="55" t="s">
        <v>482</v>
      </c>
      <c r="I1" s="55" t="s">
        <v>485</v>
      </c>
      <c r="J1" s="55" t="s">
        <v>486</v>
      </c>
      <c r="K1" s="55" t="s">
        <v>487</v>
      </c>
      <c r="L1" s="55" t="s">
        <v>309</v>
      </c>
      <c r="M1" s="53" t="s">
        <v>490</v>
      </c>
      <c r="N1" s="53" t="s">
        <v>578</v>
      </c>
      <c r="O1" s="59" t="s">
        <v>310</v>
      </c>
      <c r="P1" s="60" t="s">
        <v>549</v>
      </c>
      <c r="Q1" s="60" t="s">
        <v>1096</v>
      </c>
    </row>
    <row r="2" spans="1:17" x14ac:dyDescent="0.25">
      <c r="A2" s="41">
        <v>2501</v>
      </c>
      <c r="B2" s="9" t="s">
        <v>9</v>
      </c>
      <c r="C2" s="9" t="s">
        <v>316</v>
      </c>
      <c r="D2" s="8">
        <v>45678</v>
      </c>
      <c r="E2" s="8" t="s">
        <v>63</v>
      </c>
      <c r="F2" s="7">
        <v>1</v>
      </c>
      <c r="G2" s="7" t="s">
        <v>15</v>
      </c>
      <c r="I2" s="8">
        <v>45536</v>
      </c>
      <c r="J2" s="7">
        <f>YEAR(I2)</f>
        <v>2024</v>
      </c>
      <c r="K2" s="7">
        <f>MONTH(I2)</f>
        <v>9</v>
      </c>
      <c r="L2" s="7">
        <f>D2-I2</f>
        <v>142</v>
      </c>
      <c r="M2" s="7" t="s">
        <v>495</v>
      </c>
      <c r="N2" s="7" t="s">
        <v>580</v>
      </c>
      <c r="O2" s="7" t="s">
        <v>680</v>
      </c>
      <c r="P2" s="7">
        <f>MONTH(D2)</f>
        <v>1</v>
      </c>
      <c r="Q2" s="7">
        <f>YEAR(D2)</f>
        <v>2025</v>
      </c>
    </row>
    <row r="3" spans="1:17" x14ac:dyDescent="0.25">
      <c r="A3" s="41">
        <v>2501</v>
      </c>
      <c r="B3" s="9" t="s">
        <v>9</v>
      </c>
      <c r="C3" s="9" t="s">
        <v>316</v>
      </c>
      <c r="D3" s="8">
        <v>45678</v>
      </c>
      <c r="E3" s="8" t="s">
        <v>64</v>
      </c>
      <c r="F3" s="7">
        <v>1</v>
      </c>
      <c r="G3" s="7" t="s">
        <v>15</v>
      </c>
      <c r="I3" s="8">
        <v>45536</v>
      </c>
      <c r="J3" s="7">
        <f t="shared" ref="J3:J67" si="0">YEAR(I3)</f>
        <v>2024</v>
      </c>
      <c r="K3" s="7">
        <f t="shared" ref="K3:K67" si="1">MONTH(I3)</f>
        <v>9</v>
      </c>
      <c r="L3" s="7">
        <f t="shared" ref="L3:L67" si="2">D3-I3</f>
        <v>142</v>
      </c>
      <c r="M3" s="7" t="s">
        <v>495</v>
      </c>
      <c r="N3" s="7" t="s">
        <v>580</v>
      </c>
      <c r="O3" s="7" t="s">
        <v>680</v>
      </c>
      <c r="P3" s="7">
        <f t="shared" ref="P3:P67" si="3">MONTH(D3)</f>
        <v>1</v>
      </c>
      <c r="Q3" s="7">
        <f t="shared" ref="Q3:Q66" si="4">YEAR(D3)</f>
        <v>2025</v>
      </c>
    </row>
    <row r="4" spans="1:17" x14ac:dyDescent="0.25">
      <c r="A4" s="41">
        <v>2501</v>
      </c>
      <c r="B4" s="9" t="s">
        <v>9</v>
      </c>
      <c r="C4" s="9" t="s">
        <v>316</v>
      </c>
      <c r="D4" s="8">
        <v>45678</v>
      </c>
      <c r="E4" s="8" t="s">
        <v>65</v>
      </c>
      <c r="F4" s="7">
        <v>1</v>
      </c>
      <c r="G4" s="7" t="s">
        <v>15</v>
      </c>
      <c r="I4" s="8">
        <v>45536</v>
      </c>
      <c r="J4" s="7">
        <f t="shared" si="0"/>
        <v>2024</v>
      </c>
      <c r="K4" s="7">
        <f t="shared" si="1"/>
        <v>9</v>
      </c>
      <c r="L4" s="7">
        <f t="shared" si="2"/>
        <v>142</v>
      </c>
      <c r="M4" s="7" t="s">
        <v>495</v>
      </c>
      <c r="N4" s="7" t="s">
        <v>580</v>
      </c>
      <c r="O4" s="7" t="s">
        <v>680</v>
      </c>
      <c r="P4" s="7">
        <f t="shared" si="3"/>
        <v>1</v>
      </c>
      <c r="Q4" s="7">
        <f t="shared" si="4"/>
        <v>2025</v>
      </c>
    </row>
    <row r="5" spans="1:17" x14ac:dyDescent="0.25">
      <c r="A5" s="41">
        <v>2501</v>
      </c>
      <c r="B5" s="9" t="s">
        <v>9</v>
      </c>
      <c r="C5" s="9" t="s">
        <v>316</v>
      </c>
      <c r="D5" s="8">
        <v>45678</v>
      </c>
      <c r="E5" s="8" t="s">
        <v>66</v>
      </c>
      <c r="F5" s="7">
        <v>1</v>
      </c>
      <c r="G5" s="7" t="s">
        <v>15</v>
      </c>
      <c r="I5" s="8">
        <v>45536</v>
      </c>
      <c r="J5" s="7">
        <f t="shared" si="0"/>
        <v>2024</v>
      </c>
      <c r="K5" s="7">
        <f t="shared" si="1"/>
        <v>9</v>
      </c>
      <c r="L5" s="7">
        <f t="shared" si="2"/>
        <v>142</v>
      </c>
      <c r="M5" s="7" t="s">
        <v>917</v>
      </c>
      <c r="N5" s="7" t="s">
        <v>580</v>
      </c>
      <c r="O5" s="7" t="s">
        <v>680</v>
      </c>
      <c r="P5" s="7">
        <f t="shared" si="3"/>
        <v>1</v>
      </c>
      <c r="Q5" s="7">
        <f t="shared" si="4"/>
        <v>2025</v>
      </c>
    </row>
    <row r="6" spans="1:17" x14ac:dyDescent="0.25">
      <c r="A6" s="41">
        <v>2501</v>
      </c>
      <c r="B6" s="9" t="s">
        <v>9</v>
      </c>
      <c r="C6" s="9" t="s">
        <v>316</v>
      </c>
      <c r="D6" s="8">
        <v>45678</v>
      </c>
      <c r="E6" s="8" t="s">
        <v>67</v>
      </c>
      <c r="F6" s="7">
        <v>1</v>
      </c>
      <c r="G6" s="7" t="s">
        <v>15</v>
      </c>
      <c r="I6" s="8">
        <v>45536</v>
      </c>
      <c r="J6" s="7">
        <f t="shared" si="0"/>
        <v>2024</v>
      </c>
      <c r="K6" s="7">
        <f t="shared" si="1"/>
        <v>9</v>
      </c>
      <c r="L6" s="7">
        <f t="shared" si="2"/>
        <v>142</v>
      </c>
      <c r="M6" s="7" t="s">
        <v>917</v>
      </c>
      <c r="N6" s="7" t="s">
        <v>580</v>
      </c>
      <c r="O6" s="7" t="s">
        <v>680</v>
      </c>
      <c r="P6" s="7">
        <f t="shared" si="3"/>
        <v>1</v>
      </c>
      <c r="Q6" s="7">
        <f t="shared" si="4"/>
        <v>2025</v>
      </c>
    </row>
    <row r="7" spans="1:17" x14ac:dyDescent="0.25">
      <c r="A7" s="41">
        <v>2501</v>
      </c>
      <c r="B7" s="9" t="s">
        <v>9</v>
      </c>
      <c r="C7" s="9" t="s">
        <v>316</v>
      </c>
      <c r="D7" s="8">
        <v>45678</v>
      </c>
      <c r="E7" s="8" t="s">
        <v>68</v>
      </c>
      <c r="F7" s="7">
        <v>1</v>
      </c>
      <c r="G7" s="7" t="s">
        <v>15</v>
      </c>
      <c r="I7" s="8">
        <v>45536</v>
      </c>
      <c r="J7" s="7">
        <f t="shared" si="0"/>
        <v>2024</v>
      </c>
      <c r="K7" s="7">
        <f t="shared" si="1"/>
        <v>9</v>
      </c>
      <c r="L7" s="7">
        <f t="shared" si="2"/>
        <v>142</v>
      </c>
      <c r="M7" s="7" t="s">
        <v>495</v>
      </c>
      <c r="N7" s="7" t="s">
        <v>580</v>
      </c>
      <c r="O7" s="7" t="s">
        <v>680</v>
      </c>
      <c r="P7" s="7">
        <f t="shared" si="3"/>
        <v>1</v>
      </c>
      <c r="Q7" s="7">
        <f t="shared" si="4"/>
        <v>2025</v>
      </c>
    </row>
    <row r="8" spans="1:17" x14ac:dyDescent="0.25">
      <c r="A8" s="41">
        <v>2501</v>
      </c>
      <c r="B8" s="9" t="s">
        <v>9</v>
      </c>
      <c r="C8" s="9" t="s">
        <v>316</v>
      </c>
      <c r="D8" s="8">
        <v>45678</v>
      </c>
      <c r="E8" s="8" t="s">
        <v>69</v>
      </c>
      <c r="F8" s="7">
        <v>1</v>
      </c>
      <c r="G8" s="7" t="s">
        <v>15</v>
      </c>
      <c r="I8" s="8">
        <v>45536</v>
      </c>
      <c r="J8" s="7">
        <f t="shared" si="0"/>
        <v>2024</v>
      </c>
      <c r="K8" s="7">
        <f t="shared" si="1"/>
        <v>9</v>
      </c>
      <c r="L8" s="7">
        <f t="shared" si="2"/>
        <v>142</v>
      </c>
      <c r="M8" s="7" t="s">
        <v>917</v>
      </c>
      <c r="N8" s="7" t="s">
        <v>580</v>
      </c>
      <c r="O8" s="7" t="s">
        <v>680</v>
      </c>
      <c r="P8" s="7">
        <f t="shared" si="3"/>
        <v>1</v>
      </c>
      <c r="Q8" s="7">
        <f t="shared" si="4"/>
        <v>2025</v>
      </c>
    </row>
    <row r="9" spans="1:17" x14ac:dyDescent="0.25">
      <c r="A9" s="41">
        <v>2501</v>
      </c>
      <c r="B9" s="9" t="s">
        <v>9</v>
      </c>
      <c r="C9" s="9" t="s">
        <v>316</v>
      </c>
      <c r="D9" s="8">
        <v>45678</v>
      </c>
      <c r="E9" s="8" t="s">
        <v>70</v>
      </c>
      <c r="F9" s="7">
        <v>1</v>
      </c>
      <c r="G9" s="7" t="s">
        <v>15</v>
      </c>
      <c r="I9" s="8">
        <v>45536</v>
      </c>
      <c r="J9" s="7">
        <f t="shared" si="0"/>
        <v>2024</v>
      </c>
      <c r="K9" s="7">
        <f t="shared" si="1"/>
        <v>9</v>
      </c>
      <c r="L9" s="7">
        <f t="shared" si="2"/>
        <v>142</v>
      </c>
      <c r="M9" s="7" t="s">
        <v>495</v>
      </c>
      <c r="N9" s="7" t="s">
        <v>580</v>
      </c>
      <c r="O9" s="7" t="s">
        <v>680</v>
      </c>
      <c r="P9" s="7">
        <f t="shared" si="3"/>
        <v>1</v>
      </c>
      <c r="Q9" s="7">
        <f t="shared" si="4"/>
        <v>2025</v>
      </c>
    </row>
    <row r="10" spans="1:17" x14ac:dyDescent="0.25">
      <c r="A10" s="41">
        <v>2501</v>
      </c>
      <c r="B10" s="9" t="s">
        <v>9</v>
      </c>
      <c r="C10" s="9" t="s">
        <v>316</v>
      </c>
      <c r="D10" s="8">
        <v>45678</v>
      </c>
      <c r="E10" s="8" t="s">
        <v>71</v>
      </c>
      <c r="F10" s="7">
        <v>1</v>
      </c>
      <c r="G10" s="7" t="s">
        <v>15</v>
      </c>
      <c r="I10" s="8">
        <v>45536</v>
      </c>
      <c r="J10" s="7">
        <f t="shared" si="0"/>
        <v>2024</v>
      </c>
      <c r="K10" s="7">
        <f t="shared" si="1"/>
        <v>9</v>
      </c>
      <c r="L10" s="7">
        <f t="shared" si="2"/>
        <v>142</v>
      </c>
      <c r="M10" s="7" t="s">
        <v>495</v>
      </c>
      <c r="N10" s="7" t="s">
        <v>580</v>
      </c>
      <c r="O10" s="7" t="s">
        <v>680</v>
      </c>
      <c r="P10" s="7">
        <f t="shared" si="3"/>
        <v>1</v>
      </c>
      <c r="Q10" s="7">
        <f t="shared" si="4"/>
        <v>2025</v>
      </c>
    </row>
    <row r="11" spans="1:17" x14ac:dyDescent="0.25">
      <c r="A11" s="41">
        <v>2502</v>
      </c>
      <c r="B11" s="9" t="s">
        <v>10</v>
      </c>
      <c r="C11" s="9" t="s">
        <v>26</v>
      </c>
      <c r="D11" s="8">
        <v>45686</v>
      </c>
      <c r="E11" s="7" t="s">
        <v>72</v>
      </c>
      <c r="F11" s="7">
        <v>1</v>
      </c>
      <c r="G11" s="7" t="s">
        <v>14</v>
      </c>
      <c r="I11" s="8">
        <v>44501</v>
      </c>
      <c r="J11" s="7">
        <f t="shared" si="0"/>
        <v>2021</v>
      </c>
      <c r="K11" s="7">
        <f t="shared" si="1"/>
        <v>11</v>
      </c>
      <c r="L11" s="7">
        <f t="shared" si="2"/>
        <v>1185</v>
      </c>
      <c r="M11" s="16" t="s">
        <v>497</v>
      </c>
      <c r="N11" s="7" t="s">
        <v>579</v>
      </c>
      <c r="O11" s="7" t="s">
        <v>680</v>
      </c>
      <c r="P11" s="7">
        <f t="shared" si="3"/>
        <v>1</v>
      </c>
      <c r="Q11" s="7">
        <f t="shared" si="4"/>
        <v>2025</v>
      </c>
    </row>
    <row r="12" spans="1:17" x14ac:dyDescent="0.25">
      <c r="A12" s="41">
        <v>2502</v>
      </c>
      <c r="B12" s="9" t="s">
        <v>10</v>
      </c>
      <c r="C12" s="9" t="s">
        <v>26</v>
      </c>
      <c r="D12" s="8">
        <v>45686</v>
      </c>
      <c r="E12" s="7" t="s">
        <v>73</v>
      </c>
      <c r="F12" s="7">
        <v>1</v>
      </c>
      <c r="G12" s="7" t="s">
        <v>14</v>
      </c>
      <c r="I12" s="8">
        <v>44501</v>
      </c>
      <c r="J12" s="7">
        <f t="shared" si="0"/>
        <v>2021</v>
      </c>
      <c r="K12" s="7">
        <f t="shared" si="1"/>
        <v>11</v>
      </c>
      <c r="L12" s="7">
        <f t="shared" si="2"/>
        <v>1185</v>
      </c>
      <c r="M12" s="16" t="s">
        <v>497</v>
      </c>
      <c r="N12" s="7" t="s">
        <v>579</v>
      </c>
      <c r="O12" s="7" t="s">
        <v>680</v>
      </c>
      <c r="P12" s="7">
        <f t="shared" si="3"/>
        <v>1</v>
      </c>
      <c r="Q12" s="7">
        <f t="shared" si="4"/>
        <v>2025</v>
      </c>
    </row>
    <row r="13" spans="1:17" x14ac:dyDescent="0.25">
      <c r="A13" s="41">
        <v>2502</v>
      </c>
      <c r="B13" s="9" t="s">
        <v>10</v>
      </c>
      <c r="C13" s="9" t="s">
        <v>26</v>
      </c>
      <c r="D13" s="8">
        <v>45686</v>
      </c>
      <c r="E13" s="7" t="s">
        <v>74</v>
      </c>
      <c r="F13" s="7">
        <v>1</v>
      </c>
      <c r="G13" s="7" t="s">
        <v>14</v>
      </c>
      <c r="I13" s="8">
        <v>44501</v>
      </c>
      <c r="J13" s="7">
        <f t="shared" si="0"/>
        <v>2021</v>
      </c>
      <c r="K13" s="7">
        <f t="shared" si="1"/>
        <v>11</v>
      </c>
      <c r="L13" s="7">
        <f t="shared" si="2"/>
        <v>1185</v>
      </c>
      <c r="M13" s="16" t="s">
        <v>497</v>
      </c>
      <c r="N13" s="7" t="s">
        <v>579</v>
      </c>
      <c r="O13" s="7" t="s">
        <v>680</v>
      </c>
      <c r="P13" s="7">
        <f t="shared" si="3"/>
        <v>1</v>
      </c>
      <c r="Q13" s="7">
        <f t="shared" si="4"/>
        <v>2025</v>
      </c>
    </row>
    <row r="14" spans="1:17" x14ac:dyDescent="0.25">
      <c r="A14" s="41">
        <v>2502</v>
      </c>
      <c r="B14" s="9" t="s">
        <v>10</v>
      </c>
      <c r="C14" s="9" t="s">
        <v>26</v>
      </c>
      <c r="D14" s="8">
        <v>45686</v>
      </c>
      <c r="E14" s="7" t="s">
        <v>75</v>
      </c>
      <c r="F14" s="7">
        <v>1</v>
      </c>
      <c r="G14" s="7" t="s">
        <v>14</v>
      </c>
      <c r="I14" s="8">
        <v>44501</v>
      </c>
      <c r="J14" s="7">
        <f t="shared" si="0"/>
        <v>2021</v>
      </c>
      <c r="K14" s="7">
        <f t="shared" si="1"/>
        <v>11</v>
      </c>
      <c r="L14" s="7">
        <f t="shared" si="2"/>
        <v>1185</v>
      </c>
      <c r="M14" s="16" t="s">
        <v>497</v>
      </c>
      <c r="N14" s="7" t="s">
        <v>579</v>
      </c>
      <c r="O14" s="7" t="s">
        <v>680</v>
      </c>
      <c r="P14" s="7">
        <f t="shared" si="3"/>
        <v>1</v>
      </c>
      <c r="Q14" s="7">
        <f t="shared" si="4"/>
        <v>2025</v>
      </c>
    </row>
    <row r="15" spans="1:17" x14ac:dyDescent="0.25">
      <c r="A15" s="41">
        <v>2502</v>
      </c>
      <c r="B15" s="9" t="s">
        <v>10</v>
      </c>
      <c r="C15" s="9" t="s">
        <v>26</v>
      </c>
      <c r="D15" s="8">
        <v>45686</v>
      </c>
      <c r="E15" s="7" t="s">
        <v>76</v>
      </c>
      <c r="F15" s="7">
        <v>1</v>
      </c>
      <c r="G15" s="7" t="s">
        <v>14</v>
      </c>
      <c r="I15" s="8">
        <v>44501</v>
      </c>
      <c r="J15" s="7">
        <f t="shared" si="0"/>
        <v>2021</v>
      </c>
      <c r="K15" s="7">
        <f t="shared" si="1"/>
        <v>11</v>
      </c>
      <c r="L15" s="7">
        <f t="shared" si="2"/>
        <v>1185</v>
      </c>
      <c r="M15" s="16" t="s">
        <v>497</v>
      </c>
      <c r="N15" s="7" t="s">
        <v>579</v>
      </c>
      <c r="O15" s="7" t="s">
        <v>680</v>
      </c>
      <c r="P15" s="7">
        <f t="shared" si="3"/>
        <v>1</v>
      </c>
      <c r="Q15" s="7">
        <f t="shared" si="4"/>
        <v>2025</v>
      </c>
    </row>
    <row r="16" spans="1:17" x14ac:dyDescent="0.25">
      <c r="A16" s="41">
        <v>2502</v>
      </c>
      <c r="B16" s="9" t="s">
        <v>10</v>
      </c>
      <c r="C16" s="9" t="s">
        <v>26</v>
      </c>
      <c r="D16" s="8">
        <v>45686</v>
      </c>
      <c r="E16" s="7" t="s">
        <v>77</v>
      </c>
      <c r="F16" s="7">
        <v>1</v>
      </c>
      <c r="G16" s="7" t="s">
        <v>14</v>
      </c>
      <c r="I16" s="8">
        <v>44501</v>
      </c>
      <c r="J16" s="7">
        <f t="shared" si="0"/>
        <v>2021</v>
      </c>
      <c r="K16" s="7">
        <f t="shared" si="1"/>
        <v>11</v>
      </c>
      <c r="L16" s="7">
        <f t="shared" si="2"/>
        <v>1185</v>
      </c>
      <c r="M16" s="16" t="s">
        <v>497</v>
      </c>
      <c r="N16" s="7" t="s">
        <v>579</v>
      </c>
      <c r="O16" s="7" t="s">
        <v>680</v>
      </c>
      <c r="P16" s="7">
        <f t="shared" si="3"/>
        <v>1</v>
      </c>
      <c r="Q16" s="7">
        <f t="shared" si="4"/>
        <v>2025</v>
      </c>
    </row>
    <row r="17" spans="1:17" x14ac:dyDescent="0.25">
      <c r="A17" s="41">
        <v>2502</v>
      </c>
      <c r="B17" s="9" t="s">
        <v>10</v>
      </c>
      <c r="C17" s="9" t="s">
        <v>26</v>
      </c>
      <c r="D17" s="8">
        <v>45686</v>
      </c>
      <c r="E17" s="7" t="s">
        <v>78</v>
      </c>
      <c r="F17" s="7">
        <v>1</v>
      </c>
      <c r="G17" s="7" t="s">
        <v>14</v>
      </c>
      <c r="I17" s="8">
        <v>44501</v>
      </c>
      <c r="J17" s="7">
        <f t="shared" si="0"/>
        <v>2021</v>
      </c>
      <c r="K17" s="7">
        <f t="shared" si="1"/>
        <v>11</v>
      </c>
      <c r="L17" s="7">
        <f t="shared" si="2"/>
        <v>1185</v>
      </c>
      <c r="M17" s="16" t="s">
        <v>497</v>
      </c>
      <c r="N17" s="7" t="s">
        <v>579</v>
      </c>
      <c r="O17" s="7" t="s">
        <v>680</v>
      </c>
      <c r="P17" s="7">
        <f t="shared" si="3"/>
        <v>1</v>
      </c>
      <c r="Q17" s="7">
        <f t="shared" si="4"/>
        <v>2025</v>
      </c>
    </row>
    <row r="18" spans="1:17" x14ac:dyDescent="0.25">
      <c r="A18" s="41">
        <v>2502</v>
      </c>
      <c r="B18" s="9" t="s">
        <v>10</v>
      </c>
      <c r="C18" s="9" t="s">
        <v>26</v>
      </c>
      <c r="D18" s="8">
        <v>45686</v>
      </c>
      <c r="E18" s="7" t="s">
        <v>79</v>
      </c>
      <c r="F18" s="7">
        <v>1</v>
      </c>
      <c r="G18" s="7" t="s">
        <v>14</v>
      </c>
      <c r="I18" s="8">
        <v>44501</v>
      </c>
      <c r="J18" s="7">
        <f t="shared" si="0"/>
        <v>2021</v>
      </c>
      <c r="K18" s="7">
        <f t="shared" si="1"/>
        <v>11</v>
      </c>
      <c r="L18" s="7">
        <f t="shared" si="2"/>
        <v>1185</v>
      </c>
      <c r="M18" s="16" t="s">
        <v>497</v>
      </c>
      <c r="N18" s="7" t="s">
        <v>579</v>
      </c>
      <c r="O18" s="7" t="s">
        <v>680</v>
      </c>
      <c r="P18" s="7">
        <f t="shared" si="3"/>
        <v>1</v>
      </c>
      <c r="Q18" s="7">
        <f t="shared" si="4"/>
        <v>2025</v>
      </c>
    </row>
    <row r="19" spans="1:17" x14ac:dyDescent="0.25">
      <c r="A19" s="41">
        <v>2502</v>
      </c>
      <c r="B19" s="9" t="s">
        <v>10</v>
      </c>
      <c r="C19" s="9" t="s">
        <v>26</v>
      </c>
      <c r="D19" s="8">
        <v>45686</v>
      </c>
      <c r="E19" s="7" t="s">
        <v>80</v>
      </c>
      <c r="F19" s="7">
        <v>1</v>
      </c>
      <c r="G19" s="7" t="s">
        <v>14</v>
      </c>
      <c r="I19" s="8">
        <v>44501</v>
      </c>
      <c r="J19" s="7">
        <f t="shared" si="0"/>
        <v>2021</v>
      </c>
      <c r="K19" s="7">
        <f t="shared" si="1"/>
        <v>11</v>
      </c>
      <c r="L19" s="7">
        <f t="shared" si="2"/>
        <v>1185</v>
      </c>
      <c r="M19" s="16" t="s">
        <v>497</v>
      </c>
      <c r="N19" s="7" t="s">
        <v>579</v>
      </c>
      <c r="O19" s="7" t="s">
        <v>680</v>
      </c>
      <c r="P19" s="7">
        <f t="shared" si="3"/>
        <v>1</v>
      </c>
      <c r="Q19" s="7">
        <f t="shared" si="4"/>
        <v>2025</v>
      </c>
    </row>
    <row r="20" spans="1:17" x14ac:dyDescent="0.25">
      <c r="A20" s="41">
        <v>2502</v>
      </c>
      <c r="B20" s="9" t="s">
        <v>10</v>
      </c>
      <c r="C20" s="9" t="s">
        <v>26</v>
      </c>
      <c r="D20" s="8">
        <v>45686</v>
      </c>
      <c r="E20" s="7" t="s">
        <v>81</v>
      </c>
      <c r="F20" s="7">
        <v>1</v>
      </c>
      <c r="G20" s="7" t="s">
        <v>14</v>
      </c>
      <c r="I20" s="8">
        <v>44501</v>
      </c>
      <c r="J20" s="7">
        <f t="shared" si="0"/>
        <v>2021</v>
      </c>
      <c r="K20" s="7">
        <f t="shared" si="1"/>
        <v>11</v>
      </c>
      <c r="L20" s="7">
        <f t="shared" si="2"/>
        <v>1185</v>
      </c>
      <c r="M20" s="16" t="s">
        <v>497</v>
      </c>
      <c r="N20" s="7" t="s">
        <v>579</v>
      </c>
      <c r="O20" s="7" t="s">
        <v>680</v>
      </c>
      <c r="P20" s="7">
        <f t="shared" si="3"/>
        <v>1</v>
      </c>
      <c r="Q20" s="7">
        <f t="shared" si="4"/>
        <v>2025</v>
      </c>
    </row>
    <row r="21" spans="1:17" x14ac:dyDescent="0.25">
      <c r="A21" s="41">
        <v>2502</v>
      </c>
      <c r="B21" s="9" t="s">
        <v>10</v>
      </c>
      <c r="C21" s="9" t="s">
        <v>26</v>
      </c>
      <c r="D21" s="8">
        <v>45686</v>
      </c>
      <c r="E21" s="7" t="s">
        <v>82</v>
      </c>
      <c r="F21" s="7">
        <v>1</v>
      </c>
      <c r="G21" s="7" t="s">
        <v>14</v>
      </c>
      <c r="I21" s="8">
        <v>44501</v>
      </c>
      <c r="J21" s="7">
        <f t="shared" si="0"/>
        <v>2021</v>
      </c>
      <c r="K21" s="7">
        <f t="shared" si="1"/>
        <v>11</v>
      </c>
      <c r="L21" s="7">
        <f t="shared" si="2"/>
        <v>1185</v>
      </c>
      <c r="M21" s="16" t="s">
        <v>497</v>
      </c>
      <c r="N21" s="7" t="s">
        <v>580</v>
      </c>
      <c r="O21" s="7" t="s">
        <v>680</v>
      </c>
      <c r="P21" s="7">
        <f t="shared" si="3"/>
        <v>1</v>
      </c>
      <c r="Q21" s="7">
        <f t="shared" si="4"/>
        <v>2025</v>
      </c>
    </row>
    <row r="22" spans="1:17" x14ac:dyDescent="0.25">
      <c r="A22" s="41">
        <v>2502</v>
      </c>
      <c r="B22" s="9" t="s">
        <v>10</v>
      </c>
      <c r="C22" s="9" t="s">
        <v>26</v>
      </c>
      <c r="D22" s="8">
        <v>45686</v>
      </c>
      <c r="E22" s="7" t="s">
        <v>83</v>
      </c>
      <c r="F22" s="7">
        <v>1</v>
      </c>
      <c r="G22" s="7" t="s">
        <v>14</v>
      </c>
      <c r="I22" s="8">
        <v>44501</v>
      </c>
      <c r="J22" s="7">
        <f t="shared" si="0"/>
        <v>2021</v>
      </c>
      <c r="K22" s="7">
        <f t="shared" si="1"/>
        <v>11</v>
      </c>
      <c r="L22" s="7">
        <f t="shared" si="2"/>
        <v>1185</v>
      </c>
      <c r="M22" s="16" t="s">
        <v>497</v>
      </c>
      <c r="N22" s="7" t="s">
        <v>580</v>
      </c>
      <c r="O22" s="7" t="s">
        <v>680</v>
      </c>
      <c r="P22" s="7">
        <f t="shared" si="3"/>
        <v>1</v>
      </c>
      <c r="Q22" s="7">
        <f t="shared" si="4"/>
        <v>2025</v>
      </c>
    </row>
    <row r="23" spans="1:17" x14ac:dyDescent="0.25">
      <c r="A23" s="41">
        <v>2502</v>
      </c>
      <c r="B23" s="9" t="s">
        <v>10</v>
      </c>
      <c r="C23" s="9" t="s">
        <v>26</v>
      </c>
      <c r="D23" s="8">
        <v>45686</v>
      </c>
      <c r="E23" s="7" t="s">
        <v>84</v>
      </c>
      <c r="F23" s="7">
        <v>1</v>
      </c>
      <c r="G23" s="7" t="s">
        <v>14</v>
      </c>
      <c r="I23" s="8">
        <v>44501</v>
      </c>
      <c r="J23" s="7">
        <f t="shared" si="0"/>
        <v>2021</v>
      </c>
      <c r="K23" s="7">
        <f t="shared" si="1"/>
        <v>11</v>
      </c>
      <c r="L23" s="7">
        <f t="shared" si="2"/>
        <v>1185</v>
      </c>
      <c r="M23" s="16" t="s">
        <v>497</v>
      </c>
      <c r="N23" s="7" t="s">
        <v>579</v>
      </c>
      <c r="O23" s="7" t="s">
        <v>680</v>
      </c>
      <c r="P23" s="7">
        <f t="shared" si="3"/>
        <v>1</v>
      </c>
      <c r="Q23" s="7">
        <f t="shared" si="4"/>
        <v>2025</v>
      </c>
    </row>
    <row r="24" spans="1:17" x14ac:dyDescent="0.25">
      <c r="A24" s="41">
        <v>2502</v>
      </c>
      <c r="B24" s="9" t="s">
        <v>10</v>
      </c>
      <c r="C24" s="9" t="s">
        <v>26</v>
      </c>
      <c r="D24" s="8">
        <v>45686</v>
      </c>
      <c r="E24" s="7" t="s">
        <v>85</v>
      </c>
      <c r="F24" s="7">
        <v>1</v>
      </c>
      <c r="G24" s="7" t="s">
        <v>14</v>
      </c>
      <c r="I24" s="8">
        <v>44501</v>
      </c>
      <c r="J24" s="7">
        <f t="shared" si="0"/>
        <v>2021</v>
      </c>
      <c r="K24" s="7">
        <f t="shared" si="1"/>
        <v>11</v>
      </c>
      <c r="L24" s="7">
        <f t="shared" si="2"/>
        <v>1185</v>
      </c>
      <c r="M24" s="16" t="s">
        <v>497</v>
      </c>
      <c r="N24" s="7" t="s">
        <v>579</v>
      </c>
      <c r="O24" s="7" t="s">
        <v>680</v>
      </c>
      <c r="P24" s="7">
        <f t="shared" si="3"/>
        <v>1</v>
      </c>
      <c r="Q24" s="7">
        <f t="shared" si="4"/>
        <v>2025</v>
      </c>
    </row>
    <row r="25" spans="1:17" x14ac:dyDescent="0.25">
      <c r="A25" s="41">
        <v>2502</v>
      </c>
      <c r="B25" s="9" t="s">
        <v>10</v>
      </c>
      <c r="C25" s="9" t="s">
        <v>26</v>
      </c>
      <c r="D25" s="8">
        <v>45686</v>
      </c>
      <c r="E25" s="7" t="s">
        <v>86</v>
      </c>
      <c r="F25" s="7">
        <v>1</v>
      </c>
      <c r="G25" s="7" t="s">
        <v>14</v>
      </c>
      <c r="I25" s="8">
        <v>44501</v>
      </c>
      <c r="J25" s="7">
        <f t="shared" si="0"/>
        <v>2021</v>
      </c>
      <c r="K25" s="7">
        <f t="shared" si="1"/>
        <v>11</v>
      </c>
      <c r="L25" s="7">
        <f t="shared" si="2"/>
        <v>1185</v>
      </c>
      <c r="M25" s="16" t="s">
        <v>497</v>
      </c>
      <c r="N25" s="7" t="s">
        <v>579</v>
      </c>
      <c r="O25" s="7" t="s">
        <v>680</v>
      </c>
      <c r="P25" s="7">
        <f t="shared" si="3"/>
        <v>1</v>
      </c>
      <c r="Q25" s="7">
        <f t="shared" si="4"/>
        <v>2025</v>
      </c>
    </row>
    <row r="26" spans="1:17" x14ac:dyDescent="0.25">
      <c r="A26" s="41">
        <v>2502</v>
      </c>
      <c r="B26" s="9" t="s">
        <v>10</v>
      </c>
      <c r="C26" s="9" t="s">
        <v>26</v>
      </c>
      <c r="D26" s="8">
        <v>45686</v>
      </c>
      <c r="E26" s="7" t="s">
        <v>87</v>
      </c>
      <c r="F26" s="7">
        <v>1</v>
      </c>
      <c r="G26" s="7" t="s">
        <v>14</v>
      </c>
      <c r="I26" s="8">
        <v>44501</v>
      </c>
      <c r="J26" s="7">
        <f t="shared" si="0"/>
        <v>2021</v>
      </c>
      <c r="K26" s="7">
        <f t="shared" si="1"/>
        <v>11</v>
      </c>
      <c r="L26" s="7">
        <f t="shared" si="2"/>
        <v>1185</v>
      </c>
      <c r="M26" s="16" t="s">
        <v>497</v>
      </c>
      <c r="N26" s="7" t="s">
        <v>579</v>
      </c>
      <c r="O26" s="7" t="s">
        <v>680</v>
      </c>
      <c r="P26" s="7">
        <f t="shared" si="3"/>
        <v>1</v>
      </c>
      <c r="Q26" s="7">
        <f t="shared" si="4"/>
        <v>2025</v>
      </c>
    </row>
    <row r="27" spans="1:17" x14ac:dyDescent="0.25">
      <c r="A27" s="41">
        <v>2502</v>
      </c>
      <c r="B27" s="9" t="s">
        <v>10</v>
      </c>
      <c r="C27" s="9" t="s">
        <v>26</v>
      </c>
      <c r="D27" s="8">
        <v>45686</v>
      </c>
      <c r="E27" s="7" t="s">
        <v>88</v>
      </c>
      <c r="F27" s="7">
        <v>1</v>
      </c>
      <c r="G27" s="7" t="s">
        <v>14</v>
      </c>
      <c r="I27" s="8">
        <v>44501</v>
      </c>
      <c r="J27" s="7">
        <f t="shared" si="0"/>
        <v>2021</v>
      </c>
      <c r="K27" s="7">
        <f t="shared" si="1"/>
        <v>11</v>
      </c>
      <c r="L27" s="7">
        <f t="shared" si="2"/>
        <v>1185</v>
      </c>
      <c r="M27" s="16" t="s">
        <v>497</v>
      </c>
      <c r="N27" s="7" t="s">
        <v>579</v>
      </c>
      <c r="O27" s="7" t="s">
        <v>680</v>
      </c>
      <c r="P27" s="7">
        <f t="shared" si="3"/>
        <v>1</v>
      </c>
      <c r="Q27" s="7">
        <f t="shared" si="4"/>
        <v>2025</v>
      </c>
    </row>
    <row r="28" spans="1:17" x14ac:dyDescent="0.25">
      <c r="A28" s="41">
        <v>2502</v>
      </c>
      <c r="B28" s="9" t="s">
        <v>10</v>
      </c>
      <c r="C28" s="9" t="s">
        <v>26</v>
      </c>
      <c r="D28" s="8">
        <v>45686</v>
      </c>
      <c r="E28" s="7" t="s">
        <v>89</v>
      </c>
      <c r="F28" s="7">
        <v>1</v>
      </c>
      <c r="G28" s="7" t="s">
        <v>14</v>
      </c>
      <c r="I28" s="8">
        <v>44501</v>
      </c>
      <c r="J28" s="7">
        <f t="shared" si="0"/>
        <v>2021</v>
      </c>
      <c r="K28" s="7">
        <f t="shared" si="1"/>
        <v>11</v>
      </c>
      <c r="L28" s="7">
        <f t="shared" si="2"/>
        <v>1185</v>
      </c>
      <c r="M28" s="16" t="s">
        <v>497</v>
      </c>
      <c r="N28" s="7" t="s">
        <v>579</v>
      </c>
      <c r="O28" s="7" t="s">
        <v>680</v>
      </c>
      <c r="P28" s="7">
        <f t="shared" si="3"/>
        <v>1</v>
      </c>
      <c r="Q28" s="7">
        <f t="shared" si="4"/>
        <v>2025</v>
      </c>
    </row>
    <row r="29" spans="1:17" x14ac:dyDescent="0.25">
      <c r="A29" s="41">
        <v>2502</v>
      </c>
      <c r="B29" s="9" t="s">
        <v>10</v>
      </c>
      <c r="C29" s="9" t="s">
        <v>26</v>
      </c>
      <c r="D29" s="8">
        <v>45686</v>
      </c>
      <c r="E29" s="7" t="s">
        <v>909</v>
      </c>
      <c r="F29" s="7">
        <v>1</v>
      </c>
      <c r="G29" s="7" t="s">
        <v>14</v>
      </c>
      <c r="I29" s="8">
        <v>44501</v>
      </c>
      <c r="J29" s="7">
        <f>YEAR(I29)</f>
        <v>2021</v>
      </c>
      <c r="K29" s="7">
        <f>MONTH(I29)</f>
        <v>11</v>
      </c>
      <c r="L29" s="7">
        <f>D29-I29</f>
        <v>1185</v>
      </c>
      <c r="M29" s="16" t="s">
        <v>497</v>
      </c>
      <c r="N29" s="7" t="s">
        <v>579</v>
      </c>
      <c r="O29" s="7" t="s">
        <v>680</v>
      </c>
      <c r="P29" s="7">
        <f>MONTH(D29)</f>
        <v>1</v>
      </c>
      <c r="Q29" s="7">
        <f t="shared" si="4"/>
        <v>2025</v>
      </c>
    </row>
    <row r="30" spans="1:17" x14ac:dyDescent="0.25">
      <c r="A30" s="41">
        <v>2503</v>
      </c>
      <c r="B30" s="9" t="s">
        <v>10</v>
      </c>
      <c r="C30" s="9" t="s">
        <v>883</v>
      </c>
      <c r="D30" s="8">
        <v>45686</v>
      </c>
      <c r="E30" s="7" t="s">
        <v>90</v>
      </c>
      <c r="F30" s="7">
        <v>1</v>
      </c>
      <c r="G30" s="7" t="s">
        <v>15</v>
      </c>
      <c r="I30" s="8">
        <v>44958</v>
      </c>
      <c r="J30" s="7">
        <f t="shared" si="0"/>
        <v>2023</v>
      </c>
      <c r="K30" s="7">
        <f t="shared" si="1"/>
        <v>2</v>
      </c>
      <c r="L30" s="7">
        <f t="shared" si="2"/>
        <v>728</v>
      </c>
      <c r="M30" s="16" t="s">
        <v>497</v>
      </c>
      <c r="N30" s="7" t="s">
        <v>579</v>
      </c>
      <c r="O30" s="7" t="s">
        <v>680</v>
      </c>
      <c r="P30" s="7">
        <f t="shared" si="3"/>
        <v>1</v>
      </c>
      <c r="Q30" s="7">
        <f t="shared" si="4"/>
        <v>2025</v>
      </c>
    </row>
    <row r="31" spans="1:17" x14ac:dyDescent="0.25">
      <c r="A31" s="41">
        <v>2503</v>
      </c>
      <c r="B31" s="9" t="s">
        <v>10</v>
      </c>
      <c r="C31" s="9" t="s">
        <v>883</v>
      </c>
      <c r="D31" s="8">
        <v>45686</v>
      </c>
      <c r="E31" s="7" t="s">
        <v>91</v>
      </c>
      <c r="F31" s="7">
        <v>1</v>
      </c>
      <c r="G31" s="7" t="s">
        <v>15</v>
      </c>
      <c r="I31" s="8">
        <v>44958</v>
      </c>
      <c r="J31" s="7">
        <f t="shared" si="0"/>
        <v>2023</v>
      </c>
      <c r="K31" s="7">
        <f t="shared" si="1"/>
        <v>2</v>
      </c>
      <c r="L31" s="7">
        <f t="shared" si="2"/>
        <v>728</v>
      </c>
      <c r="M31" s="16" t="s">
        <v>497</v>
      </c>
      <c r="N31" s="7" t="s">
        <v>579</v>
      </c>
      <c r="O31" s="7" t="s">
        <v>680</v>
      </c>
      <c r="P31" s="7">
        <f t="shared" si="3"/>
        <v>1</v>
      </c>
      <c r="Q31" s="7">
        <f t="shared" si="4"/>
        <v>2025</v>
      </c>
    </row>
    <row r="32" spans="1:17" x14ac:dyDescent="0.25">
      <c r="A32" s="41">
        <v>2503</v>
      </c>
      <c r="B32" s="9" t="s">
        <v>10</v>
      </c>
      <c r="C32" s="9" t="s">
        <v>883</v>
      </c>
      <c r="D32" s="8">
        <v>45686</v>
      </c>
      <c r="E32" s="7" t="s">
        <v>92</v>
      </c>
      <c r="F32" s="7">
        <v>1</v>
      </c>
      <c r="G32" s="7" t="s">
        <v>15</v>
      </c>
      <c r="I32" s="8">
        <v>44958</v>
      </c>
      <c r="J32" s="7">
        <f t="shared" si="0"/>
        <v>2023</v>
      </c>
      <c r="K32" s="7">
        <f t="shared" si="1"/>
        <v>2</v>
      </c>
      <c r="L32" s="7">
        <f t="shared" si="2"/>
        <v>728</v>
      </c>
      <c r="M32" s="16" t="s">
        <v>497</v>
      </c>
      <c r="N32" s="7" t="s">
        <v>579</v>
      </c>
      <c r="O32" s="7" t="s">
        <v>680</v>
      </c>
      <c r="P32" s="7">
        <f t="shared" si="3"/>
        <v>1</v>
      </c>
      <c r="Q32" s="7">
        <f t="shared" si="4"/>
        <v>2025</v>
      </c>
    </row>
    <row r="33" spans="1:17" x14ac:dyDescent="0.25">
      <c r="A33" s="41">
        <v>2503</v>
      </c>
      <c r="B33" s="9" t="s">
        <v>10</v>
      </c>
      <c r="C33" s="9" t="s">
        <v>883</v>
      </c>
      <c r="D33" s="8">
        <v>45686</v>
      </c>
      <c r="E33" s="7" t="s">
        <v>93</v>
      </c>
      <c r="F33" s="7">
        <v>1</v>
      </c>
      <c r="G33" s="7" t="s">
        <v>15</v>
      </c>
      <c r="I33" s="8">
        <v>44958</v>
      </c>
      <c r="J33" s="7">
        <f t="shared" si="0"/>
        <v>2023</v>
      </c>
      <c r="K33" s="7">
        <f t="shared" si="1"/>
        <v>2</v>
      </c>
      <c r="L33" s="7">
        <f t="shared" si="2"/>
        <v>728</v>
      </c>
      <c r="M33" s="16" t="s">
        <v>497</v>
      </c>
      <c r="N33" s="7" t="s">
        <v>579</v>
      </c>
      <c r="O33" s="7" t="s">
        <v>680</v>
      </c>
      <c r="P33" s="7">
        <f t="shared" si="3"/>
        <v>1</v>
      </c>
      <c r="Q33" s="7">
        <f t="shared" si="4"/>
        <v>2025</v>
      </c>
    </row>
    <row r="34" spans="1:17" x14ac:dyDescent="0.25">
      <c r="A34" s="41">
        <v>2503</v>
      </c>
      <c r="B34" s="9" t="s">
        <v>10</v>
      </c>
      <c r="C34" s="9" t="s">
        <v>883</v>
      </c>
      <c r="D34" s="8">
        <v>45686</v>
      </c>
      <c r="E34" s="7" t="s">
        <v>94</v>
      </c>
      <c r="F34" s="7">
        <v>1</v>
      </c>
      <c r="G34" s="7" t="s">
        <v>15</v>
      </c>
      <c r="I34" s="8">
        <v>44958</v>
      </c>
      <c r="J34" s="7">
        <f t="shared" si="0"/>
        <v>2023</v>
      </c>
      <c r="K34" s="7">
        <f t="shared" si="1"/>
        <v>2</v>
      </c>
      <c r="L34" s="7">
        <f t="shared" si="2"/>
        <v>728</v>
      </c>
      <c r="M34" s="16" t="s">
        <v>497</v>
      </c>
      <c r="N34" s="7" t="s">
        <v>579</v>
      </c>
      <c r="O34" s="7" t="s">
        <v>680</v>
      </c>
      <c r="P34" s="7">
        <f t="shared" si="3"/>
        <v>1</v>
      </c>
      <c r="Q34" s="7">
        <f t="shared" si="4"/>
        <v>2025</v>
      </c>
    </row>
    <row r="35" spans="1:17" x14ac:dyDescent="0.25">
      <c r="A35" s="41">
        <v>2503</v>
      </c>
      <c r="B35" s="9" t="s">
        <v>10</v>
      </c>
      <c r="C35" s="9" t="s">
        <v>883</v>
      </c>
      <c r="D35" s="8">
        <v>45686</v>
      </c>
      <c r="E35" s="7" t="s">
        <v>95</v>
      </c>
      <c r="F35" s="7">
        <v>1</v>
      </c>
      <c r="G35" s="7" t="s">
        <v>15</v>
      </c>
      <c r="I35" s="8">
        <v>44958</v>
      </c>
      <c r="J35" s="7">
        <f t="shared" si="0"/>
        <v>2023</v>
      </c>
      <c r="K35" s="7">
        <f t="shared" si="1"/>
        <v>2</v>
      </c>
      <c r="L35" s="7">
        <f t="shared" si="2"/>
        <v>728</v>
      </c>
      <c r="M35" s="16" t="s">
        <v>497</v>
      </c>
      <c r="N35" s="7" t="s">
        <v>579</v>
      </c>
      <c r="O35" s="7" t="s">
        <v>680</v>
      </c>
      <c r="P35" s="7">
        <f t="shared" si="3"/>
        <v>1</v>
      </c>
      <c r="Q35" s="7">
        <f t="shared" si="4"/>
        <v>2025</v>
      </c>
    </row>
    <row r="36" spans="1:17" x14ac:dyDescent="0.25">
      <c r="A36" s="41">
        <v>2503</v>
      </c>
      <c r="B36" s="9" t="s">
        <v>10</v>
      </c>
      <c r="C36" s="9" t="s">
        <v>883</v>
      </c>
      <c r="D36" s="8">
        <v>45686</v>
      </c>
      <c r="E36" s="7" t="s">
        <v>96</v>
      </c>
      <c r="F36" s="7">
        <v>1</v>
      </c>
      <c r="G36" s="7" t="s">
        <v>15</v>
      </c>
      <c r="I36" s="8">
        <v>44958</v>
      </c>
      <c r="J36" s="7">
        <f t="shared" si="0"/>
        <v>2023</v>
      </c>
      <c r="K36" s="7">
        <f t="shared" si="1"/>
        <v>2</v>
      </c>
      <c r="L36" s="7">
        <f t="shared" si="2"/>
        <v>728</v>
      </c>
      <c r="M36" s="16" t="s">
        <v>497</v>
      </c>
      <c r="N36" s="7" t="s">
        <v>579</v>
      </c>
      <c r="O36" s="7" t="s">
        <v>680</v>
      </c>
      <c r="P36" s="7">
        <f t="shared" si="3"/>
        <v>1</v>
      </c>
      <c r="Q36" s="7">
        <f t="shared" si="4"/>
        <v>2025</v>
      </c>
    </row>
    <row r="37" spans="1:17" x14ac:dyDescent="0.25">
      <c r="A37" s="41">
        <v>2503</v>
      </c>
      <c r="B37" s="9" t="s">
        <v>10</v>
      </c>
      <c r="C37" s="9" t="s">
        <v>883</v>
      </c>
      <c r="D37" s="8">
        <v>45686</v>
      </c>
      <c r="E37" s="7" t="s">
        <v>97</v>
      </c>
      <c r="F37" s="7">
        <v>1</v>
      </c>
      <c r="G37" s="7" t="s">
        <v>15</v>
      </c>
      <c r="I37" s="8">
        <v>44958</v>
      </c>
      <c r="J37" s="7">
        <f t="shared" si="0"/>
        <v>2023</v>
      </c>
      <c r="K37" s="7">
        <f t="shared" si="1"/>
        <v>2</v>
      </c>
      <c r="L37" s="7">
        <f t="shared" si="2"/>
        <v>728</v>
      </c>
      <c r="M37" s="16" t="s">
        <v>497</v>
      </c>
      <c r="N37" s="7" t="s">
        <v>579</v>
      </c>
      <c r="O37" s="7" t="s">
        <v>680</v>
      </c>
      <c r="P37" s="7">
        <f t="shared" si="3"/>
        <v>1</v>
      </c>
      <c r="Q37" s="7">
        <f t="shared" si="4"/>
        <v>2025</v>
      </c>
    </row>
    <row r="38" spans="1:17" x14ac:dyDescent="0.25">
      <c r="A38" s="41">
        <v>2503</v>
      </c>
      <c r="B38" s="9" t="s">
        <v>10</v>
      </c>
      <c r="C38" s="9" t="s">
        <v>883</v>
      </c>
      <c r="D38" s="8">
        <v>45686</v>
      </c>
      <c r="E38" s="7" t="s">
        <v>98</v>
      </c>
      <c r="F38" s="7">
        <v>1</v>
      </c>
      <c r="G38" s="7" t="s">
        <v>15</v>
      </c>
      <c r="I38" s="8">
        <v>44958</v>
      </c>
      <c r="J38" s="7">
        <f t="shared" si="0"/>
        <v>2023</v>
      </c>
      <c r="K38" s="7">
        <f t="shared" si="1"/>
        <v>2</v>
      </c>
      <c r="L38" s="7">
        <f t="shared" si="2"/>
        <v>728</v>
      </c>
      <c r="M38" s="16" t="s">
        <v>497</v>
      </c>
      <c r="N38" s="7" t="s">
        <v>579</v>
      </c>
      <c r="O38" s="7" t="s">
        <v>680</v>
      </c>
      <c r="P38" s="7">
        <f t="shared" si="3"/>
        <v>1</v>
      </c>
      <c r="Q38" s="7">
        <f t="shared" si="4"/>
        <v>2025</v>
      </c>
    </row>
    <row r="39" spans="1:17" x14ac:dyDescent="0.25">
      <c r="A39" s="41">
        <v>2503</v>
      </c>
      <c r="B39" s="9" t="s">
        <v>10</v>
      </c>
      <c r="C39" s="9" t="s">
        <v>883</v>
      </c>
      <c r="D39" s="8">
        <v>45686</v>
      </c>
      <c r="E39" s="7" t="s">
        <v>99</v>
      </c>
      <c r="F39" s="7">
        <v>1</v>
      </c>
      <c r="G39" s="7" t="s">
        <v>15</v>
      </c>
      <c r="I39" s="8">
        <v>44958</v>
      </c>
      <c r="J39" s="7">
        <f t="shared" si="0"/>
        <v>2023</v>
      </c>
      <c r="K39" s="7">
        <f t="shared" si="1"/>
        <v>2</v>
      </c>
      <c r="L39" s="7">
        <f t="shared" si="2"/>
        <v>728</v>
      </c>
      <c r="M39" s="16" t="s">
        <v>497</v>
      </c>
      <c r="N39" s="7" t="s">
        <v>579</v>
      </c>
      <c r="O39" s="7" t="s">
        <v>680</v>
      </c>
      <c r="P39" s="7">
        <f t="shared" si="3"/>
        <v>1</v>
      </c>
      <c r="Q39" s="7">
        <f t="shared" si="4"/>
        <v>2025</v>
      </c>
    </row>
    <row r="40" spans="1:17" x14ac:dyDescent="0.25">
      <c r="A40" s="41">
        <v>2503</v>
      </c>
      <c r="B40" s="9" t="s">
        <v>10</v>
      </c>
      <c r="C40" s="9" t="s">
        <v>883</v>
      </c>
      <c r="D40" s="8">
        <v>45686</v>
      </c>
      <c r="E40" s="7" t="s">
        <v>100</v>
      </c>
      <c r="F40" s="7">
        <v>1</v>
      </c>
      <c r="G40" s="7" t="s">
        <v>15</v>
      </c>
      <c r="I40" s="8">
        <v>44958</v>
      </c>
      <c r="J40" s="7">
        <f t="shared" si="0"/>
        <v>2023</v>
      </c>
      <c r="K40" s="7">
        <f t="shared" si="1"/>
        <v>2</v>
      </c>
      <c r="L40" s="7">
        <f t="shared" si="2"/>
        <v>728</v>
      </c>
      <c r="M40" s="16" t="s">
        <v>497</v>
      </c>
      <c r="N40" s="7" t="s">
        <v>579</v>
      </c>
      <c r="O40" s="7" t="s">
        <v>680</v>
      </c>
      <c r="P40" s="7">
        <f t="shared" si="3"/>
        <v>1</v>
      </c>
      <c r="Q40" s="7">
        <f t="shared" si="4"/>
        <v>2025</v>
      </c>
    </row>
    <row r="41" spans="1:17" x14ac:dyDescent="0.25">
      <c r="A41" s="41">
        <v>2504</v>
      </c>
      <c r="B41" s="9" t="s">
        <v>10</v>
      </c>
      <c r="C41" s="9" t="s">
        <v>108</v>
      </c>
      <c r="D41" s="8">
        <v>45686</v>
      </c>
      <c r="E41" s="7" t="s">
        <v>101</v>
      </c>
      <c r="F41" s="7">
        <v>1</v>
      </c>
      <c r="G41" s="7" t="s">
        <v>15</v>
      </c>
      <c r="I41" s="8">
        <v>44927</v>
      </c>
      <c r="J41" s="7">
        <f t="shared" si="0"/>
        <v>2023</v>
      </c>
      <c r="K41" s="7">
        <f t="shared" si="1"/>
        <v>1</v>
      </c>
      <c r="L41" s="7">
        <f t="shared" si="2"/>
        <v>759</v>
      </c>
      <c r="M41" s="16" t="s">
        <v>497</v>
      </c>
      <c r="N41" s="7" t="s">
        <v>579</v>
      </c>
      <c r="O41" s="7" t="s">
        <v>680</v>
      </c>
      <c r="P41" s="7">
        <f t="shared" si="3"/>
        <v>1</v>
      </c>
      <c r="Q41" s="7">
        <f t="shared" si="4"/>
        <v>2025</v>
      </c>
    </row>
    <row r="42" spans="1:17" x14ac:dyDescent="0.25">
      <c r="A42" s="41">
        <v>2504</v>
      </c>
      <c r="B42" s="9" t="s">
        <v>10</v>
      </c>
      <c r="C42" s="9" t="s">
        <v>108</v>
      </c>
      <c r="D42" s="8">
        <v>45686</v>
      </c>
      <c r="E42" s="7" t="s">
        <v>102</v>
      </c>
      <c r="F42" s="7">
        <v>1</v>
      </c>
      <c r="G42" s="7" t="s">
        <v>15</v>
      </c>
      <c r="I42" s="8">
        <v>44927</v>
      </c>
      <c r="J42" s="7">
        <f t="shared" si="0"/>
        <v>2023</v>
      </c>
      <c r="K42" s="7">
        <f t="shared" si="1"/>
        <v>1</v>
      </c>
      <c r="L42" s="7">
        <f t="shared" si="2"/>
        <v>759</v>
      </c>
      <c r="M42" s="16" t="s">
        <v>497</v>
      </c>
      <c r="N42" s="7" t="s">
        <v>579</v>
      </c>
      <c r="O42" s="7" t="s">
        <v>680</v>
      </c>
      <c r="P42" s="7">
        <f t="shared" si="3"/>
        <v>1</v>
      </c>
      <c r="Q42" s="7">
        <f t="shared" si="4"/>
        <v>2025</v>
      </c>
    </row>
    <row r="43" spans="1:17" x14ac:dyDescent="0.25">
      <c r="A43" s="41">
        <v>2504</v>
      </c>
      <c r="B43" s="9" t="s">
        <v>10</v>
      </c>
      <c r="C43" s="9" t="s">
        <v>108</v>
      </c>
      <c r="D43" s="8">
        <v>45686</v>
      </c>
      <c r="E43" s="7" t="s">
        <v>103</v>
      </c>
      <c r="F43" s="7">
        <v>1</v>
      </c>
      <c r="G43" s="7" t="s">
        <v>15</v>
      </c>
      <c r="I43" s="8">
        <v>44927</v>
      </c>
      <c r="J43" s="7">
        <f t="shared" si="0"/>
        <v>2023</v>
      </c>
      <c r="K43" s="7">
        <f t="shared" si="1"/>
        <v>1</v>
      </c>
      <c r="L43" s="7">
        <f t="shared" si="2"/>
        <v>759</v>
      </c>
      <c r="M43" s="16" t="s">
        <v>497</v>
      </c>
      <c r="N43" s="7" t="s">
        <v>580</v>
      </c>
      <c r="O43" s="7" t="s">
        <v>680</v>
      </c>
      <c r="P43" s="7">
        <f t="shared" si="3"/>
        <v>1</v>
      </c>
      <c r="Q43" s="7">
        <f t="shared" si="4"/>
        <v>2025</v>
      </c>
    </row>
    <row r="44" spans="1:17" x14ac:dyDescent="0.25">
      <c r="A44" s="41">
        <v>2504</v>
      </c>
      <c r="B44" s="9" t="s">
        <v>10</v>
      </c>
      <c r="C44" s="9" t="s">
        <v>108</v>
      </c>
      <c r="D44" s="8">
        <v>45686</v>
      </c>
      <c r="E44" s="7" t="s">
        <v>104</v>
      </c>
      <c r="F44" s="7">
        <v>1</v>
      </c>
      <c r="G44" s="7" t="s">
        <v>15</v>
      </c>
      <c r="I44" s="8">
        <v>44958</v>
      </c>
      <c r="J44" s="7">
        <f t="shared" si="0"/>
        <v>2023</v>
      </c>
      <c r="K44" s="7">
        <f t="shared" si="1"/>
        <v>2</v>
      </c>
      <c r="L44" s="7">
        <f t="shared" si="2"/>
        <v>728</v>
      </c>
      <c r="M44" s="16" t="s">
        <v>497</v>
      </c>
      <c r="N44" s="7" t="s">
        <v>579</v>
      </c>
      <c r="O44" s="7" t="s">
        <v>680</v>
      </c>
      <c r="P44" s="7">
        <f t="shared" si="3"/>
        <v>1</v>
      </c>
      <c r="Q44" s="7">
        <f t="shared" si="4"/>
        <v>2025</v>
      </c>
    </row>
    <row r="45" spans="1:17" x14ac:dyDescent="0.25">
      <c r="A45" s="41">
        <v>2504</v>
      </c>
      <c r="B45" s="9" t="s">
        <v>10</v>
      </c>
      <c r="C45" s="9" t="s">
        <v>108</v>
      </c>
      <c r="D45" s="8">
        <v>45686</v>
      </c>
      <c r="E45" s="7" t="s">
        <v>105</v>
      </c>
      <c r="F45" s="7">
        <v>1</v>
      </c>
      <c r="G45" s="7" t="s">
        <v>15</v>
      </c>
      <c r="I45" s="8">
        <v>44958</v>
      </c>
      <c r="J45" s="7">
        <f t="shared" si="0"/>
        <v>2023</v>
      </c>
      <c r="K45" s="7">
        <f t="shared" si="1"/>
        <v>2</v>
      </c>
      <c r="L45" s="7">
        <f t="shared" si="2"/>
        <v>728</v>
      </c>
      <c r="M45" s="16" t="s">
        <v>497</v>
      </c>
      <c r="N45" s="7" t="s">
        <v>579</v>
      </c>
      <c r="O45" s="7" t="s">
        <v>680</v>
      </c>
      <c r="P45" s="7">
        <f t="shared" si="3"/>
        <v>1</v>
      </c>
      <c r="Q45" s="7">
        <f t="shared" si="4"/>
        <v>2025</v>
      </c>
    </row>
    <row r="46" spans="1:17" x14ac:dyDescent="0.25">
      <c r="A46" s="41">
        <v>2504</v>
      </c>
      <c r="B46" s="9" t="s">
        <v>10</v>
      </c>
      <c r="C46" s="9" t="s">
        <v>108</v>
      </c>
      <c r="D46" s="8">
        <v>45686</v>
      </c>
      <c r="E46" s="7" t="s">
        <v>106</v>
      </c>
      <c r="F46" s="7">
        <v>1</v>
      </c>
      <c r="G46" s="7" t="s">
        <v>15</v>
      </c>
      <c r="I46" s="8">
        <v>44958</v>
      </c>
      <c r="J46" s="7">
        <f t="shared" si="0"/>
        <v>2023</v>
      </c>
      <c r="K46" s="7">
        <f t="shared" si="1"/>
        <v>2</v>
      </c>
      <c r="L46" s="7">
        <f t="shared" si="2"/>
        <v>728</v>
      </c>
      <c r="M46" s="16" t="s">
        <v>497</v>
      </c>
      <c r="N46" s="7" t="s">
        <v>579</v>
      </c>
      <c r="O46" s="7" t="s">
        <v>680</v>
      </c>
      <c r="P46" s="7">
        <f t="shared" si="3"/>
        <v>1</v>
      </c>
      <c r="Q46" s="7">
        <f t="shared" si="4"/>
        <v>2025</v>
      </c>
    </row>
    <row r="47" spans="1:17" x14ac:dyDescent="0.25">
      <c r="A47" s="41">
        <v>2504</v>
      </c>
      <c r="B47" s="9" t="s">
        <v>10</v>
      </c>
      <c r="C47" s="9" t="s">
        <v>108</v>
      </c>
      <c r="D47" s="8">
        <v>45686</v>
      </c>
      <c r="E47" s="7" t="s">
        <v>107</v>
      </c>
      <c r="F47" s="7">
        <v>1</v>
      </c>
      <c r="G47" s="7" t="s">
        <v>15</v>
      </c>
      <c r="I47" s="8">
        <v>44958</v>
      </c>
      <c r="J47" s="7">
        <f t="shared" si="0"/>
        <v>2023</v>
      </c>
      <c r="K47" s="7">
        <f t="shared" si="1"/>
        <v>2</v>
      </c>
      <c r="L47" s="7">
        <f t="shared" si="2"/>
        <v>728</v>
      </c>
      <c r="M47" s="16" t="s">
        <v>497</v>
      </c>
      <c r="N47" s="7" t="s">
        <v>579</v>
      </c>
      <c r="O47" s="7" t="s">
        <v>680</v>
      </c>
      <c r="P47" s="7">
        <f t="shared" si="3"/>
        <v>1</v>
      </c>
      <c r="Q47" s="7">
        <f t="shared" si="4"/>
        <v>2025</v>
      </c>
    </row>
    <row r="48" spans="1:17" x14ac:dyDescent="0.25">
      <c r="A48" s="41">
        <v>2505</v>
      </c>
      <c r="B48" s="9" t="s">
        <v>10</v>
      </c>
      <c r="C48" s="9" t="s">
        <v>27</v>
      </c>
      <c r="D48" s="8">
        <v>45686</v>
      </c>
      <c r="E48" s="7" t="s">
        <v>109</v>
      </c>
      <c r="F48" s="7">
        <v>1</v>
      </c>
      <c r="G48" s="7" t="s">
        <v>15</v>
      </c>
      <c r="I48" s="8">
        <v>45536</v>
      </c>
      <c r="J48" s="7">
        <f t="shared" si="0"/>
        <v>2024</v>
      </c>
      <c r="K48" s="7">
        <f t="shared" si="1"/>
        <v>9</v>
      </c>
      <c r="L48" s="7">
        <f t="shared" si="2"/>
        <v>150</v>
      </c>
      <c r="M48" s="16" t="s">
        <v>497</v>
      </c>
      <c r="N48" s="7" t="s">
        <v>580</v>
      </c>
      <c r="O48" s="7" t="s">
        <v>680</v>
      </c>
      <c r="P48" s="7">
        <f t="shared" si="3"/>
        <v>1</v>
      </c>
      <c r="Q48" s="7">
        <f t="shared" si="4"/>
        <v>2025</v>
      </c>
    </row>
    <row r="49" spans="1:17" x14ac:dyDescent="0.25">
      <c r="A49" s="41">
        <v>2505</v>
      </c>
      <c r="B49" s="9" t="s">
        <v>10</v>
      </c>
      <c r="C49" s="9" t="s">
        <v>27</v>
      </c>
      <c r="D49" s="8">
        <v>45686</v>
      </c>
      <c r="E49" s="7" t="s">
        <v>20</v>
      </c>
      <c r="F49" s="7">
        <v>1</v>
      </c>
      <c r="G49" s="7" t="s">
        <v>15</v>
      </c>
      <c r="I49" s="8">
        <v>44958</v>
      </c>
      <c r="J49" s="7">
        <f t="shared" si="0"/>
        <v>2023</v>
      </c>
      <c r="K49" s="7">
        <f t="shared" si="1"/>
        <v>2</v>
      </c>
      <c r="L49" s="7">
        <f t="shared" si="2"/>
        <v>728</v>
      </c>
      <c r="M49" s="16" t="s">
        <v>497</v>
      </c>
      <c r="N49" s="7" t="s">
        <v>579</v>
      </c>
      <c r="O49" s="7" t="s">
        <v>680</v>
      </c>
      <c r="P49" s="7">
        <f t="shared" si="3"/>
        <v>1</v>
      </c>
      <c r="Q49" s="7">
        <f t="shared" si="4"/>
        <v>2025</v>
      </c>
    </row>
    <row r="50" spans="1:17" x14ac:dyDescent="0.25">
      <c r="A50" s="41">
        <v>2505</v>
      </c>
      <c r="B50" s="9" t="s">
        <v>10</v>
      </c>
      <c r="C50" s="9" t="s">
        <v>27</v>
      </c>
      <c r="D50" s="8">
        <v>45686</v>
      </c>
      <c r="E50" s="7" t="s">
        <v>19</v>
      </c>
      <c r="F50" s="7">
        <v>1</v>
      </c>
      <c r="G50" s="7" t="s">
        <v>15</v>
      </c>
      <c r="I50" s="8">
        <v>44958</v>
      </c>
      <c r="J50" s="7">
        <f t="shared" si="0"/>
        <v>2023</v>
      </c>
      <c r="K50" s="7">
        <f t="shared" si="1"/>
        <v>2</v>
      </c>
      <c r="L50" s="7">
        <f t="shared" si="2"/>
        <v>728</v>
      </c>
      <c r="M50" s="16" t="s">
        <v>497</v>
      </c>
      <c r="N50" s="7" t="s">
        <v>579</v>
      </c>
      <c r="O50" s="7" t="s">
        <v>680</v>
      </c>
      <c r="P50" s="7">
        <f t="shared" si="3"/>
        <v>1</v>
      </c>
      <c r="Q50" s="7">
        <f t="shared" si="4"/>
        <v>2025</v>
      </c>
    </row>
    <row r="51" spans="1:17" x14ac:dyDescent="0.25">
      <c r="A51" s="41">
        <v>2506</v>
      </c>
      <c r="B51" s="9" t="s">
        <v>10</v>
      </c>
      <c r="C51" s="9" t="s">
        <v>112</v>
      </c>
      <c r="D51" s="8">
        <v>45692</v>
      </c>
      <c r="E51" s="7" t="s">
        <v>1077</v>
      </c>
      <c r="F51" s="7">
        <v>1</v>
      </c>
      <c r="G51" s="7" t="s">
        <v>14</v>
      </c>
      <c r="I51" s="8">
        <v>44501</v>
      </c>
      <c r="J51" s="7">
        <f t="shared" si="0"/>
        <v>2021</v>
      </c>
      <c r="K51" s="7">
        <f t="shared" si="1"/>
        <v>11</v>
      </c>
      <c r="L51" s="7">
        <f t="shared" si="2"/>
        <v>1191</v>
      </c>
      <c r="M51" s="16" t="s">
        <v>497</v>
      </c>
      <c r="O51" s="7" t="s">
        <v>682</v>
      </c>
      <c r="P51" s="7">
        <f t="shared" si="3"/>
        <v>2</v>
      </c>
      <c r="Q51" s="7">
        <f t="shared" si="4"/>
        <v>2025</v>
      </c>
    </row>
    <row r="52" spans="1:17" x14ac:dyDescent="0.25">
      <c r="A52" s="41">
        <v>2506</v>
      </c>
      <c r="B52" s="9" t="s">
        <v>10</v>
      </c>
      <c r="C52" s="9" t="s">
        <v>112</v>
      </c>
      <c r="D52" s="8">
        <v>45692</v>
      </c>
      <c r="E52" s="7" t="s">
        <v>111</v>
      </c>
      <c r="F52" s="7">
        <v>1</v>
      </c>
      <c r="G52" s="7" t="s">
        <v>14</v>
      </c>
      <c r="I52" s="8">
        <v>44652</v>
      </c>
      <c r="J52" s="7">
        <f t="shared" si="0"/>
        <v>2022</v>
      </c>
      <c r="K52" s="7">
        <f t="shared" si="1"/>
        <v>4</v>
      </c>
      <c r="L52" s="7">
        <f t="shared" si="2"/>
        <v>1040</v>
      </c>
      <c r="M52" s="16" t="s">
        <v>497</v>
      </c>
      <c r="O52" s="7" t="s">
        <v>682</v>
      </c>
      <c r="P52" s="7">
        <f t="shared" si="3"/>
        <v>2</v>
      </c>
      <c r="Q52" s="7">
        <f t="shared" si="4"/>
        <v>2025</v>
      </c>
    </row>
    <row r="53" spans="1:17" x14ac:dyDescent="0.25">
      <c r="A53" s="41">
        <v>2506</v>
      </c>
      <c r="B53" s="9" t="s">
        <v>10</v>
      </c>
      <c r="C53" s="9" t="s">
        <v>112</v>
      </c>
      <c r="D53" s="8">
        <v>45692</v>
      </c>
      <c r="E53" s="7" t="s">
        <v>1078</v>
      </c>
      <c r="F53" s="7">
        <v>1</v>
      </c>
      <c r="G53" s="7" t="s">
        <v>14</v>
      </c>
      <c r="I53" s="8">
        <v>44501</v>
      </c>
      <c r="J53" s="7">
        <f t="shared" si="0"/>
        <v>2021</v>
      </c>
      <c r="K53" s="7">
        <f t="shared" si="1"/>
        <v>11</v>
      </c>
      <c r="L53" s="7">
        <f t="shared" si="2"/>
        <v>1191</v>
      </c>
      <c r="M53" s="16" t="s">
        <v>497</v>
      </c>
      <c r="O53" s="7" t="s">
        <v>682</v>
      </c>
      <c r="P53" s="7">
        <f t="shared" si="3"/>
        <v>2</v>
      </c>
      <c r="Q53" s="7">
        <f t="shared" si="4"/>
        <v>2025</v>
      </c>
    </row>
    <row r="54" spans="1:17" x14ac:dyDescent="0.25">
      <c r="A54" s="41">
        <v>2507</v>
      </c>
      <c r="B54" s="9" t="s">
        <v>10</v>
      </c>
      <c r="C54" s="9" t="s">
        <v>115</v>
      </c>
      <c r="D54" s="8">
        <v>45692</v>
      </c>
      <c r="E54" s="7" t="s">
        <v>113</v>
      </c>
      <c r="F54" s="7">
        <v>1</v>
      </c>
      <c r="G54" s="7" t="s">
        <v>15</v>
      </c>
      <c r="I54" s="8">
        <v>45047</v>
      </c>
      <c r="J54" s="7">
        <f t="shared" si="0"/>
        <v>2023</v>
      </c>
      <c r="K54" s="7">
        <f t="shared" si="1"/>
        <v>5</v>
      </c>
      <c r="L54" s="7">
        <f t="shared" si="2"/>
        <v>645</v>
      </c>
      <c r="M54" s="16" t="s">
        <v>497</v>
      </c>
      <c r="N54" s="7" t="s">
        <v>579</v>
      </c>
      <c r="O54" s="7" t="s">
        <v>680</v>
      </c>
      <c r="P54" s="7">
        <f t="shared" si="3"/>
        <v>2</v>
      </c>
      <c r="Q54" s="7">
        <f t="shared" si="4"/>
        <v>2025</v>
      </c>
    </row>
    <row r="55" spans="1:17" x14ac:dyDescent="0.25">
      <c r="A55" s="41">
        <v>2507</v>
      </c>
      <c r="B55" s="12" t="s">
        <v>10</v>
      </c>
      <c r="C55" s="12" t="s">
        <v>115</v>
      </c>
      <c r="D55" s="13">
        <v>45692</v>
      </c>
      <c r="E55" s="11" t="s">
        <v>114</v>
      </c>
      <c r="F55" s="11">
        <v>1</v>
      </c>
      <c r="G55" s="7" t="s">
        <v>15</v>
      </c>
      <c r="H55" s="11"/>
      <c r="I55" s="13">
        <v>45017</v>
      </c>
      <c r="J55" s="7">
        <f t="shared" si="0"/>
        <v>2023</v>
      </c>
      <c r="K55" s="7">
        <f t="shared" si="1"/>
        <v>4</v>
      </c>
      <c r="L55" s="7">
        <f t="shared" si="2"/>
        <v>675</v>
      </c>
      <c r="M55" s="16" t="s">
        <v>497</v>
      </c>
      <c r="N55" s="7" t="s">
        <v>579</v>
      </c>
      <c r="O55" s="7" t="s">
        <v>680</v>
      </c>
      <c r="P55" s="7">
        <f t="shared" si="3"/>
        <v>2</v>
      </c>
      <c r="Q55" s="7">
        <f t="shared" si="4"/>
        <v>2025</v>
      </c>
    </row>
    <row r="56" spans="1:17" x14ac:dyDescent="0.25">
      <c r="A56" s="41">
        <v>2508</v>
      </c>
      <c r="B56" s="9" t="s">
        <v>315</v>
      </c>
      <c r="C56" s="9" t="s">
        <v>315</v>
      </c>
      <c r="D56" s="8">
        <v>45685</v>
      </c>
      <c r="E56" s="7" t="s">
        <v>110</v>
      </c>
      <c r="F56" s="7">
        <v>1</v>
      </c>
      <c r="G56" s="7" t="s">
        <v>14</v>
      </c>
      <c r="I56" s="8">
        <v>44986</v>
      </c>
      <c r="J56" s="7">
        <f t="shared" si="0"/>
        <v>2023</v>
      </c>
      <c r="K56" s="7">
        <f t="shared" si="1"/>
        <v>3</v>
      </c>
      <c r="L56" s="7">
        <f t="shared" si="2"/>
        <v>699</v>
      </c>
      <c r="M56" s="7" t="s">
        <v>494</v>
      </c>
      <c r="O56" s="7" t="s">
        <v>682</v>
      </c>
      <c r="P56" s="7">
        <f t="shared" si="3"/>
        <v>1</v>
      </c>
      <c r="Q56" s="7">
        <f t="shared" si="4"/>
        <v>2025</v>
      </c>
    </row>
    <row r="57" spans="1:17" x14ac:dyDescent="0.25">
      <c r="A57" s="41">
        <v>2509</v>
      </c>
      <c r="B57" s="33" t="s">
        <v>317</v>
      </c>
      <c r="C57" s="33" t="s">
        <v>116</v>
      </c>
      <c r="D57" s="34">
        <v>45714</v>
      </c>
      <c r="E57" s="7" t="s">
        <v>118</v>
      </c>
      <c r="F57" s="32">
        <v>1</v>
      </c>
      <c r="G57" s="7" t="s">
        <v>15</v>
      </c>
      <c r="H57" s="32"/>
      <c r="I57" s="34">
        <v>45658</v>
      </c>
      <c r="J57" s="7">
        <f t="shared" si="0"/>
        <v>2025</v>
      </c>
      <c r="K57" s="7">
        <f t="shared" si="1"/>
        <v>1</v>
      </c>
      <c r="L57" s="7">
        <f t="shared" si="2"/>
        <v>56</v>
      </c>
      <c r="M57" s="7" t="s">
        <v>518</v>
      </c>
      <c r="O57" s="7" t="s">
        <v>680</v>
      </c>
      <c r="P57" s="7">
        <f t="shared" si="3"/>
        <v>2</v>
      </c>
      <c r="Q57" s="7">
        <f t="shared" si="4"/>
        <v>2025</v>
      </c>
    </row>
    <row r="58" spans="1:17" x14ac:dyDescent="0.25">
      <c r="A58" s="7">
        <v>2510</v>
      </c>
      <c r="B58" s="36" t="s">
        <v>317</v>
      </c>
      <c r="C58" s="36" t="s">
        <v>116</v>
      </c>
      <c r="D58" s="37">
        <v>45729</v>
      </c>
      <c r="E58" s="7" t="s">
        <v>119</v>
      </c>
      <c r="F58" s="35">
        <v>1</v>
      </c>
      <c r="G58" s="7" t="s">
        <v>15</v>
      </c>
      <c r="H58" s="35"/>
      <c r="I58" s="37">
        <v>45658</v>
      </c>
      <c r="J58" s="7">
        <f t="shared" si="0"/>
        <v>2025</v>
      </c>
      <c r="K58" s="7">
        <f t="shared" si="1"/>
        <v>1</v>
      </c>
      <c r="L58" s="7">
        <f t="shared" si="2"/>
        <v>71</v>
      </c>
      <c r="M58" s="7" t="s">
        <v>516</v>
      </c>
      <c r="O58" s="7" t="s">
        <v>680</v>
      </c>
      <c r="P58" s="7">
        <f t="shared" si="3"/>
        <v>3</v>
      </c>
      <c r="Q58" s="7">
        <f t="shared" si="4"/>
        <v>2025</v>
      </c>
    </row>
    <row r="59" spans="1:17" x14ac:dyDescent="0.25">
      <c r="A59" s="7">
        <v>2510</v>
      </c>
      <c r="B59" s="9" t="s">
        <v>317</v>
      </c>
      <c r="C59" s="9" t="s">
        <v>116</v>
      </c>
      <c r="D59" s="8">
        <v>45729</v>
      </c>
      <c r="E59" s="7" t="s">
        <v>119</v>
      </c>
      <c r="F59" s="7">
        <v>1</v>
      </c>
      <c r="G59" s="7" t="s">
        <v>15</v>
      </c>
      <c r="I59" s="8">
        <v>45658</v>
      </c>
      <c r="J59" s="7">
        <f t="shared" si="0"/>
        <v>2025</v>
      </c>
      <c r="K59" s="7">
        <f t="shared" si="1"/>
        <v>1</v>
      </c>
      <c r="L59" s="7">
        <f t="shared" si="2"/>
        <v>71</v>
      </c>
      <c r="M59" s="7" t="s">
        <v>516</v>
      </c>
      <c r="O59" s="7" t="s">
        <v>680</v>
      </c>
      <c r="P59" s="7">
        <f t="shared" si="3"/>
        <v>3</v>
      </c>
      <c r="Q59" s="7">
        <f t="shared" si="4"/>
        <v>2025</v>
      </c>
    </row>
    <row r="60" spans="1:17" x14ac:dyDescent="0.25">
      <c r="A60" s="7">
        <v>2510</v>
      </c>
      <c r="B60" s="9" t="s">
        <v>317</v>
      </c>
      <c r="C60" s="9" t="s">
        <v>116</v>
      </c>
      <c r="D60" s="8">
        <v>45729</v>
      </c>
      <c r="E60" s="7" t="s">
        <v>119</v>
      </c>
      <c r="F60" s="7">
        <v>1</v>
      </c>
      <c r="G60" s="7" t="s">
        <v>15</v>
      </c>
      <c r="I60" s="8">
        <v>45658</v>
      </c>
      <c r="J60" s="7">
        <f t="shared" si="0"/>
        <v>2025</v>
      </c>
      <c r="K60" s="7">
        <f t="shared" si="1"/>
        <v>1</v>
      </c>
      <c r="L60" s="7">
        <f t="shared" si="2"/>
        <v>71</v>
      </c>
      <c r="M60" s="7" t="s">
        <v>516</v>
      </c>
      <c r="O60" s="7" t="s">
        <v>680</v>
      </c>
      <c r="P60" s="7">
        <f t="shared" si="3"/>
        <v>3</v>
      </c>
      <c r="Q60" s="7">
        <f t="shared" si="4"/>
        <v>2025</v>
      </c>
    </row>
    <row r="61" spans="1:17" x14ac:dyDescent="0.25">
      <c r="A61" s="7">
        <v>2510</v>
      </c>
      <c r="B61" s="9" t="s">
        <v>317</v>
      </c>
      <c r="C61" s="9" t="s">
        <v>116</v>
      </c>
      <c r="D61" s="8">
        <v>45729</v>
      </c>
      <c r="E61" s="7" t="s">
        <v>119</v>
      </c>
      <c r="F61" s="7">
        <v>1</v>
      </c>
      <c r="G61" s="7" t="s">
        <v>15</v>
      </c>
      <c r="I61" s="8">
        <v>45658</v>
      </c>
      <c r="J61" s="7">
        <f t="shared" si="0"/>
        <v>2025</v>
      </c>
      <c r="K61" s="7">
        <f t="shared" si="1"/>
        <v>1</v>
      </c>
      <c r="L61" s="7">
        <f t="shared" si="2"/>
        <v>71</v>
      </c>
      <c r="M61" s="7" t="s">
        <v>516</v>
      </c>
      <c r="O61" s="7" t="s">
        <v>680</v>
      </c>
      <c r="P61" s="7">
        <f t="shared" si="3"/>
        <v>3</v>
      </c>
      <c r="Q61" s="7">
        <f t="shared" si="4"/>
        <v>2025</v>
      </c>
    </row>
    <row r="62" spans="1:17" x14ac:dyDescent="0.25">
      <c r="A62" s="7">
        <v>2511</v>
      </c>
      <c r="B62" s="9" t="s">
        <v>319</v>
      </c>
      <c r="C62" s="9" t="s">
        <v>319</v>
      </c>
      <c r="D62" s="8">
        <v>45737</v>
      </c>
      <c r="E62" s="8" t="s">
        <v>120</v>
      </c>
      <c r="F62" s="7">
        <v>1</v>
      </c>
      <c r="G62" s="7" t="s">
        <v>14</v>
      </c>
      <c r="I62" s="8">
        <v>45413</v>
      </c>
      <c r="J62" s="7">
        <f t="shared" si="0"/>
        <v>2024</v>
      </c>
      <c r="K62" s="7">
        <f t="shared" si="1"/>
        <v>5</v>
      </c>
      <c r="L62" s="7">
        <f t="shared" si="2"/>
        <v>324</v>
      </c>
      <c r="M62" s="7" t="s">
        <v>917</v>
      </c>
      <c r="O62" s="7" t="s">
        <v>680</v>
      </c>
      <c r="P62" s="7">
        <f t="shared" si="3"/>
        <v>3</v>
      </c>
      <c r="Q62" s="7">
        <f t="shared" si="4"/>
        <v>2025</v>
      </c>
    </row>
    <row r="63" spans="1:17" x14ac:dyDescent="0.25">
      <c r="A63" s="7">
        <v>2511</v>
      </c>
      <c r="B63" s="9" t="s">
        <v>319</v>
      </c>
      <c r="C63" s="9" t="s">
        <v>319</v>
      </c>
      <c r="D63" s="8">
        <v>45737</v>
      </c>
      <c r="E63" s="8" t="s">
        <v>121</v>
      </c>
      <c r="F63" s="7">
        <v>1</v>
      </c>
      <c r="G63" s="7" t="s">
        <v>14</v>
      </c>
      <c r="I63" s="8">
        <v>45413</v>
      </c>
      <c r="J63" s="7">
        <f t="shared" si="0"/>
        <v>2024</v>
      </c>
      <c r="K63" s="7">
        <f t="shared" si="1"/>
        <v>5</v>
      </c>
      <c r="L63" s="7">
        <f t="shared" si="2"/>
        <v>324</v>
      </c>
      <c r="M63" s="7" t="s">
        <v>917</v>
      </c>
      <c r="O63" s="7" t="s">
        <v>680</v>
      </c>
      <c r="P63" s="7">
        <f t="shared" si="3"/>
        <v>3</v>
      </c>
      <c r="Q63" s="7">
        <f t="shared" si="4"/>
        <v>2025</v>
      </c>
    </row>
    <row r="64" spans="1:17" x14ac:dyDescent="0.25">
      <c r="A64" s="7">
        <v>2512</v>
      </c>
      <c r="B64" s="9" t="s">
        <v>9</v>
      </c>
      <c r="C64" s="9" t="s">
        <v>316</v>
      </c>
      <c r="D64" s="8">
        <v>45750</v>
      </c>
      <c r="E64" s="7" t="s">
        <v>122</v>
      </c>
      <c r="F64" s="7">
        <v>1</v>
      </c>
      <c r="G64" s="7" t="s">
        <v>15</v>
      </c>
      <c r="I64" s="8">
        <v>45536</v>
      </c>
      <c r="J64" s="7">
        <f t="shared" si="0"/>
        <v>2024</v>
      </c>
      <c r="K64" s="7">
        <f t="shared" si="1"/>
        <v>9</v>
      </c>
      <c r="L64" s="7">
        <f t="shared" si="2"/>
        <v>214</v>
      </c>
      <c r="M64" s="16" t="s">
        <v>497</v>
      </c>
      <c r="N64" s="7" t="s">
        <v>579</v>
      </c>
      <c r="O64" s="7" t="s">
        <v>680</v>
      </c>
      <c r="P64" s="7">
        <f t="shared" si="3"/>
        <v>4</v>
      </c>
      <c r="Q64" s="7">
        <f t="shared" si="4"/>
        <v>2025</v>
      </c>
    </row>
    <row r="65" spans="1:17" x14ac:dyDescent="0.25">
      <c r="A65" s="7">
        <v>2512</v>
      </c>
      <c r="B65" s="9" t="s">
        <v>9</v>
      </c>
      <c r="C65" s="9" t="s">
        <v>316</v>
      </c>
      <c r="D65" s="8">
        <v>45750</v>
      </c>
      <c r="E65" s="7" t="s">
        <v>123</v>
      </c>
      <c r="F65" s="7">
        <v>1</v>
      </c>
      <c r="G65" s="7" t="s">
        <v>15</v>
      </c>
      <c r="I65" s="8">
        <v>45536</v>
      </c>
      <c r="J65" s="7">
        <f t="shared" si="0"/>
        <v>2024</v>
      </c>
      <c r="K65" s="7">
        <f t="shared" si="1"/>
        <v>9</v>
      </c>
      <c r="L65" s="7">
        <f t="shared" si="2"/>
        <v>214</v>
      </c>
      <c r="M65" s="16" t="s">
        <v>497</v>
      </c>
      <c r="N65" s="7" t="s">
        <v>579</v>
      </c>
      <c r="O65" s="7" t="s">
        <v>680</v>
      </c>
      <c r="P65" s="7">
        <f t="shared" si="3"/>
        <v>4</v>
      </c>
      <c r="Q65" s="7">
        <f t="shared" si="4"/>
        <v>2025</v>
      </c>
    </row>
    <row r="66" spans="1:17" x14ac:dyDescent="0.25">
      <c r="A66" s="7">
        <v>2512</v>
      </c>
      <c r="B66" s="9" t="s">
        <v>9</v>
      </c>
      <c r="C66" s="9" t="s">
        <v>316</v>
      </c>
      <c r="D66" s="8">
        <v>45750</v>
      </c>
      <c r="E66" s="7" t="s">
        <v>124</v>
      </c>
      <c r="F66" s="7">
        <v>1</v>
      </c>
      <c r="G66" s="7" t="s">
        <v>15</v>
      </c>
      <c r="I66" s="8">
        <v>45536</v>
      </c>
      <c r="J66" s="7">
        <f t="shared" si="0"/>
        <v>2024</v>
      </c>
      <c r="K66" s="7">
        <f t="shared" si="1"/>
        <v>9</v>
      </c>
      <c r="L66" s="7">
        <f t="shared" si="2"/>
        <v>214</v>
      </c>
      <c r="M66" s="16" t="s">
        <v>497</v>
      </c>
      <c r="N66" s="7" t="s">
        <v>579</v>
      </c>
      <c r="O66" s="7" t="s">
        <v>680</v>
      </c>
      <c r="P66" s="7">
        <f t="shared" si="3"/>
        <v>4</v>
      </c>
      <c r="Q66" s="7">
        <f t="shared" si="4"/>
        <v>2025</v>
      </c>
    </row>
    <row r="67" spans="1:17" x14ac:dyDescent="0.25">
      <c r="A67" s="7">
        <v>2512</v>
      </c>
      <c r="B67" s="9" t="s">
        <v>9</v>
      </c>
      <c r="C67" s="9" t="s">
        <v>316</v>
      </c>
      <c r="D67" s="8">
        <v>45750</v>
      </c>
      <c r="E67" s="7" t="s">
        <v>125</v>
      </c>
      <c r="F67" s="7">
        <v>1</v>
      </c>
      <c r="G67" s="7" t="s">
        <v>15</v>
      </c>
      <c r="I67" s="8">
        <v>45536</v>
      </c>
      <c r="J67" s="7">
        <f t="shared" si="0"/>
        <v>2024</v>
      </c>
      <c r="K67" s="7">
        <f t="shared" si="1"/>
        <v>9</v>
      </c>
      <c r="L67" s="7">
        <f t="shared" si="2"/>
        <v>214</v>
      </c>
      <c r="M67" s="16" t="s">
        <v>497</v>
      </c>
      <c r="N67" s="7" t="s">
        <v>579</v>
      </c>
      <c r="O67" s="7" t="s">
        <v>680</v>
      </c>
      <c r="P67" s="7">
        <f t="shared" si="3"/>
        <v>4</v>
      </c>
      <c r="Q67" s="7">
        <f t="shared" ref="Q67:Q130" si="5">YEAR(D67)</f>
        <v>2025</v>
      </c>
    </row>
    <row r="68" spans="1:17" x14ac:dyDescent="0.25">
      <c r="A68" s="7">
        <v>2512</v>
      </c>
      <c r="B68" s="9" t="s">
        <v>9</v>
      </c>
      <c r="C68" s="9" t="s">
        <v>316</v>
      </c>
      <c r="D68" s="8">
        <v>45750</v>
      </c>
      <c r="E68" s="7" t="s">
        <v>126</v>
      </c>
      <c r="F68" s="7">
        <v>1</v>
      </c>
      <c r="G68" s="7" t="s">
        <v>15</v>
      </c>
      <c r="I68" s="8">
        <v>45536</v>
      </c>
      <c r="J68" s="7">
        <f t="shared" ref="J68:J76" si="6">YEAR(I68)</f>
        <v>2024</v>
      </c>
      <c r="K68" s="7">
        <f t="shared" ref="K68:K76" si="7">MONTH(I68)</f>
        <v>9</v>
      </c>
      <c r="L68" s="7">
        <f t="shared" ref="L68:L128" si="8">D68-I68</f>
        <v>214</v>
      </c>
      <c r="M68" s="16" t="s">
        <v>497</v>
      </c>
      <c r="N68" s="7" t="s">
        <v>579</v>
      </c>
      <c r="O68" s="7" t="s">
        <v>680</v>
      </c>
      <c r="P68" s="7">
        <f t="shared" ref="P68:P128" si="9">MONTH(D68)</f>
        <v>4</v>
      </c>
      <c r="Q68" s="7">
        <f t="shared" si="5"/>
        <v>2025</v>
      </c>
    </row>
    <row r="69" spans="1:17" x14ac:dyDescent="0.25">
      <c r="A69" s="7">
        <v>2512</v>
      </c>
      <c r="B69" s="9" t="s">
        <v>9</v>
      </c>
      <c r="C69" s="9" t="s">
        <v>316</v>
      </c>
      <c r="D69" s="8">
        <v>45750</v>
      </c>
      <c r="E69" s="7" t="s">
        <v>127</v>
      </c>
      <c r="F69" s="7">
        <v>1</v>
      </c>
      <c r="G69" s="7" t="s">
        <v>15</v>
      </c>
      <c r="I69" s="8">
        <v>45536</v>
      </c>
      <c r="J69" s="7">
        <f t="shared" si="6"/>
        <v>2024</v>
      </c>
      <c r="K69" s="7">
        <f t="shared" si="7"/>
        <v>9</v>
      </c>
      <c r="L69" s="7">
        <f t="shared" si="8"/>
        <v>214</v>
      </c>
      <c r="M69" s="16" t="s">
        <v>497</v>
      </c>
      <c r="N69" s="7" t="s">
        <v>579</v>
      </c>
      <c r="O69" s="7" t="s">
        <v>680</v>
      </c>
      <c r="P69" s="7">
        <f t="shared" si="9"/>
        <v>4</v>
      </c>
      <c r="Q69" s="7">
        <f t="shared" si="5"/>
        <v>2025</v>
      </c>
    </row>
    <row r="70" spans="1:17" x14ac:dyDescent="0.25">
      <c r="A70" s="7">
        <v>2512</v>
      </c>
      <c r="B70" s="9" t="s">
        <v>9</v>
      </c>
      <c r="C70" s="9" t="s">
        <v>316</v>
      </c>
      <c r="D70" s="8">
        <v>45750</v>
      </c>
      <c r="E70" s="7" t="s">
        <v>128</v>
      </c>
      <c r="F70" s="7">
        <v>1</v>
      </c>
      <c r="G70" s="7" t="s">
        <v>15</v>
      </c>
      <c r="I70" s="8">
        <v>45536</v>
      </c>
      <c r="J70" s="7">
        <f t="shared" si="6"/>
        <v>2024</v>
      </c>
      <c r="K70" s="7">
        <f t="shared" si="7"/>
        <v>9</v>
      </c>
      <c r="L70" s="7">
        <f t="shared" si="8"/>
        <v>214</v>
      </c>
      <c r="M70" s="16" t="s">
        <v>497</v>
      </c>
      <c r="N70" s="7" t="s">
        <v>579</v>
      </c>
      <c r="O70" s="7" t="s">
        <v>680</v>
      </c>
      <c r="P70" s="7">
        <f t="shared" si="9"/>
        <v>4</v>
      </c>
      <c r="Q70" s="7">
        <f t="shared" si="5"/>
        <v>2025</v>
      </c>
    </row>
    <row r="71" spans="1:17" x14ac:dyDescent="0.25">
      <c r="A71" s="7">
        <v>2512</v>
      </c>
      <c r="B71" s="9" t="s">
        <v>9</v>
      </c>
      <c r="C71" s="9" t="s">
        <v>316</v>
      </c>
      <c r="D71" s="8">
        <v>45750</v>
      </c>
      <c r="E71" s="7" t="s">
        <v>129</v>
      </c>
      <c r="F71" s="7">
        <v>1</v>
      </c>
      <c r="G71" s="7" t="s">
        <v>15</v>
      </c>
      <c r="I71" s="8">
        <v>45536</v>
      </c>
      <c r="J71" s="7">
        <f t="shared" si="6"/>
        <v>2024</v>
      </c>
      <c r="K71" s="7">
        <f t="shared" si="7"/>
        <v>9</v>
      </c>
      <c r="L71" s="7">
        <f t="shared" si="8"/>
        <v>214</v>
      </c>
      <c r="M71" s="16" t="s">
        <v>497</v>
      </c>
      <c r="N71" s="7" t="s">
        <v>579</v>
      </c>
      <c r="O71" s="7" t="s">
        <v>680</v>
      </c>
      <c r="P71" s="7">
        <f t="shared" si="9"/>
        <v>4</v>
      </c>
      <c r="Q71" s="7">
        <f t="shared" si="5"/>
        <v>2025</v>
      </c>
    </row>
    <row r="72" spans="1:17" x14ac:dyDescent="0.25">
      <c r="A72" s="7">
        <v>2512</v>
      </c>
      <c r="B72" s="9" t="s">
        <v>9</v>
      </c>
      <c r="C72" s="9" t="s">
        <v>316</v>
      </c>
      <c r="D72" s="8">
        <v>45750</v>
      </c>
      <c r="E72" s="7" t="s">
        <v>130</v>
      </c>
      <c r="F72" s="7">
        <v>1</v>
      </c>
      <c r="G72" s="7" t="s">
        <v>15</v>
      </c>
      <c r="I72" s="8">
        <v>45536</v>
      </c>
      <c r="J72" s="7">
        <f t="shared" si="6"/>
        <v>2024</v>
      </c>
      <c r="K72" s="7">
        <f t="shared" si="7"/>
        <v>9</v>
      </c>
      <c r="L72" s="7">
        <f t="shared" si="8"/>
        <v>214</v>
      </c>
      <c r="M72" s="16" t="s">
        <v>497</v>
      </c>
      <c r="N72" s="7" t="s">
        <v>579</v>
      </c>
      <c r="O72" s="7" t="s">
        <v>680</v>
      </c>
      <c r="P72" s="7">
        <f t="shared" si="9"/>
        <v>4</v>
      </c>
      <c r="Q72" s="7">
        <f t="shared" si="5"/>
        <v>2025</v>
      </c>
    </row>
    <row r="73" spans="1:17" x14ac:dyDescent="0.25">
      <c r="A73" s="7">
        <v>2512</v>
      </c>
      <c r="B73" s="9" t="s">
        <v>9</v>
      </c>
      <c r="C73" s="9" t="s">
        <v>316</v>
      </c>
      <c r="D73" s="8">
        <v>45750</v>
      </c>
      <c r="E73" s="7" t="s">
        <v>131</v>
      </c>
      <c r="F73" s="7">
        <v>1</v>
      </c>
      <c r="G73" s="7" t="s">
        <v>15</v>
      </c>
      <c r="I73" s="8">
        <v>45536</v>
      </c>
      <c r="J73" s="7">
        <f t="shared" si="6"/>
        <v>2024</v>
      </c>
      <c r="K73" s="7">
        <f t="shared" si="7"/>
        <v>9</v>
      </c>
      <c r="L73" s="7">
        <f t="shared" si="8"/>
        <v>214</v>
      </c>
      <c r="M73" s="16" t="s">
        <v>497</v>
      </c>
      <c r="N73" s="7" t="s">
        <v>579</v>
      </c>
      <c r="O73" s="7" t="s">
        <v>680</v>
      </c>
      <c r="P73" s="7">
        <f t="shared" si="9"/>
        <v>4</v>
      </c>
      <c r="Q73" s="7">
        <f t="shared" si="5"/>
        <v>2025</v>
      </c>
    </row>
    <row r="74" spans="1:17" x14ac:dyDescent="0.25">
      <c r="A74" s="7">
        <v>2512</v>
      </c>
      <c r="B74" s="9" t="s">
        <v>9</v>
      </c>
      <c r="C74" s="9" t="s">
        <v>316</v>
      </c>
      <c r="D74" s="8">
        <v>45750</v>
      </c>
      <c r="E74" s="7" t="s">
        <v>132</v>
      </c>
      <c r="F74" s="7">
        <v>1</v>
      </c>
      <c r="G74" s="7" t="s">
        <v>15</v>
      </c>
      <c r="I74" s="8">
        <v>45536</v>
      </c>
      <c r="J74" s="7">
        <f t="shared" si="6"/>
        <v>2024</v>
      </c>
      <c r="K74" s="7">
        <f t="shared" si="7"/>
        <v>9</v>
      </c>
      <c r="L74" s="7">
        <f t="shared" si="8"/>
        <v>214</v>
      </c>
      <c r="M74" s="16" t="s">
        <v>497</v>
      </c>
      <c r="N74" s="7" t="s">
        <v>579</v>
      </c>
      <c r="O74" s="7" t="s">
        <v>680</v>
      </c>
      <c r="P74" s="7">
        <f t="shared" si="9"/>
        <v>4</v>
      </c>
      <c r="Q74" s="7">
        <f t="shared" si="5"/>
        <v>2025</v>
      </c>
    </row>
    <row r="75" spans="1:17" x14ac:dyDescent="0.25">
      <c r="A75" s="7">
        <v>2513</v>
      </c>
      <c r="B75" s="9" t="s">
        <v>33</v>
      </c>
      <c r="C75" s="9" t="s">
        <v>33</v>
      </c>
      <c r="D75" s="8">
        <v>45751</v>
      </c>
      <c r="E75" s="7" t="s">
        <v>134</v>
      </c>
      <c r="F75" s="7">
        <v>1</v>
      </c>
      <c r="G75" s="7" t="s">
        <v>14</v>
      </c>
      <c r="I75" s="8">
        <v>45689</v>
      </c>
      <c r="J75" s="7">
        <f t="shared" si="6"/>
        <v>2025</v>
      </c>
      <c r="K75" s="7">
        <f t="shared" si="7"/>
        <v>2</v>
      </c>
      <c r="L75" s="7">
        <f t="shared" si="8"/>
        <v>62</v>
      </c>
      <c r="M75" s="7" t="s">
        <v>502</v>
      </c>
      <c r="O75" s="7" t="s">
        <v>680</v>
      </c>
      <c r="P75" s="7">
        <f t="shared" si="9"/>
        <v>4</v>
      </c>
      <c r="Q75" s="7">
        <f t="shared" si="5"/>
        <v>2025</v>
      </c>
    </row>
    <row r="76" spans="1:17" x14ac:dyDescent="0.25">
      <c r="A76" s="7">
        <v>2513</v>
      </c>
      <c r="B76" s="9" t="s">
        <v>33</v>
      </c>
      <c r="C76" s="9" t="s">
        <v>33</v>
      </c>
      <c r="D76" s="8">
        <v>45751</v>
      </c>
      <c r="E76" s="7" t="s">
        <v>135</v>
      </c>
      <c r="F76" s="7">
        <v>1</v>
      </c>
      <c r="G76" s="7" t="s">
        <v>14</v>
      </c>
      <c r="I76" s="8">
        <v>45689</v>
      </c>
      <c r="J76" s="7">
        <f t="shared" si="6"/>
        <v>2025</v>
      </c>
      <c r="K76" s="7">
        <f t="shared" si="7"/>
        <v>2</v>
      </c>
      <c r="L76" s="7">
        <f t="shared" si="8"/>
        <v>62</v>
      </c>
      <c r="M76" s="7" t="s">
        <v>502</v>
      </c>
      <c r="O76" s="7" t="s">
        <v>680</v>
      </c>
      <c r="P76" s="7">
        <f t="shared" si="9"/>
        <v>4</v>
      </c>
      <c r="Q76" s="7">
        <f t="shared" si="5"/>
        <v>2025</v>
      </c>
    </row>
    <row r="77" spans="1:17" x14ac:dyDescent="0.25">
      <c r="A77" s="7">
        <v>2514</v>
      </c>
      <c r="B77" s="9" t="s">
        <v>320</v>
      </c>
      <c r="C77" s="9" t="s">
        <v>320</v>
      </c>
      <c r="D77" s="8">
        <v>45755</v>
      </c>
      <c r="E77" s="7" t="s">
        <v>960</v>
      </c>
      <c r="F77" s="7">
        <v>1</v>
      </c>
      <c r="G77" s="7" t="s">
        <v>14</v>
      </c>
      <c r="I77" s="7"/>
      <c r="J77" s="7">
        <f t="shared" ref="J77:J138" si="10">YEAR(I77)</f>
        <v>1900</v>
      </c>
      <c r="K77" s="7">
        <f t="shared" ref="K77:K85" si="11">MONTH(I77)</f>
        <v>1</v>
      </c>
      <c r="L77" s="7">
        <f t="shared" si="8"/>
        <v>45755</v>
      </c>
      <c r="M77" s="7" t="s">
        <v>502</v>
      </c>
      <c r="O77" s="7" t="s">
        <v>680</v>
      </c>
      <c r="P77" s="7">
        <f t="shared" si="9"/>
        <v>4</v>
      </c>
      <c r="Q77" s="7">
        <f t="shared" si="5"/>
        <v>2025</v>
      </c>
    </row>
    <row r="78" spans="1:17" x14ac:dyDescent="0.25">
      <c r="A78" s="7">
        <v>2514</v>
      </c>
      <c r="B78" s="9" t="s">
        <v>320</v>
      </c>
      <c r="C78" s="9" t="s">
        <v>320</v>
      </c>
      <c r="D78" s="8">
        <v>45755</v>
      </c>
      <c r="E78" s="7" t="s">
        <v>961</v>
      </c>
      <c r="F78" s="7">
        <v>1</v>
      </c>
      <c r="G78" s="7" t="s">
        <v>14</v>
      </c>
      <c r="I78" s="7"/>
      <c r="J78" s="7">
        <f t="shared" si="10"/>
        <v>1900</v>
      </c>
      <c r="K78" s="7">
        <f t="shared" si="11"/>
        <v>1</v>
      </c>
      <c r="L78" s="7">
        <f t="shared" si="8"/>
        <v>45755</v>
      </c>
      <c r="M78" s="7" t="s">
        <v>502</v>
      </c>
      <c r="O78" s="7" t="s">
        <v>680</v>
      </c>
      <c r="P78" s="7">
        <f t="shared" si="9"/>
        <v>4</v>
      </c>
      <c r="Q78" s="7">
        <f t="shared" si="5"/>
        <v>2025</v>
      </c>
    </row>
    <row r="79" spans="1:17" x14ac:dyDescent="0.25">
      <c r="A79" s="7">
        <v>2514</v>
      </c>
      <c r="B79" s="9" t="s">
        <v>320</v>
      </c>
      <c r="C79" s="9" t="s">
        <v>320</v>
      </c>
      <c r="D79" s="8">
        <v>45755</v>
      </c>
      <c r="E79" s="7" t="s">
        <v>962</v>
      </c>
      <c r="F79" s="7">
        <v>1</v>
      </c>
      <c r="G79" s="7" t="s">
        <v>14</v>
      </c>
      <c r="I79" s="7"/>
      <c r="J79" s="7">
        <f t="shared" si="10"/>
        <v>1900</v>
      </c>
      <c r="K79" s="7">
        <f t="shared" si="11"/>
        <v>1</v>
      </c>
      <c r="L79" s="7">
        <f t="shared" si="8"/>
        <v>45755</v>
      </c>
      <c r="M79" s="7" t="s">
        <v>502</v>
      </c>
      <c r="O79" s="7" t="s">
        <v>680</v>
      </c>
      <c r="P79" s="7">
        <f t="shared" si="9"/>
        <v>4</v>
      </c>
      <c r="Q79" s="7">
        <f t="shared" si="5"/>
        <v>2025</v>
      </c>
    </row>
    <row r="80" spans="1:17" x14ac:dyDescent="0.25">
      <c r="A80" s="7">
        <v>2514</v>
      </c>
      <c r="B80" s="9" t="s">
        <v>320</v>
      </c>
      <c r="C80" s="9" t="s">
        <v>320</v>
      </c>
      <c r="D80" s="8">
        <v>45755</v>
      </c>
      <c r="E80" s="7" t="s">
        <v>963</v>
      </c>
      <c r="F80" s="7">
        <v>1</v>
      </c>
      <c r="G80" s="7" t="s">
        <v>14</v>
      </c>
      <c r="I80" s="7"/>
      <c r="J80" s="7">
        <f t="shared" si="10"/>
        <v>1900</v>
      </c>
      <c r="K80" s="7">
        <f t="shared" si="11"/>
        <v>1</v>
      </c>
      <c r="L80" s="7">
        <f t="shared" si="8"/>
        <v>45755</v>
      </c>
      <c r="M80" s="7" t="s">
        <v>502</v>
      </c>
      <c r="O80" s="7" t="s">
        <v>680</v>
      </c>
      <c r="P80" s="7">
        <f t="shared" si="9"/>
        <v>4</v>
      </c>
      <c r="Q80" s="7">
        <f t="shared" si="5"/>
        <v>2025</v>
      </c>
    </row>
    <row r="81" spans="1:17" x14ac:dyDescent="0.25">
      <c r="A81" s="7">
        <v>2514</v>
      </c>
      <c r="B81" s="9" t="s">
        <v>320</v>
      </c>
      <c r="C81" s="9" t="s">
        <v>320</v>
      </c>
      <c r="D81" s="8">
        <v>45755</v>
      </c>
      <c r="E81" s="7" t="s">
        <v>964</v>
      </c>
      <c r="F81" s="7">
        <v>1</v>
      </c>
      <c r="G81" s="7" t="s">
        <v>14</v>
      </c>
      <c r="I81" s="7"/>
      <c r="J81" s="7">
        <f t="shared" si="10"/>
        <v>1900</v>
      </c>
      <c r="K81" s="7">
        <f t="shared" si="11"/>
        <v>1</v>
      </c>
      <c r="L81" s="7">
        <f t="shared" si="8"/>
        <v>45755</v>
      </c>
      <c r="M81" s="7" t="s">
        <v>502</v>
      </c>
      <c r="O81" s="7" t="s">
        <v>680</v>
      </c>
      <c r="P81" s="7">
        <f t="shared" si="9"/>
        <v>4</v>
      </c>
      <c r="Q81" s="7">
        <f t="shared" si="5"/>
        <v>2025</v>
      </c>
    </row>
    <row r="82" spans="1:17" x14ac:dyDescent="0.25">
      <c r="A82" s="7">
        <v>2514</v>
      </c>
      <c r="B82" s="9" t="s">
        <v>320</v>
      </c>
      <c r="C82" s="9" t="s">
        <v>320</v>
      </c>
      <c r="D82" s="8">
        <v>45755</v>
      </c>
      <c r="E82" s="7" t="s">
        <v>965</v>
      </c>
      <c r="F82" s="7">
        <v>1</v>
      </c>
      <c r="G82" s="7" t="s">
        <v>14</v>
      </c>
      <c r="I82" s="7"/>
      <c r="J82" s="7">
        <f t="shared" si="10"/>
        <v>1900</v>
      </c>
      <c r="K82" s="7">
        <f t="shared" si="11"/>
        <v>1</v>
      </c>
      <c r="L82" s="7">
        <f t="shared" si="8"/>
        <v>45755</v>
      </c>
      <c r="M82" s="7" t="s">
        <v>502</v>
      </c>
      <c r="O82" s="7" t="s">
        <v>680</v>
      </c>
      <c r="P82" s="7">
        <f t="shared" si="9"/>
        <v>4</v>
      </c>
      <c r="Q82" s="7">
        <f t="shared" si="5"/>
        <v>2025</v>
      </c>
    </row>
    <row r="83" spans="1:17" x14ac:dyDescent="0.25">
      <c r="A83" s="7">
        <v>2514</v>
      </c>
      <c r="B83" s="9" t="s">
        <v>320</v>
      </c>
      <c r="C83" s="9" t="s">
        <v>320</v>
      </c>
      <c r="D83" s="8">
        <v>45755</v>
      </c>
      <c r="E83" s="7" t="s">
        <v>966</v>
      </c>
      <c r="F83" s="7">
        <v>1</v>
      </c>
      <c r="G83" s="7" t="s">
        <v>14</v>
      </c>
      <c r="I83" s="7"/>
      <c r="J83" s="7">
        <f t="shared" si="10"/>
        <v>1900</v>
      </c>
      <c r="K83" s="7">
        <f t="shared" si="11"/>
        <v>1</v>
      </c>
      <c r="L83" s="7">
        <f t="shared" si="8"/>
        <v>45755</v>
      </c>
      <c r="M83" s="7" t="s">
        <v>502</v>
      </c>
      <c r="O83" s="7" t="s">
        <v>680</v>
      </c>
      <c r="P83" s="7">
        <f t="shared" si="9"/>
        <v>4</v>
      </c>
      <c r="Q83" s="7">
        <f t="shared" si="5"/>
        <v>2025</v>
      </c>
    </row>
    <row r="84" spans="1:17" x14ac:dyDescent="0.25">
      <c r="A84" s="7">
        <v>2514</v>
      </c>
      <c r="B84" s="9" t="s">
        <v>320</v>
      </c>
      <c r="C84" s="9" t="s">
        <v>320</v>
      </c>
      <c r="D84" s="8">
        <v>45755</v>
      </c>
      <c r="E84" s="7" t="s">
        <v>967</v>
      </c>
      <c r="F84" s="7">
        <v>1</v>
      </c>
      <c r="G84" s="7" t="s">
        <v>14</v>
      </c>
      <c r="I84" s="7"/>
      <c r="J84" s="7">
        <f t="shared" si="10"/>
        <v>1900</v>
      </c>
      <c r="K84" s="7">
        <f t="shared" si="11"/>
        <v>1</v>
      </c>
      <c r="L84" s="7">
        <f t="shared" si="8"/>
        <v>45755</v>
      </c>
      <c r="M84" s="7" t="s">
        <v>502</v>
      </c>
      <c r="O84" s="7" t="s">
        <v>680</v>
      </c>
      <c r="P84" s="7">
        <f t="shared" si="9"/>
        <v>4</v>
      </c>
      <c r="Q84" s="7">
        <f t="shared" si="5"/>
        <v>2025</v>
      </c>
    </row>
    <row r="85" spans="1:17" x14ac:dyDescent="0.25">
      <c r="A85" s="7">
        <v>2514</v>
      </c>
      <c r="B85" s="9" t="s">
        <v>320</v>
      </c>
      <c r="C85" s="9" t="s">
        <v>320</v>
      </c>
      <c r="D85" s="8">
        <v>45755</v>
      </c>
      <c r="E85" s="7" t="s">
        <v>968</v>
      </c>
      <c r="F85" s="7">
        <v>1</v>
      </c>
      <c r="G85" s="7" t="s">
        <v>14</v>
      </c>
      <c r="I85" s="7"/>
      <c r="J85" s="7">
        <f t="shared" si="10"/>
        <v>1900</v>
      </c>
      <c r="K85" s="7">
        <f t="shared" si="11"/>
        <v>1</v>
      </c>
      <c r="L85" s="7">
        <f t="shared" si="8"/>
        <v>45755</v>
      </c>
      <c r="M85" s="7" t="s">
        <v>502</v>
      </c>
      <c r="O85" s="7" t="s">
        <v>680</v>
      </c>
      <c r="P85" s="7">
        <f t="shared" si="9"/>
        <v>4</v>
      </c>
      <c r="Q85" s="7">
        <f t="shared" si="5"/>
        <v>2025</v>
      </c>
    </row>
    <row r="86" spans="1:17" x14ac:dyDescent="0.25">
      <c r="A86" s="7">
        <v>2515</v>
      </c>
      <c r="B86" s="9" t="s">
        <v>321</v>
      </c>
      <c r="C86" s="9" t="s">
        <v>322</v>
      </c>
      <c r="D86" s="8">
        <v>45765</v>
      </c>
      <c r="E86" s="7" t="s">
        <v>136</v>
      </c>
      <c r="F86" s="7">
        <v>1</v>
      </c>
      <c r="G86" s="7" t="s">
        <v>14</v>
      </c>
      <c r="I86" s="8">
        <v>45689</v>
      </c>
      <c r="J86" s="7">
        <f t="shared" si="10"/>
        <v>2025</v>
      </c>
      <c r="K86" s="7">
        <f>MONTH(I86)</f>
        <v>2</v>
      </c>
      <c r="L86" s="7">
        <f t="shared" si="8"/>
        <v>76</v>
      </c>
      <c r="M86" s="16" t="s">
        <v>497</v>
      </c>
      <c r="O86" s="7" t="s">
        <v>680</v>
      </c>
      <c r="P86" s="7">
        <f t="shared" si="9"/>
        <v>4</v>
      </c>
      <c r="Q86" s="7">
        <f t="shared" si="5"/>
        <v>2025</v>
      </c>
    </row>
    <row r="87" spans="1:17" x14ac:dyDescent="0.25">
      <c r="A87" s="7">
        <v>2515</v>
      </c>
      <c r="B87" s="9" t="s">
        <v>321</v>
      </c>
      <c r="C87" s="9" t="s">
        <v>322</v>
      </c>
      <c r="D87" s="8">
        <v>45765</v>
      </c>
      <c r="E87" s="7" t="s">
        <v>137</v>
      </c>
      <c r="F87" s="7">
        <v>1</v>
      </c>
      <c r="G87" s="7" t="s">
        <v>14</v>
      </c>
      <c r="I87" s="8">
        <v>45689</v>
      </c>
      <c r="J87" s="7">
        <f t="shared" si="10"/>
        <v>2025</v>
      </c>
      <c r="K87" s="7">
        <f t="shared" ref="K87:K146" si="12">MONTH(I87)</f>
        <v>2</v>
      </c>
      <c r="L87" s="7">
        <f t="shared" si="8"/>
        <v>76</v>
      </c>
      <c r="M87" s="16" t="s">
        <v>497</v>
      </c>
      <c r="O87" s="7" t="s">
        <v>680</v>
      </c>
      <c r="P87" s="7">
        <f t="shared" si="9"/>
        <v>4</v>
      </c>
      <c r="Q87" s="7">
        <f t="shared" si="5"/>
        <v>2025</v>
      </c>
    </row>
    <row r="88" spans="1:17" x14ac:dyDescent="0.25">
      <c r="A88" s="7">
        <v>2515</v>
      </c>
      <c r="B88" s="9" t="s">
        <v>321</v>
      </c>
      <c r="C88" s="9" t="s">
        <v>322</v>
      </c>
      <c r="D88" s="8">
        <v>45765</v>
      </c>
      <c r="E88" s="7" t="s">
        <v>138</v>
      </c>
      <c r="F88" s="7">
        <v>1</v>
      </c>
      <c r="G88" s="7" t="s">
        <v>14</v>
      </c>
      <c r="I88" s="8">
        <v>45689</v>
      </c>
      <c r="J88" s="7">
        <f t="shared" si="10"/>
        <v>2025</v>
      </c>
      <c r="K88" s="7">
        <f t="shared" si="12"/>
        <v>2</v>
      </c>
      <c r="L88" s="7">
        <f t="shared" si="8"/>
        <v>76</v>
      </c>
      <c r="M88" s="16" t="s">
        <v>497</v>
      </c>
      <c r="O88" s="7" t="s">
        <v>680</v>
      </c>
      <c r="P88" s="7">
        <f t="shared" si="9"/>
        <v>4</v>
      </c>
      <c r="Q88" s="7">
        <f t="shared" si="5"/>
        <v>2025</v>
      </c>
    </row>
    <row r="89" spans="1:17" x14ac:dyDescent="0.25">
      <c r="A89" s="7">
        <v>2515</v>
      </c>
      <c r="B89" s="9" t="s">
        <v>321</v>
      </c>
      <c r="C89" s="9" t="s">
        <v>322</v>
      </c>
      <c r="D89" s="8">
        <v>45765</v>
      </c>
      <c r="E89" s="7" t="s">
        <v>139</v>
      </c>
      <c r="F89" s="7">
        <v>1</v>
      </c>
      <c r="G89" s="7" t="s">
        <v>14</v>
      </c>
      <c r="I89" s="8">
        <v>45689</v>
      </c>
      <c r="J89" s="7">
        <f t="shared" si="10"/>
        <v>2025</v>
      </c>
      <c r="K89" s="7">
        <f t="shared" si="12"/>
        <v>2</v>
      </c>
      <c r="L89" s="7">
        <f t="shared" si="8"/>
        <v>76</v>
      </c>
      <c r="M89" s="16" t="s">
        <v>497</v>
      </c>
      <c r="O89" s="7" t="s">
        <v>680</v>
      </c>
      <c r="P89" s="7">
        <f t="shared" si="9"/>
        <v>4</v>
      </c>
      <c r="Q89" s="7">
        <f t="shared" si="5"/>
        <v>2025</v>
      </c>
    </row>
    <row r="90" spans="1:17" x14ac:dyDescent="0.25">
      <c r="A90" s="7">
        <v>2515</v>
      </c>
      <c r="B90" s="9" t="s">
        <v>321</v>
      </c>
      <c r="C90" s="9" t="s">
        <v>322</v>
      </c>
      <c r="D90" s="8">
        <v>45765</v>
      </c>
      <c r="E90" s="7" t="s">
        <v>140</v>
      </c>
      <c r="F90" s="7">
        <v>1</v>
      </c>
      <c r="G90" s="7" t="s">
        <v>14</v>
      </c>
      <c r="I90" s="8">
        <v>45689</v>
      </c>
      <c r="J90" s="7">
        <f t="shared" si="10"/>
        <v>2025</v>
      </c>
      <c r="K90" s="7">
        <f t="shared" si="12"/>
        <v>2</v>
      </c>
      <c r="L90" s="7">
        <f t="shared" si="8"/>
        <v>76</v>
      </c>
      <c r="M90" s="16" t="s">
        <v>497</v>
      </c>
      <c r="O90" s="7" t="s">
        <v>680</v>
      </c>
      <c r="P90" s="7">
        <f t="shared" si="9"/>
        <v>4</v>
      </c>
      <c r="Q90" s="7">
        <f t="shared" si="5"/>
        <v>2025</v>
      </c>
    </row>
    <row r="91" spans="1:17" x14ac:dyDescent="0.25">
      <c r="A91" s="7">
        <v>2515</v>
      </c>
      <c r="B91" s="9" t="s">
        <v>321</v>
      </c>
      <c r="C91" s="9" t="s">
        <v>322</v>
      </c>
      <c r="D91" s="8">
        <v>45765</v>
      </c>
      <c r="E91" s="7" t="s">
        <v>141</v>
      </c>
      <c r="F91" s="7">
        <v>1</v>
      </c>
      <c r="G91" s="7" t="s">
        <v>14</v>
      </c>
      <c r="I91" s="8">
        <v>45689</v>
      </c>
      <c r="J91" s="7">
        <f t="shared" si="10"/>
        <v>2025</v>
      </c>
      <c r="K91" s="7">
        <f t="shared" si="12"/>
        <v>2</v>
      </c>
      <c r="L91" s="7">
        <f t="shared" si="8"/>
        <v>76</v>
      </c>
      <c r="M91" s="16" t="s">
        <v>497</v>
      </c>
      <c r="O91" s="7" t="s">
        <v>680</v>
      </c>
      <c r="P91" s="7">
        <f t="shared" si="9"/>
        <v>4</v>
      </c>
      <c r="Q91" s="7">
        <f t="shared" si="5"/>
        <v>2025</v>
      </c>
    </row>
    <row r="92" spans="1:17" x14ac:dyDescent="0.25">
      <c r="A92" s="7">
        <v>2515</v>
      </c>
      <c r="B92" s="9" t="s">
        <v>321</v>
      </c>
      <c r="C92" s="9" t="s">
        <v>322</v>
      </c>
      <c r="D92" s="8">
        <v>45765</v>
      </c>
      <c r="E92" s="7" t="s">
        <v>142</v>
      </c>
      <c r="F92" s="7">
        <v>1</v>
      </c>
      <c r="G92" s="7" t="s">
        <v>14</v>
      </c>
      <c r="I92" s="8">
        <v>45689</v>
      </c>
      <c r="J92" s="7">
        <f t="shared" si="10"/>
        <v>2025</v>
      </c>
      <c r="K92" s="7">
        <f t="shared" si="12"/>
        <v>2</v>
      </c>
      <c r="L92" s="7">
        <f t="shared" si="8"/>
        <v>76</v>
      </c>
      <c r="M92" s="16" t="s">
        <v>497</v>
      </c>
      <c r="O92" s="7" t="s">
        <v>680</v>
      </c>
      <c r="P92" s="7">
        <f t="shared" si="9"/>
        <v>4</v>
      </c>
      <c r="Q92" s="7">
        <f t="shared" si="5"/>
        <v>2025</v>
      </c>
    </row>
    <row r="93" spans="1:17" x14ac:dyDescent="0.25">
      <c r="A93" s="7">
        <v>2515</v>
      </c>
      <c r="B93" s="9" t="s">
        <v>321</v>
      </c>
      <c r="C93" s="9" t="s">
        <v>322</v>
      </c>
      <c r="D93" s="8">
        <v>45765</v>
      </c>
      <c r="E93" s="7" t="s">
        <v>143</v>
      </c>
      <c r="F93" s="7">
        <v>1</v>
      </c>
      <c r="G93" s="7" t="s">
        <v>14</v>
      </c>
      <c r="I93" s="8">
        <v>45689</v>
      </c>
      <c r="J93" s="7">
        <f t="shared" si="10"/>
        <v>2025</v>
      </c>
      <c r="K93" s="7">
        <f t="shared" si="12"/>
        <v>2</v>
      </c>
      <c r="L93" s="7">
        <f t="shared" si="8"/>
        <v>76</v>
      </c>
      <c r="M93" s="16" t="s">
        <v>497</v>
      </c>
      <c r="O93" s="7" t="s">
        <v>680</v>
      </c>
      <c r="P93" s="7">
        <f t="shared" si="9"/>
        <v>4</v>
      </c>
      <c r="Q93" s="7">
        <f t="shared" si="5"/>
        <v>2025</v>
      </c>
    </row>
    <row r="94" spans="1:17" x14ac:dyDescent="0.25">
      <c r="A94" s="7">
        <v>2515</v>
      </c>
      <c r="B94" s="9" t="s">
        <v>321</v>
      </c>
      <c r="C94" s="9" t="s">
        <v>322</v>
      </c>
      <c r="D94" s="8">
        <v>45765</v>
      </c>
      <c r="E94" s="7" t="s">
        <v>144</v>
      </c>
      <c r="F94" s="7">
        <v>1</v>
      </c>
      <c r="G94" s="7" t="s">
        <v>14</v>
      </c>
      <c r="I94" s="8">
        <v>45689</v>
      </c>
      <c r="J94" s="7">
        <f t="shared" si="10"/>
        <v>2025</v>
      </c>
      <c r="K94" s="7">
        <f t="shared" si="12"/>
        <v>2</v>
      </c>
      <c r="L94" s="7">
        <f t="shared" si="8"/>
        <v>76</v>
      </c>
      <c r="M94" s="16" t="s">
        <v>497</v>
      </c>
      <c r="O94" s="7" t="s">
        <v>680</v>
      </c>
      <c r="P94" s="7">
        <f t="shared" si="9"/>
        <v>4</v>
      </c>
      <c r="Q94" s="7">
        <f t="shared" si="5"/>
        <v>2025</v>
      </c>
    </row>
    <row r="95" spans="1:17" x14ac:dyDescent="0.25">
      <c r="A95" s="7">
        <v>2515</v>
      </c>
      <c r="B95" s="9" t="s">
        <v>321</v>
      </c>
      <c r="C95" s="9" t="s">
        <v>322</v>
      </c>
      <c r="D95" s="8">
        <v>45765</v>
      </c>
      <c r="E95" s="7" t="s">
        <v>145</v>
      </c>
      <c r="F95" s="7">
        <v>1</v>
      </c>
      <c r="G95" s="7" t="s">
        <v>14</v>
      </c>
      <c r="I95" s="8">
        <v>45689</v>
      </c>
      <c r="J95" s="7">
        <f t="shared" si="10"/>
        <v>2025</v>
      </c>
      <c r="K95" s="7">
        <f t="shared" si="12"/>
        <v>2</v>
      </c>
      <c r="L95" s="7">
        <f t="shared" si="8"/>
        <v>76</v>
      </c>
      <c r="M95" s="16" t="s">
        <v>497</v>
      </c>
      <c r="O95" s="7" t="s">
        <v>680</v>
      </c>
      <c r="P95" s="7">
        <f t="shared" si="9"/>
        <v>4</v>
      </c>
      <c r="Q95" s="7">
        <f t="shared" si="5"/>
        <v>2025</v>
      </c>
    </row>
    <row r="96" spans="1:17" x14ac:dyDescent="0.25">
      <c r="A96" s="7">
        <v>2515</v>
      </c>
      <c r="B96" s="9" t="s">
        <v>321</v>
      </c>
      <c r="C96" s="9" t="s">
        <v>322</v>
      </c>
      <c r="D96" s="8">
        <v>45765</v>
      </c>
      <c r="E96" s="7" t="s">
        <v>146</v>
      </c>
      <c r="F96" s="7">
        <v>1</v>
      </c>
      <c r="G96" s="7" t="s">
        <v>14</v>
      </c>
      <c r="I96" s="8">
        <v>45689</v>
      </c>
      <c r="J96" s="7">
        <f t="shared" si="10"/>
        <v>2025</v>
      </c>
      <c r="K96" s="7">
        <f t="shared" si="12"/>
        <v>2</v>
      </c>
      <c r="L96" s="7">
        <f t="shared" si="8"/>
        <v>76</v>
      </c>
      <c r="M96" s="16" t="s">
        <v>497</v>
      </c>
      <c r="O96" s="7" t="s">
        <v>680</v>
      </c>
      <c r="P96" s="7">
        <f t="shared" si="9"/>
        <v>4</v>
      </c>
      <c r="Q96" s="7">
        <f t="shared" si="5"/>
        <v>2025</v>
      </c>
    </row>
    <row r="97" spans="1:17" x14ac:dyDescent="0.25">
      <c r="A97" s="7">
        <v>2515</v>
      </c>
      <c r="B97" s="9" t="s">
        <v>321</v>
      </c>
      <c r="C97" s="9" t="s">
        <v>322</v>
      </c>
      <c r="D97" s="8">
        <v>45765</v>
      </c>
      <c r="E97" s="7" t="s">
        <v>147</v>
      </c>
      <c r="F97" s="7">
        <v>1</v>
      </c>
      <c r="G97" s="7" t="s">
        <v>14</v>
      </c>
      <c r="I97" s="8">
        <v>45689</v>
      </c>
      <c r="J97" s="7">
        <f t="shared" si="10"/>
        <v>2025</v>
      </c>
      <c r="K97" s="7">
        <f t="shared" si="12"/>
        <v>2</v>
      </c>
      <c r="L97" s="7">
        <f t="shared" si="8"/>
        <v>76</v>
      </c>
      <c r="M97" s="16" t="s">
        <v>497</v>
      </c>
      <c r="O97" s="7" t="s">
        <v>680</v>
      </c>
      <c r="P97" s="7">
        <f t="shared" si="9"/>
        <v>4</v>
      </c>
      <c r="Q97" s="7">
        <f t="shared" si="5"/>
        <v>2025</v>
      </c>
    </row>
    <row r="98" spans="1:17" x14ac:dyDescent="0.25">
      <c r="A98" s="7">
        <v>2515</v>
      </c>
      <c r="B98" s="9" t="s">
        <v>321</v>
      </c>
      <c r="C98" s="9" t="s">
        <v>322</v>
      </c>
      <c r="D98" s="8">
        <v>45765</v>
      </c>
      <c r="E98" s="7" t="s">
        <v>148</v>
      </c>
      <c r="F98" s="7">
        <v>1</v>
      </c>
      <c r="G98" s="7" t="s">
        <v>14</v>
      </c>
      <c r="I98" s="8">
        <v>45689</v>
      </c>
      <c r="J98" s="7">
        <f t="shared" si="10"/>
        <v>2025</v>
      </c>
      <c r="K98" s="7">
        <f t="shared" si="12"/>
        <v>2</v>
      </c>
      <c r="L98" s="7">
        <f t="shared" si="8"/>
        <v>76</v>
      </c>
      <c r="M98" s="16" t="s">
        <v>497</v>
      </c>
      <c r="O98" s="7" t="s">
        <v>680</v>
      </c>
      <c r="P98" s="7">
        <f t="shared" si="9"/>
        <v>4</v>
      </c>
      <c r="Q98" s="7">
        <f t="shared" si="5"/>
        <v>2025</v>
      </c>
    </row>
    <row r="99" spans="1:17" x14ac:dyDescent="0.25">
      <c r="A99" s="7">
        <v>2515</v>
      </c>
      <c r="B99" s="9" t="s">
        <v>321</v>
      </c>
      <c r="C99" s="9" t="s">
        <v>322</v>
      </c>
      <c r="D99" s="8">
        <v>45765</v>
      </c>
      <c r="E99" s="7" t="s">
        <v>149</v>
      </c>
      <c r="F99" s="7">
        <v>1</v>
      </c>
      <c r="G99" s="7" t="s">
        <v>14</v>
      </c>
      <c r="I99" s="8">
        <v>45689</v>
      </c>
      <c r="J99" s="7">
        <f t="shared" si="10"/>
        <v>2025</v>
      </c>
      <c r="K99" s="7">
        <f t="shared" si="12"/>
        <v>2</v>
      </c>
      <c r="L99" s="7">
        <f t="shared" si="8"/>
        <v>76</v>
      </c>
      <c r="M99" s="16" t="s">
        <v>497</v>
      </c>
      <c r="O99" s="7" t="s">
        <v>680</v>
      </c>
      <c r="P99" s="7">
        <f t="shared" si="9"/>
        <v>4</v>
      </c>
      <c r="Q99" s="7">
        <f t="shared" si="5"/>
        <v>2025</v>
      </c>
    </row>
    <row r="100" spans="1:17" x14ac:dyDescent="0.25">
      <c r="A100" s="7">
        <v>2515</v>
      </c>
      <c r="B100" s="9" t="s">
        <v>321</v>
      </c>
      <c r="C100" s="9" t="s">
        <v>322</v>
      </c>
      <c r="D100" s="8">
        <v>45765</v>
      </c>
      <c r="E100" s="7" t="s">
        <v>150</v>
      </c>
      <c r="F100" s="7">
        <v>1</v>
      </c>
      <c r="G100" s="7" t="s">
        <v>14</v>
      </c>
      <c r="I100" s="8">
        <v>45689</v>
      </c>
      <c r="J100" s="7">
        <f t="shared" si="10"/>
        <v>2025</v>
      </c>
      <c r="K100" s="7">
        <f t="shared" si="12"/>
        <v>2</v>
      </c>
      <c r="L100" s="7">
        <f t="shared" si="8"/>
        <v>76</v>
      </c>
      <c r="M100" s="16" t="s">
        <v>497</v>
      </c>
      <c r="O100" s="7" t="s">
        <v>680</v>
      </c>
      <c r="P100" s="7">
        <f t="shared" si="9"/>
        <v>4</v>
      </c>
      <c r="Q100" s="7">
        <f t="shared" si="5"/>
        <v>2025</v>
      </c>
    </row>
    <row r="101" spans="1:17" x14ac:dyDescent="0.25">
      <c r="A101" s="7">
        <v>2515</v>
      </c>
      <c r="B101" s="9" t="s">
        <v>321</v>
      </c>
      <c r="C101" s="9" t="s">
        <v>322</v>
      </c>
      <c r="D101" s="8">
        <v>45765</v>
      </c>
      <c r="E101" s="7" t="s">
        <v>151</v>
      </c>
      <c r="F101" s="7">
        <v>1</v>
      </c>
      <c r="G101" s="7" t="s">
        <v>14</v>
      </c>
      <c r="I101" s="8">
        <v>45689</v>
      </c>
      <c r="J101" s="7">
        <f t="shared" si="10"/>
        <v>2025</v>
      </c>
      <c r="K101" s="7">
        <f t="shared" si="12"/>
        <v>2</v>
      </c>
      <c r="L101" s="7">
        <f t="shared" si="8"/>
        <v>76</v>
      </c>
      <c r="M101" s="16" t="s">
        <v>497</v>
      </c>
      <c r="O101" s="7" t="s">
        <v>680</v>
      </c>
      <c r="P101" s="7">
        <f t="shared" si="9"/>
        <v>4</v>
      </c>
      <c r="Q101" s="7">
        <f t="shared" si="5"/>
        <v>2025</v>
      </c>
    </row>
    <row r="102" spans="1:17" x14ac:dyDescent="0.25">
      <c r="A102" s="7">
        <v>2516</v>
      </c>
      <c r="B102" s="9" t="s">
        <v>62</v>
      </c>
      <c r="C102" s="9" t="s">
        <v>323</v>
      </c>
      <c r="D102" s="8">
        <v>45771</v>
      </c>
      <c r="E102" s="7" t="s">
        <v>924</v>
      </c>
      <c r="F102" s="7">
        <v>1</v>
      </c>
      <c r="G102" s="7" t="s">
        <v>14</v>
      </c>
      <c r="I102" s="8">
        <v>45566</v>
      </c>
      <c r="J102" s="7">
        <f t="shared" si="10"/>
        <v>2024</v>
      </c>
      <c r="K102" s="7">
        <f t="shared" si="12"/>
        <v>10</v>
      </c>
      <c r="L102" s="7">
        <f t="shared" si="8"/>
        <v>205</v>
      </c>
      <c r="M102" s="7" t="s">
        <v>502</v>
      </c>
      <c r="O102" s="7" t="s">
        <v>680</v>
      </c>
      <c r="P102" s="7">
        <f t="shared" si="9"/>
        <v>4</v>
      </c>
      <c r="Q102" s="7">
        <f t="shared" si="5"/>
        <v>2025</v>
      </c>
    </row>
    <row r="103" spans="1:17" x14ac:dyDescent="0.25">
      <c r="A103" s="7">
        <v>2516</v>
      </c>
      <c r="B103" s="9" t="s">
        <v>62</v>
      </c>
      <c r="C103" s="9" t="s">
        <v>323</v>
      </c>
      <c r="D103" s="8">
        <v>45771</v>
      </c>
      <c r="E103" s="7" t="s">
        <v>925</v>
      </c>
      <c r="F103" s="7">
        <v>1</v>
      </c>
      <c r="G103" s="7" t="s">
        <v>14</v>
      </c>
      <c r="I103" s="8">
        <v>45566</v>
      </c>
      <c r="J103" s="7">
        <f t="shared" si="10"/>
        <v>2024</v>
      </c>
      <c r="K103" s="7">
        <f t="shared" si="12"/>
        <v>10</v>
      </c>
      <c r="L103" s="7">
        <f t="shared" si="8"/>
        <v>205</v>
      </c>
      <c r="M103" s="7" t="s">
        <v>502</v>
      </c>
      <c r="O103" s="7" t="s">
        <v>680</v>
      </c>
      <c r="P103" s="7">
        <f t="shared" si="9"/>
        <v>4</v>
      </c>
      <c r="Q103" s="7">
        <f t="shared" si="5"/>
        <v>2025</v>
      </c>
    </row>
    <row r="104" spans="1:17" x14ac:dyDescent="0.25">
      <c r="A104" s="7">
        <v>2516</v>
      </c>
      <c r="B104" s="9" t="s">
        <v>62</v>
      </c>
      <c r="C104" s="9" t="s">
        <v>323</v>
      </c>
      <c r="D104" s="8">
        <v>45771</v>
      </c>
      <c r="E104" s="7" t="s">
        <v>926</v>
      </c>
      <c r="F104" s="7">
        <v>1</v>
      </c>
      <c r="G104" s="7" t="s">
        <v>14</v>
      </c>
      <c r="I104" s="8">
        <v>45566</v>
      </c>
      <c r="J104" s="7">
        <f t="shared" si="10"/>
        <v>2024</v>
      </c>
      <c r="K104" s="7">
        <f t="shared" si="12"/>
        <v>10</v>
      </c>
      <c r="L104" s="7">
        <f t="shared" si="8"/>
        <v>205</v>
      </c>
      <c r="M104" s="7" t="s">
        <v>502</v>
      </c>
      <c r="O104" s="7" t="s">
        <v>680</v>
      </c>
      <c r="P104" s="7">
        <f t="shared" si="9"/>
        <v>4</v>
      </c>
      <c r="Q104" s="7">
        <f t="shared" si="5"/>
        <v>2025</v>
      </c>
    </row>
    <row r="105" spans="1:17" x14ac:dyDescent="0.25">
      <c r="A105" s="7">
        <v>2516</v>
      </c>
      <c r="B105" s="9" t="s">
        <v>62</v>
      </c>
      <c r="C105" s="9" t="s">
        <v>323</v>
      </c>
      <c r="D105" s="8">
        <v>45771</v>
      </c>
      <c r="E105" s="7" t="s">
        <v>927</v>
      </c>
      <c r="F105" s="7">
        <v>1</v>
      </c>
      <c r="G105" s="7" t="s">
        <v>14</v>
      </c>
      <c r="I105" s="8">
        <v>45566</v>
      </c>
      <c r="J105" s="7">
        <f t="shared" si="10"/>
        <v>2024</v>
      </c>
      <c r="K105" s="7">
        <f t="shared" si="12"/>
        <v>10</v>
      </c>
      <c r="L105" s="7">
        <f t="shared" si="8"/>
        <v>205</v>
      </c>
      <c r="M105" s="7" t="s">
        <v>502</v>
      </c>
      <c r="O105" s="7" t="s">
        <v>680</v>
      </c>
      <c r="P105" s="7">
        <f t="shared" si="9"/>
        <v>4</v>
      </c>
      <c r="Q105" s="7">
        <f t="shared" si="5"/>
        <v>2025</v>
      </c>
    </row>
    <row r="106" spans="1:17" x14ac:dyDescent="0.25">
      <c r="A106" s="7">
        <v>2516</v>
      </c>
      <c r="B106" s="9" t="s">
        <v>62</v>
      </c>
      <c r="C106" s="9" t="s">
        <v>323</v>
      </c>
      <c r="D106" s="8">
        <v>45771</v>
      </c>
      <c r="E106" s="7" t="s">
        <v>928</v>
      </c>
      <c r="F106" s="7">
        <v>1</v>
      </c>
      <c r="G106" s="7" t="s">
        <v>14</v>
      </c>
      <c r="I106" s="8">
        <v>45566</v>
      </c>
      <c r="J106" s="7">
        <f t="shared" si="10"/>
        <v>2024</v>
      </c>
      <c r="K106" s="7">
        <f t="shared" si="12"/>
        <v>10</v>
      </c>
      <c r="L106" s="7">
        <f t="shared" si="8"/>
        <v>205</v>
      </c>
      <c r="M106" s="7" t="s">
        <v>502</v>
      </c>
      <c r="O106" s="7" t="s">
        <v>680</v>
      </c>
      <c r="P106" s="7">
        <f t="shared" si="9"/>
        <v>4</v>
      </c>
      <c r="Q106" s="7">
        <f t="shared" si="5"/>
        <v>2025</v>
      </c>
    </row>
    <row r="107" spans="1:17" x14ac:dyDescent="0.25">
      <c r="A107" s="7">
        <v>2516</v>
      </c>
      <c r="B107" s="9" t="s">
        <v>62</v>
      </c>
      <c r="C107" s="9" t="s">
        <v>323</v>
      </c>
      <c r="D107" s="8">
        <v>45771</v>
      </c>
      <c r="E107" s="7" t="s">
        <v>929</v>
      </c>
      <c r="F107" s="7">
        <v>1</v>
      </c>
      <c r="G107" s="7" t="s">
        <v>14</v>
      </c>
      <c r="I107" s="8">
        <v>45566</v>
      </c>
      <c r="J107" s="7">
        <f t="shared" si="10"/>
        <v>2024</v>
      </c>
      <c r="K107" s="7">
        <f t="shared" si="12"/>
        <v>10</v>
      </c>
      <c r="L107" s="7">
        <f t="shared" si="8"/>
        <v>205</v>
      </c>
      <c r="M107" s="7" t="s">
        <v>502</v>
      </c>
      <c r="O107" s="7" t="s">
        <v>680</v>
      </c>
      <c r="P107" s="7">
        <f t="shared" si="9"/>
        <v>4</v>
      </c>
      <c r="Q107" s="7">
        <f t="shared" si="5"/>
        <v>2025</v>
      </c>
    </row>
    <row r="108" spans="1:17" x14ac:dyDescent="0.25">
      <c r="A108" s="7">
        <v>2516</v>
      </c>
      <c r="B108" s="9" t="s">
        <v>62</v>
      </c>
      <c r="C108" s="9" t="s">
        <v>323</v>
      </c>
      <c r="D108" s="8">
        <v>45771</v>
      </c>
      <c r="E108" s="7" t="s">
        <v>930</v>
      </c>
      <c r="F108" s="7">
        <v>1</v>
      </c>
      <c r="G108" s="7" t="s">
        <v>14</v>
      </c>
      <c r="I108" s="8">
        <v>45566</v>
      </c>
      <c r="J108" s="7">
        <f t="shared" si="10"/>
        <v>2024</v>
      </c>
      <c r="K108" s="7">
        <f t="shared" si="12"/>
        <v>10</v>
      </c>
      <c r="L108" s="7">
        <f t="shared" si="8"/>
        <v>205</v>
      </c>
      <c r="M108" s="7" t="s">
        <v>502</v>
      </c>
      <c r="O108" s="7" t="s">
        <v>680</v>
      </c>
      <c r="P108" s="7">
        <f t="shared" si="9"/>
        <v>4</v>
      </c>
      <c r="Q108" s="7">
        <f t="shared" si="5"/>
        <v>2025</v>
      </c>
    </row>
    <row r="109" spans="1:17" x14ac:dyDescent="0.25">
      <c r="A109" s="7">
        <v>2516</v>
      </c>
      <c r="B109" s="9" t="s">
        <v>62</v>
      </c>
      <c r="C109" s="9" t="s">
        <v>323</v>
      </c>
      <c r="D109" s="8">
        <v>45771</v>
      </c>
      <c r="E109" s="7" t="s">
        <v>931</v>
      </c>
      <c r="F109" s="7">
        <v>1</v>
      </c>
      <c r="G109" s="7" t="s">
        <v>14</v>
      </c>
      <c r="I109" s="8">
        <v>45566</v>
      </c>
      <c r="J109" s="7">
        <f t="shared" si="10"/>
        <v>2024</v>
      </c>
      <c r="K109" s="7">
        <f t="shared" si="12"/>
        <v>10</v>
      </c>
      <c r="L109" s="7">
        <f t="shared" si="8"/>
        <v>205</v>
      </c>
      <c r="M109" s="7" t="s">
        <v>502</v>
      </c>
      <c r="O109" s="7" t="s">
        <v>680</v>
      </c>
      <c r="P109" s="7">
        <f t="shared" si="9"/>
        <v>4</v>
      </c>
      <c r="Q109" s="7">
        <f t="shared" si="5"/>
        <v>2025</v>
      </c>
    </row>
    <row r="110" spans="1:17" x14ac:dyDescent="0.25">
      <c r="A110" s="7">
        <v>2516</v>
      </c>
      <c r="B110" s="9" t="s">
        <v>62</v>
      </c>
      <c r="C110" s="9" t="s">
        <v>323</v>
      </c>
      <c r="D110" s="8">
        <v>45771</v>
      </c>
      <c r="E110" s="7" t="s">
        <v>932</v>
      </c>
      <c r="F110" s="7">
        <v>1</v>
      </c>
      <c r="G110" s="7" t="s">
        <v>14</v>
      </c>
      <c r="I110" s="8">
        <v>45566</v>
      </c>
      <c r="J110" s="7">
        <f t="shared" si="10"/>
        <v>2024</v>
      </c>
      <c r="K110" s="7">
        <f t="shared" si="12"/>
        <v>10</v>
      </c>
      <c r="L110" s="7">
        <f t="shared" si="8"/>
        <v>205</v>
      </c>
      <c r="M110" s="7" t="s">
        <v>502</v>
      </c>
      <c r="O110" s="7" t="s">
        <v>680</v>
      </c>
      <c r="P110" s="7">
        <f t="shared" si="9"/>
        <v>4</v>
      </c>
      <c r="Q110" s="7">
        <f t="shared" si="5"/>
        <v>2025</v>
      </c>
    </row>
    <row r="111" spans="1:17" x14ac:dyDescent="0.25">
      <c r="A111" s="7">
        <v>2516</v>
      </c>
      <c r="B111" s="9" t="s">
        <v>62</v>
      </c>
      <c r="C111" s="9" t="s">
        <v>323</v>
      </c>
      <c r="D111" s="8">
        <v>45771</v>
      </c>
      <c r="E111" s="7" t="s">
        <v>933</v>
      </c>
      <c r="F111" s="7">
        <v>1</v>
      </c>
      <c r="G111" s="7" t="s">
        <v>14</v>
      </c>
      <c r="I111" s="8">
        <v>45566</v>
      </c>
      <c r="J111" s="7">
        <f t="shared" si="10"/>
        <v>2024</v>
      </c>
      <c r="K111" s="7">
        <f t="shared" si="12"/>
        <v>10</v>
      </c>
      <c r="L111" s="7">
        <f t="shared" si="8"/>
        <v>205</v>
      </c>
      <c r="M111" s="7" t="s">
        <v>502</v>
      </c>
      <c r="O111" s="7" t="s">
        <v>680</v>
      </c>
      <c r="P111" s="7">
        <f t="shared" si="9"/>
        <v>4</v>
      </c>
      <c r="Q111" s="7">
        <f t="shared" si="5"/>
        <v>2025</v>
      </c>
    </row>
    <row r="112" spans="1:17" x14ac:dyDescent="0.25">
      <c r="A112" s="7">
        <v>2516</v>
      </c>
      <c r="B112" s="9" t="s">
        <v>62</v>
      </c>
      <c r="C112" s="9" t="s">
        <v>323</v>
      </c>
      <c r="D112" s="8">
        <v>45771</v>
      </c>
      <c r="E112" s="7" t="s">
        <v>934</v>
      </c>
      <c r="F112" s="7">
        <v>1</v>
      </c>
      <c r="G112" s="7" t="s">
        <v>14</v>
      </c>
      <c r="I112" s="8">
        <v>45566</v>
      </c>
      <c r="J112" s="7">
        <f t="shared" si="10"/>
        <v>2024</v>
      </c>
      <c r="K112" s="7">
        <f t="shared" si="12"/>
        <v>10</v>
      </c>
      <c r="L112" s="7">
        <f t="shared" si="8"/>
        <v>205</v>
      </c>
      <c r="M112" s="7" t="s">
        <v>502</v>
      </c>
      <c r="O112" s="7" t="s">
        <v>680</v>
      </c>
      <c r="P112" s="7">
        <f t="shared" si="9"/>
        <v>4</v>
      </c>
      <c r="Q112" s="7">
        <f t="shared" si="5"/>
        <v>2025</v>
      </c>
    </row>
    <row r="113" spans="1:17" x14ac:dyDescent="0.25">
      <c r="A113" s="7">
        <v>2516</v>
      </c>
      <c r="B113" s="9" t="s">
        <v>62</v>
      </c>
      <c r="C113" s="9" t="s">
        <v>323</v>
      </c>
      <c r="D113" s="8">
        <v>45771</v>
      </c>
      <c r="E113" s="7" t="s">
        <v>935</v>
      </c>
      <c r="F113" s="7">
        <v>1</v>
      </c>
      <c r="G113" s="7" t="s">
        <v>14</v>
      </c>
      <c r="I113" s="8">
        <v>45566</v>
      </c>
      <c r="J113" s="7">
        <f t="shared" si="10"/>
        <v>2024</v>
      </c>
      <c r="K113" s="7">
        <f t="shared" si="12"/>
        <v>10</v>
      </c>
      <c r="L113" s="7">
        <f t="shared" si="8"/>
        <v>205</v>
      </c>
      <c r="M113" s="7" t="s">
        <v>502</v>
      </c>
      <c r="O113" s="7" t="s">
        <v>680</v>
      </c>
      <c r="P113" s="7">
        <f t="shared" si="9"/>
        <v>4</v>
      </c>
      <c r="Q113" s="7">
        <f t="shared" si="5"/>
        <v>2025</v>
      </c>
    </row>
    <row r="114" spans="1:17" x14ac:dyDescent="0.25">
      <c r="A114" s="7">
        <v>2516</v>
      </c>
      <c r="B114" s="9" t="s">
        <v>62</v>
      </c>
      <c r="C114" s="9" t="s">
        <v>323</v>
      </c>
      <c r="D114" s="8">
        <v>45771</v>
      </c>
      <c r="E114" s="7" t="s">
        <v>936</v>
      </c>
      <c r="F114" s="7">
        <v>1</v>
      </c>
      <c r="G114" s="7" t="s">
        <v>14</v>
      </c>
      <c r="I114" s="8">
        <v>45566</v>
      </c>
      <c r="J114" s="7">
        <f t="shared" si="10"/>
        <v>2024</v>
      </c>
      <c r="K114" s="7">
        <f t="shared" si="12"/>
        <v>10</v>
      </c>
      <c r="L114" s="7">
        <f t="shared" si="8"/>
        <v>205</v>
      </c>
      <c r="M114" s="7" t="s">
        <v>502</v>
      </c>
      <c r="O114" s="7" t="s">
        <v>680</v>
      </c>
      <c r="P114" s="7">
        <f t="shared" si="9"/>
        <v>4</v>
      </c>
      <c r="Q114" s="7">
        <f t="shared" si="5"/>
        <v>2025</v>
      </c>
    </row>
    <row r="115" spans="1:17" x14ac:dyDescent="0.25">
      <c r="A115" s="7">
        <v>2516</v>
      </c>
      <c r="B115" s="9" t="s">
        <v>62</v>
      </c>
      <c r="C115" s="9" t="s">
        <v>323</v>
      </c>
      <c r="D115" s="8">
        <v>45771</v>
      </c>
      <c r="E115" s="7" t="s">
        <v>937</v>
      </c>
      <c r="F115" s="7">
        <v>1</v>
      </c>
      <c r="G115" s="7" t="s">
        <v>14</v>
      </c>
      <c r="I115" s="8">
        <v>45566</v>
      </c>
      <c r="J115" s="7">
        <f t="shared" si="10"/>
        <v>2024</v>
      </c>
      <c r="K115" s="7">
        <f t="shared" si="12"/>
        <v>10</v>
      </c>
      <c r="L115" s="7">
        <f t="shared" si="8"/>
        <v>205</v>
      </c>
      <c r="M115" s="7" t="s">
        <v>502</v>
      </c>
      <c r="O115" s="7" t="s">
        <v>680</v>
      </c>
      <c r="P115" s="7">
        <f t="shared" si="9"/>
        <v>4</v>
      </c>
      <c r="Q115" s="7">
        <f t="shared" si="5"/>
        <v>2025</v>
      </c>
    </row>
    <row r="116" spans="1:17" x14ac:dyDescent="0.25">
      <c r="A116" s="7">
        <v>2516</v>
      </c>
      <c r="B116" s="9" t="s">
        <v>62</v>
      </c>
      <c r="C116" s="9" t="s">
        <v>323</v>
      </c>
      <c r="D116" s="8">
        <v>45771</v>
      </c>
      <c r="E116" s="7" t="s">
        <v>938</v>
      </c>
      <c r="F116" s="7">
        <v>1</v>
      </c>
      <c r="G116" s="7" t="s">
        <v>14</v>
      </c>
      <c r="I116" s="8">
        <v>45566</v>
      </c>
      <c r="J116" s="7">
        <f t="shared" si="10"/>
        <v>2024</v>
      </c>
      <c r="K116" s="7">
        <f t="shared" si="12"/>
        <v>10</v>
      </c>
      <c r="L116" s="7">
        <f t="shared" si="8"/>
        <v>205</v>
      </c>
      <c r="M116" s="7" t="s">
        <v>502</v>
      </c>
      <c r="O116" s="7" t="s">
        <v>680</v>
      </c>
      <c r="P116" s="7">
        <f t="shared" si="9"/>
        <v>4</v>
      </c>
      <c r="Q116" s="7">
        <f t="shared" si="5"/>
        <v>2025</v>
      </c>
    </row>
    <row r="117" spans="1:17" x14ac:dyDescent="0.25">
      <c r="A117" s="7">
        <v>2516</v>
      </c>
      <c r="B117" s="9" t="s">
        <v>62</v>
      </c>
      <c r="C117" s="9" t="s">
        <v>323</v>
      </c>
      <c r="D117" s="8">
        <v>45771</v>
      </c>
      <c r="E117" s="7" t="s">
        <v>939</v>
      </c>
      <c r="F117" s="7">
        <v>1</v>
      </c>
      <c r="G117" s="7" t="s">
        <v>14</v>
      </c>
      <c r="I117" s="8">
        <v>45566</v>
      </c>
      <c r="J117" s="7">
        <f t="shared" si="10"/>
        <v>2024</v>
      </c>
      <c r="K117" s="7">
        <f t="shared" si="12"/>
        <v>10</v>
      </c>
      <c r="L117" s="7">
        <f t="shared" si="8"/>
        <v>205</v>
      </c>
      <c r="M117" s="7" t="s">
        <v>502</v>
      </c>
      <c r="O117" s="7" t="s">
        <v>680</v>
      </c>
      <c r="P117" s="7">
        <f t="shared" si="9"/>
        <v>4</v>
      </c>
      <c r="Q117" s="7">
        <f t="shared" si="5"/>
        <v>2025</v>
      </c>
    </row>
    <row r="118" spans="1:17" x14ac:dyDescent="0.25">
      <c r="A118" s="7">
        <v>2516</v>
      </c>
      <c r="B118" s="9" t="s">
        <v>62</v>
      </c>
      <c r="C118" s="9" t="s">
        <v>323</v>
      </c>
      <c r="D118" s="8">
        <v>45771</v>
      </c>
      <c r="E118" s="7" t="s">
        <v>940</v>
      </c>
      <c r="F118" s="7">
        <v>1</v>
      </c>
      <c r="G118" s="7" t="s">
        <v>14</v>
      </c>
      <c r="I118" s="8">
        <v>45566</v>
      </c>
      <c r="J118" s="7">
        <f t="shared" si="10"/>
        <v>2024</v>
      </c>
      <c r="K118" s="7">
        <f t="shared" si="12"/>
        <v>10</v>
      </c>
      <c r="L118" s="7">
        <f t="shared" si="8"/>
        <v>205</v>
      </c>
      <c r="M118" s="7" t="s">
        <v>502</v>
      </c>
      <c r="O118" s="7" t="s">
        <v>680</v>
      </c>
      <c r="P118" s="7">
        <f t="shared" si="9"/>
        <v>4</v>
      </c>
      <c r="Q118" s="7">
        <f t="shared" si="5"/>
        <v>2025</v>
      </c>
    </row>
    <row r="119" spans="1:17" x14ac:dyDescent="0.25">
      <c r="A119" s="7">
        <v>2516</v>
      </c>
      <c r="B119" s="9" t="s">
        <v>62</v>
      </c>
      <c r="C119" s="9" t="s">
        <v>323</v>
      </c>
      <c r="D119" s="8">
        <v>45771</v>
      </c>
      <c r="E119" s="7" t="s">
        <v>941</v>
      </c>
      <c r="F119" s="7">
        <v>1</v>
      </c>
      <c r="G119" s="7" t="s">
        <v>14</v>
      </c>
      <c r="I119" s="8">
        <v>45566</v>
      </c>
      <c r="J119" s="7">
        <f t="shared" si="10"/>
        <v>2024</v>
      </c>
      <c r="K119" s="7">
        <f t="shared" si="12"/>
        <v>10</v>
      </c>
      <c r="L119" s="7">
        <f t="shared" si="8"/>
        <v>205</v>
      </c>
      <c r="M119" s="7" t="s">
        <v>502</v>
      </c>
      <c r="O119" s="7" t="s">
        <v>680</v>
      </c>
      <c r="P119" s="7">
        <f t="shared" si="9"/>
        <v>4</v>
      </c>
      <c r="Q119" s="7">
        <f t="shared" si="5"/>
        <v>2025</v>
      </c>
    </row>
    <row r="120" spans="1:17" x14ac:dyDescent="0.25">
      <c r="A120" s="7">
        <v>2516</v>
      </c>
      <c r="B120" s="9" t="s">
        <v>62</v>
      </c>
      <c r="C120" s="9" t="s">
        <v>323</v>
      </c>
      <c r="D120" s="8">
        <v>45771</v>
      </c>
      <c r="E120" s="7" t="s">
        <v>942</v>
      </c>
      <c r="F120" s="7">
        <v>1</v>
      </c>
      <c r="G120" s="7" t="s">
        <v>14</v>
      </c>
      <c r="I120" s="8">
        <v>45566</v>
      </c>
      <c r="J120" s="7">
        <f t="shared" si="10"/>
        <v>2024</v>
      </c>
      <c r="K120" s="7">
        <f t="shared" si="12"/>
        <v>10</v>
      </c>
      <c r="L120" s="7">
        <f t="shared" si="8"/>
        <v>205</v>
      </c>
      <c r="M120" s="7" t="s">
        <v>502</v>
      </c>
      <c r="O120" s="7" t="s">
        <v>680</v>
      </c>
      <c r="P120" s="7">
        <f t="shared" si="9"/>
        <v>4</v>
      </c>
      <c r="Q120" s="7">
        <f t="shared" si="5"/>
        <v>2025</v>
      </c>
    </row>
    <row r="121" spans="1:17" x14ac:dyDescent="0.25">
      <c r="A121" s="7">
        <v>2516</v>
      </c>
      <c r="B121" s="9" t="s">
        <v>62</v>
      </c>
      <c r="C121" s="9" t="s">
        <v>323</v>
      </c>
      <c r="D121" s="8">
        <v>45771</v>
      </c>
      <c r="E121" s="7" t="s">
        <v>943</v>
      </c>
      <c r="F121" s="7">
        <v>1</v>
      </c>
      <c r="G121" s="7" t="s">
        <v>14</v>
      </c>
      <c r="I121" s="8">
        <v>45566</v>
      </c>
      <c r="J121" s="7">
        <f t="shared" si="10"/>
        <v>2024</v>
      </c>
      <c r="K121" s="7">
        <f t="shared" si="12"/>
        <v>10</v>
      </c>
      <c r="L121" s="7">
        <f t="shared" si="8"/>
        <v>205</v>
      </c>
      <c r="M121" s="7" t="s">
        <v>502</v>
      </c>
      <c r="O121" s="7" t="s">
        <v>680</v>
      </c>
      <c r="P121" s="7">
        <f t="shared" si="9"/>
        <v>4</v>
      </c>
      <c r="Q121" s="7">
        <f t="shared" si="5"/>
        <v>2025</v>
      </c>
    </row>
    <row r="122" spans="1:17" x14ac:dyDescent="0.25">
      <c r="A122" s="7">
        <v>2516</v>
      </c>
      <c r="B122" s="9" t="s">
        <v>62</v>
      </c>
      <c r="C122" s="9" t="s">
        <v>323</v>
      </c>
      <c r="D122" s="8">
        <v>45771</v>
      </c>
      <c r="E122" s="7" t="s">
        <v>944</v>
      </c>
      <c r="F122" s="7">
        <v>1</v>
      </c>
      <c r="G122" s="7" t="s">
        <v>14</v>
      </c>
      <c r="I122" s="8">
        <v>45566</v>
      </c>
      <c r="J122" s="7">
        <f t="shared" si="10"/>
        <v>2024</v>
      </c>
      <c r="K122" s="7">
        <f t="shared" si="12"/>
        <v>10</v>
      </c>
      <c r="L122" s="7">
        <f t="shared" si="8"/>
        <v>205</v>
      </c>
      <c r="M122" s="7" t="s">
        <v>502</v>
      </c>
      <c r="O122" s="7" t="s">
        <v>680</v>
      </c>
      <c r="P122" s="7">
        <f t="shared" si="9"/>
        <v>4</v>
      </c>
      <c r="Q122" s="7">
        <f t="shared" si="5"/>
        <v>2025</v>
      </c>
    </row>
    <row r="123" spans="1:17" x14ac:dyDescent="0.25">
      <c r="A123" s="7">
        <v>2516</v>
      </c>
      <c r="B123" s="9" t="s">
        <v>62</v>
      </c>
      <c r="C123" s="9" t="s">
        <v>323</v>
      </c>
      <c r="D123" s="8">
        <v>45771</v>
      </c>
      <c r="E123" s="7" t="s">
        <v>945</v>
      </c>
      <c r="F123" s="7">
        <v>1</v>
      </c>
      <c r="G123" s="7" t="s">
        <v>14</v>
      </c>
      <c r="I123" s="8">
        <v>45566</v>
      </c>
      <c r="J123" s="7">
        <f t="shared" si="10"/>
        <v>2024</v>
      </c>
      <c r="K123" s="7">
        <f t="shared" si="12"/>
        <v>10</v>
      </c>
      <c r="L123" s="7">
        <f t="shared" si="8"/>
        <v>205</v>
      </c>
      <c r="M123" s="7" t="s">
        <v>502</v>
      </c>
      <c r="O123" s="7" t="s">
        <v>680</v>
      </c>
      <c r="P123" s="7">
        <f t="shared" si="9"/>
        <v>4</v>
      </c>
      <c r="Q123" s="7">
        <f t="shared" si="5"/>
        <v>2025</v>
      </c>
    </row>
    <row r="124" spans="1:17" x14ac:dyDescent="0.25">
      <c r="A124" s="7">
        <v>2516</v>
      </c>
      <c r="B124" s="9" t="s">
        <v>62</v>
      </c>
      <c r="C124" s="9" t="s">
        <v>323</v>
      </c>
      <c r="D124" s="8">
        <v>45771</v>
      </c>
      <c r="E124" s="7" t="s">
        <v>946</v>
      </c>
      <c r="F124" s="7">
        <v>1</v>
      </c>
      <c r="G124" s="7" t="s">
        <v>14</v>
      </c>
      <c r="I124" s="8">
        <v>45566</v>
      </c>
      <c r="J124" s="7">
        <f t="shared" si="10"/>
        <v>2024</v>
      </c>
      <c r="K124" s="7">
        <f t="shared" si="12"/>
        <v>10</v>
      </c>
      <c r="L124" s="7">
        <f t="shared" si="8"/>
        <v>205</v>
      </c>
      <c r="M124" s="7" t="s">
        <v>502</v>
      </c>
      <c r="O124" s="7" t="s">
        <v>680</v>
      </c>
      <c r="P124" s="7">
        <f t="shared" si="9"/>
        <v>4</v>
      </c>
      <c r="Q124" s="7">
        <f t="shared" si="5"/>
        <v>2025</v>
      </c>
    </row>
    <row r="125" spans="1:17" x14ac:dyDescent="0.25">
      <c r="A125" s="7">
        <v>2516</v>
      </c>
      <c r="B125" s="9" t="s">
        <v>62</v>
      </c>
      <c r="C125" s="9" t="s">
        <v>323</v>
      </c>
      <c r="D125" s="8">
        <v>45771</v>
      </c>
      <c r="E125" s="7" t="s">
        <v>947</v>
      </c>
      <c r="F125" s="7">
        <v>1</v>
      </c>
      <c r="G125" s="7" t="s">
        <v>14</v>
      </c>
      <c r="I125" s="8">
        <v>45566</v>
      </c>
      <c r="J125" s="7">
        <f t="shared" si="10"/>
        <v>2024</v>
      </c>
      <c r="K125" s="7">
        <f t="shared" si="12"/>
        <v>10</v>
      </c>
      <c r="L125" s="7">
        <f t="shared" si="8"/>
        <v>205</v>
      </c>
      <c r="M125" s="7" t="s">
        <v>502</v>
      </c>
      <c r="O125" s="7" t="s">
        <v>680</v>
      </c>
      <c r="P125" s="7">
        <f t="shared" si="9"/>
        <v>4</v>
      </c>
      <c r="Q125" s="7">
        <f t="shared" si="5"/>
        <v>2025</v>
      </c>
    </row>
    <row r="126" spans="1:17" x14ac:dyDescent="0.25">
      <c r="A126" s="7">
        <v>2516</v>
      </c>
      <c r="B126" s="9" t="s">
        <v>62</v>
      </c>
      <c r="C126" s="9" t="s">
        <v>323</v>
      </c>
      <c r="D126" s="8">
        <v>45771</v>
      </c>
      <c r="E126" s="7" t="s">
        <v>948</v>
      </c>
      <c r="F126" s="7">
        <v>1</v>
      </c>
      <c r="G126" s="7" t="s">
        <v>14</v>
      </c>
      <c r="I126" s="8">
        <v>45566</v>
      </c>
      <c r="J126" s="7">
        <f t="shared" si="10"/>
        <v>2024</v>
      </c>
      <c r="K126" s="7">
        <f t="shared" si="12"/>
        <v>10</v>
      </c>
      <c r="L126" s="7">
        <f t="shared" si="8"/>
        <v>205</v>
      </c>
      <c r="M126" s="7" t="s">
        <v>502</v>
      </c>
      <c r="O126" s="7" t="s">
        <v>680</v>
      </c>
      <c r="P126" s="7">
        <f t="shared" si="9"/>
        <v>4</v>
      </c>
      <c r="Q126" s="7">
        <f t="shared" si="5"/>
        <v>2025</v>
      </c>
    </row>
    <row r="127" spans="1:17" x14ac:dyDescent="0.25">
      <c r="A127" s="7">
        <v>2516</v>
      </c>
      <c r="B127" s="9" t="s">
        <v>62</v>
      </c>
      <c r="C127" s="9" t="s">
        <v>323</v>
      </c>
      <c r="D127" s="8">
        <v>45771</v>
      </c>
      <c r="E127" s="7" t="s">
        <v>949</v>
      </c>
      <c r="F127" s="7">
        <v>1</v>
      </c>
      <c r="G127" s="7" t="s">
        <v>14</v>
      </c>
      <c r="I127" s="8">
        <v>45566</v>
      </c>
      <c r="J127" s="7">
        <f t="shared" si="10"/>
        <v>2024</v>
      </c>
      <c r="K127" s="7">
        <f t="shared" si="12"/>
        <v>10</v>
      </c>
      <c r="L127" s="7">
        <f t="shared" si="8"/>
        <v>205</v>
      </c>
      <c r="M127" s="7" t="s">
        <v>502</v>
      </c>
      <c r="O127" s="7" t="s">
        <v>680</v>
      </c>
      <c r="P127" s="7">
        <f t="shared" si="9"/>
        <v>4</v>
      </c>
      <c r="Q127" s="7">
        <f t="shared" si="5"/>
        <v>2025</v>
      </c>
    </row>
    <row r="128" spans="1:17" x14ac:dyDescent="0.25">
      <c r="A128" s="7">
        <v>2516</v>
      </c>
      <c r="B128" s="9" t="s">
        <v>62</v>
      </c>
      <c r="C128" s="9" t="s">
        <v>323</v>
      </c>
      <c r="D128" s="8">
        <v>45771</v>
      </c>
      <c r="E128" s="7" t="s">
        <v>950</v>
      </c>
      <c r="F128" s="7">
        <v>1</v>
      </c>
      <c r="G128" s="7" t="s">
        <v>14</v>
      </c>
      <c r="I128" s="8">
        <v>45566</v>
      </c>
      <c r="J128" s="7">
        <f t="shared" si="10"/>
        <v>2024</v>
      </c>
      <c r="K128" s="7">
        <f t="shared" si="12"/>
        <v>10</v>
      </c>
      <c r="L128" s="7">
        <f t="shared" si="8"/>
        <v>205</v>
      </c>
      <c r="M128" s="7" t="s">
        <v>502</v>
      </c>
      <c r="O128" s="7" t="s">
        <v>680</v>
      </c>
      <c r="P128" s="7">
        <f t="shared" si="9"/>
        <v>4</v>
      </c>
      <c r="Q128" s="7">
        <f t="shared" si="5"/>
        <v>2025</v>
      </c>
    </row>
    <row r="129" spans="1:23" x14ac:dyDescent="0.25">
      <c r="A129" s="7">
        <v>2516</v>
      </c>
      <c r="B129" s="9" t="s">
        <v>62</v>
      </c>
      <c r="C129" s="9" t="s">
        <v>323</v>
      </c>
      <c r="D129" s="8">
        <v>45771</v>
      </c>
      <c r="E129" s="7" t="s">
        <v>951</v>
      </c>
      <c r="F129" s="7">
        <v>1</v>
      </c>
      <c r="G129" s="7" t="s">
        <v>14</v>
      </c>
      <c r="I129" s="8">
        <v>45566</v>
      </c>
      <c r="J129" s="7">
        <f t="shared" si="10"/>
        <v>2024</v>
      </c>
      <c r="K129" s="7">
        <f t="shared" si="12"/>
        <v>10</v>
      </c>
      <c r="L129" s="7">
        <f t="shared" ref="L129:L192" si="13">D129-I129</f>
        <v>205</v>
      </c>
      <c r="M129" s="7" t="s">
        <v>502</v>
      </c>
      <c r="O129" s="7" t="s">
        <v>680</v>
      </c>
      <c r="P129" s="7">
        <f t="shared" ref="P129:P192" si="14">MONTH(D129)</f>
        <v>4</v>
      </c>
      <c r="Q129" s="7">
        <f t="shared" si="5"/>
        <v>2025</v>
      </c>
    </row>
    <row r="130" spans="1:23" x14ac:dyDescent="0.25">
      <c r="A130" s="7">
        <v>2516</v>
      </c>
      <c r="B130" s="9" t="s">
        <v>62</v>
      </c>
      <c r="C130" s="9" t="s">
        <v>323</v>
      </c>
      <c r="D130" s="8">
        <v>45771</v>
      </c>
      <c r="E130" s="7" t="s">
        <v>952</v>
      </c>
      <c r="F130" s="7">
        <v>1</v>
      </c>
      <c r="G130" s="7" t="s">
        <v>14</v>
      </c>
      <c r="I130" s="8">
        <v>45566</v>
      </c>
      <c r="J130" s="7">
        <f t="shared" si="10"/>
        <v>2024</v>
      </c>
      <c r="K130" s="7">
        <f t="shared" si="12"/>
        <v>10</v>
      </c>
      <c r="L130" s="7">
        <f t="shared" si="13"/>
        <v>205</v>
      </c>
      <c r="M130" s="7" t="s">
        <v>502</v>
      </c>
      <c r="O130" s="7" t="s">
        <v>680</v>
      </c>
      <c r="P130" s="7">
        <f t="shared" si="14"/>
        <v>4</v>
      </c>
      <c r="Q130" s="7">
        <f t="shared" si="5"/>
        <v>2025</v>
      </c>
    </row>
    <row r="131" spans="1:23" x14ac:dyDescent="0.25">
      <c r="A131" s="7">
        <v>2516</v>
      </c>
      <c r="B131" s="9" t="s">
        <v>62</v>
      </c>
      <c r="C131" s="9" t="s">
        <v>323</v>
      </c>
      <c r="D131" s="8">
        <v>45771</v>
      </c>
      <c r="E131" s="7" t="s">
        <v>953</v>
      </c>
      <c r="F131" s="7">
        <v>1</v>
      </c>
      <c r="G131" s="7" t="s">
        <v>14</v>
      </c>
      <c r="I131" s="8">
        <v>45566</v>
      </c>
      <c r="J131" s="7">
        <f t="shared" si="10"/>
        <v>2024</v>
      </c>
      <c r="K131" s="7">
        <f t="shared" si="12"/>
        <v>10</v>
      </c>
      <c r="L131" s="7">
        <f t="shared" si="13"/>
        <v>205</v>
      </c>
      <c r="M131" s="7" t="s">
        <v>502</v>
      </c>
      <c r="O131" s="7" t="s">
        <v>680</v>
      </c>
      <c r="P131" s="7">
        <f t="shared" si="14"/>
        <v>4</v>
      </c>
      <c r="Q131" s="7">
        <f t="shared" ref="Q131:Q194" si="15">YEAR(D131)</f>
        <v>2025</v>
      </c>
    </row>
    <row r="132" spans="1:23" x14ac:dyDescent="0.25">
      <c r="A132" s="7">
        <v>2516</v>
      </c>
      <c r="B132" s="9" t="s">
        <v>62</v>
      </c>
      <c r="C132" s="9" t="s">
        <v>323</v>
      </c>
      <c r="D132" s="8">
        <v>45771</v>
      </c>
      <c r="E132" s="7" t="s">
        <v>954</v>
      </c>
      <c r="F132" s="7">
        <v>1</v>
      </c>
      <c r="G132" s="7" t="s">
        <v>14</v>
      </c>
      <c r="I132" s="8">
        <v>45566</v>
      </c>
      <c r="J132" s="7">
        <f t="shared" si="10"/>
        <v>2024</v>
      </c>
      <c r="K132" s="7">
        <f t="shared" si="12"/>
        <v>10</v>
      </c>
      <c r="L132" s="7">
        <f t="shared" si="13"/>
        <v>205</v>
      </c>
      <c r="M132" s="7" t="s">
        <v>502</v>
      </c>
      <c r="O132" s="7" t="s">
        <v>680</v>
      </c>
      <c r="P132" s="7">
        <f t="shared" si="14"/>
        <v>4</v>
      </c>
      <c r="Q132" s="7">
        <f t="shared" si="15"/>
        <v>2025</v>
      </c>
    </row>
    <row r="133" spans="1:23" x14ac:dyDescent="0.25">
      <c r="A133" s="7">
        <v>2516</v>
      </c>
      <c r="B133" s="9" t="s">
        <v>62</v>
      </c>
      <c r="C133" s="9" t="s">
        <v>323</v>
      </c>
      <c r="D133" s="8">
        <v>45771</v>
      </c>
      <c r="E133" s="7" t="s">
        <v>955</v>
      </c>
      <c r="F133" s="7">
        <v>1</v>
      </c>
      <c r="G133" s="7" t="s">
        <v>14</v>
      </c>
      <c r="I133" s="8">
        <v>45566</v>
      </c>
      <c r="J133" s="7">
        <f t="shared" si="10"/>
        <v>2024</v>
      </c>
      <c r="K133" s="7">
        <f t="shared" si="12"/>
        <v>10</v>
      </c>
      <c r="L133" s="7">
        <f t="shared" si="13"/>
        <v>205</v>
      </c>
      <c r="M133" s="7" t="s">
        <v>502</v>
      </c>
      <c r="O133" s="7" t="s">
        <v>680</v>
      </c>
      <c r="P133" s="7">
        <f t="shared" si="14"/>
        <v>4</v>
      </c>
      <c r="Q133" s="7">
        <f t="shared" si="15"/>
        <v>2025</v>
      </c>
    </row>
    <row r="134" spans="1:23" x14ac:dyDescent="0.25">
      <c r="A134" s="7">
        <v>2516</v>
      </c>
      <c r="B134" s="9" t="s">
        <v>62</v>
      </c>
      <c r="C134" s="9" t="s">
        <v>323</v>
      </c>
      <c r="D134" s="8">
        <v>45771</v>
      </c>
      <c r="E134" s="7" t="s">
        <v>956</v>
      </c>
      <c r="F134" s="7">
        <v>1</v>
      </c>
      <c r="G134" s="7" t="s">
        <v>14</v>
      </c>
      <c r="I134" s="8">
        <v>45566</v>
      </c>
      <c r="J134" s="7">
        <f t="shared" si="10"/>
        <v>2024</v>
      </c>
      <c r="K134" s="7">
        <f t="shared" si="12"/>
        <v>10</v>
      </c>
      <c r="L134" s="7">
        <f t="shared" si="13"/>
        <v>205</v>
      </c>
      <c r="M134" s="7" t="s">
        <v>502</v>
      </c>
      <c r="O134" s="7" t="s">
        <v>680</v>
      </c>
      <c r="P134" s="7">
        <f t="shared" si="14"/>
        <v>4</v>
      </c>
      <c r="Q134" s="7">
        <f t="shared" si="15"/>
        <v>2025</v>
      </c>
    </row>
    <row r="135" spans="1:23" x14ac:dyDescent="0.25">
      <c r="A135" s="7">
        <v>2516</v>
      </c>
      <c r="B135" s="9" t="s">
        <v>62</v>
      </c>
      <c r="C135" s="9" t="s">
        <v>323</v>
      </c>
      <c r="D135" s="8">
        <v>45771</v>
      </c>
      <c r="E135" s="7" t="s">
        <v>957</v>
      </c>
      <c r="F135" s="7">
        <v>1</v>
      </c>
      <c r="G135" s="7" t="s">
        <v>14</v>
      </c>
      <c r="I135" s="8">
        <v>45566</v>
      </c>
      <c r="J135" s="7">
        <f t="shared" si="10"/>
        <v>2024</v>
      </c>
      <c r="K135" s="7">
        <f t="shared" si="12"/>
        <v>10</v>
      </c>
      <c r="L135" s="7">
        <f t="shared" si="13"/>
        <v>205</v>
      </c>
      <c r="M135" s="7" t="s">
        <v>502</v>
      </c>
      <c r="O135" s="7" t="s">
        <v>680</v>
      </c>
      <c r="P135" s="7">
        <f t="shared" si="14"/>
        <v>4</v>
      </c>
      <c r="Q135" s="7">
        <f t="shared" si="15"/>
        <v>2025</v>
      </c>
    </row>
    <row r="136" spans="1:23" x14ac:dyDescent="0.25">
      <c r="A136" s="7">
        <v>2516</v>
      </c>
      <c r="B136" s="9" t="s">
        <v>62</v>
      </c>
      <c r="C136" s="9" t="s">
        <v>323</v>
      </c>
      <c r="D136" s="8">
        <v>45771</v>
      </c>
      <c r="E136" s="7" t="s">
        <v>958</v>
      </c>
      <c r="F136" s="7">
        <v>1</v>
      </c>
      <c r="G136" s="7" t="s">
        <v>14</v>
      </c>
      <c r="I136" s="8">
        <v>45566</v>
      </c>
      <c r="J136" s="7">
        <f t="shared" si="10"/>
        <v>2024</v>
      </c>
      <c r="K136" s="7">
        <f t="shared" si="12"/>
        <v>10</v>
      </c>
      <c r="L136" s="7">
        <f t="shared" si="13"/>
        <v>205</v>
      </c>
      <c r="M136" s="7" t="s">
        <v>502</v>
      </c>
      <c r="O136" s="7" t="s">
        <v>680</v>
      </c>
      <c r="P136" s="7">
        <f t="shared" si="14"/>
        <v>4</v>
      </c>
      <c r="Q136" s="7">
        <f t="shared" si="15"/>
        <v>2025</v>
      </c>
    </row>
    <row r="137" spans="1:23" x14ac:dyDescent="0.25">
      <c r="A137" s="7">
        <v>2517</v>
      </c>
      <c r="B137" s="9" t="s">
        <v>10</v>
      </c>
      <c r="C137" s="9" t="s">
        <v>324</v>
      </c>
      <c r="D137" s="8">
        <v>45786</v>
      </c>
      <c r="E137" s="15" t="s">
        <v>959</v>
      </c>
      <c r="F137" s="7">
        <v>1</v>
      </c>
      <c r="G137" s="7" t="s">
        <v>15</v>
      </c>
      <c r="I137" s="8">
        <v>45383</v>
      </c>
      <c r="J137" s="7">
        <f t="shared" si="10"/>
        <v>2024</v>
      </c>
      <c r="K137" s="7">
        <f t="shared" si="12"/>
        <v>4</v>
      </c>
      <c r="L137" s="7">
        <f t="shared" si="13"/>
        <v>403</v>
      </c>
      <c r="M137" s="7" t="s">
        <v>152</v>
      </c>
      <c r="O137" s="7" t="s">
        <v>682</v>
      </c>
      <c r="P137" s="7">
        <f t="shared" si="14"/>
        <v>5</v>
      </c>
      <c r="Q137" s="7">
        <f t="shared" si="15"/>
        <v>2025</v>
      </c>
      <c r="W137" t="s">
        <v>932</v>
      </c>
    </row>
    <row r="138" spans="1:23" x14ac:dyDescent="0.25">
      <c r="A138" s="7">
        <v>2517</v>
      </c>
      <c r="B138" s="9" t="s">
        <v>10</v>
      </c>
      <c r="C138" s="9" t="s">
        <v>324</v>
      </c>
      <c r="D138" s="8">
        <v>45786</v>
      </c>
      <c r="E138" s="7" t="s">
        <v>325</v>
      </c>
      <c r="F138" s="7">
        <v>1</v>
      </c>
      <c r="G138" s="7" t="s">
        <v>15</v>
      </c>
      <c r="I138" s="8">
        <v>45383</v>
      </c>
      <c r="J138" s="7">
        <f t="shared" si="10"/>
        <v>2024</v>
      </c>
      <c r="K138" s="7">
        <f t="shared" si="12"/>
        <v>4</v>
      </c>
      <c r="L138" s="7">
        <f t="shared" si="13"/>
        <v>403</v>
      </c>
      <c r="M138" s="7" t="s">
        <v>152</v>
      </c>
      <c r="O138" s="7" t="s">
        <v>682</v>
      </c>
      <c r="P138" s="7">
        <f t="shared" si="14"/>
        <v>5</v>
      </c>
      <c r="Q138" s="7">
        <f t="shared" si="15"/>
        <v>2025</v>
      </c>
    </row>
    <row r="139" spans="1:23" x14ac:dyDescent="0.25">
      <c r="A139" s="7">
        <v>2517</v>
      </c>
      <c r="B139" s="9" t="s">
        <v>10</v>
      </c>
      <c r="C139" s="9" t="s">
        <v>324</v>
      </c>
      <c r="D139" s="8">
        <v>45786</v>
      </c>
      <c r="E139" s="7" t="s">
        <v>326</v>
      </c>
      <c r="F139" s="7">
        <v>1</v>
      </c>
      <c r="G139" s="7" t="s">
        <v>15</v>
      </c>
      <c r="I139" s="8">
        <v>45413</v>
      </c>
      <c r="J139" s="7">
        <f t="shared" ref="J139:J178" si="16">YEAR(I139)</f>
        <v>2024</v>
      </c>
      <c r="K139" s="7">
        <f t="shared" si="12"/>
        <v>5</v>
      </c>
      <c r="L139" s="7">
        <f t="shared" si="13"/>
        <v>373</v>
      </c>
      <c r="M139" s="7" t="s">
        <v>152</v>
      </c>
      <c r="O139" s="7" t="s">
        <v>682</v>
      </c>
      <c r="P139" s="7">
        <f t="shared" si="14"/>
        <v>5</v>
      </c>
      <c r="Q139" s="7">
        <f t="shared" si="15"/>
        <v>2025</v>
      </c>
      <c r="W139" t="s">
        <v>933</v>
      </c>
    </row>
    <row r="140" spans="1:23" x14ac:dyDescent="0.25">
      <c r="A140" s="7">
        <v>2517</v>
      </c>
      <c r="B140" s="9" t="s">
        <v>10</v>
      </c>
      <c r="C140" s="9" t="s">
        <v>324</v>
      </c>
      <c r="D140" s="8">
        <v>45786</v>
      </c>
      <c r="E140" s="7" t="s">
        <v>327</v>
      </c>
      <c r="F140" s="7">
        <v>1</v>
      </c>
      <c r="G140" s="7" t="s">
        <v>15</v>
      </c>
      <c r="I140" s="8">
        <v>45474</v>
      </c>
      <c r="J140" s="7">
        <f t="shared" si="16"/>
        <v>2024</v>
      </c>
      <c r="K140" s="7">
        <f t="shared" si="12"/>
        <v>7</v>
      </c>
      <c r="L140" s="7">
        <f t="shared" si="13"/>
        <v>312</v>
      </c>
      <c r="M140" s="7" t="s">
        <v>152</v>
      </c>
      <c r="O140" s="7" t="s">
        <v>682</v>
      </c>
      <c r="P140" s="7">
        <f t="shared" si="14"/>
        <v>5</v>
      </c>
      <c r="Q140" s="7">
        <f t="shared" si="15"/>
        <v>2025</v>
      </c>
    </row>
    <row r="141" spans="1:23" x14ac:dyDescent="0.25">
      <c r="A141" s="7">
        <v>2517</v>
      </c>
      <c r="B141" s="9" t="s">
        <v>10</v>
      </c>
      <c r="C141" s="9" t="s">
        <v>324</v>
      </c>
      <c r="D141" s="8">
        <v>45786</v>
      </c>
      <c r="E141" s="7" t="s">
        <v>328</v>
      </c>
      <c r="F141" s="7">
        <v>1</v>
      </c>
      <c r="G141" s="7" t="s">
        <v>15</v>
      </c>
      <c r="I141" s="8">
        <v>45505</v>
      </c>
      <c r="J141" s="7">
        <f t="shared" si="16"/>
        <v>2024</v>
      </c>
      <c r="K141" s="7">
        <f t="shared" si="12"/>
        <v>8</v>
      </c>
      <c r="L141" s="7">
        <f t="shared" si="13"/>
        <v>281</v>
      </c>
      <c r="M141" s="7" t="s">
        <v>152</v>
      </c>
      <c r="O141" s="7" t="s">
        <v>682</v>
      </c>
      <c r="P141" s="7">
        <f t="shared" si="14"/>
        <v>5</v>
      </c>
      <c r="Q141" s="7">
        <f t="shared" si="15"/>
        <v>2025</v>
      </c>
      <c r="W141" t="s">
        <v>934</v>
      </c>
    </row>
    <row r="142" spans="1:23" x14ac:dyDescent="0.25">
      <c r="A142" s="7">
        <v>2517</v>
      </c>
      <c r="B142" s="9" t="s">
        <v>10</v>
      </c>
      <c r="C142" s="9" t="s">
        <v>324</v>
      </c>
      <c r="D142" s="8">
        <v>45786</v>
      </c>
      <c r="E142" s="7" t="s">
        <v>329</v>
      </c>
      <c r="F142" s="7">
        <v>1</v>
      </c>
      <c r="G142" s="7" t="s">
        <v>15</v>
      </c>
      <c r="I142" s="8">
        <v>45383</v>
      </c>
      <c r="J142" s="7">
        <f t="shared" si="16"/>
        <v>2024</v>
      </c>
      <c r="K142" s="7">
        <f t="shared" si="12"/>
        <v>4</v>
      </c>
      <c r="L142" s="7">
        <f t="shared" si="13"/>
        <v>403</v>
      </c>
      <c r="M142" s="7" t="s">
        <v>152</v>
      </c>
      <c r="O142" s="7" t="s">
        <v>682</v>
      </c>
      <c r="P142" s="7">
        <f t="shared" si="14"/>
        <v>5</v>
      </c>
      <c r="Q142" s="7">
        <f t="shared" si="15"/>
        <v>2025</v>
      </c>
    </row>
    <row r="143" spans="1:23" x14ac:dyDescent="0.25">
      <c r="A143" s="7">
        <v>2517</v>
      </c>
      <c r="B143" s="9" t="s">
        <v>10</v>
      </c>
      <c r="C143" s="9" t="s">
        <v>324</v>
      </c>
      <c r="D143" s="8">
        <v>45786</v>
      </c>
      <c r="E143" s="7" t="s">
        <v>330</v>
      </c>
      <c r="F143" s="7">
        <v>1</v>
      </c>
      <c r="G143" s="7" t="s">
        <v>15</v>
      </c>
      <c r="I143" s="8">
        <v>45505</v>
      </c>
      <c r="J143" s="7">
        <f t="shared" si="16"/>
        <v>2024</v>
      </c>
      <c r="K143" s="7">
        <f t="shared" si="12"/>
        <v>8</v>
      </c>
      <c r="L143" s="7">
        <f t="shared" si="13"/>
        <v>281</v>
      </c>
      <c r="M143" s="7" t="s">
        <v>152</v>
      </c>
      <c r="O143" s="7" t="s">
        <v>682</v>
      </c>
      <c r="P143" s="7">
        <f t="shared" si="14"/>
        <v>5</v>
      </c>
      <c r="Q143" s="7">
        <f t="shared" si="15"/>
        <v>2025</v>
      </c>
      <c r="W143" t="s">
        <v>935</v>
      </c>
    </row>
    <row r="144" spans="1:23" x14ac:dyDescent="0.25">
      <c r="A144" s="7">
        <v>2517</v>
      </c>
      <c r="B144" s="9" t="s">
        <v>10</v>
      </c>
      <c r="C144" s="9" t="s">
        <v>324</v>
      </c>
      <c r="D144" s="58">
        <v>45786</v>
      </c>
      <c r="E144" s="7" t="s">
        <v>331</v>
      </c>
      <c r="F144" s="7">
        <v>1</v>
      </c>
      <c r="G144" s="7" t="s">
        <v>15</v>
      </c>
      <c r="I144" s="8">
        <v>45505</v>
      </c>
      <c r="J144" s="7">
        <f t="shared" si="16"/>
        <v>2024</v>
      </c>
      <c r="K144" s="7">
        <f t="shared" si="12"/>
        <v>8</v>
      </c>
      <c r="L144" s="7">
        <f t="shared" si="13"/>
        <v>281</v>
      </c>
      <c r="M144" s="7" t="s">
        <v>152</v>
      </c>
      <c r="O144" s="7" t="s">
        <v>682</v>
      </c>
      <c r="P144" s="7">
        <f t="shared" si="14"/>
        <v>5</v>
      </c>
      <c r="Q144" s="7">
        <f t="shared" si="15"/>
        <v>2025</v>
      </c>
    </row>
    <row r="145" spans="1:23" x14ac:dyDescent="0.25">
      <c r="A145" s="7">
        <v>2517</v>
      </c>
      <c r="B145" s="9" t="s">
        <v>10</v>
      </c>
      <c r="C145" s="9" t="s">
        <v>324</v>
      </c>
      <c r="D145" s="58">
        <v>45786</v>
      </c>
      <c r="E145" s="7" t="s">
        <v>332</v>
      </c>
      <c r="F145" s="7">
        <v>1</v>
      </c>
      <c r="G145" s="7" t="s">
        <v>15</v>
      </c>
      <c r="I145" s="8">
        <v>45505</v>
      </c>
      <c r="J145" s="7">
        <f t="shared" si="16"/>
        <v>2024</v>
      </c>
      <c r="K145" s="7">
        <f t="shared" si="12"/>
        <v>8</v>
      </c>
      <c r="L145" s="7">
        <f t="shared" si="13"/>
        <v>281</v>
      </c>
      <c r="M145" s="7" t="s">
        <v>152</v>
      </c>
      <c r="O145" s="7" t="s">
        <v>682</v>
      </c>
      <c r="P145" s="7">
        <f t="shared" si="14"/>
        <v>5</v>
      </c>
      <c r="Q145" s="7">
        <f t="shared" si="15"/>
        <v>2025</v>
      </c>
      <c r="W145" t="s">
        <v>936</v>
      </c>
    </row>
    <row r="146" spans="1:23" x14ac:dyDescent="0.25">
      <c r="A146" s="7">
        <v>2517</v>
      </c>
      <c r="B146" s="9" t="s">
        <v>10</v>
      </c>
      <c r="C146" s="9" t="s">
        <v>324</v>
      </c>
      <c r="D146" s="8">
        <v>45786</v>
      </c>
      <c r="E146" s="7" t="s">
        <v>333</v>
      </c>
      <c r="F146" s="7">
        <v>1</v>
      </c>
      <c r="G146" s="7" t="s">
        <v>15</v>
      </c>
      <c r="I146" s="8">
        <v>45505</v>
      </c>
      <c r="J146" s="7">
        <f t="shared" si="16"/>
        <v>2024</v>
      </c>
      <c r="K146" s="7">
        <f t="shared" si="12"/>
        <v>8</v>
      </c>
      <c r="L146" s="7">
        <f t="shared" si="13"/>
        <v>281</v>
      </c>
      <c r="M146" s="7" t="s">
        <v>152</v>
      </c>
      <c r="O146" s="7" t="s">
        <v>682</v>
      </c>
      <c r="P146" s="7">
        <f t="shared" si="14"/>
        <v>5</v>
      </c>
      <c r="Q146" s="7">
        <f t="shared" si="15"/>
        <v>2025</v>
      </c>
    </row>
    <row r="147" spans="1:23" x14ac:dyDescent="0.25">
      <c r="A147" s="7">
        <v>2518</v>
      </c>
      <c r="B147" s="9" t="s">
        <v>317</v>
      </c>
      <c r="C147" s="9" t="s">
        <v>116</v>
      </c>
      <c r="D147" s="8">
        <v>45785</v>
      </c>
      <c r="E147" s="7" t="s">
        <v>153</v>
      </c>
      <c r="F147" s="7">
        <v>1</v>
      </c>
      <c r="G147" s="7" t="s">
        <v>15</v>
      </c>
      <c r="I147" s="7"/>
      <c r="J147" s="7">
        <f t="shared" si="16"/>
        <v>1900</v>
      </c>
      <c r="K147" s="7">
        <f>MONTH(I147)</f>
        <v>1</v>
      </c>
      <c r="L147" s="7">
        <f t="shared" si="13"/>
        <v>45785</v>
      </c>
      <c r="M147" s="7" t="s">
        <v>518</v>
      </c>
      <c r="O147" s="7" t="s">
        <v>682</v>
      </c>
      <c r="P147" s="7">
        <f t="shared" si="14"/>
        <v>5</v>
      </c>
      <c r="Q147" s="7">
        <f t="shared" si="15"/>
        <v>2025</v>
      </c>
      <c r="W147" t="s">
        <v>937</v>
      </c>
    </row>
    <row r="148" spans="1:23" x14ac:dyDescent="0.25">
      <c r="A148" s="7">
        <v>2518</v>
      </c>
      <c r="B148" s="9" t="s">
        <v>317</v>
      </c>
      <c r="C148" s="9" t="s">
        <v>116</v>
      </c>
      <c r="D148" s="8">
        <v>45785</v>
      </c>
      <c r="E148" s="7" t="s">
        <v>154</v>
      </c>
      <c r="F148" s="7">
        <v>1</v>
      </c>
      <c r="G148" s="7" t="s">
        <v>15</v>
      </c>
      <c r="I148" s="7"/>
      <c r="J148" s="7">
        <f t="shared" si="16"/>
        <v>1900</v>
      </c>
      <c r="K148" s="7">
        <f t="shared" ref="K148:K211" si="17">MONTH(I148)</f>
        <v>1</v>
      </c>
      <c r="L148" s="7">
        <f t="shared" si="13"/>
        <v>45785</v>
      </c>
      <c r="M148" s="7" t="s">
        <v>518</v>
      </c>
      <c r="O148" s="7" t="s">
        <v>682</v>
      </c>
      <c r="P148" s="7">
        <f t="shared" si="14"/>
        <v>5</v>
      </c>
      <c r="Q148" s="7">
        <f t="shared" si="15"/>
        <v>2025</v>
      </c>
    </row>
    <row r="149" spans="1:23" x14ac:dyDescent="0.25">
      <c r="A149" s="7">
        <v>2518</v>
      </c>
      <c r="B149" s="9" t="s">
        <v>317</v>
      </c>
      <c r="C149" s="9" t="s">
        <v>116</v>
      </c>
      <c r="D149" s="8">
        <v>45785</v>
      </c>
      <c r="E149" s="7" t="s">
        <v>155</v>
      </c>
      <c r="F149" s="7">
        <v>1</v>
      </c>
      <c r="G149" s="7" t="s">
        <v>15</v>
      </c>
      <c r="I149" s="7"/>
      <c r="J149" s="7">
        <f t="shared" si="16"/>
        <v>1900</v>
      </c>
      <c r="K149" s="7">
        <f t="shared" si="17"/>
        <v>1</v>
      </c>
      <c r="L149" s="7">
        <f t="shared" si="13"/>
        <v>45785</v>
      </c>
      <c r="M149" s="7" t="s">
        <v>518</v>
      </c>
      <c r="O149" s="7" t="s">
        <v>682</v>
      </c>
      <c r="P149" s="7">
        <f t="shared" si="14"/>
        <v>5</v>
      </c>
      <c r="Q149" s="7">
        <f t="shared" si="15"/>
        <v>2025</v>
      </c>
      <c r="W149" t="s">
        <v>938</v>
      </c>
    </row>
    <row r="150" spans="1:23" x14ac:dyDescent="0.25">
      <c r="A150" s="7">
        <v>2518</v>
      </c>
      <c r="B150" s="9" t="s">
        <v>317</v>
      </c>
      <c r="C150" s="9" t="s">
        <v>116</v>
      </c>
      <c r="D150" s="8">
        <v>45785</v>
      </c>
      <c r="E150" s="7" t="s">
        <v>156</v>
      </c>
      <c r="F150" s="7">
        <v>1</v>
      </c>
      <c r="G150" s="7" t="s">
        <v>15</v>
      </c>
      <c r="I150" s="7"/>
      <c r="J150" s="7">
        <f t="shared" si="16"/>
        <v>1900</v>
      </c>
      <c r="K150" s="7">
        <f t="shared" si="17"/>
        <v>1</v>
      </c>
      <c r="L150" s="7">
        <f t="shared" si="13"/>
        <v>45785</v>
      </c>
      <c r="M150" s="7" t="s">
        <v>518</v>
      </c>
      <c r="O150" s="7" t="s">
        <v>682</v>
      </c>
      <c r="P150" s="7">
        <f t="shared" si="14"/>
        <v>5</v>
      </c>
      <c r="Q150" s="7">
        <f t="shared" si="15"/>
        <v>2025</v>
      </c>
    </row>
    <row r="151" spans="1:23" x14ac:dyDescent="0.25">
      <c r="A151" s="7">
        <v>2518</v>
      </c>
      <c r="B151" s="9" t="s">
        <v>317</v>
      </c>
      <c r="C151" s="9" t="s">
        <v>116</v>
      </c>
      <c r="D151" s="8">
        <v>45785</v>
      </c>
      <c r="E151" s="7" t="s">
        <v>157</v>
      </c>
      <c r="F151" s="7">
        <v>1</v>
      </c>
      <c r="G151" s="7" t="s">
        <v>15</v>
      </c>
      <c r="I151" s="7"/>
      <c r="J151" s="7">
        <f t="shared" si="16"/>
        <v>1900</v>
      </c>
      <c r="K151" s="7">
        <f t="shared" si="17"/>
        <v>1</v>
      </c>
      <c r="L151" s="7">
        <f t="shared" si="13"/>
        <v>45785</v>
      </c>
      <c r="M151" s="7" t="s">
        <v>518</v>
      </c>
      <c r="O151" s="7" t="s">
        <v>682</v>
      </c>
      <c r="P151" s="7">
        <f t="shared" si="14"/>
        <v>5</v>
      </c>
      <c r="Q151" s="7">
        <f t="shared" si="15"/>
        <v>2025</v>
      </c>
      <c r="W151" t="s">
        <v>939</v>
      </c>
    </row>
    <row r="152" spans="1:23" x14ac:dyDescent="0.25">
      <c r="A152" s="7">
        <v>2518</v>
      </c>
      <c r="B152" s="9" t="s">
        <v>317</v>
      </c>
      <c r="C152" s="9" t="s">
        <v>116</v>
      </c>
      <c r="D152" s="8">
        <v>45785</v>
      </c>
      <c r="E152" s="7" t="s">
        <v>158</v>
      </c>
      <c r="F152" s="7">
        <v>1</v>
      </c>
      <c r="G152" s="7" t="s">
        <v>15</v>
      </c>
      <c r="I152" s="7"/>
      <c r="J152" s="7">
        <f t="shared" si="16"/>
        <v>1900</v>
      </c>
      <c r="K152" s="7">
        <f t="shared" si="17"/>
        <v>1</v>
      </c>
      <c r="L152" s="7">
        <f t="shared" si="13"/>
        <v>45785</v>
      </c>
      <c r="M152" s="7" t="s">
        <v>518</v>
      </c>
      <c r="O152" s="7" t="s">
        <v>682</v>
      </c>
      <c r="P152" s="7">
        <f t="shared" si="14"/>
        <v>5</v>
      </c>
      <c r="Q152" s="7">
        <f t="shared" si="15"/>
        <v>2025</v>
      </c>
    </row>
    <row r="153" spans="1:23" x14ac:dyDescent="0.25">
      <c r="A153" s="7">
        <v>2518</v>
      </c>
      <c r="B153" s="9" t="s">
        <v>317</v>
      </c>
      <c r="C153" s="9" t="s">
        <v>116</v>
      </c>
      <c r="D153" s="8">
        <v>45785</v>
      </c>
      <c r="E153" s="7" t="s">
        <v>159</v>
      </c>
      <c r="F153" s="7">
        <v>1</v>
      </c>
      <c r="G153" s="7" t="s">
        <v>15</v>
      </c>
      <c r="I153" s="7"/>
      <c r="J153" s="7">
        <f t="shared" si="16"/>
        <v>1900</v>
      </c>
      <c r="K153" s="7">
        <f t="shared" si="17"/>
        <v>1</v>
      </c>
      <c r="L153" s="7">
        <f t="shared" si="13"/>
        <v>45785</v>
      </c>
      <c r="M153" s="7" t="s">
        <v>518</v>
      </c>
      <c r="O153" s="7" t="s">
        <v>682</v>
      </c>
      <c r="P153" s="7">
        <f t="shared" si="14"/>
        <v>5</v>
      </c>
      <c r="Q153" s="7">
        <f t="shared" si="15"/>
        <v>2025</v>
      </c>
      <c r="W153" t="s">
        <v>940</v>
      </c>
    </row>
    <row r="154" spans="1:23" x14ac:dyDescent="0.25">
      <c r="A154" s="7">
        <v>2518</v>
      </c>
      <c r="B154" s="9" t="s">
        <v>317</v>
      </c>
      <c r="C154" s="9" t="s">
        <v>116</v>
      </c>
      <c r="D154" s="8">
        <v>45785</v>
      </c>
      <c r="E154" s="7" t="s">
        <v>160</v>
      </c>
      <c r="F154" s="7">
        <v>1</v>
      </c>
      <c r="G154" s="7" t="s">
        <v>15</v>
      </c>
      <c r="I154" s="7"/>
      <c r="J154" s="7">
        <f t="shared" si="16"/>
        <v>1900</v>
      </c>
      <c r="K154" s="7">
        <f t="shared" si="17"/>
        <v>1</v>
      </c>
      <c r="L154" s="7">
        <f t="shared" si="13"/>
        <v>45785</v>
      </c>
      <c r="M154" s="7" t="s">
        <v>518</v>
      </c>
      <c r="O154" s="7" t="s">
        <v>682</v>
      </c>
      <c r="P154" s="7">
        <f t="shared" si="14"/>
        <v>5</v>
      </c>
      <c r="Q154" s="7">
        <f t="shared" si="15"/>
        <v>2025</v>
      </c>
    </row>
    <row r="155" spans="1:23" x14ac:dyDescent="0.25">
      <c r="A155" s="7">
        <v>2518</v>
      </c>
      <c r="B155" s="9" t="s">
        <v>317</v>
      </c>
      <c r="C155" s="9" t="s">
        <v>116</v>
      </c>
      <c r="D155" s="8">
        <v>45785</v>
      </c>
      <c r="E155" s="7" t="s">
        <v>161</v>
      </c>
      <c r="F155" s="7">
        <v>1</v>
      </c>
      <c r="G155" s="7" t="s">
        <v>15</v>
      </c>
      <c r="I155" s="7"/>
      <c r="J155" s="7">
        <f t="shared" si="16"/>
        <v>1900</v>
      </c>
      <c r="K155" s="7">
        <f t="shared" si="17"/>
        <v>1</v>
      </c>
      <c r="L155" s="7">
        <f t="shared" si="13"/>
        <v>45785</v>
      </c>
      <c r="M155" s="7" t="s">
        <v>518</v>
      </c>
      <c r="O155" s="7" t="s">
        <v>682</v>
      </c>
      <c r="P155" s="7">
        <f t="shared" si="14"/>
        <v>5</v>
      </c>
      <c r="Q155" s="7">
        <f t="shared" si="15"/>
        <v>2025</v>
      </c>
      <c r="W155" t="s">
        <v>941</v>
      </c>
    </row>
    <row r="156" spans="1:23" x14ac:dyDescent="0.25">
      <c r="A156" s="7">
        <v>2518</v>
      </c>
      <c r="B156" s="9" t="s">
        <v>317</v>
      </c>
      <c r="C156" s="9" t="s">
        <v>116</v>
      </c>
      <c r="D156" s="8">
        <v>45785</v>
      </c>
      <c r="E156" s="7" t="s">
        <v>162</v>
      </c>
      <c r="F156" s="7">
        <v>1</v>
      </c>
      <c r="G156" s="7" t="s">
        <v>15</v>
      </c>
      <c r="I156" s="7"/>
      <c r="J156" s="7">
        <f t="shared" si="16"/>
        <v>1900</v>
      </c>
      <c r="K156" s="7">
        <f t="shared" si="17"/>
        <v>1</v>
      </c>
      <c r="L156" s="7">
        <f t="shared" si="13"/>
        <v>45785</v>
      </c>
      <c r="M156" s="7" t="s">
        <v>518</v>
      </c>
      <c r="O156" s="7" t="s">
        <v>682</v>
      </c>
      <c r="P156" s="7">
        <f t="shared" si="14"/>
        <v>5</v>
      </c>
      <c r="Q156" s="7">
        <f t="shared" si="15"/>
        <v>2025</v>
      </c>
    </row>
    <row r="157" spans="1:23" x14ac:dyDescent="0.25">
      <c r="A157" s="7">
        <v>2518</v>
      </c>
      <c r="B157" s="9" t="s">
        <v>317</v>
      </c>
      <c r="C157" s="9" t="s">
        <v>116</v>
      </c>
      <c r="D157" s="8">
        <v>45785</v>
      </c>
      <c r="E157" s="7" t="s">
        <v>163</v>
      </c>
      <c r="F157" s="7">
        <v>1</v>
      </c>
      <c r="G157" s="7" t="s">
        <v>15</v>
      </c>
      <c r="I157" s="7"/>
      <c r="J157" s="7">
        <f t="shared" si="16"/>
        <v>1900</v>
      </c>
      <c r="K157" s="7">
        <f t="shared" si="17"/>
        <v>1</v>
      </c>
      <c r="L157" s="7">
        <f t="shared" si="13"/>
        <v>45785</v>
      </c>
      <c r="M157" s="7" t="s">
        <v>518</v>
      </c>
      <c r="O157" s="7" t="s">
        <v>682</v>
      </c>
      <c r="P157" s="7">
        <f t="shared" si="14"/>
        <v>5</v>
      </c>
      <c r="Q157" s="7">
        <f t="shared" si="15"/>
        <v>2025</v>
      </c>
      <c r="W157" t="s">
        <v>942</v>
      </c>
    </row>
    <row r="158" spans="1:23" x14ac:dyDescent="0.25">
      <c r="A158" s="7">
        <v>2518</v>
      </c>
      <c r="B158" s="9" t="s">
        <v>317</v>
      </c>
      <c r="C158" s="9" t="s">
        <v>116</v>
      </c>
      <c r="D158" s="8">
        <v>45785</v>
      </c>
      <c r="E158" s="7" t="s">
        <v>164</v>
      </c>
      <c r="F158" s="7">
        <v>1</v>
      </c>
      <c r="G158" s="7" t="s">
        <v>15</v>
      </c>
      <c r="I158" s="7"/>
      <c r="J158" s="7">
        <f t="shared" si="16"/>
        <v>1900</v>
      </c>
      <c r="K158" s="7">
        <f t="shared" si="17"/>
        <v>1</v>
      </c>
      <c r="L158" s="7">
        <f t="shared" si="13"/>
        <v>45785</v>
      </c>
      <c r="M158" s="7" t="s">
        <v>518</v>
      </c>
      <c r="O158" s="7" t="s">
        <v>682</v>
      </c>
      <c r="P158" s="7">
        <f t="shared" si="14"/>
        <v>5</v>
      </c>
      <c r="Q158" s="7">
        <f t="shared" si="15"/>
        <v>2025</v>
      </c>
    </row>
    <row r="159" spans="1:23" x14ac:dyDescent="0.25">
      <c r="A159" s="7">
        <v>2518</v>
      </c>
      <c r="B159" s="9" t="s">
        <v>317</v>
      </c>
      <c r="C159" s="9" t="s">
        <v>116</v>
      </c>
      <c r="D159" s="8">
        <v>45785</v>
      </c>
      <c r="E159" s="7" t="s">
        <v>165</v>
      </c>
      <c r="F159" s="7">
        <v>1</v>
      </c>
      <c r="G159" s="7" t="s">
        <v>15</v>
      </c>
      <c r="I159" s="7"/>
      <c r="J159" s="7">
        <f t="shared" si="16"/>
        <v>1900</v>
      </c>
      <c r="K159" s="7">
        <f t="shared" si="17"/>
        <v>1</v>
      </c>
      <c r="L159" s="7">
        <f t="shared" si="13"/>
        <v>45785</v>
      </c>
      <c r="M159" s="7" t="s">
        <v>518</v>
      </c>
      <c r="O159" s="7" t="s">
        <v>682</v>
      </c>
      <c r="P159" s="7">
        <f t="shared" si="14"/>
        <v>5</v>
      </c>
      <c r="Q159" s="7">
        <f t="shared" si="15"/>
        <v>2025</v>
      </c>
      <c r="W159" t="s">
        <v>943</v>
      </c>
    </row>
    <row r="160" spans="1:23" x14ac:dyDescent="0.25">
      <c r="A160" s="7">
        <v>2518</v>
      </c>
      <c r="B160" s="9" t="s">
        <v>317</v>
      </c>
      <c r="C160" s="9" t="s">
        <v>116</v>
      </c>
      <c r="D160" s="8">
        <v>45785</v>
      </c>
      <c r="E160" s="7" t="s">
        <v>166</v>
      </c>
      <c r="F160" s="7">
        <v>1</v>
      </c>
      <c r="G160" s="7" t="s">
        <v>15</v>
      </c>
      <c r="I160" s="7"/>
      <c r="J160" s="7">
        <f t="shared" si="16"/>
        <v>1900</v>
      </c>
      <c r="K160" s="7">
        <f t="shared" si="17"/>
        <v>1</v>
      </c>
      <c r="L160" s="7">
        <f t="shared" si="13"/>
        <v>45785</v>
      </c>
      <c r="M160" s="7" t="s">
        <v>518</v>
      </c>
      <c r="O160" s="7" t="s">
        <v>682</v>
      </c>
      <c r="P160" s="7">
        <f t="shared" si="14"/>
        <v>5</v>
      </c>
      <c r="Q160" s="7">
        <f t="shared" si="15"/>
        <v>2025</v>
      </c>
    </row>
    <row r="161" spans="1:23" x14ac:dyDescent="0.25">
      <c r="A161" s="7">
        <v>2518</v>
      </c>
      <c r="B161" s="9" t="s">
        <v>317</v>
      </c>
      <c r="C161" s="9" t="s">
        <v>116</v>
      </c>
      <c r="D161" s="8">
        <v>45785</v>
      </c>
      <c r="E161" s="7" t="s">
        <v>167</v>
      </c>
      <c r="F161" s="7">
        <v>1</v>
      </c>
      <c r="G161" s="7" t="s">
        <v>15</v>
      </c>
      <c r="I161" s="7"/>
      <c r="J161" s="7">
        <f t="shared" si="16"/>
        <v>1900</v>
      </c>
      <c r="K161" s="7">
        <f t="shared" si="17"/>
        <v>1</v>
      </c>
      <c r="L161" s="7">
        <f t="shared" si="13"/>
        <v>45785</v>
      </c>
      <c r="M161" s="7" t="s">
        <v>518</v>
      </c>
      <c r="O161" s="7" t="s">
        <v>682</v>
      </c>
      <c r="P161" s="7">
        <f t="shared" si="14"/>
        <v>5</v>
      </c>
      <c r="Q161" s="7">
        <f t="shared" si="15"/>
        <v>2025</v>
      </c>
      <c r="W161" t="s">
        <v>944</v>
      </c>
    </row>
    <row r="162" spans="1:23" x14ac:dyDescent="0.25">
      <c r="A162" s="7">
        <v>2518</v>
      </c>
      <c r="B162" s="9" t="s">
        <v>317</v>
      </c>
      <c r="C162" s="9" t="s">
        <v>116</v>
      </c>
      <c r="D162" s="8">
        <v>45785</v>
      </c>
      <c r="E162" s="7" t="s">
        <v>168</v>
      </c>
      <c r="F162" s="7">
        <v>1</v>
      </c>
      <c r="G162" s="7" t="s">
        <v>15</v>
      </c>
      <c r="I162" s="7"/>
      <c r="J162" s="7">
        <f t="shared" si="16"/>
        <v>1900</v>
      </c>
      <c r="K162" s="7">
        <f t="shared" si="17"/>
        <v>1</v>
      </c>
      <c r="L162" s="7">
        <f t="shared" si="13"/>
        <v>45785</v>
      </c>
      <c r="M162" s="7" t="s">
        <v>518</v>
      </c>
      <c r="O162" s="7" t="s">
        <v>682</v>
      </c>
      <c r="P162" s="7">
        <f t="shared" si="14"/>
        <v>5</v>
      </c>
      <c r="Q162" s="7">
        <f t="shared" si="15"/>
        <v>2025</v>
      </c>
    </row>
    <row r="163" spans="1:23" x14ac:dyDescent="0.25">
      <c r="A163" s="7">
        <v>2518</v>
      </c>
      <c r="B163" s="9" t="s">
        <v>317</v>
      </c>
      <c r="C163" s="9" t="s">
        <v>116</v>
      </c>
      <c r="D163" s="8">
        <v>45785</v>
      </c>
      <c r="E163" s="7" t="s">
        <v>169</v>
      </c>
      <c r="F163" s="7">
        <v>1</v>
      </c>
      <c r="G163" s="7" t="s">
        <v>15</v>
      </c>
      <c r="I163" s="7"/>
      <c r="J163" s="7">
        <f t="shared" si="16"/>
        <v>1900</v>
      </c>
      <c r="K163" s="7">
        <f t="shared" si="17"/>
        <v>1</v>
      </c>
      <c r="L163" s="7">
        <f t="shared" si="13"/>
        <v>45785</v>
      </c>
      <c r="M163" s="7" t="s">
        <v>518</v>
      </c>
      <c r="O163" s="7" t="s">
        <v>682</v>
      </c>
      <c r="P163" s="7">
        <f t="shared" si="14"/>
        <v>5</v>
      </c>
      <c r="Q163" s="7">
        <f t="shared" si="15"/>
        <v>2025</v>
      </c>
      <c r="W163" t="s">
        <v>945</v>
      </c>
    </row>
    <row r="164" spans="1:23" x14ac:dyDescent="0.25">
      <c r="A164" s="7">
        <v>2518</v>
      </c>
      <c r="B164" s="9" t="s">
        <v>317</v>
      </c>
      <c r="C164" s="9" t="s">
        <v>116</v>
      </c>
      <c r="D164" s="8">
        <v>45785</v>
      </c>
      <c r="E164" s="7" t="s">
        <v>170</v>
      </c>
      <c r="F164" s="7">
        <v>1</v>
      </c>
      <c r="G164" s="7" t="s">
        <v>15</v>
      </c>
      <c r="I164" s="7"/>
      <c r="J164" s="7">
        <f t="shared" si="16"/>
        <v>1900</v>
      </c>
      <c r="K164" s="7">
        <f t="shared" si="17"/>
        <v>1</v>
      </c>
      <c r="L164" s="7">
        <f t="shared" si="13"/>
        <v>45785</v>
      </c>
      <c r="M164" s="7" t="s">
        <v>518</v>
      </c>
      <c r="O164" s="7" t="s">
        <v>682</v>
      </c>
      <c r="P164" s="7">
        <f t="shared" si="14"/>
        <v>5</v>
      </c>
      <c r="Q164" s="7">
        <f t="shared" si="15"/>
        <v>2025</v>
      </c>
    </row>
    <row r="165" spans="1:23" x14ac:dyDescent="0.25">
      <c r="A165" s="7">
        <v>2518</v>
      </c>
      <c r="B165" s="9" t="s">
        <v>317</v>
      </c>
      <c r="C165" s="9" t="s">
        <v>116</v>
      </c>
      <c r="D165" s="8">
        <v>45785</v>
      </c>
      <c r="E165" s="7" t="s">
        <v>171</v>
      </c>
      <c r="F165" s="7">
        <v>1</v>
      </c>
      <c r="G165" s="7" t="s">
        <v>15</v>
      </c>
      <c r="I165" s="7"/>
      <c r="J165" s="7">
        <f t="shared" si="16"/>
        <v>1900</v>
      </c>
      <c r="K165" s="7">
        <f t="shared" si="17"/>
        <v>1</v>
      </c>
      <c r="L165" s="7">
        <f t="shared" si="13"/>
        <v>45785</v>
      </c>
      <c r="M165" s="7" t="s">
        <v>518</v>
      </c>
      <c r="O165" s="7" t="s">
        <v>682</v>
      </c>
      <c r="P165" s="7">
        <f t="shared" si="14"/>
        <v>5</v>
      </c>
      <c r="Q165" s="7">
        <f t="shared" si="15"/>
        <v>2025</v>
      </c>
      <c r="W165" t="s">
        <v>946</v>
      </c>
    </row>
    <row r="166" spans="1:23" x14ac:dyDescent="0.25">
      <c r="A166" s="7">
        <v>2518</v>
      </c>
      <c r="B166" s="9" t="s">
        <v>317</v>
      </c>
      <c r="C166" s="9" t="s">
        <v>116</v>
      </c>
      <c r="D166" s="8">
        <v>45785</v>
      </c>
      <c r="E166" s="7" t="s">
        <v>172</v>
      </c>
      <c r="F166" s="7">
        <v>1</v>
      </c>
      <c r="G166" s="7" t="s">
        <v>15</v>
      </c>
      <c r="I166" s="7"/>
      <c r="J166" s="7">
        <f t="shared" si="16"/>
        <v>1900</v>
      </c>
      <c r="K166" s="7">
        <f t="shared" si="17"/>
        <v>1</v>
      </c>
      <c r="L166" s="7">
        <f t="shared" si="13"/>
        <v>45785</v>
      </c>
      <c r="M166" s="7" t="s">
        <v>518</v>
      </c>
      <c r="O166" s="7" t="s">
        <v>682</v>
      </c>
      <c r="P166" s="7">
        <f t="shared" si="14"/>
        <v>5</v>
      </c>
      <c r="Q166" s="7">
        <f t="shared" si="15"/>
        <v>2025</v>
      </c>
    </row>
    <row r="167" spans="1:23" x14ac:dyDescent="0.25">
      <c r="A167" s="7">
        <v>2518</v>
      </c>
      <c r="B167" s="9" t="s">
        <v>317</v>
      </c>
      <c r="C167" s="9" t="s">
        <v>116</v>
      </c>
      <c r="D167" s="8">
        <v>45785</v>
      </c>
      <c r="E167" s="7" t="s">
        <v>173</v>
      </c>
      <c r="F167" s="7">
        <v>1</v>
      </c>
      <c r="G167" s="7" t="s">
        <v>15</v>
      </c>
      <c r="I167" s="7"/>
      <c r="J167" s="7">
        <f t="shared" si="16"/>
        <v>1900</v>
      </c>
      <c r="K167" s="7">
        <f t="shared" si="17"/>
        <v>1</v>
      </c>
      <c r="L167" s="7">
        <f t="shared" si="13"/>
        <v>45785</v>
      </c>
      <c r="M167" s="7" t="s">
        <v>518</v>
      </c>
      <c r="O167" s="7" t="s">
        <v>682</v>
      </c>
      <c r="P167" s="7">
        <f t="shared" si="14"/>
        <v>5</v>
      </c>
      <c r="Q167" s="7">
        <f t="shared" si="15"/>
        <v>2025</v>
      </c>
      <c r="W167" t="s">
        <v>947</v>
      </c>
    </row>
    <row r="168" spans="1:23" x14ac:dyDescent="0.25">
      <c r="A168" s="7">
        <v>2518</v>
      </c>
      <c r="B168" s="9" t="s">
        <v>317</v>
      </c>
      <c r="C168" s="9" t="s">
        <v>116</v>
      </c>
      <c r="D168" s="8">
        <v>45785</v>
      </c>
      <c r="E168" s="7" t="s">
        <v>174</v>
      </c>
      <c r="F168" s="7">
        <v>1</v>
      </c>
      <c r="G168" s="7" t="s">
        <v>15</v>
      </c>
      <c r="I168" s="7"/>
      <c r="J168" s="7">
        <f t="shared" si="16"/>
        <v>1900</v>
      </c>
      <c r="K168" s="7">
        <f t="shared" si="17"/>
        <v>1</v>
      </c>
      <c r="L168" s="7">
        <f t="shared" si="13"/>
        <v>45785</v>
      </c>
      <c r="M168" s="7" t="s">
        <v>518</v>
      </c>
      <c r="O168" s="7" t="s">
        <v>682</v>
      </c>
      <c r="P168" s="7">
        <f t="shared" si="14"/>
        <v>5</v>
      </c>
      <c r="Q168" s="7">
        <f t="shared" si="15"/>
        <v>2025</v>
      </c>
    </row>
    <row r="169" spans="1:23" x14ac:dyDescent="0.25">
      <c r="A169" s="7">
        <v>2518</v>
      </c>
      <c r="B169" s="9" t="s">
        <v>317</v>
      </c>
      <c r="C169" s="9" t="s">
        <v>116</v>
      </c>
      <c r="D169" s="8">
        <v>45785</v>
      </c>
      <c r="E169" s="7" t="s">
        <v>175</v>
      </c>
      <c r="F169" s="7">
        <v>1</v>
      </c>
      <c r="G169" s="7" t="s">
        <v>15</v>
      </c>
      <c r="I169" s="7"/>
      <c r="J169" s="7">
        <f t="shared" si="16"/>
        <v>1900</v>
      </c>
      <c r="K169" s="7">
        <f t="shared" si="17"/>
        <v>1</v>
      </c>
      <c r="L169" s="7">
        <f t="shared" si="13"/>
        <v>45785</v>
      </c>
      <c r="M169" s="7" t="s">
        <v>518</v>
      </c>
      <c r="O169" s="7" t="s">
        <v>682</v>
      </c>
      <c r="P169" s="7">
        <f t="shared" si="14"/>
        <v>5</v>
      </c>
      <c r="Q169" s="7">
        <f t="shared" si="15"/>
        <v>2025</v>
      </c>
      <c r="W169" t="s">
        <v>948</v>
      </c>
    </row>
    <row r="170" spans="1:23" x14ac:dyDescent="0.25">
      <c r="A170" s="7">
        <v>2518</v>
      </c>
      <c r="B170" s="9" t="s">
        <v>317</v>
      </c>
      <c r="C170" s="9" t="s">
        <v>116</v>
      </c>
      <c r="D170" s="8">
        <v>45785</v>
      </c>
      <c r="E170" s="7" t="s">
        <v>176</v>
      </c>
      <c r="F170" s="7">
        <v>1</v>
      </c>
      <c r="G170" s="7" t="s">
        <v>15</v>
      </c>
      <c r="I170" s="7"/>
      <c r="J170" s="7">
        <f t="shared" si="16"/>
        <v>1900</v>
      </c>
      <c r="K170" s="7">
        <f t="shared" si="17"/>
        <v>1</v>
      </c>
      <c r="L170" s="7">
        <f t="shared" si="13"/>
        <v>45785</v>
      </c>
      <c r="M170" s="7" t="s">
        <v>518</v>
      </c>
      <c r="O170" s="7" t="s">
        <v>682</v>
      </c>
      <c r="P170" s="7">
        <f t="shared" si="14"/>
        <v>5</v>
      </c>
      <c r="Q170" s="7">
        <f t="shared" si="15"/>
        <v>2025</v>
      </c>
    </row>
    <row r="171" spans="1:23" x14ac:dyDescent="0.25">
      <c r="A171" s="7">
        <v>2518</v>
      </c>
      <c r="B171" s="9" t="s">
        <v>317</v>
      </c>
      <c r="C171" s="9" t="s">
        <v>116</v>
      </c>
      <c r="D171" s="8">
        <v>45785</v>
      </c>
      <c r="E171" s="7" t="s">
        <v>177</v>
      </c>
      <c r="F171" s="7">
        <v>1</v>
      </c>
      <c r="G171" s="7" t="s">
        <v>15</v>
      </c>
      <c r="I171" s="7"/>
      <c r="J171" s="7">
        <f t="shared" si="16"/>
        <v>1900</v>
      </c>
      <c r="K171" s="7">
        <f t="shared" si="17"/>
        <v>1</v>
      </c>
      <c r="L171" s="7">
        <f t="shared" si="13"/>
        <v>45785</v>
      </c>
      <c r="M171" s="7" t="s">
        <v>518</v>
      </c>
      <c r="O171" s="7" t="s">
        <v>682</v>
      </c>
      <c r="P171" s="7">
        <f t="shared" si="14"/>
        <v>5</v>
      </c>
      <c r="Q171" s="7">
        <f t="shared" si="15"/>
        <v>2025</v>
      </c>
      <c r="W171" t="s">
        <v>949</v>
      </c>
    </row>
    <row r="172" spans="1:23" x14ac:dyDescent="0.25">
      <c r="A172" s="7">
        <v>2518</v>
      </c>
      <c r="B172" s="9" t="s">
        <v>317</v>
      </c>
      <c r="C172" s="9" t="s">
        <v>116</v>
      </c>
      <c r="D172" s="8">
        <v>45785</v>
      </c>
      <c r="E172" s="7" t="s">
        <v>178</v>
      </c>
      <c r="F172" s="7">
        <v>1</v>
      </c>
      <c r="G172" s="7" t="s">
        <v>15</v>
      </c>
      <c r="I172" s="7"/>
      <c r="J172" s="7">
        <f t="shared" si="16"/>
        <v>1900</v>
      </c>
      <c r="K172" s="7">
        <f t="shared" si="17"/>
        <v>1</v>
      </c>
      <c r="L172" s="7">
        <f t="shared" si="13"/>
        <v>45785</v>
      </c>
      <c r="M172" s="7" t="s">
        <v>518</v>
      </c>
      <c r="O172" s="7" t="s">
        <v>682</v>
      </c>
      <c r="P172" s="7">
        <f t="shared" si="14"/>
        <v>5</v>
      </c>
      <c r="Q172" s="7">
        <f t="shared" si="15"/>
        <v>2025</v>
      </c>
    </row>
    <row r="173" spans="1:23" x14ac:dyDescent="0.25">
      <c r="A173" s="7">
        <v>2518</v>
      </c>
      <c r="B173" s="9" t="s">
        <v>317</v>
      </c>
      <c r="C173" s="9" t="s">
        <v>116</v>
      </c>
      <c r="D173" s="8">
        <v>45785</v>
      </c>
      <c r="E173" s="7" t="s">
        <v>179</v>
      </c>
      <c r="F173" s="7">
        <v>1</v>
      </c>
      <c r="G173" s="7" t="s">
        <v>15</v>
      </c>
      <c r="I173" s="7"/>
      <c r="J173" s="7">
        <f t="shared" si="16"/>
        <v>1900</v>
      </c>
      <c r="K173" s="7">
        <f t="shared" si="17"/>
        <v>1</v>
      </c>
      <c r="L173" s="7">
        <f t="shared" si="13"/>
        <v>45785</v>
      </c>
      <c r="M173" s="7" t="s">
        <v>518</v>
      </c>
      <c r="O173" s="7" t="s">
        <v>682</v>
      </c>
      <c r="P173" s="7">
        <f t="shared" si="14"/>
        <v>5</v>
      </c>
      <c r="Q173" s="7">
        <f t="shared" si="15"/>
        <v>2025</v>
      </c>
      <c r="W173" t="s">
        <v>950</v>
      </c>
    </row>
    <row r="174" spans="1:23" x14ac:dyDescent="0.25">
      <c r="A174" s="7">
        <v>2518</v>
      </c>
      <c r="B174" s="9" t="s">
        <v>317</v>
      </c>
      <c r="C174" s="9" t="s">
        <v>116</v>
      </c>
      <c r="D174" s="8">
        <v>45785</v>
      </c>
      <c r="E174" s="7" t="s">
        <v>180</v>
      </c>
      <c r="F174" s="7">
        <v>1</v>
      </c>
      <c r="G174" s="7" t="s">
        <v>15</v>
      </c>
      <c r="I174" s="7"/>
      <c r="J174" s="7">
        <f t="shared" si="16"/>
        <v>1900</v>
      </c>
      <c r="K174" s="7">
        <f t="shared" si="17"/>
        <v>1</v>
      </c>
      <c r="L174" s="7">
        <f t="shared" si="13"/>
        <v>45785</v>
      </c>
      <c r="M174" s="7" t="s">
        <v>518</v>
      </c>
      <c r="O174" s="7" t="s">
        <v>682</v>
      </c>
      <c r="P174" s="7">
        <f t="shared" si="14"/>
        <v>5</v>
      </c>
      <c r="Q174" s="7">
        <f t="shared" si="15"/>
        <v>2025</v>
      </c>
    </row>
    <row r="175" spans="1:23" x14ac:dyDescent="0.25">
      <c r="A175" s="7">
        <v>2518</v>
      </c>
      <c r="B175" s="9" t="s">
        <v>317</v>
      </c>
      <c r="C175" s="9" t="s">
        <v>116</v>
      </c>
      <c r="D175" s="8">
        <v>45785</v>
      </c>
      <c r="E175" s="7" t="s">
        <v>181</v>
      </c>
      <c r="F175" s="7">
        <v>1</v>
      </c>
      <c r="G175" s="7" t="s">
        <v>15</v>
      </c>
      <c r="I175" s="7"/>
      <c r="J175" s="7">
        <f t="shared" si="16"/>
        <v>1900</v>
      </c>
      <c r="K175" s="7">
        <f t="shared" si="17"/>
        <v>1</v>
      </c>
      <c r="L175" s="7">
        <f t="shared" si="13"/>
        <v>45785</v>
      </c>
      <c r="M175" s="7" t="s">
        <v>518</v>
      </c>
      <c r="O175" s="7" t="s">
        <v>682</v>
      </c>
      <c r="P175" s="7">
        <f t="shared" si="14"/>
        <v>5</v>
      </c>
      <c r="Q175" s="7">
        <f t="shared" si="15"/>
        <v>2025</v>
      </c>
      <c r="W175" t="s">
        <v>951</v>
      </c>
    </row>
    <row r="176" spans="1:23" x14ac:dyDescent="0.25">
      <c r="A176" s="7">
        <v>2518</v>
      </c>
      <c r="B176" s="9" t="s">
        <v>317</v>
      </c>
      <c r="C176" s="9" t="s">
        <v>116</v>
      </c>
      <c r="D176" s="8">
        <v>45785</v>
      </c>
      <c r="E176" s="7" t="s">
        <v>182</v>
      </c>
      <c r="F176" s="7">
        <v>1</v>
      </c>
      <c r="G176" s="7" t="s">
        <v>15</v>
      </c>
      <c r="I176" s="7"/>
      <c r="J176" s="7">
        <f t="shared" si="16"/>
        <v>1900</v>
      </c>
      <c r="K176" s="7">
        <f t="shared" si="17"/>
        <v>1</v>
      </c>
      <c r="L176" s="7">
        <f t="shared" si="13"/>
        <v>45785</v>
      </c>
      <c r="M176" s="7" t="s">
        <v>518</v>
      </c>
      <c r="O176" s="7" t="s">
        <v>682</v>
      </c>
      <c r="P176" s="7">
        <f t="shared" si="14"/>
        <v>5</v>
      </c>
      <c r="Q176" s="7">
        <f t="shared" si="15"/>
        <v>2025</v>
      </c>
    </row>
    <row r="177" spans="1:48" x14ac:dyDescent="0.25">
      <c r="A177" s="7">
        <v>2518</v>
      </c>
      <c r="B177" s="9" t="s">
        <v>317</v>
      </c>
      <c r="C177" s="9" t="s">
        <v>116</v>
      </c>
      <c r="D177" s="8">
        <v>45785</v>
      </c>
      <c r="E177" s="7" t="s">
        <v>183</v>
      </c>
      <c r="F177" s="7">
        <v>1</v>
      </c>
      <c r="G177" s="7" t="s">
        <v>15</v>
      </c>
      <c r="I177" s="7"/>
      <c r="J177" s="7">
        <f t="shared" si="16"/>
        <v>1900</v>
      </c>
      <c r="K177" s="7">
        <f t="shared" si="17"/>
        <v>1</v>
      </c>
      <c r="L177" s="7">
        <f t="shared" si="13"/>
        <v>45785</v>
      </c>
      <c r="M177" s="7" t="s">
        <v>518</v>
      </c>
      <c r="O177" s="7" t="s">
        <v>682</v>
      </c>
      <c r="P177" s="7">
        <f t="shared" si="14"/>
        <v>5</v>
      </c>
      <c r="Q177" s="7">
        <f t="shared" si="15"/>
        <v>2025</v>
      </c>
      <c r="W177" t="s">
        <v>952</v>
      </c>
    </row>
    <row r="178" spans="1:48" x14ac:dyDescent="0.25">
      <c r="A178" s="7">
        <v>2518</v>
      </c>
      <c r="B178" s="9" t="s">
        <v>317</v>
      </c>
      <c r="C178" s="9" t="s">
        <v>116</v>
      </c>
      <c r="D178" s="8">
        <v>45785</v>
      </c>
      <c r="E178" s="7" t="s">
        <v>184</v>
      </c>
      <c r="F178" s="7">
        <v>1</v>
      </c>
      <c r="G178" s="7" t="s">
        <v>15</v>
      </c>
      <c r="I178" s="7"/>
      <c r="J178" s="7">
        <f t="shared" si="16"/>
        <v>1900</v>
      </c>
      <c r="K178" s="7">
        <f t="shared" si="17"/>
        <v>1</v>
      </c>
      <c r="L178" s="7">
        <f t="shared" si="13"/>
        <v>45785</v>
      </c>
      <c r="M178" s="7" t="s">
        <v>518</v>
      </c>
      <c r="O178" s="7" t="s">
        <v>682</v>
      </c>
      <c r="P178" s="7">
        <f t="shared" si="14"/>
        <v>5</v>
      </c>
      <c r="Q178" s="7">
        <f t="shared" si="15"/>
        <v>2025</v>
      </c>
    </row>
    <row r="179" spans="1:48" x14ac:dyDescent="0.25">
      <c r="A179" s="7">
        <v>2518</v>
      </c>
      <c r="B179" s="9" t="s">
        <v>317</v>
      </c>
      <c r="C179" s="9" t="s">
        <v>116</v>
      </c>
      <c r="D179" s="8">
        <v>45785</v>
      </c>
      <c r="E179" s="7" t="s">
        <v>60</v>
      </c>
      <c r="F179" s="7">
        <v>1</v>
      </c>
      <c r="G179" s="7" t="s">
        <v>907</v>
      </c>
      <c r="I179" s="7"/>
      <c r="J179" s="7">
        <f>YEAR(I179)</f>
        <v>1900</v>
      </c>
      <c r="K179" s="7">
        <f t="shared" si="17"/>
        <v>1</v>
      </c>
      <c r="L179" s="7">
        <f t="shared" si="13"/>
        <v>45785</v>
      </c>
      <c r="M179" s="7" t="s">
        <v>518</v>
      </c>
      <c r="O179" s="7" t="s">
        <v>682</v>
      </c>
      <c r="P179" s="7">
        <f t="shared" si="14"/>
        <v>5</v>
      </c>
      <c r="Q179" s="7">
        <f t="shared" si="15"/>
        <v>2025</v>
      </c>
    </row>
    <row r="180" spans="1:48" x14ac:dyDescent="0.25">
      <c r="A180" s="7">
        <v>2519</v>
      </c>
      <c r="B180" s="9" t="s">
        <v>62</v>
      </c>
      <c r="C180" s="9" t="s">
        <v>62</v>
      </c>
      <c r="D180" s="8">
        <v>45782</v>
      </c>
      <c r="E180" s="7" t="s">
        <v>60</v>
      </c>
      <c r="F180" s="7">
        <v>1</v>
      </c>
      <c r="G180" s="7" t="s">
        <v>907</v>
      </c>
      <c r="I180" s="7"/>
      <c r="J180" s="7">
        <f t="shared" ref="J180:J215" si="18">YEAR(I180)</f>
        <v>1900</v>
      </c>
      <c r="K180" s="7">
        <f t="shared" si="17"/>
        <v>1</v>
      </c>
      <c r="L180" s="7">
        <f t="shared" si="13"/>
        <v>45782</v>
      </c>
      <c r="M180" s="7" t="s">
        <v>502</v>
      </c>
      <c r="O180" s="7" t="s">
        <v>680</v>
      </c>
      <c r="P180" s="7">
        <f t="shared" si="14"/>
        <v>5</v>
      </c>
      <c r="Q180" s="7">
        <f t="shared" si="15"/>
        <v>2025</v>
      </c>
    </row>
    <row r="181" spans="1:48" x14ac:dyDescent="0.25">
      <c r="A181" s="7">
        <v>2519</v>
      </c>
      <c r="B181" s="9" t="s">
        <v>62</v>
      </c>
      <c r="C181" s="9" t="s">
        <v>62</v>
      </c>
      <c r="D181" s="8">
        <v>45782</v>
      </c>
      <c r="E181" s="7" t="s">
        <v>60</v>
      </c>
      <c r="F181" s="7">
        <v>1</v>
      </c>
      <c r="G181" s="7" t="s">
        <v>907</v>
      </c>
      <c r="I181" s="7"/>
      <c r="J181" s="7">
        <f t="shared" si="18"/>
        <v>1900</v>
      </c>
      <c r="K181" s="7">
        <f t="shared" si="17"/>
        <v>1</v>
      </c>
      <c r="L181" s="7">
        <f t="shared" si="13"/>
        <v>45782</v>
      </c>
      <c r="M181" s="7" t="s">
        <v>502</v>
      </c>
      <c r="O181" s="7" t="s">
        <v>680</v>
      </c>
      <c r="P181" s="7">
        <f t="shared" si="14"/>
        <v>5</v>
      </c>
      <c r="Q181" s="7">
        <f t="shared" si="15"/>
        <v>2025</v>
      </c>
      <c r="U181" t="s">
        <v>927</v>
      </c>
      <c r="V181" t="s">
        <v>928</v>
      </c>
      <c r="W181" t="s">
        <v>929</v>
      </c>
      <c r="X181" t="s">
        <v>935</v>
      </c>
      <c r="Y181" t="s">
        <v>936</v>
      </c>
      <c r="Z181" t="s">
        <v>937</v>
      </c>
      <c r="AA181" t="s">
        <v>938</v>
      </c>
      <c r="AB181" t="s">
        <v>939</v>
      </c>
      <c r="AC181" t="s">
        <v>940</v>
      </c>
      <c r="AD181" t="s">
        <v>941</v>
      </c>
      <c r="AE181" t="s">
        <v>942</v>
      </c>
      <c r="AF181" t="s">
        <v>943</v>
      </c>
      <c r="AG181" t="s">
        <v>944</v>
      </c>
      <c r="AH181" t="s">
        <v>945</v>
      </c>
      <c r="AI181" t="s">
        <v>946</v>
      </c>
      <c r="AJ181" t="s">
        <v>947</v>
      </c>
      <c r="AK181" t="s">
        <v>948</v>
      </c>
      <c r="AL181" t="s">
        <v>949</v>
      </c>
      <c r="AM181" t="s">
        <v>950</v>
      </c>
      <c r="AN181" t="s">
        <v>951</v>
      </c>
      <c r="AO181" t="s">
        <v>952</v>
      </c>
      <c r="AP181" t="s">
        <v>953</v>
      </c>
      <c r="AQ181" t="s">
        <v>954</v>
      </c>
      <c r="AR181" t="s">
        <v>955</v>
      </c>
      <c r="AS181" t="s">
        <v>956</v>
      </c>
      <c r="AT181" t="s">
        <v>957</v>
      </c>
      <c r="AU181" t="s">
        <v>958</v>
      </c>
      <c r="AV181" t="s">
        <v>959</v>
      </c>
    </row>
    <row r="182" spans="1:48" x14ac:dyDescent="0.25">
      <c r="A182" s="7">
        <v>2519</v>
      </c>
      <c r="B182" s="9" t="s">
        <v>62</v>
      </c>
      <c r="C182" s="9" t="s">
        <v>62</v>
      </c>
      <c r="D182" s="8">
        <v>45782</v>
      </c>
      <c r="E182" s="7" t="s">
        <v>60</v>
      </c>
      <c r="F182" s="7">
        <v>1</v>
      </c>
      <c r="G182" s="7" t="s">
        <v>907</v>
      </c>
      <c r="I182" s="7"/>
      <c r="J182" s="7">
        <f t="shared" si="18"/>
        <v>1900</v>
      </c>
      <c r="K182" s="7">
        <f t="shared" si="17"/>
        <v>1</v>
      </c>
      <c r="L182" s="7">
        <f t="shared" si="13"/>
        <v>45782</v>
      </c>
      <c r="M182" s="7" t="s">
        <v>502</v>
      </c>
      <c r="O182" s="7" t="s">
        <v>680</v>
      </c>
      <c r="P182" s="7">
        <f t="shared" si="14"/>
        <v>5</v>
      </c>
      <c r="Q182" s="7">
        <f t="shared" si="15"/>
        <v>2025</v>
      </c>
    </row>
    <row r="183" spans="1:48" x14ac:dyDescent="0.25">
      <c r="A183" s="7">
        <v>2519</v>
      </c>
      <c r="B183" s="9" t="s">
        <v>62</v>
      </c>
      <c r="C183" s="9" t="s">
        <v>62</v>
      </c>
      <c r="D183" s="8">
        <v>45782</v>
      </c>
      <c r="E183" s="7" t="s">
        <v>60</v>
      </c>
      <c r="F183" s="7">
        <v>1</v>
      </c>
      <c r="G183" s="7" t="s">
        <v>907</v>
      </c>
      <c r="I183" s="7"/>
      <c r="J183" s="7">
        <f t="shared" si="18"/>
        <v>1900</v>
      </c>
      <c r="K183" s="7">
        <f t="shared" si="17"/>
        <v>1</v>
      </c>
      <c r="L183" s="7">
        <f t="shared" si="13"/>
        <v>45782</v>
      </c>
      <c r="M183" s="7" t="s">
        <v>502</v>
      </c>
      <c r="O183" s="7" t="s">
        <v>680</v>
      </c>
      <c r="P183" s="7">
        <f t="shared" si="14"/>
        <v>5</v>
      </c>
      <c r="Q183" s="7">
        <f t="shared" si="15"/>
        <v>2025</v>
      </c>
    </row>
    <row r="184" spans="1:48" x14ac:dyDescent="0.25">
      <c r="A184" s="7">
        <v>2519</v>
      </c>
      <c r="B184" s="9" t="s">
        <v>62</v>
      </c>
      <c r="C184" s="9" t="s">
        <v>62</v>
      </c>
      <c r="D184" s="8">
        <v>45782</v>
      </c>
      <c r="E184" s="7" t="s">
        <v>60</v>
      </c>
      <c r="F184" s="7">
        <v>1</v>
      </c>
      <c r="G184" s="7" t="s">
        <v>907</v>
      </c>
      <c r="I184" s="7"/>
      <c r="J184" s="7">
        <f t="shared" si="18"/>
        <v>1900</v>
      </c>
      <c r="K184" s="7">
        <f t="shared" si="17"/>
        <v>1</v>
      </c>
      <c r="L184" s="7">
        <f t="shared" si="13"/>
        <v>45782</v>
      </c>
      <c r="M184" s="7" t="s">
        <v>502</v>
      </c>
      <c r="O184" s="7" t="s">
        <v>680</v>
      </c>
      <c r="P184" s="7">
        <f t="shared" si="14"/>
        <v>5</v>
      </c>
      <c r="Q184" s="7">
        <f t="shared" si="15"/>
        <v>2025</v>
      </c>
    </row>
    <row r="185" spans="1:48" x14ac:dyDescent="0.25">
      <c r="A185" s="7">
        <v>2519</v>
      </c>
      <c r="B185" s="9" t="s">
        <v>62</v>
      </c>
      <c r="C185" s="9" t="s">
        <v>62</v>
      </c>
      <c r="D185" s="8">
        <v>45782</v>
      </c>
      <c r="E185" s="7" t="s">
        <v>60</v>
      </c>
      <c r="F185" s="7">
        <v>1</v>
      </c>
      <c r="G185" s="7" t="s">
        <v>907</v>
      </c>
      <c r="I185" s="7"/>
      <c r="J185" s="7">
        <f t="shared" si="18"/>
        <v>1900</v>
      </c>
      <c r="K185" s="7">
        <f t="shared" si="17"/>
        <v>1</v>
      </c>
      <c r="L185" s="7">
        <f t="shared" si="13"/>
        <v>45782</v>
      </c>
      <c r="M185" s="7" t="s">
        <v>502</v>
      </c>
      <c r="O185" s="7" t="s">
        <v>680</v>
      </c>
      <c r="P185" s="7">
        <f t="shared" si="14"/>
        <v>5</v>
      </c>
      <c r="Q185" s="7">
        <f t="shared" si="15"/>
        <v>2025</v>
      </c>
    </row>
    <row r="186" spans="1:48" x14ac:dyDescent="0.25">
      <c r="A186" s="7">
        <v>2519</v>
      </c>
      <c r="B186" s="9" t="s">
        <v>62</v>
      </c>
      <c r="C186" s="9" t="s">
        <v>62</v>
      </c>
      <c r="D186" s="8">
        <v>45782</v>
      </c>
      <c r="E186" s="7" t="s">
        <v>60</v>
      </c>
      <c r="F186" s="7">
        <v>1</v>
      </c>
      <c r="G186" s="7" t="s">
        <v>907</v>
      </c>
      <c r="I186" s="7"/>
      <c r="J186" s="7">
        <f t="shared" si="18"/>
        <v>1900</v>
      </c>
      <c r="K186" s="7">
        <f t="shared" si="17"/>
        <v>1</v>
      </c>
      <c r="L186" s="7">
        <f t="shared" si="13"/>
        <v>45782</v>
      </c>
      <c r="M186" s="7" t="s">
        <v>502</v>
      </c>
      <c r="O186" s="7" t="s">
        <v>680</v>
      </c>
      <c r="P186" s="7">
        <f t="shared" si="14"/>
        <v>5</v>
      </c>
      <c r="Q186" s="7">
        <f t="shared" si="15"/>
        <v>2025</v>
      </c>
    </row>
    <row r="187" spans="1:48" x14ac:dyDescent="0.25">
      <c r="A187" s="7">
        <v>2519</v>
      </c>
      <c r="B187" s="9" t="s">
        <v>62</v>
      </c>
      <c r="C187" s="9" t="s">
        <v>62</v>
      </c>
      <c r="D187" s="8">
        <v>45782</v>
      </c>
      <c r="E187" s="7" t="s">
        <v>60</v>
      </c>
      <c r="F187" s="7">
        <v>1</v>
      </c>
      <c r="G187" s="7" t="s">
        <v>907</v>
      </c>
      <c r="I187" s="7"/>
      <c r="J187" s="7">
        <f t="shared" si="18"/>
        <v>1900</v>
      </c>
      <c r="K187" s="7">
        <f t="shared" si="17"/>
        <v>1</v>
      </c>
      <c r="L187" s="7">
        <f t="shared" si="13"/>
        <v>45782</v>
      </c>
      <c r="M187" s="7" t="s">
        <v>502</v>
      </c>
      <c r="O187" s="7" t="s">
        <v>680</v>
      </c>
      <c r="P187" s="7">
        <f t="shared" si="14"/>
        <v>5</v>
      </c>
      <c r="Q187" s="7">
        <f t="shared" si="15"/>
        <v>2025</v>
      </c>
    </row>
    <row r="188" spans="1:48" x14ac:dyDescent="0.25">
      <c r="A188" s="7">
        <v>2519</v>
      </c>
      <c r="B188" s="9" t="s">
        <v>62</v>
      </c>
      <c r="C188" s="9" t="s">
        <v>62</v>
      </c>
      <c r="D188" s="8">
        <v>45782</v>
      </c>
      <c r="E188" s="7" t="s">
        <v>60</v>
      </c>
      <c r="F188" s="7">
        <v>1</v>
      </c>
      <c r="G188" s="7" t="s">
        <v>907</v>
      </c>
      <c r="I188" s="7"/>
      <c r="J188" s="7">
        <f t="shared" si="18"/>
        <v>1900</v>
      </c>
      <c r="K188" s="7">
        <f t="shared" si="17"/>
        <v>1</v>
      </c>
      <c r="L188" s="7">
        <f t="shared" si="13"/>
        <v>45782</v>
      </c>
      <c r="M188" s="7" t="s">
        <v>502</v>
      </c>
      <c r="O188" s="7" t="s">
        <v>680</v>
      </c>
      <c r="P188" s="7">
        <f t="shared" si="14"/>
        <v>5</v>
      </c>
      <c r="Q188" s="7">
        <f t="shared" si="15"/>
        <v>2025</v>
      </c>
    </row>
    <row r="189" spans="1:48" x14ac:dyDescent="0.25">
      <c r="A189" s="7">
        <v>2519</v>
      </c>
      <c r="B189" s="9" t="s">
        <v>62</v>
      </c>
      <c r="C189" s="9" t="s">
        <v>62</v>
      </c>
      <c r="D189" s="8">
        <v>45782</v>
      </c>
      <c r="E189" s="7" t="s">
        <v>60</v>
      </c>
      <c r="F189" s="7">
        <v>1</v>
      </c>
      <c r="G189" s="7" t="s">
        <v>907</v>
      </c>
      <c r="I189" s="7"/>
      <c r="J189" s="7">
        <f t="shared" si="18"/>
        <v>1900</v>
      </c>
      <c r="K189" s="7">
        <f t="shared" si="17"/>
        <v>1</v>
      </c>
      <c r="L189" s="7">
        <f t="shared" si="13"/>
        <v>45782</v>
      </c>
      <c r="M189" s="7" t="s">
        <v>502</v>
      </c>
      <c r="O189" s="7" t="s">
        <v>680</v>
      </c>
      <c r="P189" s="7">
        <f t="shared" si="14"/>
        <v>5</v>
      </c>
      <c r="Q189" s="7">
        <f t="shared" si="15"/>
        <v>2025</v>
      </c>
    </row>
    <row r="190" spans="1:48" x14ac:dyDescent="0.25">
      <c r="A190" s="7">
        <v>2519</v>
      </c>
      <c r="B190" s="9" t="s">
        <v>62</v>
      </c>
      <c r="C190" s="9" t="s">
        <v>62</v>
      </c>
      <c r="D190" s="8">
        <v>45782</v>
      </c>
      <c r="E190" s="7" t="s">
        <v>60</v>
      </c>
      <c r="F190" s="7">
        <v>1</v>
      </c>
      <c r="G190" s="7" t="s">
        <v>907</v>
      </c>
      <c r="I190" s="7"/>
      <c r="J190" s="7">
        <f t="shared" si="18"/>
        <v>1900</v>
      </c>
      <c r="K190" s="7">
        <f t="shared" si="17"/>
        <v>1</v>
      </c>
      <c r="L190" s="7">
        <f t="shared" si="13"/>
        <v>45782</v>
      </c>
      <c r="M190" s="7" t="s">
        <v>502</v>
      </c>
      <c r="O190" s="7" t="s">
        <v>680</v>
      </c>
      <c r="P190" s="7">
        <f t="shared" si="14"/>
        <v>5</v>
      </c>
      <c r="Q190" s="7">
        <f t="shared" si="15"/>
        <v>2025</v>
      </c>
    </row>
    <row r="191" spans="1:48" x14ac:dyDescent="0.25">
      <c r="A191" s="7">
        <v>2519</v>
      </c>
      <c r="B191" s="9" t="s">
        <v>62</v>
      </c>
      <c r="C191" s="9" t="s">
        <v>62</v>
      </c>
      <c r="D191" s="8">
        <v>45782</v>
      </c>
      <c r="E191" s="7" t="s">
        <v>60</v>
      </c>
      <c r="F191" s="7">
        <v>1</v>
      </c>
      <c r="G191" s="7" t="s">
        <v>907</v>
      </c>
      <c r="I191" s="7"/>
      <c r="J191" s="7">
        <f t="shared" si="18"/>
        <v>1900</v>
      </c>
      <c r="K191" s="7">
        <f t="shared" si="17"/>
        <v>1</v>
      </c>
      <c r="L191" s="7">
        <f t="shared" si="13"/>
        <v>45782</v>
      </c>
      <c r="M191" s="7" t="s">
        <v>502</v>
      </c>
      <c r="O191" s="7" t="s">
        <v>680</v>
      </c>
      <c r="P191" s="7">
        <f t="shared" si="14"/>
        <v>5</v>
      </c>
      <c r="Q191" s="7">
        <f t="shared" si="15"/>
        <v>2025</v>
      </c>
    </row>
    <row r="192" spans="1:48" x14ac:dyDescent="0.25">
      <c r="A192" s="7">
        <v>2519</v>
      </c>
      <c r="B192" s="9" t="s">
        <v>62</v>
      </c>
      <c r="C192" s="9" t="s">
        <v>62</v>
      </c>
      <c r="D192" s="8">
        <v>45782</v>
      </c>
      <c r="E192" s="7" t="s">
        <v>60</v>
      </c>
      <c r="F192" s="7">
        <v>1</v>
      </c>
      <c r="G192" s="7" t="s">
        <v>907</v>
      </c>
      <c r="I192" s="7"/>
      <c r="J192" s="7">
        <f t="shared" si="18"/>
        <v>1900</v>
      </c>
      <c r="K192" s="7">
        <f t="shared" si="17"/>
        <v>1</v>
      </c>
      <c r="L192" s="7">
        <f t="shared" si="13"/>
        <v>45782</v>
      </c>
      <c r="M192" s="7" t="s">
        <v>502</v>
      </c>
      <c r="O192" s="7" t="s">
        <v>680</v>
      </c>
      <c r="P192" s="7">
        <f t="shared" si="14"/>
        <v>5</v>
      </c>
      <c r="Q192" s="7">
        <f t="shared" si="15"/>
        <v>2025</v>
      </c>
    </row>
    <row r="193" spans="1:17" x14ac:dyDescent="0.25">
      <c r="A193" s="7">
        <v>2519</v>
      </c>
      <c r="B193" s="9" t="s">
        <v>62</v>
      </c>
      <c r="C193" s="9" t="s">
        <v>62</v>
      </c>
      <c r="D193" s="8">
        <v>45782</v>
      </c>
      <c r="E193" s="7" t="s">
        <v>60</v>
      </c>
      <c r="F193" s="7">
        <v>1</v>
      </c>
      <c r="G193" s="7" t="s">
        <v>907</v>
      </c>
      <c r="I193" s="7"/>
      <c r="J193" s="7">
        <f t="shared" si="18"/>
        <v>1900</v>
      </c>
      <c r="K193" s="7">
        <f t="shared" si="17"/>
        <v>1</v>
      </c>
      <c r="L193" s="7">
        <f t="shared" ref="L193:L256" si="19">D193-I193</f>
        <v>45782</v>
      </c>
      <c r="M193" s="7" t="s">
        <v>502</v>
      </c>
      <c r="O193" s="7" t="s">
        <v>680</v>
      </c>
      <c r="P193" s="7">
        <f t="shared" ref="P193:P256" si="20">MONTH(D193)</f>
        <v>5</v>
      </c>
      <c r="Q193" s="7">
        <f t="shared" si="15"/>
        <v>2025</v>
      </c>
    </row>
    <row r="194" spans="1:17" x14ac:dyDescent="0.25">
      <c r="A194" s="7">
        <v>2519</v>
      </c>
      <c r="B194" s="9" t="s">
        <v>62</v>
      </c>
      <c r="C194" s="9" t="s">
        <v>62</v>
      </c>
      <c r="D194" s="8">
        <v>45782</v>
      </c>
      <c r="E194" s="7" t="s">
        <v>60</v>
      </c>
      <c r="F194" s="7">
        <v>1</v>
      </c>
      <c r="G194" s="7" t="s">
        <v>907</v>
      </c>
      <c r="I194" s="7"/>
      <c r="J194" s="7">
        <f t="shared" si="18"/>
        <v>1900</v>
      </c>
      <c r="K194" s="7">
        <f t="shared" si="17"/>
        <v>1</v>
      </c>
      <c r="L194" s="7">
        <f t="shared" si="19"/>
        <v>45782</v>
      </c>
      <c r="M194" s="7" t="s">
        <v>502</v>
      </c>
      <c r="O194" s="7" t="s">
        <v>680</v>
      </c>
      <c r="P194" s="7">
        <f t="shared" si="20"/>
        <v>5</v>
      </c>
      <c r="Q194" s="7">
        <f t="shared" si="15"/>
        <v>2025</v>
      </c>
    </row>
    <row r="195" spans="1:17" x14ac:dyDescent="0.25">
      <c r="A195" s="7">
        <v>2519</v>
      </c>
      <c r="B195" s="9" t="s">
        <v>62</v>
      </c>
      <c r="C195" s="9" t="s">
        <v>62</v>
      </c>
      <c r="D195" s="8">
        <v>45782</v>
      </c>
      <c r="E195" s="7" t="s">
        <v>60</v>
      </c>
      <c r="F195" s="7">
        <v>1</v>
      </c>
      <c r="G195" s="7" t="s">
        <v>907</v>
      </c>
      <c r="I195" s="7"/>
      <c r="J195" s="7">
        <f t="shared" si="18"/>
        <v>1900</v>
      </c>
      <c r="K195" s="7">
        <f t="shared" si="17"/>
        <v>1</v>
      </c>
      <c r="L195" s="7">
        <f t="shared" si="19"/>
        <v>45782</v>
      </c>
      <c r="M195" s="7" t="s">
        <v>502</v>
      </c>
      <c r="O195" s="7" t="s">
        <v>680</v>
      </c>
      <c r="P195" s="7">
        <f t="shared" si="20"/>
        <v>5</v>
      </c>
      <c r="Q195" s="7">
        <f t="shared" ref="Q195:Q258" si="21">YEAR(D195)</f>
        <v>2025</v>
      </c>
    </row>
    <row r="196" spans="1:17" x14ac:dyDescent="0.25">
      <c r="A196" s="7">
        <v>2519</v>
      </c>
      <c r="B196" s="9" t="s">
        <v>62</v>
      </c>
      <c r="C196" s="9" t="s">
        <v>62</v>
      </c>
      <c r="D196" s="8">
        <v>45782</v>
      </c>
      <c r="E196" s="7" t="s">
        <v>60</v>
      </c>
      <c r="F196" s="7">
        <v>1</v>
      </c>
      <c r="G196" s="7" t="s">
        <v>907</v>
      </c>
      <c r="I196" s="7"/>
      <c r="J196" s="7">
        <f t="shared" si="18"/>
        <v>1900</v>
      </c>
      <c r="K196" s="7">
        <f t="shared" si="17"/>
        <v>1</v>
      </c>
      <c r="L196" s="7">
        <f t="shared" si="19"/>
        <v>45782</v>
      </c>
      <c r="M196" s="7" t="s">
        <v>502</v>
      </c>
      <c r="O196" s="7" t="s">
        <v>680</v>
      </c>
      <c r="P196" s="7">
        <f t="shared" si="20"/>
        <v>5</v>
      </c>
      <c r="Q196" s="7">
        <f t="shared" si="21"/>
        <v>2025</v>
      </c>
    </row>
    <row r="197" spans="1:17" x14ac:dyDescent="0.25">
      <c r="A197" s="7">
        <v>2519</v>
      </c>
      <c r="B197" s="9" t="s">
        <v>62</v>
      </c>
      <c r="C197" s="9" t="s">
        <v>62</v>
      </c>
      <c r="D197" s="8">
        <v>45782</v>
      </c>
      <c r="E197" s="7" t="s">
        <v>60</v>
      </c>
      <c r="F197" s="7">
        <v>1</v>
      </c>
      <c r="G197" s="7" t="s">
        <v>907</v>
      </c>
      <c r="I197" s="7"/>
      <c r="J197" s="7">
        <f t="shared" si="18"/>
        <v>1900</v>
      </c>
      <c r="K197" s="7">
        <f t="shared" si="17"/>
        <v>1</v>
      </c>
      <c r="L197" s="7">
        <f t="shared" si="19"/>
        <v>45782</v>
      </c>
      <c r="M197" s="7" t="s">
        <v>502</v>
      </c>
      <c r="O197" s="7" t="s">
        <v>680</v>
      </c>
      <c r="P197" s="7">
        <f t="shared" si="20"/>
        <v>5</v>
      </c>
      <c r="Q197" s="7">
        <f t="shared" si="21"/>
        <v>2025</v>
      </c>
    </row>
    <row r="198" spans="1:17" x14ac:dyDescent="0.25">
      <c r="A198" s="7">
        <v>2519</v>
      </c>
      <c r="B198" s="9" t="s">
        <v>62</v>
      </c>
      <c r="C198" s="9" t="s">
        <v>62</v>
      </c>
      <c r="D198" s="8">
        <v>45782</v>
      </c>
      <c r="E198" s="7" t="s">
        <v>60</v>
      </c>
      <c r="F198" s="7">
        <v>1</v>
      </c>
      <c r="G198" s="7" t="s">
        <v>907</v>
      </c>
      <c r="I198" s="7"/>
      <c r="J198" s="7">
        <f t="shared" si="18"/>
        <v>1900</v>
      </c>
      <c r="K198" s="7">
        <f t="shared" si="17"/>
        <v>1</v>
      </c>
      <c r="L198" s="7">
        <f t="shared" si="19"/>
        <v>45782</v>
      </c>
      <c r="M198" s="7" t="s">
        <v>502</v>
      </c>
      <c r="O198" s="7" t="s">
        <v>680</v>
      </c>
      <c r="P198" s="7">
        <f t="shared" si="20"/>
        <v>5</v>
      </c>
      <c r="Q198" s="7">
        <f t="shared" si="21"/>
        <v>2025</v>
      </c>
    </row>
    <row r="199" spans="1:17" x14ac:dyDescent="0.25">
      <c r="A199" s="7">
        <v>2519</v>
      </c>
      <c r="B199" s="9" t="s">
        <v>62</v>
      </c>
      <c r="C199" s="9" t="s">
        <v>62</v>
      </c>
      <c r="D199" s="8">
        <v>45782</v>
      </c>
      <c r="E199" s="7" t="s">
        <v>60</v>
      </c>
      <c r="F199" s="7">
        <v>1</v>
      </c>
      <c r="G199" s="7" t="s">
        <v>907</v>
      </c>
      <c r="I199" s="7"/>
      <c r="J199" s="7">
        <f t="shared" si="18"/>
        <v>1900</v>
      </c>
      <c r="K199" s="7">
        <f t="shared" si="17"/>
        <v>1</v>
      </c>
      <c r="L199" s="7">
        <f t="shared" si="19"/>
        <v>45782</v>
      </c>
      <c r="M199" s="7" t="s">
        <v>502</v>
      </c>
      <c r="O199" s="7" t="s">
        <v>680</v>
      </c>
      <c r="P199" s="7">
        <f t="shared" si="20"/>
        <v>5</v>
      </c>
      <c r="Q199" s="7">
        <f t="shared" si="21"/>
        <v>2025</v>
      </c>
    </row>
    <row r="200" spans="1:17" x14ac:dyDescent="0.25">
      <c r="A200" s="7">
        <v>2519</v>
      </c>
      <c r="B200" s="9" t="s">
        <v>62</v>
      </c>
      <c r="C200" s="9" t="s">
        <v>62</v>
      </c>
      <c r="D200" s="8">
        <v>45782</v>
      </c>
      <c r="E200" s="7" t="s">
        <v>60</v>
      </c>
      <c r="F200" s="7">
        <v>1</v>
      </c>
      <c r="G200" s="7" t="s">
        <v>907</v>
      </c>
      <c r="I200" s="7"/>
      <c r="J200" s="7">
        <f t="shared" si="18"/>
        <v>1900</v>
      </c>
      <c r="K200" s="7">
        <f t="shared" si="17"/>
        <v>1</v>
      </c>
      <c r="L200" s="7">
        <f t="shared" si="19"/>
        <v>45782</v>
      </c>
      <c r="M200" s="7" t="s">
        <v>502</v>
      </c>
      <c r="O200" s="7" t="s">
        <v>680</v>
      </c>
      <c r="P200" s="7">
        <f t="shared" si="20"/>
        <v>5</v>
      </c>
      <c r="Q200" s="7">
        <f t="shared" si="21"/>
        <v>2025</v>
      </c>
    </row>
    <row r="201" spans="1:17" x14ac:dyDescent="0.25">
      <c r="A201" s="7">
        <v>2519</v>
      </c>
      <c r="B201" s="9" t="s">
        <v>62</v>
      </c>
      <c r="C201" s="9" t="s">
        <v>62</v>
      </c>
      <c r="D201" s="8">
        <v>45782</v>
      </c>
      <c r="E201" s="7" t="s">
        <v>60</v>
      </c>
      <c r="F201" s="7">
        <v>1</v>
      </c>
      <c r="G201" s="7" t="s">
        <v>907</v>
      </c>
      <c r="I201" s="7"/>
      <c r="J201" s="7">
        <f t="shared" si="18"/>
        <v>1900</v>
      </c>
      <c r="K201" s="7">
        <f t="shared" si="17"/>
        <v>1</v>
      </c>
      <c r="L201" s="7">
        <f t="shared" si="19"/>
        <v>45782</v>
      </c>
      <c r="M201" s="7" t="s">
        <v>502</v>
      </c>
      <c r="O201" s="7" t="s">
        <v>680</v>
      </c>
      <c r="P201" s="7">
        <f t="shared" si="20"/>
        <v>5</v>
      </c>
      <c r="Q201" s="7">
        <f t="shared" si="21"/>
        <v>2025</v>
      </c>
    </row>
    <row r="202" spans="1:17" x14ac:dyDescent="0.25">
      <c r="A202" s="7">
        <v>2519</v>
      </c>
      <c r="B202" s="9" t="s">
        <v>62</v>
      </c>
      <c r="C202" s="9" t="s">
        <v>62</v>
      </c>
      <c r="D202" s="8">
        <v>45782</v>
      </c>
      <c r="E202" s="7" t="s">
        <v>60</v>
      </c>
      <c r="F202" s="7">
        <v>1</v>
      </c>
      <c r="G202" s="7" t="s">
        <v>907</v>
      </c>
      <c r="I202" s="7"/>
      <c r="J202" s="7">
        <f t="shared" si="18"/>
        <v>1900</v>
      </c>
      <c r="K202" s="7">
        <f t="shared" si="17"/>
        <v>1</v>
      </c>
      <c r="L202" s="7">
        <f t="shared" si="19"/>
        <v>45782</v>
      </c>
      <c r="M202" s="7" t="s">
        <v>502</v>
      </c>
      <c r="O202" s="7" t="s">
        <v>680</v>
      </c>
      <c r="P202" s="7">
        <f t="shared" si="20"/>
        <v>5</v>
      </c>
      <c r="Q202" s="7">
        <f t="shared" si="21"/>
        <v>2025</v>
      </c>
    </row>
    <row r="203" spans="1:17" x14ac:dyDescent="0.25">
      <c r="A203" s="7">
        <v>2519</v>
      </c>
      <c r="B203" s="9" t="s">
        <v>62</v>
      </c>
      <c r="C203" s="9" t="s">
        <v>62</v>
      </c>
      <c r="D203" s="8">
        <v>45782</v>
      </c>
      <c r="E203" s="7" t="s">
        <v>60</v>
      </c>
      <c r="F203" s="7">
        <v>1</v>
      </c>
      <c r="G203" s="7" t="s">
        <v>907</v>
      </c>
      <c r="I203" s="7"/>
      <c r="J203" s="7">
        <f t="shared" si="18"/>
        <v>1900</v>
      </c>
      <c r="K203" s="7">
        <f t="shared" si="17"/>
        <v>1</v>
      </c>
      <c r="L203" s="7">
        <f t="shared" si="19"/>
        <v>45782</v>
      </c>
      <c r="M203" s="7" t="s">
        <v>502</v>
      </c>
      <c r="O203" s="7" t="s">
        <v>680</v>
      </c>
      <c r="P203" s="7">
        <f t="shared" si="20"/>
        <v>5</v>
      </c>
      <c r="Q203" s="7">
        <f t="shared" si="21"/>
        <v>2025</v>
      </c>
    </row>
    <row r="204" spans="1:17" x14ac:dyDescent="0.25">
      <c r="A204" s="7">
        <v>2519</v>
      </c>
      <c r="B204" s="9" t="s">
        <v>62</v>
      </c>
      <c r="C204" s="9" t="s">
        <v>62</v>
      </c>
      <c r="D204" s="8">
        <v>45782</v>
      </c>
      <c r="E204" s="7" t="s">
        <v>60</v>
      </c>
      <c r="F204" s="7">
        <v>1</v>
      </c>
      <c r="G204" s="7" t="s">
        <v>907</v>
      </c>
      <c r="I204" s="7"/>
      <c r="J204" s="7">
        <f t="shared" si="18"/>
        <v>1900</v>
      </c>
      <c r="K204" s="7">
        <f t="shared" si="17"/>
        <v>1</v>
      </c>
      <c r="L204" s="7">
        <f t="shared" si="19"/>
        <v>45782</v>
      </c>
      <c r="M204" s="7" t="s">
        <v>502</v>
      </c>
      <c r="O204" s="7" t="s">
        <v>680</v>
      </c>
      <c r="P204" s="7">
        <f t="shared" si="20"/>
        <v>5</v>
      </c>
      <c r="Q204" s="7">
        <f t="shared" si="21"/>
        <v>2025</v>
      </c>
    </row>
    <row r="205" spans="1:17" x14ac:dyDescent="0.25">
      <c r="A205" s="7">
        <v>2519</v>
      </c>
      <c r="B205" s="9" t="s">
        <v>62</v>
      </c>
      <c r="C205" s="9" t="s">
        <v>62</v>
      </c>
      <c r="D205" s="8">
        <v>45782</v>
      </c>
      <c r="E205" s="7" t="s">
        <v>60</v>
      </c>
      <c r="F205" s="7">
        <v>1</v>
      </c>
      <c r="G205" s="7" t="s">
        <v>907</v>
      </c>
      <c r="I205" s="7"/>
      <c r="J205" s="7">
        <f t="shared" si="18"/>
        <v>1900</v>
      </c>
      <c r="K205" s="7">
        <f t="shared" si="17"/>
        <v>1</v>
      </c>
      <c r="L205" s="7">
        <f t="shared" si="19"/>
        <v>45782</v>
      </c>
      <c r="M205" s="7" t="s">
        <v>502</v>
      </c>
      <c r="O205" s="7" t="s">
        <v>680</v>
      </c>
      <c r="P205" s="7">
        <f t="shared" si="20"/>
        <v>5</v>
      </c>
      <c r="Q205" s="7">
        <f t="shared" si="21"/>
        <v>2025</v>
      </c>
    </row>
    <row r="206" spans="1:17" x14ac:dyDescent="0.25">
      <c r="A206" s="7">
        <v>2519</v>
      </c>
      <c r="B206" s="9" t="s">
        <v>62</v>
      </c>
      <c r="C206" s="9" t="s">
        <v>62</v>
      </c>
      <c r="D206" s="8">
        <v>45782</v>
      </c>
      <c r="E206" s="7" t="s">
        <v>60</v>
      </c>
      <c r="F206" s="7">
        <v>1</v>
      </c>
      <c r="G206" s="7" t="s">
        <v>907</v>
      </c>
      <c r="I206" s="7"/>
      <c r="J206" s="7">
        <f t="shared" si="18"/>
        <v>1900</v>
      </c>
      <c r="K206" s="7">
        <f t="shared" si="17"/>
        <v>1</v>
      </c>
      <c r="L206" s="7">
        <f t="shared" si="19"/>
        <v>45782</v>
      </c>
      <c r="M206" s="7" t="s">
        <v>502</v>
      </c>
      <c r="O206" s="7" t="s">
        <v>680</v>
      </c>
      <c r="P206" s="7">
        <f t="shared" si="20"/>
        <v>5</v>
      </c>
      <c r="Q206" s="7">
        <f t="shared" si="21"/>
        <v>2025</v>
      </c>
    </row>
    <row r="207" spans="1:17" x14ac:dyDescent="0.25">
      <c r="A207" s="7">
        <v>2519</v>
      </c>
      <c r="B207" s="9" t="s">
        <v>62</v>
      </c>
      <c r="C207" s="9" t="s">
        <v>62</v>
      </c>
      <c r="D207" s="8">
        <v>45782</v>
      </c>
      <c r="E207" s="7" t="s">
        <v>60</v>
      </c>
      <c r="F207" s="7">
        <v>1</v>
      </c>
      <c r="G207" s="7" t="s">
        <v>907</v>
      </c>
      <c r="I207" s="7"/>
      <c r="J207" s="7">
        <f t="shared" si="18"/>
        <v>1900</v>
      </c>
      <c r="K207" s="7">
        <f t="shared" si="17"/>
        <v>1</v>
      </c>
      <c r="L207" s="7">
        <f t="shared" si="19"/>
        <v>45782</v>
      </c>
      <c r="M207" s="7" t="s">
        <v>502</v>
      </c>
      <c r="O207" s="7" t="s">
        <v>680</v>
      </c>
      <c r="P207" s="7">
        <f t="shared" si="20"/>
        <v>5</v>
      </c>
      <c r="Q207" s="7">
        <f t="shared" si="21"/>
        <v>2025</v>
      </c>
    </row>
    <row r="208" spans="1:17" x14ac:dyDescent="0.25">
      <c r="A208" s="7">
        <v>2519</v>
      </c>
      <c r="B208" s="9" t="s">
        <v>62</v>
      </c>
      <c r="C208" s="9" t="s">
        <v>62</v>
      </c>
      <c r="D208" s="8">
        <v>45782</v>
      </c>
      <c r="E208" s="7" t="s">
        <v>60</v>
      </c>
      <c r="F208" s="7">
        <v>1</v>
      </c>
      <c r="G208" s="7" t="s">
        <v>907</v>
      </c>
      <c r="I208" s="7"/>
      <c r="J208" s="7">
        <f t="shared" si="18"/>
        <v>1900</v>
      </c>
      <c r="K208" s="7">
        <f t="shared" si="17"/>
        <v>1</v>
      </c>
      <c r="L208" s="7">
        <f t="shared" si="19"/>
        <v>45782</v>
      </c>
      <c r="M208" s="7" t="s">
        <v>502</v>
      </c>
      <c r="O208" s="7" t="s">
        <v>680</v>
      </c>
      <c r="P208" s="7">
        <f t="shared" si="20"/>
        <v>5</v>
      </c>
      <c r="Q208" s="7">
        <f t="shared" si="21"/>
        <v>2025</v>
      </c>
    </row>
    <row r="209" spans="1:17" x14ac:dyDescent="0.25">
      <c r="A209" s="7">
        <v>2519</v>
      </c>
      <c r="B209" s="9" t="s">
        <v>62</v>
      </c>
      <c r="C209" s="9" t="s">
        <v>62</v>
      </c>
      <c r="D209" s="8">
        <v>45782</v>
      </c>
      <c r="E209" s="7" t="s">
        <v>60</v>
      </c>
      <c r="F209" s="7">
        <v>1</v>
      </c>
      <c r="G209" s="7" t="s">
        <v>907</v>
      </c>
      <c r="I209" s="7"/>
      <c r="J209" s="7">
        <f t="shared" si="18"/>
        <v>1900</v>
      </c>
      <c r="K209" s="7">
        <f t="shared" si="17"/>
        <v>1</v>
      </c>
      <c r="L209" s="7">
        <f t="shared" si="19"/>
        <v>45782</v>
      </c>
      <c r="M209" s="7" t="s">
        <v>502</v>
      </c>
      <c r="O209" s="7" t="s">
        <v>680</v>
      </c>
      <c r="P209" s="7">
        <f t="shared" si="20"/>
        <v>5</v>
      </c>
      <c r="Q209" s="7">
        <f t="shared" si="21"/>
        <v>2025</v>
      </c>
    </row>
    <row r="210" spans="1:17" x14ac:dyDescent="0.25">
      <c r="A210" s="7">
        <v>2519</v>
      </c>
      <c r="B210" s="9" t="s">
        <v>62</v>
      </c>
      <c r="C210" s="9" t="s">
        <v>62</v>
      </c>
      <c r="D210" s="8">
        <v>45782</v>
      </c>
      <c r="E210" s="7" t="s">
        <v>60</v>
      </c>
      <c r="F210" s="7">
        <v>1</v>
      </c>
      <c r="G210" s="7" t="s">
        <v>907</v>
      </c>
      <c r="I210" s="7"/>
      <c r="J210" s="7">
        <f t="shared" si="18"/>
        <v>1900</v>
      </c>
      <c r="K210" s="7">
        <f t="shared" si="17"/>
        <v>1</v>
      </c>
      <c r="L210" s="7">
        <f t="shared" si="19"/>
        <v>45782</v>
      </c>
      <c r="M210" s="7" t="s">
        <v>502</v>
      </c>
      <c r="O210" s="7" t="s">
        <v>680</v>
      </c>
      <c r="P210" s="7">
        <f t="shared" si="20"/>
        <v>5</v>
      </c>
      <c r="Q210" s="7">
        <f t="shared" si="21"/>
        <v>2025</v>
      </c>
    </row>
    <row r="211" spans="1:17" x14ac:dyDescent="0.25">
      <c r="A211" s="7">
        <v>2519</v>
      </c>
      <c r="B211" s="9" t="s">
        <v>62</v>
      </c>
      <c r="C211" s="9" t="s">
        <v>62</v>
      </c>
      <c r="D211" s="8">
        <v>45782</v>
      </c>
      <c r="E211" s="7" t="s">
        <v>60</v>
      </c>
      <c r="F211" s="7">
        <v>1</v>
      </c>
      <c r="G211" s="7" t="s">
        <v>907</v>
      </c>
      <c r="I211" s="7"/>
      <c r="J211" s="7">
        <f t="shared" si="18"/>
        <v>1900</v>
      </c>
      <c r="K211" s="7">
        <f t="shared" si="17"/>
        <v>1</v>
      </c>
      <c r="L211" s="7">
        <f t="shared" si="19"/>
        <v>45782</v>
      </c>
      <c r="M211" s="7" t="s">
        <v>502</v>
      </c>
      <c r="O211" s="7" t="s">
        <v>680</v>
      </c>
      <c r="P211" s="7">
        <f t="shared" si="20"/>
        <v>5</v>
      </c>
      <c r="Q211" s="7">
        <f t="shared" si="21"/>
        <v>2025</v>
      </c>
    </row>
    <row r="212" spans="1:17" x14ac:dyDescent="0.25">
      <c r="A212" s="7">
        <v>2519</v>
      </c>
      <c r="B212" s="9" t="s">
        <v>62</v>
      </c>
      <c r="C212" s="9" t="s">
        <v>62</v>
      </c>
      <c r="D212" s="8">
        <v>45782</v>
      </c>
      <c r="E212" s="7" t="s">
        <v>60</v>
      </c>
      <c r="F212" s="7">
        <v>1</v>
      </c>
      <c r="G212" s="7" t="s">
        <v>907</v>
      </c>
      <c r="I212" s="7"/>
      <c r="J212" s="7">
        <f t="shared" si="18"/>
        <v>1900</v>
      </c>
      <c r="K212" s="7">
        <f>MONTH(I212)</f>
        <v>1</v>
      </c>
      <c r="L212" s="7">
        <f t="shared" si="19"/>
        <v>45782</v>
      </c>
      <c r="M212" s="7" t="s">
        <v>502</v>
      </c>
      <c r="O212" s="7" t="s">
        <v>680</v>
      </c>
      <c r="P212" s="7">
        <f t="shared" si="20"/>
        <v>5</v>
      </c>
      <c r="Q212" s="7">
        <f t="shared" si="21"/>
        <v>2025</v>
      </c>
    </row>
    <row r="213" spans="1:17" x14ac:dyDescent="0.25">
      <c r="A213" s="7">
        <v>2519</v>
      </c>
      <c r="B213" s="9" t="s">
        <v>62</v>
      </c>
      <c r="C213" s="9" t="s">
        <v>62</v>
      </c>
      <c r="D213" s="8">
        <v>45782</v>
      </c>
      <c r="E213" s="7" t="s">
        <v>60</v>
      </c>
      <c r="F213" s="7">
        <v>1</v>
      </c>
      <c r="G213" s="7" t="s">
        <v>907</v>
      </c>
      <c r="I213" s="7"/>
      <c r="J213" s="7">
        <f t="shared" si="18"/>
        <v>1900</v>
      </c>
      <c r="K213" s="7">
        <f>MONTH(I213)</f>
        <v>1</v>
      </c>
      <c r="L213" s="7">
        <f t="shared" si="19"/>
        <v>45782</v>
      </c>
      <c r="M213" s="7" t="s">
        <v>502</v>
      </c>
      <c r="O213" s="7" t="s">
        <v>680</v>
      </c>
      <c r="P213" s="7">
        <f t="shared" si="20"/>
        <v>5</v>
      </c>
      <c r="Q213" s="7">
        <f t="shared" si="21"/>
        <v>2025</v>
      </c>
    </row>
    <row r="214" spans="1:17" x14ac:dyDescent="0.25">
      <c r="A214" s="7">
        <v>2519</v>
      </c>
      <c r="B214" s="9" t="s">
        <v>62</v>
      </c>
      <c r="C214" s="9" t="s">
        <v>62</v>
      </c>
      <c r="D214" s="8">
        <v>45782</v>
      </c>
      <c r="E214" s="7" t="s">
        <v>60</v>
      </c>
      <c r="F214" s="7">
        <v>1</v>
      </c>
      <c r="G214" s="7" t="s">
        <v>907</v>
      </c>
      <c r="I214" s="7"/>
      <c r="J214" s="7">
        <f t="shared" si="18"/>
        <v>1900</v>
      </c>
      <c r="K214" s="7">
        <f>MONTH(I214)</f>
        <v>1</v>
      </c>
      <c r="L214" s="7">
        <f t="shared" si="19"/>
        <v>45782</v>
      </c>
      <c r="M214" s="7" t="s">
        <v>502</v>
      </c>
      <c r="O214" s="7" t="s">
        <v>680</v>
      </c>
      <c r="P214" s="7">
        <f t="shared" si="20"/>
        <v>5</v>
      </c>
      <c r="Q214" s="7">
        <f t="shared" si="21"/>
        <v>2025</v>
      </c>
    </row>
    <row r="215" spans="1:17" x14ac:dyDescent="0.25">
      <c r="A215" s="7">
        <v>2519</v>
      </c>
      <c r="B215" s="9" t="s">
        <v>62</v>
      </c>
      <c r="C215" s="9" t="s">
        <v>62</v>
      </c>
      <c r="D215" s="8">
        <v>45782</v>
      </c>
      <c r="E215" s="7" t="s">
        <v>60</v>
      </c>
      <c r="F215" s="7">
        <v>1</v>
      </c>
      <c r="G215" s="7" t="s">
        <v>907</v>
      </c>
      <c r="I215" s="21"/>
      <c r="J215" s="7">
        <f t="shared" si="18"/>
        <v>1900</v>
      </c>
      <c r="K215" s="7">
        <f>MONTH(I215)</f>
        <v>1</v>
      </c>
      <c r="L215" s="7">
        <f t="shared" si="19"/>
        <v>45782</v>
      </c>
      <c r="M215" s="7" t="s">
        <v>502</v>
      </c>
      <c r="O215" s="7" t="s">
        <v>680</v>
      </c>
      <c r="P215" s="7">
        <f t="shared" si="20"/>
        <v>5</v>
      </c>
      <c r="Q215" s="7">
        <f t="shared" si="21"/>
        <v>2025</v>
      </c>
    </row>
    <row r="216" spans="1:17" x14ac:dyDescent="0.25">
      <c r="A216" s="7">
        <v>2520</v>
      </c>
      <c r="B216" s="9" t="s">
        <v>232</v>
      </c>
      <c r="C216" s="9" t="s">
        <v>334</v>
      </c>
      <c r="D216" s="8">
        <v>45799</v>
      </c>
      <c r="E216" s="7" t="s">
        <v>185</v>
      </c>
      <c r="F216" s="7">
        <v>1</v>
      </c>
      <c r="G216" s="7" t="s">
        <v>15</v>
      </c>
      <c r="I216" s="8">
        <v>45505</v>
      </c>
      <c r="J216" s="7">
        <f>YEAR(I216)</f>
        <v>2024</v>
      </c>
      <c r="K216" s="7">
        <f>MONTH(I216)</f>
        <v>8</v>
      </c>
      <c r="L216" s="7">
        <f t="shared" si="19"/>
        <v>294</v>
      </c>
      <c r="M216" s="16" t="s">
        <v>497</v>
      </c>
      <c r="N216" s="7" t="s">
        <v>579</v>
      </c>
      <c r="O216" s="7" t="s">
        <v>680</v>
      </c>
      <c r="P216" s="7">
        <f t="shared" si="20"/>
        <v>5</v>
      </c>
      <c r="Q216" s="7">
        <f t="shared" si="21"/>
        <v>2025</v>
      </c>
    </row>
    <row r="217" spans="1:17" x14ac:dyDescent="0.25">
      <c r="A217" s="7">
        <v>2520</v>
      </c>
      <c r="B217" s="9" t="s">
        <v>232</v>
      </c>
      <c r="C217" s="9" t="s">
        <v>334</v>
      </c>
      <c r="D217" s="8">
        <v>45799</v>
      </c>
      <c r="E217" s="7" t="s">
        <v>186</v>
      </c>
      <c r="F217" s="7">
        <v>1</v>
      </c>
      <c r="G217" s="7" t="s">
        <v>15</v>
      </c>
      <c r="I217" s="8">
        <v>45505</v>
      </c>
      <c r="J217" s="7">
        <f t="shared" ref="J217:J280" si="22">YEAR(I217)</f>
        <v>2024</v>
      </c>
      <c r="K217" s="7">
        <f t="shared" ref="K217:K280" si="23">MONTH(I217)</f>
        <v>8</v>
      </c>
      <c r="L217" s="7">
        <f t="shared" si="19"/>
        <v>294</v>
      </c>
      <c r="M217" s="16" t="s">
        <v>497</v>
      </c>
      <c r="N217" s="7" t="s">
        <v>579</v>
      </c>
      <c r="O217" s="7" t="s">
        <v>680</v>
      </c>
      <c r="P217" s="7">
        <f t="shared" si="20"/>
        <v>5</v>
      </c>
      <c r="Q217" s="7">
        <f t="shared" si="21"/>
        <v>2025</v>
      </c>
    </row>
    <row r="218" spans="1:17" x14ac:dyDescent="0.25">
      <c r="A218" s="7">
        <v>2520</v>
      </c>
      <c r="B218" s="9" t="s">
        <v>232</v>
      </c>
      <c r="C218" s="9" t="s">
        <v>334</v>
      </c>
      <c r="D218" s="8">
        <v>45799</v>
      </c>
      <c r="E218" s="7" t="s">
        <v>187</v>
      </c>
      <c r="F218" s="7">
        <v>1</v>
      </c>
      <c r="G218" s="7" t="s">
        <v>15</v>
      </c>
      <c r="I218" s="8">
        <v>45505</v>
      </c>
      <c r="J218" s="7">
        <f t="shared" si="22"/>
        <v>2024</v>
      </c>
      <c r="K218" s="7">
        <f t="shared" si="23"/>
        <v>8</v>
      </c>
      <c r="L218" s="7">
        <f t="shared" si="19"/>
        <v>294</v>
      </c>
      <c r="M218" s="16" t="s">
        <v>497</v>
      </c>
      <c r="N218" s="7" t="s">
        <v>579</v>
      </c>
      <c r="O218" s="7" t="s">
        <v>680</v>
      </c>
      <c r="P218" s="7">
        <f t="shared" si="20"/>
        <v>5</v>
      </c>
      <c r="Q218" s="7">
        <f t="shared" si="21"/>
        <v>2025</v>
      </c>
    </row>
    <row r="219" spans="1:17" x14ac:dyDescent="0.25">
      <c r="A219" s="7">
        <v>2520</v>
      </c>
      <c r="B219" s="9" t="s">
        <v>232</v>
      </c>
      <c r="C219" s="9" t="s">
        <v>334</v>
      </c>
      <c r="D219" s="8">
        <v>45799</v>
      </c>
      <c r="E219" s="7" t="s">
        <v>188</v>
      </c>
      <c r="F219" s="7">
        <v>1</v>
      </c>
      <c r="G219" s="7" t="s">
        <v>15</v>
      </c>
      <c r="I219" s="8">
        <v>45505</v>
      </c>
      <c r="J219" s="7">
        <f t="shared" si="22"/>
        <v>2024</v>
      </c>
      <c r="K219" s="7">
        <f t="shared" si="23"/>
        <v>8</v>
      </c>
      <c r="L219" s="7">
        <f t="shared" si="19"/>
        <v>294</v>
      </c>
      <c r="M219" s="16" t="s">
        <v>497</v>
      </c>
      <c r="N219" s="7" t="s">
        <v>579</v>
      </c>
      <c r="O219" s="7" t="s">
        <v>680</v>
      </c>
      <c r="P219" s="7">
        <f t="shared" si="20"/>
        <v>5</v>
      </c>
      <c r="Q219" s="7">
        <f t="shared" si="21"/>
        <v>2025</v>
      </c>
    </row>
    <row r="220" spans="1:17" x14ac:dyDescent="0.25">
      <c r="A220" s="7">
        <v>2520</v>
      </c>
      <c r="B220" s="9" t="s">
        <v>232</v>
      </c>
      <c r="C220" s="9" t="s">
        <v>334</v>
      </c>
      <c r="D220" s="8">
        <v>45799</v>
      </c>
      <c r="E220" s="7" t="s">
        <v>189</v>
      </c>
      <c r="F220" s="7">
        <v>1</v>
      </c>
      <c r="G220" s="7" t="s">
        <v>15</v>
      </c>
      <c r="I220" s="8">
        <v>45505</v>
      </c>
      <c r="J220" s="7">
        <f t="shared" si="22"/>
        <v>2024</v>
      </c>
      <c r="K220" s="7">
        <f t="shared" si="23"/>
        <v>8</v>
      </c>
      <c r="L220" s="7">
        <f t="shared" si="19"/>
        <v>294</v>
      </c>
      <c r="M220" s="16" t="s">
        <v>497</v>
      </c>
      <c r="N220" s="7" t="s">
        <v>579</v>
      </c>
      <c r="O220" s="7" t="s">
        <v>680</v>
      </c>
      <c r="P220" s="7">
        <f t="shared" si="20"/>
        <v>5</v>
      </c>
      <c r="Q220" s="7">
        <f t="shared" si="21"/>
        <v>2025</v>
      </c>
    </row>
    <row r="221" spans="1:17" x14ac:dyDescent="0.25">
      <c r="A221" s="7">
        <v>2520</v>
      </c>
      <c r="B221" s="9" t="s">
        <v>232</v>
      </c>
      <c r="C221" s="9" t="s">
        <v>334</v>
      </c>
      <c r="D221" s="8">
        <v>45799</v>
      </c>
      <c r="E221" s="7" t="s">
        <v>190</v>
      </c>
      <c r="F221" s="7">
        <v>1</v>
      </c>
      <c r="G221" s="7" t="s">
        <v>15</v>
      </c>
      <c r="I221" s="8">
        <v>45536</v>
      </c>
      <c r="J221" s="7">
        <f t="shared" si="22"/>
        <v>2024</v>
      </c>
      <c r="K221" s="7">
        <f t="shared" si="23"/>
        <v>9</v>
      </c>
      <c r="L221" s="7">
        <f t="shared" si="19"/>
        <v>263</v>
      </c>
      <c r="M221" s="16" t="s">
        <v>497</v>
      </c>
      <c r="N221" s="7" t="s">
        <v>579</v>
      </c>
      <c r="O221" s="7" t="s">
        <v>680</v>
      </c>
      <c r="P221" s="7">
        <f t="shared" si="20"/>
        <v>5</v>
      </c>
      <c r="Q221" s="7">
        <f t="shared" si="21"/>
        <v>2025</v>
      </c>
    </row>
    <row r="222" spans="1:17" x14ac:dyDescent="0.25">
      <c r="A222" s="7">
        <v>2520</v>
      </c>
      <c r="B222" s="9" t="s">
        <v>232</v>
      </c>
      <c r="C222" s="9" t="s">
        <v>334</v>
      </c>
      <c r="D222" s="8">
        <v>45799</v>
      </c>
      <c r="E222" s="7" t="s">
        <v>191</v>
      </c>
      <c r="F222" s="7">
        <v>1</v>
      </c>
      <c r="G222" s="7" t="s">
        <v>15</v>
      </c>
      <c r="I222" s="8">
        <v>45536</v>
      </c>
      <c r="J222" s="7">
        <f t="shared" si="22"/>
        <v>2024</v>
      </c>
      <c r="K222" s="7">
        <f t="shared" si="23"/>
        <v>9</v>
      </c>
      <c r="L222" s="7">
        <f t="shared" si="19"/>
        <v>263</v>
      </c>
      <c r="M222" s="16" t="s">
        <v>497</v>
      </c>
      <c r="N222" s="7" t="s">
        <v>579</v>
      </c>
      <c r="O222" s="7" t="s">
        <v>680</v>
      </c>
      <c r="P222" s="7">
        <f t="shared" si="20"/>
        <v>5</v>
      </c>
      <c r="Q222" s="7">
        <f t="shared" si="21"/>
        <v>2025</v>
      </c>
    </row>
    <row r="223" spans="1:17" x14ac:dyDescent="0.25">
      <c r="A223" s="7">
        <v>2520</v>
      </c>
      <c r="B223" s="9" t="s">
        <v>232</v>
      </c>
      <c r="C223" s="9" t="s">
        <v>334</v>
      </c>
      <c r="D223" s="8">
        <v>45799</v>
      </c>
      <c r="E223" s="7" t="s">
        <v>192</v>
      </c>
      <c r="F223" s="7">
        <v>1</v>
      </c>
      <c r="G223" s="7" t="s">
        <v>15</v>
      </c>
      <c r="I223" s="8">
        <v>45536</v>
      </c>
      <c r="J223" s="7">
        <f t="shared" si="22"/>
        <v>2024</v>
      </c>
      <c r="K223" s="7">
        <f t="shared" si="23"/>
        <v>9</v>
      </c>
      <c r="L223" s="7">
        <f t="shared" si="19"/>
        <v>263</v>
      </c>
      <c r="M223" s="16" t="s">
        <v>497</v>
      </c>
      <c r="N223" s="7" t="s">
        <v>579</v>
      </c>
      <c r="O223" s="7" t="s">
        <v>680</v>
      </c>
      <c r="P223" s="7">
        <f t="shared" si="20"/>
        <v>5</v>
      </c>
      <c r="Q223" s="7">
        <f t="shared" si="21"/>
        <v>2025</v>
      </c>
    </row>
    <row r="224" spans="1:17" x14ac:dyDescent="0.25">
      <c r="A224" s="7">
        <v>2520</v>
      </c>
      <c r="B224" s="9" t="s">
        <v>232</v>
      </c>
      <c r="C224" s="9" t="s">
        <v>334</v>
      </c>
      <c r="D224" s="8">
        <v>45799</v>
      </c>
      <c r="E224" s="7" t="s">
        <v>193</v>
      </c>
      <c r="F224" s="7">
        <v>1</v>
      </c>
      <c r="G224" s="7" t="s">
        <v>15</v>
      </c>
      <c r="I224" s="8">
        <v>45505</v>
      </c>
      <c r="J224" s="7">
        <f t="shared" si="22"/>
        <v>2024</v>
      </c>
      <c r="K224" s="7">
        <f t="shared" si="23"/>
        <v>8</v>
      </c>
      <c r="L224" s="7">
        <f t="shared" si="19"/>
        <v>294</v>
      </c>
      <c r="M224" s="16" t="s">
        <v>497</v>
      </c>
      <c r="N224" s="7" t="s">
        <v>579</v>
      </c>
      <c r="O224" s="7" t="s">
        <v>680</v>
      </c>
      <c r="P224" s="7">
        <f t="shared" si="20"/>
        <v>5</v>
      </c>
      <c r="Q224" s="7">
        <f t="shared" si="21"/>
        <v>2025</v>
      </c>
    </row>
    <row r="225" spans="1:17" x14ac:dyDescent="0.25">
      <c r="A225" s="7">
        <v>2520</v>
      </c>
      <c r="B225" s="9" t="s">
        <v>232</v>
      </c>
      <c r="C225" s="9" t="s">
        <v>334</v>
      </c>
      <c r="D225" s="8">
        <v>45799</v>
      </c>
      <c r="E225" s="7" t="s">
        <v>194</v>
      </c>
      <c r="F225" s="7">
        <v>1</v>
      </c>
      <c r="G225" s="7" t="s">
        <v>15</v>
      </c>
      <c r="I225" s="8">
        <v>45505</v>
      </c>
      <c r="J225" s="7">
        <f t="shared" si="22"/>
        <v>2024</v>
      </c>
      <c r="K225" s="7">
        <f t="shared" si="23"/>
        <v>8</v>
      </c>
      <c r="L225" s="7">
        <f t="shared" si="19"/>
        <v>294</v>
      </c>
      <c r="M225" s="16" t="s">
        <v>497</v>
      </c>
      <c r="N225" s="7" t="s">
        <v>579</v>
      </c>
      <c r="O225" s="7" t="s">
        <v>680</v>
      </c>
      <c r="P225" s="7">
        <f t="shared" si="20"/>
        <v>5</v>
      </c>
      <c r="Q225" s="7">
        <f t="shared" si="21"/>
        <v>2025</v>
      </c>
    </row>
    <row r="226" spans="1:17" x14ac:dyDescent="0.25">
      <c r="A226" s="7">
        <v>2520</v>
      </c>
      <c r="B226" s="9" t="s">
        <v>232</v>
      </c>
      <c r="C226" s="9" t="s">
        <v>334</v>
      </c>
      <c r="D226" s="8">
        <v>45799</v>
      </c>
      <c r="E226" s="7" t="s">
        <v>195</v>
      </c>
      <c r="F226" s="7">
        <v>1</v>
      </c>
      <c r="G226" s="7" t="s">
        <v>15</v>
      </c>
      <c r="I226" s="8">
        <v>45505</v>
      </c>
      <c r="J226" s="7">
        <f t="shared" si="22"/>
        <v>2024</v>
      </c>
      <c r="K226" s="7">
        <f t="shared" si="23"/>
        <v>8</v>
      </c>
      <c r="L226" s="7">
        <f t="shared" si="19"/>
        <v>294</v>
      </c>
      <c r="M226" s="16" t="s">
        <v>497</v>
      </c>
      <c r="N226" s="7" t="s">
        <v>579</v>
      </c>
      <c r="O226" s="7" t="s">
        <v>680</v>
      </c>
      <c r="P226" s="7">
        <f t="shared" si="20"/>
        <v>5</v>
      </c>
      <c r="Q226" s="7">
        <f t="shared" si="21"/>
        <v>2025</v>
      </c>
    </row>
    <row r="227" spans="1:17" x14ac:dyDescent="0.25">
      <c r="A227" s="7">
        <v>2520</v>
      </c>
      <c r="B227" s="9" t="s">
        <v>232</v>
      </c>
      <c r="C227" s="9" t="s">
        <v>334</v>
      </c>
      <c r="D227" s="8">
        <v>45799</v>
      </c>
      <c r="E227" s="7" t="s">
        <v>196</v>
      </c>
      <c r="F227" s="7">
        <v>1</v>
      </c>
      <c r="G227" s="7" t="s">
        <v>15</v>
      </c>
      <c r="I227" s="8">
        <v>45505</v>
      </c>
      <c r="J227" s="7">
        <f t="shared" si="22"/>
        <v>2024</v>
      </c>
      <c r="K227" s="7">
        <f t="shared" si="23"/>
        <v>8</v>
      </c>
      <c r="L227" s="7">
        <f t="shared" si="19"/>
        <v>294</v>
      </c>
      <c r="M227" s="16" t="s">
        <v>497</v>
      </c>
      <c r="N227" s="7" t="s">
        <v>579</v>
      </c>
      <c r="O227" s="7" t="s">
        <v>680</v>
      </c>
      <c r="P227" s="7">
        <f t="shared" si="20"/>
        <v>5</v>
      </c>
      <c r="Q227" s="7">
        <f t="shared" si="21"/>
        <v>2025</v>
      </c>
    </row>
    <row r="228" spans="1:17" x14ac:dyDescent="0.25">
      <c r="A228" s="7">
        <v>2520</v>
      </c>
      <c r="B228" s="9" t="s">
        <v>232</v>
      </c>
      <c r="C228" s="9" t="s">
        <v>334</v>
      </c>
      <c r="D228" s="8">
        <v>45799</v>
      </c>
      <c r="E228" s="7" t="s">
        <v>197</v>
      </c>
      <c r="F228" s="7">
        <v>1</v>
      </c>
      <c r="G228" s="7" t="s">
        <v>15</v>
      </c>
      <c r="I228" s="8">
        <v>45505</v>
      </c>
      <c r="J228" s="7">
        <f t="shared" si="22"/>
        <v>2024</v>
      </c>
      <c r="K228" s="7">
        <f t="shared" si="23"/>
        <v>8</v>
      </c>
      <c r="L228" s="7">
        <f t="shared" si="19"/>
        <v>294</v>
      </c>
      <c r="M228" s="16" t="s">
        <v>497</v>
      </c>
      <c r="N228" s="7" t="s">
        <v>579</v>
      </c>
      <c r="O228" s="7" t="s">
        <v>680</v>
      </c>
      <c r="P228" s="7">
        <f t="shared" si="20"/>
        <v>5</v>
      </c>
      <c r="Q228" s="7">
        <f t="shared" si="21"/>
        <v>2025</v>
      </c>
    </row>
    <row r="229" spans="1:17" x14ac:dyDescent="0.25">
      <c r="A229" s="7">
        <v>2520</v>
      </c>
      <c r="B229" s="9" t="s">
        <v>232</v>
      </c>
      <c r="C229" s="9" t="s">
        <v>334</v>
      </c>
      <c r="D229" s="8">
        <v>45799</v>
      </c>
      <c r="E229" s="7" t="s">
        <v>198</v>
      </c>
      <c r="F229" s="7">
        <v>1</v>
      </c>
      <c r="G229" s="7" t="s">
        <v>15</v>
      </c>
      <c r="I229" s="8">
        <v>45505</v>
      </c>
      <c r="J229" s="7">
        <f t="shared" si="22"/>
        <v>2024</v>
      </c>
      <c r="K229" s="7">
        <f t="shared" si="23"/>
        <v>8</v>
      </c>
      <c r="L229" s="7">
        <f t="shared" si="19"/>
        <v>294</v>
      </c>
      <c r="M229" s="16" t="s">
        <v>497</v>
      </c>
      <c r="N229" s="7" t="s">
        <v>579</v>
      </c>
      <c r="O229" s="7" t="s">
        <v>680</v>
      </c>
      <c r="P229" s="7">
        <f t="shared" si="20"/>
        <v>5</v>
      </c>
      <c r="Q229" s="7">
        <f t="shared" si="21"/>
        <v>2025</v>
      </c>
    </row>
    <row r="230" spans="1:17" x14ac:dyDescent="0.25">
      <c r="A230" s="7">
        <v>2520</v>
      </c>
      <c r="B230" s="9" t="s">
        <v>232</v>
      </c>
      <c r="C230" s="9" t="s">
        <v>334</v>
      </c>
      <c r="D230" s="8">
        <v>45799</v>
      </c>
      <c r="E230" s="7" t="s">
        <v>199</v>
      </c>
      <c r="F230" s="7">
        <v>1</v>
      </c>
      <c r="G230" s="7" t="s">
        <v>15</v>
      </c>
      <c r="I230" s="8">
        <v>45505</v>
      </c>
      <c r="J230" s="7">
        <f t="shared" si="22"/>
        <v>2024</v>
      </c>
      <c r="K230" s="7">
        <f t="shared" si="23"/>
        <v>8</v>
      </c>
      <c r="L230" s="7">
        <f t="shared" si="19"/>
        <v>294</v>
      </c>
      <c r="M230" s="16" t="s">
        <v>497</v>
      </c>
      <c r="N230" s="7" t="s">
        <v>579</v>
      </c>
      <c r="O230" s="7" t="s">
        <v>680</v>
      </c>
      <c r="P230" s="7">
        <f t="shared" si="20"/>
        <v>5</v>
      </c>
      <c r="Q230" s="7">
        <f t="shared" si="21"/>
        <v>2025</v>
      </c>
    </row>
    <row r="231" spans="1:17" x14ac:dyDescent="0.25">
      <c r="A231" s="7">
        <v>2520</v>
      </c>
      <c r="B231" s="9" t="s">
        <v>232</v>
      </c>
      <c r="C231" s="9" t="s">
        <v>334</v>
      </c>
      <c r="D231" s="8">
        <v>45799</v>
      </c>
      <c r="E231" s="7" t="s">
        <v>200</v>
      </c>
      <c r="F231" s="7">
        <v>1</v>
      </c>
      <c r="G231" s="7" t="s">
        <v>15</v>
      </c>
      <c r="I231" s="8">
        <v>45505</v>
      </c>
      <c r="J231" s="7">
        <f t="shared" si="22"/>
        <v>2024</v>
      </c>
      <c r="K231" s="7">
        <f t="shared" si="23"/>
        <v>8</v>
      </c>
      <c r="L231" s="7">
        <f t="shared" si="19"/>
        <v>294</v>
      </c>
      <c r="M231" s="16" t="s">
        <v>497</v>
      </c>
      <c r="N231" s="7" t="s">
        <v>579</v>
      </c>
      <c r="O231" s="7" t="s">
        <v>680</v>
      </c>
      <c r="P231" s="7">
        <f t="shared" si="20"/>
        <v>5</v>
      </c>
      <c r="Q231" s="7">
        <f t="shared" si="21"/>
        <v>2025</v>
      </c>
    </row>
    <row r="232" spans="1:17" x14ac:dyDescent="0.25">
      <c r="A232" s="7">
        <v>2520</v>
      </c>
      <c r="B232" s="9" t="s">
        <v>232</v>
      </c>
      <c r="C232" s="9" t="s">
        <v>334</v>
      </c>
      <c r="D232" s="8">
        <v>45799</v>
      </c>
      <c r="E232" s="7" t="s">
        <v>201</v>
      </c>
      <c r="F232" s="7">
        <v>1</v>
      </c>
      <c r="G232" s="7" t="s">
        <v>15</v>
      </c>
      <c r="I232" s="8">
        <v>45536</v>
      </c>
      <c r="J232" s="7">
        <f t="shared" si="22"/>
        <v>2024</v>
      </c>
      <c r="K232" s="7">
        <f t="shared" si="23"/>
        <v>9</v>
      </c>
      <c r="L232" s="7">
        <f t="shared" si="19"/>
        <v>263</v>
      </c>
      <c r="M232" s="16" t="s">
        <v>497</v>
      </c>
      <c r="N232" s="7" t="s">
        <v>579</v>
      </c>
      <c r="O232" s="7" t="s">
        <v>680</v>
      </c>
      <c r="P232" s="7">
        <f t="shared" si="20"/>
        <v>5</v>
      </c>
      <c r="Q232" s="7">
        <f t="shared" si="21"/>
        <v>2025</v>
      </c>
    </row>
    <row r="233" spans="1:17" x14ac:dyDescent="0.25">
      <c r="A233" s="7">
        <v>2520</v>
      </c>
      <c r="B233" s="9" t="s">
        <v>232</v>
      </c>
      <c r="C233" s="9" t="s">
        <v>334</v>
      </c>
      <c r="D233" s="8">
        <v>45799</v>
      </c>
      <c r="E233" s="7" t="s">
        <v>202</v>
      </c>
      <c r="F233" s="7">
        <v>1</v>
      </c>
      <c r="G233" s="7" t="s">
        <v>15</v>
      </c>
      <c r="I233" s="8">
        <v>45536</v>
      </c>
      <c r="J233" s="7">
        <f t="shared" si="22"/>
        <v>2024</v>
      </c>
      <c r="K233" s="7">
        <f t="shared" si="23"/>
        <v>9</v>
      </c>
      <c r="L233" s="7">
        <f t="shared" si="19"/>
        <v>263</v>
      </c>
      <c r="M233" s="16" t="s">
        <v>497</v>
      </c>
      <c r="N233" s="7" t="s">
        <v>579</v>
      </c>
      <c r="O233" s="7" t="s">
        <v>680</v>
      </c>
      <c r="P233" s="7">
        <f t="shared" si="20"/>
        <v>5</v>
      </c>
      <c r="Q233" s="7">
        <f t="shared" si="21"/>
        <v>2025</v>
      </c>
    </row>
    <row r="234" spans="1:17" x14ac:dyDescent="0.25">
      <c r="A234" s="7">
        <v>2520</v>
      </c>
      <c r="B234" s="9" t="s">
        <v>232</v>
      </c>
      <c r="C234" s="9" t="s">
        <v>334</v>
      </c>
      <c r="D234" s="8">
        <v>45799</v>
      </c>
      <c r="E234" s="7" t="s">
        <v>203</v>
      </c>
      <c r="F234" s="7">
        <v>1</v>
      </c>
      <c r="G234" s="7" t="s">
        <v>15</v>
      </c>
      <c r="I234" s="8">
        <v>45505</v>
      </c>
      <c r="J234" s="7">
        <f t="shared" si="22"/>
        <v>2024</v>
      </c>
      <c r="K234" s="7">
        <f t="shared" si="23"/>
        <v>8</v>
      </c>
      <c r="L234" s="7">
        <f t="shared" si="19"/>
        <v>294</v>
      </c>
      <c r="M234" s="16" t="s">
        <v>497</v>
      </c>
      <c r="N234" s="7" t="s">
        <v>579</v>
      </c>
      <c r="O234" s="7" t="s">
        <v>680</v>
      </c>
      <c r="P234" s="7">
        <f t="shared" si="20"/>
        <v>5</v>
      </c>
      <c r="Q234" s="7">
        <f t="shared" si="21"/>
        <v>2025</v>
      </c>
    </row>
    <row r="235" spans="1:17" x14ac:dyDescent="0.25">
      <c r="A235" s="7">
        <v>2520</v>
      </c>
      <c r="B235" s="9" t="s">
        <v>232</v>
      </c>
      <c r="C235" s="9" t="s">
        <v>334</v>
      </c>
      <c r="D235" s="8">
        <v>45799</v>
      </c>
      <c r="E235" s="7" t="s">
        <v>204</v>
      </c>
      <c r="F235" s="7">
        <v>1</v>
      </c>
      <c r="G235" s="7" t="s">
        <v>15</v>
      </c>
      <c r="I235" s="8">
        <v>45566</v>
      </c>
      <c r="J235" s="7">
        <f t="shared" si="22"/>
        <v>2024</v>
      </c>
      <c r="K235" s="7">
        <f t="shared" si="23"/>
        <v>10</v>
      </c>
      <c r="L235" s="7">
        <f t="shared" si="19"/>
        <v>233</v>
      </c>
      <c r="M235" s="16" t="s">
        <v>497</v>
      </c>
      <c r="N235" s="7" t="s">
        <v>579</v>
      </c>
      <c r="O235" s="7" t="s">
        <v>680</v>
      </c>
      <c r="P235" s="7">
        <f t="shared" si="20"/>
        <v>5</v>
      </c>
      <c r="Q235" s="7">
        <f t="shared" si="21"/>
        <v>2025</v>
      </c>
    </row>
    <row r="236" spans="1:17" x14ac:dyDescent="0.25">
      <c r="A236" s="7">
        <v>2520</v>
      </c>
      <c r="B236" s="9" t="s">
        <v>232</v>
      </c>
      <c r="C236" s="9" t="s">
        <v>334</v>
      </c>
      <c r="D236" s="8">
        <v>45799</v>
      </c>
      <c r="E236" s="7" t="s">
        <v>205</v>
      </c>
      <c r="F236" s="7">
        <v>1</v>
      </c>
      <c r="G236" s="7" t="s">
        <v>15</v>
      </c>
      <c r="I236" s="8">
        <v>45566</v>
      </c>
      <c r="J236" s="7">
        <f t="shared" si="22"/>
        <v>2024</v>
      </c>
      <c r="K236" s="7">
        <f t="shared" si="23"/>
        <v>10</v>
      </c>
      <c r="L236" s="7">
        <f t="shared" si="19"/>
        <v>233</v>
      </c>
      <c r="M236" s="16" t="s">
        <v>497</v>
      </c>
      <c r="N236" s="7" t="s">
        <v>579</v>
      </c>
      <c r="O236" s="7" t="s">
        <v>680</v>
      </c>
      <c r="P236" s="7">
        <f t="shared" si="20"/>
        <v>5</v>
      </c>
      <c r="Q236" s="7">
        <f t="shared" si="21"/>
        <v>2025</v>
      </c>
    </row>
    <row r="237" spans="1:17" x14ac:dyDescent="0.25">
      <c r="A237" s="7">
        <v>2520</v>
      </c>
      <c r="B237" s="9" t="s">
        <v>232</v>
      </c>
      <c r="C237" s="9" t="s">
        <v>334</v>
      </c>
      <c r="D237" s="8">
        <v>45799</v>
      </c>
      <c r="E237" s="7" t="s">
        <v>206</v>
      </c>
      <c r="F237" s="7">
        <v>1</v>
      </c>
      <c r="G237" s="7" t="s">
        <v>15</v>
      </c>
      <c r="I237" s="8">
        <v>45566</v>
      </c>
      <c r="J237" s="7">
        <f t="shared" si="22"/>
        <v>2024</v>
      </c>
      <c r="K237" s="7">
        <f t="shared" si="23"/>
        <v>10</v>
      </c>
      <c r="L237" s="7">
        <f t="shared" si="19"/>
        <v>233</v>
      </c>
      <c r="M237" s="16" t="s">
        <v>497</v>
      </c>
      <c r="N237" s="7" t="s">
        <v>579</v>
      </c>
      <c r="O237" s="7" t="s">
        <v>680</v>
      </c>
      <c r="P237" s="7">
        <f t="shared" si="20"/>
        <v>5</v>
      </c>
      <c r="Q237" s="7">
        <f t="shared" si="21"/>
        <v>2025</v>
      </c>
    </row>
    <row r="238" spans="1:17" x14ac:dyDescent="0.25">
      <c r="A238" s="7">
        <v>2520</v>
      </c>
      <c r="B238" s="9" t="s">
        <v>232</v>
      </c>
      <c r="C238" s="9" t="s">
        <v>334</v>
      </c>
      <c r="D238" s="8">
        <v>45799</v>
      </c>
      <c r="E238" s="7" t="s">
        <v>207</v>
      </c>
      <c r="F238" s="7">
        <v>1</v>
      </c>
      <c r="G238" s="7" t="s">
        <v>15</v>
      </c>
      <c r="I238" s="8">
        <v>45566</v>
      </c>
      <c r="J238" s="7">
        <f t="shared" si="22"/>
        <v>2024</v>
      </c>
      <c r="K238" s="7">
        <f t="shared" si="23"/>
        <v>10</v>
      </c>
      <c r="L238" s="7">
        <f t="shared" si="19"/>
        <v>233</v>
      </c>
      <c r="M238" s="16" t="s">
        <v>497</v>
      </c>
      <c r="N238" s="7" t="s">
        <v>579</v>
      </c>
      <c r="O238" s="7" t="s">
        <v>680</v>
      </c>
      <c r="P238" s="7">
        <f t="shared" si="20"/>
        <v>5</v>
      </c>
      <c r="Q238" s="7">
        <f t="shared" si="21"/>
        <v>2025</v>
      </c>
    </row>
    <row r="239" spans="1:17" x14ac:dyDescent="0.25">
      <c r="A239" s="7">
        <v>2520</v>
      </c>
      <c r="B239" s="9" t="s">
        <v>232</v>
      </c>
      <c r="C239" s="9" t="s">
        <v>334</v>
      </c>
      <c r="D239" s="8">
        <v>45799</v>
      </c>
      <c r="E239" s="7" t="s">
        <v>208</v>
      </c>
      <c r="F239" s="7">
        <v>1</v>
      </c>
      <c r="G239" s="7" t="s">
        <v>15</v>
      </c>
      <c r="I239" s="8">
        <v>45566</v>
      </c>
      <c r="J239" s="7">
        <f t="shared" si="22"/>
        <v>2024</v>
      </c>
      <c r="K239" s="7">
        <f t="shared" si="23"/>
        <v>10</v>
      </c>
      <c r="L239" s="7">
        <f t="shared" si="19"/>
        <v>233</v>
      </c>
      <c r="M239" s="16" t="s">
        <v>497</v>
      </c>
      <c r="N239" s="7" t="s">
        <v>579</v>
      </c>
      <c r="O239" s="7" t="s">
        <v>680</v>
      </c>
      <c r="P239" s="7">
        <f t="shared" si="20"/>
        <v>5</v>
      </c>
      <c r="Q239" s="7">
        <f t="shared" si="21"/>
        <v>2025</v>
      </c>
    </row>
    <row r="240" spans="1:17" x14ac:dyDescent="0.25">
      <c r="A240" s="7">
        <v>2520</v>
      </c>
      <c r="B240" s="9" t="s">
        <v>232</v>
      </c>
      <c r="C240" s="9" t="s">
        <v>334</v>
      </c>
      <c r="D240" s="8">
        <v>45799</v>
      </c>
      <c r="E240" s="7" t="s">
        <v>209</v>
      </c>
      <c r="F240" s="7">
        <v>1</v>
      </c>
      <c r="G240" s="7" t="s">
        <v>15</v>
      </c>
      <c r="I240" s="8">
        <v>45536</v>
      </c>
      <c r="J240" s="7">
        <f t="shared" si="22"/>
        <v>2024</v>
      </c>
      <c r="K240" s="7">
        <f t="shared" si="23"/>
        <v>9</v>
      </c>
      <c r="L240" s="7">
        <f t="shared" si="19"/>
        <v>263</v>
      </c>
      <c r="M240" s="16" t="s">
        <v>497</v>
      </c>
      <c r="N240" s="7" t="s">
        <v>579</v>
      </c>
      <c r="O240" s="7" t="s">
        <v>680</v>
      </c>
      <c r="P240" s="7">
        <f t="shared" si="20"/>
        <v>5</v>
      </c>
      <c r="Q240" s="7">
        <f t="shared" si="21"/>
        <v>2025</v>
      </c>
    </row>
    <row r="241" spans="1:17" x14ac:dyDescent="0.25">
      <c r="A241" s="7">
        <v>2520</v>
      </c>
      <c r="B241" s="9" t="s">
        <v>232</v>
      </c>
      <c r="C241" s="9" t="s">
        <v>334</v>
      </c>
      <c r="D241" s="8">
        <v>45799</v>
      </c>
      <c r="E241" s="7" t="s">
        <v>210</v>
      </c>
      <c r="F241" s="7">
        <v>1</v>
      </c>
      <c r="G241" s="7" t="s">
        <v>15</v>
      </c>
      <c r="I241" s="8">
        <v>45566</v>
      </c>
      <c r="J241" s="7">
        <f t="shared" si="22"/>
        <v>2024</v>
      </c>
      <c r="K241" s="7">
        <f t="shared" si="23"/>
        <v>10</v>
      </c>
      <c r="L241" s="7">
        <f t="shared" si="19"/>
        <v>233</v>
      </c>
      <c r="M241" s="16" t="s">
        <v>497</v>
      </c>
      <c r="N241" s="7" t="s">
        <v>579</v>
      </c>
      <c r="O241" s="7" t="s">
        <v>680</v>
      </c>
      <c r="P241" s="7">
        <f t="shared" si="20"/>
        <v>5</v>
      </c>
      <c r="Q241" s="7">
        <f t="shared" si="21"/>
        <v>2025</v>
      </c>
    </row>
    <row r="242" spans="1:17" x14ac:dyDescent="0.25">
      <c r="A242" s="7">
        <v>2520</v>
      </c>
      <c r="B242" s="9" t="s">
        <v>232</v>
      </c>
      <c r="C242" s="9" t="s">
        <v>334</v>
      </c>
      <c r="D242" s="8">
        <v>45799</v>
      </c>
      <c r="E242" s="7" t="s">
        <v>211</v>
      </c>
      <c r="F242" s="7">
        <v>1</v>
      </c>
      <c r="G242" s="7" t="s">
        <v>15</v>
      </c>
      <c r="I242" s="8">
        <v>45566</v>
      </c>
      <c r="J242" s="7">
        <f t="shared" si="22"/>
        <v>2024</v>
      </c>
      <c r="K242" s="7">
        <f t="shared" si="23"/>
        <v>10</v>
      </c>
      <c r="L242" s="7">
        <f t="shared" si="19"/>
        <v>233</v>
      </c>
      <c r="M242" s="16" t="s">
        <v>497</v>
      </c>
      <c r="N242" s="7" t="s">
        <v>579</v>
      </c>
      <c r="O242" s="7" t="s">
        <v>680</v>
      </c>
      <c r="P242" s="7">
        <f t="shared" si="20"/>
        <v>5</v>
      </c>
      <c r="Q242" s="7">
        <f t="shared" si="21"/>
        <v>2025</v>
      </c>
    </row>
    <row r="243" spans="1:17" x14ac:dyDescent="0.25">
      <c r="A243" s="7">
        <v>2520</v>
      </c>
      <c r="B243" s="9" t="s">
        <v>232</v>
      </c>
      <c r="C243" s="9" t="s">
        <v>334</v>
      </c>
      <c r="D243" s="8">
        <v>45799</v>
      </c>
      <c r="E243" s="52" t="s">
        <v>212</v>
      </c>
      <c r="F243" s="7">
        <v>1</v>
      </c>
      <c r="G243" s="7" t="s">
        <v>15</v>
      </c>
      <c r="I243" s="8">
        <v>45536</v>
      </c>
      <c r="J243" s="7">
        <f t="shared" si="22"/>
        <v>2024</v>
      </c>
      <c r="K243" s="7">
        <f t="shared" si="23"/>
        <v>9</v>
      </c>
      <c r="L243" s="7">
        <f t="shared" si="19"/>
        <v>263</v>
      </c>
      <c r="M243" s="16" t="s">
        <v>497</v>
      </c>
      <c r="N243" s="7" t="s">
        <v>579</v>
      </c>
      <c r="O243" s="7" t="s">
        <v>680</v>
      </c>
      <c r="P243" s="7">
        <f t="shared" si="20"/>
        <v>5</v>
      </c>
      <c r="Q243" s="7">
        <f t="shared" si="21"/>
        <v>2025</v>
      </c>
    </row>
    <row r="244" spans="1:17" x14ac:dyDescent="0.25">
      <c r="A244" s="7">
        <v>2520</v>
      </c>
      <c r="B244" s="9" t="s">
        <v>232</v>
      </c>
      <c r="C244" s="9" t="s">
        <v>334</v>
      </c>
      <c r="D244" s="8">
        <v>45799</v>
      </c>
      <c r="E244" s="7" t="s">
        <v>213</v>
      </c>
      <c r="F244" s="7">
        <v>1</v>
      </c>
      <c r="G244" s="7" t="s">
        <v>15</v>
      </c>
      <c r="I244" s="8">
        <v>45566</v>
      </c>
      <c r="J244" s="7">
        <f t="shared" si="22"/>
        <v>2024</v>
      </c>
      <c r="K244" s="7">
        <f t="shared" si="23"/>
        <v>10</v>
      </c>
      <c r="L244" s="7">
        <f t="shared" si="19"/>
        <v>233</v>
      </c>
      <c r="M244" s="16" t="s">
        <v>497</v>
      </c>
      <c r="N244" s="7" t="s">
        <v>579</v>
      </c>
      <c r="O244" s="7" t="s">
        <v>680</v>
      </c>
      <c r="P244" s="7">
        <f t="shared" si="20"/>
        <v>5</v>
      </c>
      <c r="Q244" s="7">
        <f t="shared" si="21"/>
        <v>2025</v>
      </c>
    </row>
    <row r="245" spans="1:17" x14ac:dyDescent="0.25">
      <c r="A245" s="7">
        <v>2520</v>
      </c>
      <c r="B245" s="9" t="s">
        <v>232</v>
      </c>
      <c r="C245" s="9" t="s">
        <v>334</v>
      </c>
      <c r="D245" s="8">
        <v>45799</v>
      </c>
      <c r="E245" s="7" t="s">
        <v>214</v>
      </c>
      <c r="F245" s="7">
        <v>1</v>
      </c>
      <c r="G245" s="7" t="s">
        <v>15</v>
      </c>
      <c r="I245" s="8">
        <v>45566</v>
      </c>
      <c r="J245" s="7">
        <f t="shared" si="22"/>
        <v>2024</v>
      </c>
      <c r="K245" s="7">
        <f t="shared" si="23"/>
        <v>10</v>
      </c>
      <c r="L245" s="7">
        <f t="shared" si="19"/>
        <v>233</v>
      </c>
      <c r="M245" s="16" t="s">
        <v>497</v>
      </c>
      <c r="N245" s="7" t="s">
        <v>579</v>
      </c>
      <c r="O245" s="7" t="s">
        <v>680</v>
      </c>
      <c r="P245" s="7">
        <f t="shared" si="20"/>
        <v>5</v>
      </c>
      <c r="Q245" s="7">
        <f t="shared" si="21"/>
        <v>2025</v>
      </c>
    </row>
    <row r="246" spans="1:17" x14ac:dyDescent="0.25">
      <c r="A246" s="7">
        <v>2520</v>
      </c>
      <c r="B246" s="9" t="s">
        <v>232</v>
      </c>
      <c r="C246" s="9" t="s">
        <v>334</v>
      </c>
      <c r="D246" s="8">
        <v>45799</v>
      </c>
      <c r="E246" s="7" t="s">
        <v>215</v>
      </c>
      <c r="F246" s="7">
        <v>1</v>
      </c>
      <c r="G246" s="7" t="s">
        <v>15</v>
      </c>
      <c r="I246" s="8">
        <v>45505</v>
      </c>
      <c r="J246" s="7">
        <f t="shared" si="22"/>
        <v>2024</v>
      </c>
      <c r="K246" s="7">
        <f t="shared" si="23"/>
        <v>8</v>
      </c>
      <c r="L246" s="7">
        <f t="shared" si="19"/>
        <v>294</v>
      </c>
      <c r="M246" s="16" t="s">
        <v>497</v>
      </c>
      <c r="N246" s="7" t="s">
        <v>579</v>
      </c>
      <c r="O246" s="7" t="s">
        <v>680</v>
      </c>
      <c r="P246" s="7">
        <f t="shared" si="20"/>
        <v>5</v>
      </c>
      <c r="Q246" s="7">
        <f t="shared" si="21"/>
        <v>2025</v>
      </c>
    </row>
    <row r="247" spans="1:17" x14ac:dyDescent="0.25">
      <c r="A247" s="7">
        <v>2520</v>
      </c>
      <c r="B247" s="9" t="s">
        <v>232</v>
      </c>
      <c r="C247" s="9" t="s">
        <v>334</v>
      </c>
      <c r="D247" s="8">
        <v>45799</v>
      </c>
      <c r="E247" s="7" t="s">
        <v>216</v>
      </c>
      <c r="F247" s="7">
        <v>1</v>
      </c>
      <c r="G247" s="7" t="s">
        <v>15</v>
      </c>
      <c r="I247" s="8">
        <v>45505</v>
      </c>
      <c r="J247" s="7">
        <f t="shared" si="22"/>
        <v>2024</v>
      </c>
      <c r="K247" s="7">
        <f t="shared" si="23"/>
        <v>8</v>
      </c>
      <c r="L247" s="7">
        <f t="shared" si="19"/>
        <v>294</v>
      </c>
      <c r="M247" s="16" t="s">
        <v>497</v>
      </c>
      <c r="N247" s="7" t="s">
        <v>579</v>
      </c>
      <c r="O247" s="7" t="s">
        <v>680</v>
      </c>
      <c r="P247" s="7">
        <f t="shared" si="20"/>
        <v>5</v>
      </c>
      <c r="Q247" s="7">
        <f t="shared" si="21"/>
        <v>2025</v>
      </c>
    </row>
    <row r="248" spans="1:17" x14ac:dyDescent="0.25">
      <c r="A248" s="7">
        <v>2520</v>
      </c>
      <c r="B248" s="9" t="s">
        <v>232</v>
      </c>
      <c r="C248" s="9" t="s">
        <v>334</v>
      </c>
      <c r="D248" s="8">
        <v>45799</v>
      </c>
      <c r="E248" s="7" t="s">
        <v>217</v>
      </c>
      <c r="F248" s="7">
        <v>1</v>
      </c>
      <c r="G248" s="7" t="s">
        <v>15</v>
      </c>
      <c r="I248" s="8">
        <v>45505</v>
      </c>
      <c r="J248" s="7">
        <f t="shared" si="22"/>
        <v>2024</v>
      </c>
      <c r="K248" s="7">
        <f t="shared" si="23"/>
        <v>8</v>
      </c>
      <c r="L248" s="7">
        <f t="shared" si="19"/>
        <v>294</v>
      </c>
      <c r="M248" s="16" t="s">
        <v>497</v>
      </c>
      <c r="N248" s="7" t="s">
        <v>579</v>
      </c>
      <c r="O248" s="7" t="s">
        <v>680</v>
      </c>
      <c r="P248" s="7">
        <f t="shared" si="20"/>
        <v>5</v>
      </c>
      <c r="Q248" s="7">
        <f t="shared" si="21"/>
        <v>2025</v>
      </c>
    </row>
    <row r="249" spans="1:17" x14ac:dyDescent="0.25">
      <c r="A249" s="7">
        <v>2520</v>
      </c>
      <c r="B249" s="9" t="s">
        <v>232</v>
      </c>
      <c r="C249" s="9" t="s">
        <v>334</v>
      </c>
      <c r="D249" s="8">
        <v>45799</v>
      </c>
      <c r="E249" s="7" t="s">
        <v>218</v>
      </c>
      <c r="F249" s="7">
        <v>1</v>
      </c>
      <c r="G249" s="7" t="s">
        <v>15</v>
      </c>
      <c r="I249" s="8">
        <v>45505</v>
      </c>
      <c r="J249" s="7">
        <f t="shared" si="22"/>
        <v>2024</v>
      </c>
      <c r="K249" s="7">
        <f t="shared" si="23"/>
        <v>8</v>
      </c>
      <c r="L249" s="7">
        <f t="shared" si="19"/>
        <v>294</v>
      </c>
      <c r="M249" s="16" t="s">
        <v>497</v>
      </c>
      <c r="N249" s="7" t="s">
        <v>579</v>
      </c>
      <c r="O249" s="7" t="s">
        <v>680</v>
      </c>
      <c r="P249" s="7">
        <f t="shared" si="20"/>
        <v>5</v>
      </c>
      <c r="Q249" s="7">
        <f t="shared" si="21"/>
        <v>2025</v>
      </c>
    </row>
    <row r="250" spans="1:17" x14ac:dyDescent="0.25">
      <c r="A250" s="7">
        <v>2520</v>
      </c>
      <c r="B250" s="9" t="s">
        <v>232</v>
      </c>
      <c r="C250" s="9" t="s">
        <v>334</v>
      </c>
      <c r="D250" s="8">
        <v>45799</v>
      </c>
      <c r="E250" s="7" t="s">
        <v>219</v>
      </c>
      <c r="F250" s="7">
        <v>1</v>
      </c>
      <c r="G250" s="7" t="s">
        <v>15</v>
      </c>
      <c r="I250" s="8">
        <v>45566</v>
      </c>
      <c r="J250" s="7">
        <f t="shared" si="22"/>
        <v>2024</v>
      </c>
      <c r="K250" s="7">
        <f t="shared" si="23"/>
        <v>10</v>
      </c>
      <c r="L250" s="7">
        <f t="shared" si="19"/>
        <v>233</v>
      </c>
      <c r="M250" s="16" t="s">
        <v>497</v>
      </c>
      <c r="N250" s="7" t="s">
        <v>579</v>
      </c>
      <c r="O250" s="7" t="s">
        <v>680</v>
      </c>
      <c r="P250" s="7">
        <f t="shared" si="20"/>
        <v>5</v>
      </c>
      <c r="Q250" s="7">
        <f t="shared" si="21"/>
        <v>2025</v>
      </c>
    </row>
    <row r="251" spans="1:17" x14ac:dyDescent="0.25">
      <c r="A251" s="7">
        <v>2520</v>
      </c>
      <c r="B251" s="9" t="s">
        <v>232</v>
      </c>
      <c r="C251" s="9" t="s">
        <v>334</v>
      </c>
      <c r="D251" s="8">
        <v>45799</v>
      </c>
      <c r="E251" s="7" t="s">
        <v>220</v>
      </c>
      <c r="F251" s="7">
        <v>1</v>
      </c>
      <c r="G251" s="7" t="s">
        <v>15</v>
      </c>
      <c r="I251" s="8">
        <v>45536</v>
      </c>
      <c r="J251" s="7">
        <f t="shared" si="22"/>
        <v>2024</v>
      </c>
      <c r="K251" s="7">
        <f t="shared" si="23"/>
        <v>9</v>
      </c>
      <c r="L251" s="7">
        <f t="shared" si="19"/>
        <v>263</v>
      </c>
      <c r="M251" s="16" t="s">
        <v>497</v>
      </c>
      <c r="N251" s="7" t="s">
        <v>579</v>
      </c>
      <c r="O251" s="7" t="s">
        <v>680</v>
      </c>
      <c r="P251" s="7">
        <f t="shared" si="20"/>
        <v>5</v>
      </c>
      <c r="Q251" s="7">
        <f t="shared" si="21"/>
        <v>2025</v>
      </c>
    </row>
    <row r="252" spans="1:17" x14ac:dyDescent="0.25">
      <c r="A252" s="7">
        <v>2520</v>
      </c>
      <c r="B252" s="9" t="s">
        <v>232</v>
      </c>
      <c r="C252" s="9" t="s">
        <v>334</v>
      </c>
      <c r="D252" s="8">
        <v>45799</v>
      </c>
      <c r="E252" s="7" t="s">
        <v>221</v>
      </c>
      <c r="F252" s="7">
        <v>1</v>
      </c>
      <c r="G252" s="7" t="s">
        <v>15</v>
      </c>
      <c r="I252" s="8">
        <v>45536</v>
      </c>
      <c r="J252" s="7">
        <f t="shared" si="22"/>
        <v>2024</v>
      </c>
      <c r="K252" s="7">
        <f t="shared" si="23"/>
        <v>9</v>
      </c>
      <c r="L252" s="7">
        <f t="shared" si="19"/>
        <v>263</v>
      </c>
      <c r="M252" s="16" t="s">
        <v>497</v>
      </c>
      <c r="N252" s="7" t="s">
        <v>579</v>
      </c>
      <c r="O252" s="7" t="s">
        <v>680</v>
      </c>
      <c r="P252" s="7">
        <f t="shared" si="20"/>
        <v>5</v>
      </c>
      <c r="Q252" s="7">
        <f t="shared" si="21"/>
        <v>2025</v>
      </c>
    </row>
    <row r="253" spans="1:17" x14ac:dyDescent="0.25">
      <c r="A253" s="7">
        <v>2520</v>
      </c>
      <c r="B253" s="9" t="s">
        <v>232</v>
      </c>
      <c r="C253" s="9" t="s">
        <v>334</v>
      </c>
      <c r="D253" s="8">
        <v>45799</v>
      </c>
      <c r="E253" s="7" t="s">
        <v>222</v>
      </c>
      <c r="F253" s="7">
        <v>1</v>
      </c>
      <c r="G253" s="7" t="s">
        <v>15</v>
      </c>
      <c r="I253" s="8">
        <v>45566</v>
      </c>
      <c r="J253" s="7">
        <f t="shared" si="22"/>
        <v>2024</v>
      </c>
      <c r="K253" s="7">
        <f t="shared" si="23"/>
        <v>10</v>
      </c>
      <c r="L253" s="7">
        <f t="shared" si="19"/>
        <v>233</v>
      </c>
      <c r="M253" s="16" t="s">
        <v>497</v>
      </c>
      <c r="N253" s="7" t="s">
        <v>579</v>
      </c>
      <c r="O253" s="7" t="s">
        <v>680</v>
      </c>
      <c r="P253" s="7">
        <f t="shared" si="20"/>
        <v>5</v>
      </c>
      <c r="Q253" s="7">
        <f t="shared" si="21"/>
        <v>2025</v>
      </c>
    </row>
    <row r="254" spans="1:17" x14ac:dyDescent="0.25">
      <c r="A254" s="7">
        <v>2520</v>
      </c>
      <c r="B254" s="9" t="s">
        <v>232</v>
      </c>
      <c r="C254" s="9" t="s">
        <v>334</v>
      </c>
      <c r="D254" s="8">
        <v>45799</v>
      </c>
      <c r="E254" s="7" t="s">
        <v>223</v>
      </c>
      <c r="F254" s="7">
        <v>1</v>
      </c>
      <c r="G254" s="7" t="s">
        <v>15</v>
      </c>
      <c r="I254" s="8">
        <v>45536</v>
      </c>
      <c r="J254" s="7">
        <f t="shared" si="22"/>
        <v>2024</v>
      </c>
      <c r="K254" s="7">
        <f t="shared" si="23"/>
        <v>9</v>
      </c>
      <c r="L254" s="7">
        <f t="shared" si="19"/>
        <v>263</v>
      </c>
      <c r="M254" s="16" t="s">
        <v>497</v>
      </c>
      <c r="N254" s="7" t="s">
        <v>579</v>
      </c>
      <c r="O254" s="7" t="s">
        <v>680</v>
      </c>
      <c r="P254" s="7">
        <f t="shared" si="20"/>
        <v>5</v>
      </c>
      <c r="Q254" s="7">
        <f t="shared" si="21"/>
        <v>2025</v>
      </c>
    </row>
    <row r="255" spans="1:17" x14ac:dyDescent="0.25">
      <c r="A255" s="7">
        <v>2520</v>
      </c>
      <c r="B255" s="9" t="s">
        <v>232</v>
      </c>
      <c r="C255" s="9" t="s">
        <v>334</v>
      </c>
      <c r="D255" s="8">
        <v>45799</v>
      </c>
      <c r="E255" s="7" t="s">
        <v>224</v>
      </c>
      <c r="F255" s="7">
        <v>1</v>
      </c>
      <c r="G255" s="7" t="s">
        <v>15</v>
      </c>
      <c r="I255" s="8">
        <v>45536</v>
      </c>
      <c r="J255" s="7">
        <f t="shared" si="22"/>
        <v>2024</v>
      </c>
      <c r="K255" s="7">
        <f t="shared" si="23"/>
        <v>9</v>
      </c>
      <c r="L255" s="7">
        <f t="shared" si="19"/>
        <v>263</v>
      </c>
      <c r="M255" s="16" t="s">
        <v>497</v>
      </c>
      <c r="N255" s="7" t="s">
        <v>579</v>
      </c>
      <c r="O255" s="7" t="s">
        <v>680</v>
      </c>
      <c r="P255" s="7">
        <f t="shared" si="20"/>
        <v>5</v>
      </c>
      <c r="Q255" s="7">
        <f t="shared" si="21"/>
        <v>2025</v>
      </c>
    </row>
    <row r="256" spans="1:17" x14ac:dyDescent="0.25">
      <c r="A256" s="7">
        <v>2520</v>
      </c>
      <c r="B256" s="9" t="s">
        <v>232</v>
      </c>
      <c r="C256" s="9" t="s">
        <v>334</v>
      </c>
      <c r="D256" s="8">
        <v>45799</v>
      </c>
      <c r="E256" s="7" t="s">
        <v>225</v>
      </c>
      <c r="F256" s="7">
        <v>1</v>
      </c>
      <c r="G256" s="7" t="s">
        <v>15</v>
      </c>
      <c r="I256" s="8">
        <v>45566</v>
      </c>
      <c r="J256" s="7">
        <f t="shared" si="22"/>
        <v>2024</v>
      </c>
      <c r="K256" s="7">
        <f t="shared" si="23"/>
        <v>10</v>
      </c>
      <c r="L256" s="7">
        <f t="shared" si="19"/>
        <v>233</v>
      </c>
      <c r="M256" s="16" t="s">
        <v>497</v>
      </c>
      <c r="N256" s="7" t="s">
        <v>579</v>
      </c>
      <c r="O256" s="7" t="s">
        <v>680</v>
      </c>
      <c r="P256" s="7">
        <f t="shared" si="20"/>
        <v>5</v>
      </c>
      <c r="Q256" s="7">
        <f t="shared" si="21"/>
        <v>2025</v>
      </c>
    </row>
    <row r="257" spans="1:17" x14ac:dyDescent="0.25">
      <c r="A257" s="7">
        <v>2520</v>
      </c>
      <c r="B257" s="9" t="s">
        <v>232</v>
      </c>
      <c r="C257" s="9" t="s">
        <v>334</v>
      </c>
      <c r="D257" s="8">
        <v>45799</v>
      </c>
      <c r="E257" s="7" t="s">
        <v>226</v>
      </c>
      <c r="F257" s="7">
        <v>1</v>
      </c>
      <c r="G257" s="7" t="s">
        <v>15</v>
      </c>
      <c r="I257" s="8">
        <v>45536</v>
      </c>
      <c r="J257" s="7">
        <f t="shared" si="22"/>
        <v>2024</v>
      </c>
      <c r="K257" s="7">
        <f t="shared" si="23"/>
        <v>9</v>
      </c>
      <c r="L257" s="7">
        <f t="shared" ref="L257:L320" si="24">D257-I257</f>
        <v>263</v>
      </c>
      <c r="M257" s="16" t="s">
        <v>497</v>
      </c>
      <c r="N257" s="7" t="s">
        <v>579</v>
      </c>
      <c r="O257" s="7" t="s">
        <v>680</v>
      </c>
      <c r="P257" s="7">
        <f t="shared" ref="P257:P316" si="25">MONTH(D257)</f>
        <v>5</v>
      </c>
      <c r="Q257" s="7">
        <f t="shared" si="21"/>
        <v>2025</v>
      </c>
    </row>
    <row r="258" spans="1:17" x14ac:dyDescent="0.25">
      <c r="A258" s="7">
        <v>2520</v>
      </c>
      <c r="B258" s="9" t="s">
        <v>232</v>
      </c>
      <c r="C258" s="9" t="s">
        <v>334</v>
      </c>
      <c r="D258" s="8">
        <v>45799</v>
      </c>
      <c r="E258" s="7" t="s">
        <v>227</v>
      </c>
      <c r="F258" s="7">
        <v>1</v>
      </c>
      <c r="G258" s="7" t="s">
        <v>15</v>
      </c>
      <c r="I258" s="8">
        <v>45536</v>
      </c>
      <c r="J258" s="7">
        <f t="shared" si="22"/>
        <v>2024</v>
      </c>
      <c r="K258" s="7">
        <f t="shared" si="23"/>
        <v>9</v>
      </c>
      <c r="L258" s="7">
        <f t="shared" si="24"/>
        <v>263</v>
      </c>
      <c r="M258" s="16" t="s">
        <v>497</v>
      </c>
      <c r="N258" s="7" t="s">
        <v>579</v>
      </c>
      <c r="O258" s="7" t="s">
        <v>680</v>
      </c>
      <c r="P258" s="7">
        <f t="shared" si="25"/>
        <v>5</v>
      </c>
      <c r="Q258" s="7">
        <f t="shared" si="21"/>
        <v>2025</v>
      </c>
    </row>
    <row r="259" spans="1:17" x14ac:dyDescent="0.25">
      <c r="A259" s="7">
        <v>2520</v>
      </c>
      <c r="B259" s="9" t="s">
        <v>232</v>
      </c>
      <c r="C259" s="9" t="s">
        <v>334</v>
      </c>
      <c r="D259" s="8">
        <v>45799</v>
      </c>
      <c r="E259" s="7" t="s">
        <v>228</v>
      </c>
      <c r="F259" s="7">
        <v>1</v>
      </c>
      <c r="G259" s="7" t="s">
        <v>15</v>
      </c>
      <c r="I259" s="8">
        <v>45536</v>
      </c>
      <c r="J259" s="7">
        <f t="shared" si="22"/>
        <v>2024</v>
      </c>
      <c r="K259" s="7">
        <f t="shared" si="23"/>
        <v>9</v>
      </c>
      <c r="L259" s="7">
        <f t="shared" si="24"/>
        <v>263</v>
      </c>
      <c r="M259" s="16" t="s">
        <v>497</v>
      </c>
      <c r="N259" s="7" t="s">
        <v>579</v>
      </c>
      <c r="O259" s="7" t="s">
        <v>680</v>
      </c>
      <c r="P259" s="7">
        <f t="shared" si="25"/>
        <v>5</v>
      </c>
      <c r="Q259" s="7">
        <f t="shared" ref="Q259:Q322" si="26">YEAR(D259)</f>
        <v>2025</v>
      </c>
    </row>
    <row r="260" spans="1:17" x14ac:dyDescent="0.25">
      <c r="A260" s="7">
        <v>2520</v>
      </c>
      <c r="B260" s="9" t="s">
        <v>232</v>
      </c>
      <c r="C260" s="9" t="s">
        <v>334</v>
      </c>
      <c r="D260" s="8">
        <v>45799</v>
      </c>
      <c r="E260" s="7" t="s">
        <v>229</v>
      </c>
      <c r="F260" s="7">
        <v>1</v>
      </c>
      <c r="G260" s="7" t="s">
        <v>15</v>
      </c>
      <c r="I260" s="8">
        <v>45566</v>
      </c>
      <c r="J260" s="7">
        <f t="shared" si="22"/>
        <v>2024</v>
      </c>
      <c r="K260" s="7">
        <f t="shared" si="23"/>
        <v>10</v>
      </c>
      <c r="L260" s="7">
        <f t="shared" si="24"/>
        <v>233</v>
      </c>
      <c r="M260" s="16" t="s">
        <v>497</v>
      </c>
      <c r="N260" s="7" t="s">
        <v>579</v>
      </c>
      <c r="O260" s="7" t="s">
        <v>680</v>
      </c>
      <c r="P260" s="7">
        <f t="shared" si="25"/>
        <v>5</v>
      </c>
      <c r="Q260" s="7">
        <f t="shared" si="26"/>
        <v>2025</v>
      </c>
    </row>
    <row r="261" spans="1:17" x14ac:dyDescent="0.25">
      <c r="A261" s="7">
        <v>2520</v>
      </c>
      <c r="B261" s="9" t="s">
        <v>232</v>
      </c>
      <c r="C261" s="9" t="s">
        <v>334</v>
      </c>
      <c r="D261" s="8">
        <v>45799</v>
      </c>
      <c r="E261" s="7" t="s">
        <v>230</v>
      </c>
      <c r="F261" s="7">
        <v>1</v>
      </c>
      <c r="G261" s="7" t="s">
        <v>15</v>
      </c>
      <c r="I261" s="8">
        <v>45566</v>
      </c>
      <c r="J261" s="7">
        <f t="shared" si="22"/>
        <v>2024</v>
      </c>
      <c r="K261" s="7">
        <f t="shared" si="23"/>
        <v>10</v>
      </c>
      <c r="L261" s="7">
        <f t="shared" si="24"/>
        <v>233</v>
      </c>
      <c r="M261" s="16" t="s">
        <v>497</v>
      </c>
      <c r="N261" s="7" t="s">
        <v>579</v>
      </c>
      <c r="O261" s="7" t="s">
        <v>680</v>
      </c>
      <c r="P261" s="7">
        <f t="shared" si="25"/>
        <v>5</v>
      </c>
      <c r="Q261" s="7">
        <f t="shared" si="26"/>
        <v>2025</v>
      </c>
    </row>
    <row r="262" spans="1:17" x14ac:dyDescent="0.25">
      <c r="A262" s="7">
        <v>2520</v>
      </c>
      <c r="B262" s="9" t="s">
        <v>232</v>
      </c>
      <c r="C262" s="9" t="s">
        <v>334</v>
      </c>
      <c r="D262" s="8">
        <v>45799</v>
      </c>
      <c r="E262" s="7" t="s">
        <v>231</v>
      </c>
      <c r="F262" s="7">
        <v>1</v>
      </c>
      <c r="G262" s="7" t="s">
        <v>15</v>
      </c>
      <c r="I262" s="8">
        <v>45536</v>
      </c>
      <c r="J262" s="7">
        <f t="shared" si="22"/>
        <v>2024</v>
      </c>
      <c r="K262" s="7">
        <f t="shared" si="23"/>
        <v>9</v>
      </c>
      <c r="L262" s="7">
        <f t="shared" si="24"/>
        <v>263</v>
      </c>
      <c r="M262" s="16" t="s">
        <v>497</v>
      </c>
      <c r="N262" s="7" t="s">
        <v>579</v>
      </c>
      <c r="O262" s="7" t="s">
        <v>680</v>
      </c>
      <c r="P262" s="7">
        <f t="shared" si="25"/>
        <v>5</v>
      </c>
      <c r="Q262" s="7">
        <f t="shared" si="26"/>
        <v>2025</v>
      </c>
    </row>
    <row r="263" spans="1:17" x14ac:dyDescent="0.25">
      <c r="A263" s="7">
        <v>2520</v>
      </c>
      <c r="B263" s="9" t="s">
        <v>232</v>
      </c>
      <c r="C263" s="9" t="s">
        <v>334</v>
      </c>
      <c r="D263" s="8">
        <v>45799</v>
      </c>
      <c r="E263" s="7" t="s">
        <v>234</v>
      </c>
      <c r="F263" s="7">
        <v>1</v>
      </c>
      <c r="G263" s="7" t="s">
        <v>15</v>
      </c>
      <c r="I263" s="8">
        <v>45536</v>
      </c>
      <c r="J263" s="7">
        <f t="shared" si="22"/>
        <v>2024</v>
      </c>
      <c r="K263" s="7">
        <f t="shared" si="23"/>
        <v>9</v>
      </c>
      <c r="L263" s="7">
        <f t="shared" si="24"/>
        <v>263</v>
      </c>
      <c r="M263" s="16" t="s">
        <v>497</v>
      </c>
      <c r="N263" s="7" t="s">
        <v>579</v>
      </c>
      <c r="O263" s="7" t="s">
        <v>680</v>
      </c>
      <c r="P263" s="7">
        <f t="shared" si="25"/>
        <v>5</v>
      </c>
      <c r="Q263" s="7">
        <f t="shared" si="26"/>
        <v>2025</v>
      </c>
    </row>
    <row r="264" spans="1:17" x14ac:dyDescent="0.25">
      <c r="A264" s="7">
        <v>2520</v>
      </c>
      <c r="B264" s="9" t="s">
        <v>232</v>
      </c>
      <c r="C264" s="9" t="s">
        <v>334</v>
      </c>
      <c r="D264" s="8">
        <v>45799</v>
      </c>
      <c r="E264" s="7" t="s">
        <v>235</v>
      </c>
      <c r="F264" s="7">
        <v>1</v>
      </c>
      <c r="G264" s="7" t="s">
        <v>15</v>
      </c>
      <c r="I264" s="8">
        <v>45536</v>
      </c>
      <c r="J264" s="7">
        <f t="shared" si="22"/>
        <v>2024</v>
      </c>
      <c r="K264" s="7">
        <f t="shared" si="23"/>
        <v>9</v>
      </c>
      <c r="L264" s="7">
        <f t="shared" si="24"/>
        <v>263</v>
      </c>
      <c r="M264" s="16" t="s">
        <v>497</v>
      </c>
      <c r="N264" s="7" t="s">
        <v>579</v>
      </c>
      <c r="O264" s="7" t="s">
        <v>680</v>
      </c>
      <c r="P264" s="7">
        <f t="shared" si="25"/>
        <v>5</v>
      </c>
      <c r="Q264" s="7">
        <f t="shared" si="26"/>
        <v>2025</v>
      </c>
    </row>
    <row r="265" spans="1:17" x14ac:dyDescent="0.25">
      <c r="A265" s="7">
        <v>2521</v>
      </c>
      <c r="B265" s="9" t="s">
        <v>12</v>
      </c>
      <c r="C265" s="9" t="s">
        <v>335</v>
      </c>
      <c r="D265" s="8">
        <v>45799</v>
      </c>
      <c r="E265" s="7" t="s">
        <v>236</v>
      </c>
      <c r="F265" s="7">
        <v>1</v>
      </c>
      <c r="G265" s="7" t="s">
        <v>14</v>
      </c>
      <c r="I265" s="8">
        <v>44621</v>
      </c>
      <c r="J265" s="7">
        <f t="shared" si="22"/>
        <v>2022</v>
      </c>
      <c r="K265" s="7">
        <f t="shared" si="23"/>
        <v>3</v>
      </c>
      <c r="L265" s="7">
        <f t="shared" si="24"/>
        <v>1178</v>
      </c>
      <c r="M265" s="16" t="s">
        <v>497</v>
      </c>
      <c r="N265" s="7" t="s">
        <v>579</v>
      </c>
      <c r="O265" s="7" t="s">
        <v>680</v>
      </c>
      <c r="P265" s="7">
        <f t="shared" si="25"/>
        <v>5</v>
      </c>
      <c r="Q265" s="7">
        <f t="shared" si="26"/>
        <v>2025</v>
      </c>
    </row>
    <row r="266" spans="1:17" x14ac:dyDescent="0.25">
      <c r="A266" s="7">
        <v>2521</v>
      </c>
      <c r="B266" s="9" t="s">
        <v>12</v>
      </c>
      <c r="C266" s="9" t="s">
        <v>335</v>
      </c>
      <c r="D266" s="8">
        <v>45799</v>
      </c>
      <c r="E266" s="7" t="s">
        <v>237</v>
      </c>
      <c r="F266" s="7">
        <v>1</v>
      </c>
      <c r="G266" s="7" t="s">
        <v>14</v>
      </c>
      <c r="I266" s="8">
        <v>44621</v>
      </c>
      <c r="J266" s="7">
        <f t="shared" si="22"/>
        <v>2022</v>
      </c>
      <c r="K266" s="7">
        <f t="shared" si="23"/>
        <v>3</v>
      </c>
      <c r="L266" s="7">
        <f t="shared" si="24"/>
        <v>1178</v>
      </c>
      <c r="M266" s="16" t="s">
        <v>497</v>
      </c>
      <c r="N266" s="7" t="s">
        <v>579</v>
      </c>
      <c r="O266" s="7" t="s">
        <v>680</v>
      </c>
      <c r="P266" s="7">
        <f t="shared" si="25"/>
        <v>5</v>
      </c>
      <c r="Q266" s="7">
        <f t="shared" si="26"/>
        <v>2025</v>
      </c>
    </row>
    <row r="267" spans="1:17" x14ac:dyDescent="0.25">
      <c r="A267" s="7">
        <v>2521</v>
      </c>
      <c r="B267" s="9" t="s">
        <v>12</v>
      </c>
      <c r="C267" s="9" t="s">
        <v>335</v>
      </c>
      <c r="D267" s="8">
        <v>45799</v>
      </c>
      <c r="E267" s="7" t="s">
        <v>238</v>
      </c>
      <c r="F267" s="7">
        <v>1</v>
      </c>
      <c r="G267" s="7" t="s">
        <v>14</v>
      </c>
      <c r="I267" s="8">
        <v>44621</v>
      </c>
      <c r="J267" s="7">
        <f t="shared" si="22"/>
        <v>2022</v>
      </c>
      <c r="K267" s="7">
        <f t="shared" si="23"/>
        <v>3</v>
      </c>
      <c r="L267" s="7">
        <f t="shared" si="24"/>
        <v>1178</v>
      </c>
      <c r="M267" s="16" t="s">
        <v>497</v>
      </c>
      <c r="N267" s="7" t="s">
        <v>579</v>
      </c>
      <c r="O267" s="7" t="s">
        <v>680</v>
      </c>
      <c r="P267" s="7">
        <f t="shared" si="25"/>
        <v>5</v>
      </c>
      <c r="Q267" s="7">
        <f t="shared" si="26"/>
        <v>2025</v>
      </c>
    </row>
    <row r="268" spans="1:17" x14ac:dyDescent="0.25">
      <c r="A268" s="7">
        <v>2521</v>
      </c>
      <c r="B268" s="9" t="s">
        <v>12</v>
      </c>
      <c r="C268" s="9" t="s">
        <v>335</v>
      </c>
      <c r="D268" s="8">
        <v>45799</v>
      </c>
      <c r="E268" s="7" t="s">
        <v>239</v>
      </c>
      <c r="F268" s="7">
        <v>1</v>
      </c>
      <c r="G268" s="7" t="s">
        <v>14</v>
      </c>
      <c r="I268" s="8">
        <v>44621</v>
      </c>
      <c r="J268" s="7">
        <f t="shared" si="22"/>
        <v>2022</v>
      </c>
      <c r="K268" s="7">
        <f t="shared" si="23"/>
        <v>3</v>
      </c>
      <c r="L268" s="7">
        <f t="shared" si="24"/>
        <v>1178</v>
      </c>
      <c r="M268" s="16" t="s">
        <v>497</v>
      </c>
      <c r="N268" s="7" t="s">
        <v>579</v>
      </c>
      <c r="O268" s="7" t="s">
        <v>680</v>
      </c>
      <c r="P268" s="7">
        <f t="shared" si="25"/>
        <v>5</v>
      </c>
      <c r="Q268" s="7">
        <f t="shared" si="26"/>
        <v>2025</v>
      </c>
    </row>
    <row r="269" spans="1:17" x14ac:dyDescent="0.25">
      <c r="A269" s="7">
        <v>2521</v>
      </c>
      <c r="B269" s="9" t="s">
        <v>12</v>
      </c>
      <c r="C269" s="9" t="s">
        <v>335</v>
      </c>
      <c r="D269" s="8">
        <v>45799</v>
      </c>
      <c r="E269" s="7" t="s">
        <v>240</v>
      </c>
      <c r="F269" s="7">
        <v>1</v>
      </c>
      <c r="G269" s="7" t="s">
        <v>14</v>
      </c>
      <c r="I269" s="8">
        <v>44621</v>
      </c>
      <c r="J269" s="7">
        <f t="shared" si="22"/>
        <v>2022</v>
      </c>
      <c r="K269" s="7">
        <f t="shared" si="23"/>
        <v>3</v>
      </c>
      <c r="L269" s="7">
        <f t="shared" si="24"/>
        <v>1178</v>
      </c>
      <c r="M269" s="16" t="s">
        <v>497</v>
      </c>
      <c r="N269" s="7" t="s">
        <v>579</v>
      </c>
      <c r="O269" s="7" t="s">
        <v>680</v>
      </c>
      <c r="P269" s="7">
        <f t="shared" si="25"/>
        <v>5</v>
      </c>
      <c r="Q269" s="7">
        <f t="shared" si="26"/>
        <v>2025</v>
      </c>
    </row>
    <row r="270" spans="1:17" x14ac:dyDescent="0.25">
      <c r="A270" s="7">
        <v>2521</v>
      </c>
      <c r="B270" s="9" t="s">
        <v>12</v>
      </c>
      <c r="C270" s="9" t="s">
        <v>335</v>
      </c>
      <c r="D270" s="8">
        <v>45799</v>
      </c>
      <c r="E270" s="7" t="s">
        <v>241</v>
      </c>
      <c r="F270" s="7">
        <v>1</v>
      </c>
      <c r="G270" s="7" t="s">
        <v>14</v>
      </c>
      <c r="I270" s="8">
        <v>44621</v>
      </c>
      <c r="J270" s="7">
        <f t="shared" si="22"/>
        <v>2022</v>
      </c>
      <c r="K270" s="7">
        <f t="shared" si="23"/>
        <v>3</v>
      </c>
      <c r="L270" s="7">
        <f t="shared" si="24"/>
        <v>1178</v>
      </c>
      <c r="M270" s="16" t="s">
        <v>497</v>
      </c>
      <c r="N270" s="7" t="s">
        <v>579</v>
      </c>
      <c r="O270" s="7" t="s">
        <v>680</v>
      </c>
      <c r="P270" s="7">
        <f t="shared" si="25"/>
        <v>5</v>
      </c>
      <c r="Q270" s="7">
        <f t="shared" si="26"/>
        <v>2025</v>
      </c>
    </row>
    <row r="271" spans="1:17" x14ac:dyDescent="0.25">
      <c r="A271" s="7">
        <v>2521</v>
      </c>
      <c r="B271" s="9" t="s">
        <v>12</v>
      </c>
      <c r="C271" s="9" t="s">
        <v>335</v>
      </c>
      <c r="D271" s="8">
        <v>45799</v>
      </c>
      <c r="E271" s="51" t="s">
        <v>242</v>
      </c>
      <c r="F271" s="7">
        <v>1</v>
      </c>
      <c r="G271" s="7" t="s">
        <v>14</v>
      </c>
      <c r="I271" s="8">
        <v>44621</v>
      </c>
      <c r="J271" s="7">
        <f t="shared" si="22"/>
        <v>2022</v>
      </c>
      <c r="K271" s="7">
        <f t="shared" si="23"/>
        <v>3</v>
      </c>
      <c r="L271" s="7">
        <f t="shared" si="24"/>
        <v>1178</v>
      </c>
      <c r="M271" s="16" t="s">
        <v>497</v>
      </c>
      <c r="N271" s="7" t="s">
        <v>579</v>
      </c>
      <c r="O271" s="7" t="s">
        <v>680</v>
      </c>
      <c r="P271" s="7">
        <f t="shared" si="25"/>
        <v>5</v>
      </c>
      <c r="Q271" s="7">
        <f t="shared" si="26"/>
        <v>2025</v>
      </c>
    </row>
    <row r="272" spans="1:17" x14ac:dyDescent="0.25">
      <c r="A272" s="7">
        <v>2521</v>
      </c>
      <c r="B272" s="9" t="s">
        <v>12</v>
      </c>
      <c r="C272" s="9" t="s">
        <v>335</v>
      </c>
      <c r="D272" s="8">
        <v>45799</v>
      </c>
      <c r="E272" s="7" t="s">
        <v>243</v>
      </c>
      <c r="F272" s="7">
        <v>1</v>
      </c>
      <c r="G272" s="7" t="s">
        <v>14</v>
      </c>
      <c r="I272" s="8">
        <v>44621</v>
      </c>
      <c r="J272" s="7">
        <f t="shared" si="22"/>
        <v>2022</v>
      </c>
      <c r="K272" s="7">
        <f t="shared" si="23"/>
        <v>3</v>
      </c>
      <c r="L272" s="7">
        <f t="shared" si="24"/>
        <v>1178</v>
      </c>
      <c r="M272" s="16" t="s">
        <v>497</v>
      </c>
      <c r="N272" s="7" t="s">
        <v>579</v>
      </c>
      <c r="O272" s="7" t="s">
        <v>680</v>
      </c>
      <c r="P272" s="7">
        <f t="shared" si="25"/>
        <v>5</v>
      </c>
      <c r="Q272" s="7">
        <f t="shared" si="26"/>
        <v>2025</v>
      </c>
    </row>
    <row r="273" spans="1:17" x14ac:dyDescent="0.25">
      <c r="A273" s="7">
        <v>2521</v>
      </c>
      <c r="B273" s="9" t="s">
        <v>12</v>
      </c>
      <c r="C273" s="9" t="s">
        <v>335</v>
      </c>
      <c r="D273" s="8">
        <v>45799</v>
      </c>
      <c r="E273" s="7" t="s">
        <v>244</v>
      </c>
      <c r="F273" s="7">
        <v>1</v>
      </c>
      <c r="G273" s="7" t="s">
        <v>14</v>
      </c>
      <c r="I273" s="8">
        <v>44621</v>
      </c>
      <c r="J273" s="7">
        <f t="shared" si="22"/>
        <v>2022</v>
      </c>
      <c r="K273" s="7">
        <f t="shared" si="23"/>
        <v>3</v>
      </c>
      <c r="L273" s="7">
        <f t="shared" si="24"/>
        <v>1178</v>
      </c>
      <c r="M273" s="16" t="s">
        <v>497</v>
      </c>
      <c r="N273" s="7" t="s">
        <v>579</v>
      </c>
      <c r="O273" s="7" t="s">
        <v>680</v>
      </c>
      <c r="P273" s="7">
        <f t="shared" si="25"/>
        <v>5</v>
      </c>
      <c r="Q273" s="7">
        <f t="shared" si="26"/>
        <v>2025</v>
      </c>
    </row>
    <row r="274" spans="1:17" x14ac:dyDescent="0.25">
      <c r="A274" s="7">
        <v>2521</v>
      </c>
      <c r="B274" s="9" t="s">
        <v>12</v>
      </c>
      <c r="C274" s="9" t="s">
        <v>335</v>
      </c>
      <c r="D274" s="8">
        <v>45799</v>
      </c>
      <c r="E274" s="7" t="s">
        <v>245</v>
      </c>
      <c r="F274" s="7">
        <v>1</v>
      </c>
      <c r="G274" s="7" t="s">
        <v>14</v>
      </c>
      <c r="I274" s="8">
        <v>44621</v>
      </c>
      <c r="J274" s="7">
        <f t="shared" si="22"/>
        <v>2022</v>
      </c>
      <c r="K274" s="7">
        <f t="shared" si="23"/>
        <v>3</v>
      </c>
      <c r="L274" s="7">
        <f t="shared" si="24"/>
        <v>1178</v>
      </c>
      <c r="M274" s="16" t="s">
        <v>497</v>
      </c>
      <c r="N274" s="7" t="s">
        <v>579</v>
      </c>
      <c r="O274" s="7" t="s">
        <v>680</v>
      </c>
      <c r="P274" s="7">
        <f t="shared" si="25"/>
        <v>5</v>
      </c>
      <c r="Q274" s="7">
        <f t="shared" si="26"/>
        <v>2025</v>
      </c>
    </row>
    <row r="275" spans="1:17" x14ac:dyDescent="0.25">
      <c r="A275" s="7">
        <v>2521</v>
      </c>
      <c r="B275" s="9" t="s">
        <v>12</v>
      </c>
      <c r="C275" s="9" t="s">
        <v>335</v>
      </c>
      <c r="D275" s="8">
        <v>45799</v>
      </c>
      <c r="E275" s="7" t="s">
        <v>246</v>
      </c>
      <c r="F275" s="7">
        <v>1</v>
      </c>
      <c r="G275" s="7" t="s">
        <v>14</v>
      </c>
      <c r="I275" s="8">
        <v>44621</v>
      </c>
      <c r="J275" s="7">
        <f t="shared" si="22"/>
        <v>2022</v>
      </c>
      <c r="K275" s="7">
        <f t="shared" si="23"/>
        <v>3</v>
      </c>
      <c r="L275" s="7">
        <f t="shared" si="24"/>
        <v>1178</v>
      </c>
      <c r="M275" s="16" t="s">
        <v>497</v>
      </c>
      <c r="N275" s="7" t="s">
        <v>579</v>
      </c>
      <c r="O275" s="7" t="s">
        <v>680</v>
      </c>
      <c r="P275" s="7">
        <f t="shared" si="25"/>
        <v>5</v>
      </c>
      <c r="Q275" s="7">
        <f t="shared" si="26"/>
        <v>2025</v>
      </c>
    </row>
    <row r="276" spans="1:17" x14ac:dyDescent="0.25">
      <c r="A276" s="7">
        <v>2521</v>
      </c>
      <c r="B276" s="9" t="s">
        <v>12</v>
      </c>
      <c r="C276" s="9" t="s">
        <v>335</v>
      </c>
      <c r="D276" s="8">
        <v>45799</v>
      </c>
      <c r="E276" s="7" t="s">
        <v>247</v>
      </c>
      <c r="F276" s="7">
        <v>1</v>
      </c>
      <c r="G276" s="7" t="s">
        <v>14</v>
      </c>
      <c r="I276" s="8">
        <v>44621</v>
      </c>
      <c r="J276" s="7">
        <f t="shared" si="22"/>
        <v>2022</v>
      </c>
      <c r="K276" s="7">
        <f t="shared" si="23"/>
        <v>3</v>
      </c>
      <c r="L276" s="7">
        <f t="shared" si="24"/>
        <v>1178</v>
      </c>
      <c r="M276" s="16" t="s">
        <v>497</v>
      </c>
      <c r="N276" s="7" t="s">
        <v>579</v>
      </c>
      <c r="O276" s="7" t="s">
        <v>680</v>
      </c>
      <c r="P276" s="7">
        <f t="shared" si="25"/>
        <v>5</v>
      </c>
      <c r="Q276" s="7">
        <f t="shared" si="26"/>
        <v>2025</v>
      </c>
    </row>
    <row r="277" spans="1:17" x14ac:dyDescent="0.25">
      <c r="A277" s="7">
        <v>2521</v>
      </c>
      <c r="B277" s="9" t="s">
        <v>12</v>
      </c>
      <c r="C277" s="9" t="s">
        <v>335</v>
      </c>
      <c r="D277" s="8">
        <v>45799</v>
      </c>
      <c r="E277" s="7" t="s">
        <v>248</v>
      </c>
      <c r="F277" s="7">
        <v>1</v>
      </c>
      <c r="G277" s="7" t="s">
        <v>14</v>
      </c>
      <c r="I277" s="8">
        <v>44621</v>
      </c>
      <c r="J277" s="7">
        <f t="shared" si="22"/>
        <v>2022</v>
      </c>
      <c r="K277" s="7">
        <f t="shared" si="23"/>
        <v>3</v>
      </c>
      <c r="L277" s="7">
        <f t="shared" si="24"/>
        <v>1178</v>
      </c>
      <c r="M277" s="16" t="s">
        <v>497</v>
      </c>
      <c r="N277" s="7" t="s">
        <v>579</v>
      </c>
      <c r="O277" s="7" t="s">
        <v>680</v>
      </c>
      <c r="P277" s="7">
        <f t="shared" si="25"/>
        <v>5</v>
      </c>
      <c r="Q277" s="7">
        <f t="shared" si="26"/>
        <v>2025</v>
      </c>
    </row>
    <row r="278" spans="1:17" x14ac:dyDescent="0.25">
      <c r="A278" s="7">
        <v>2521</v>
      </c>
      <c r="B278" s="9" t="s">
        <v>12</v>
      </c>
      <c r="C278" s="9" t="s">
        <v>335</v>
      </c>
      <c r="D278" s="8">
        <v>45799</v>
      </c>
      <c r="E278" s="7" t="s">
        <v>249</v>
      </c>
      <c r="F278" s="7">
        <v>1</v>
      </c>
      <c r="G278" s="7" t="s">
        <v>14</v>
      </c>
      <c r="I278" s="8">
        <v>44621</v>
      </c>
      <c r="J278" s="7">
        <f t="shared" si="22"/>
        <v>2022</v>
      </c>
      <c r="K278" s="7">
        <f t="shared" si="23"/>
        <v>3</v>
      </c>
      <c r="L278" s="7">
        <f t="shared" si="24"/>
        <v>1178</v>
      </c>
      <c r="M278" s="16" t="s">
        <v>497</v>
      </c>
      <c r="N278" s="7" t="s">
        <v>579</v>
      </c>
      <c r="O278" s="7" t="s">
        <v>680</v>
      </c>
      <c r="P278" s="7">
        <f t="shared" si="25"/>
        <v>5</v>
      </c>
      <c r="Q278" s="7">
        <f t="shared" si="26"/>
        <v>2025</v>
      </c>
    </row>
    <row r="279" spans="1:17" x14ac:dyDescent="0.25">
      <c r="A279" s="7">
        <v>2521</v>
      </c>
      <c r="B279" s="9" t="s">
        <v>12</v>
      </c>
      <c r="C279" s="9" t="s">
        <v>335</v>
      </c>
      <c r="D279" s="8">
        <v>45799</v>
      </c>
      <c r="E279" s="7" t="s">
        <v>250</v>
      </c>
      <c r="F279" s="7">
        <v>1</v>
      </c>
      <c r="G279" s="7" t="s">
        <v>14</v>
      </c>
      <c r="I279" s="8">
        <v>44621</v>
      </c>
      <c r="J279" s="7">
        <f t="shared" si="22"/>
        <v>2022</v>
      </c>
      <c r="K279" s="7">
        <f t="shared" si="23"/>
        <v>3</v>
      </c>
      <c r="L279" s="7">
        <f t="shared" si="24"/>
        <v>1178</v>
      </c>
      <c r="M279" s="16" t="s">
        <v>497</v>
      </c>
      <c r="N279" s="7" t="s">
        <v>579</v>
      </c>
      <c r="O279" s="7" t="s">
        <v>680</v>
      </c>
      <c r="P279" s="7">
        <f t="shared" si="25"/>
        <v>5</v>
      </c>
      <c r="Q279" s="7">
        <f t="shared" si="26"/>
        <v>2025</v>
      </c>
    </row>
    <row r="280" spans="1:17" x14ac:dyDescent="0.25">
      <c r="A280" s="7">
        <v>2521</v>
      </c>
      <c r="B280" s="9" t="s">
        <v>12</v>
      </c>
      <c r="C280" s="9" t="s">
        <v>335</v>
      </c>
      <c r="D280" s="8">
        <v>45799</v>
      </c>
      <c r="E280" s="7" t="s">
        <v>251</v>
      </c>
      <c r="F280" s="7">
        <v>1</v>
      </c>
      <c r="G280" s="7" t="s">
        <v>14</v>
      </c>
      <c r="I280" s="8">
        <v>44621</v>
      </c>
      <c r="J280" s="7">
        <f t="shared" si="22"/>
        <v>2022</v>
      </c>
      <c r="K280" s="7">
        <f t="shared" si="23"/>
        <v>3</v>
      </c>
      <c r="L280" s="7">
        <f t="shared" si="24"/>
        <v>1178</v>
      </c>
      <c r="M280" s="16" t="s">
        <v>497</v>
      </c>
      <c r="N280" s="7" t="s">
        <v>579</v>
      </c>
      <c r="O280" s="7" t="s">
        <v>680</v>
      </c>
      <c r="P280" s="7">
        <f t="shared" si="25"/>
        <v>5</v>
      </c>
      <c r="Q280" s="7">
        <f t="shared" si="26"/>
        <v>2025</v>
      </c>
    </row>
    <row r="281" spans="1:17" x14ac:dyDescent="0.25">
      <c r="A281" s="7">
        <v>2522</v>
      </c>
      <c r="B281" s="9" t="s">
        <v>336</v>
      </c>
      <c r="C281" s="9" t="s">
        <v>336</v>
      </c>
      <c r="D281" s="8">
        <v>45805</v>
      </c>
      <c r="E281" s="7" t="s">
        <v>252</v>
      </c>
      <c r="F281" s="7">
        <v>1</v>
      </c>
      <c r="G281" s="7" t="s">
        <v>14</v>
      </c>
      <c r="I281" s="8">
        <v>45689</v>
      </c>
      <c r="J281" s="7">
        <f t="shared" ref="J281:J289" si="27">YEAR(I281)</f>
        <v>2025</v>
      </c>
      <c r="K281" s="7">
        <f t="shared" ref="K281:K289" si="28">MONTH(I281)</f>
        <v>2</v>
      </c>
      <c r="L281" s="7">
        <f t="shared" si="24"/>
        <v>116</v>
      </c>
      <c r="M281" s="7" t="s">
        <v>500</v>
      </c>
      <c r="O281" s="7" t="s">
        <v>682</v>
      </c>
      <c r="P281" s="7">
        <f t="shared" si="25"/>
        <v>5</v>
      </c>
      <c r="Q281" s="7">
        <f t="shared" si="26"/>
        <v>2025</v>
      </c>
    </row>
    <row r="282" spans="1:17" x14ac:dyDescent="0.25">
      <c r="A282" s="7">
        <v>2523</v>
      </c>
      <c r="B282" s="9" t="s">
        <v>46</v>
      </c>
      <c r="C282" s="9" t="s">
        <v>32</v>
      </c>
      <c r="D282" s="8">
        <v>45825</v>
      </c>
      <c r="E282" s="7" t="s">
        <v>253</v>
      </c>
      <c r="F282" s="7">
        <v>1</v>
      </c>
      <c r="G282" s="7" t="s">
        <v>15</v>
      </c>
      <c r="I282" s="8">
        <v>45597</v>
      </c>
      <c r="J282" s="7">
        <f t="shared" si="27"/>
        <v>2024</v>
      </c>
      <c r="K282" s="7">
        <f t="shared" si="28"/>
        <v>11</v>
      </c>
      <c r="L282" s="7">
        <f t="shared" si="24"/>
        <v>228</v>
      </c>
      <c r="M282" s="16" t="s">
        <v>497</v>
      </c>
      <c r="O282" s="7" t="s">
        <v>908</v>
      </c>
      <c r="P282" s="7">
        <f t="shared" si="25"/>
        <v>6</v>
      </c>
      <c r="Q282" s="7">
        <f t="shared" si="26"/>
        <v>2025</v>
      </c>
    </row>
    <row r="283" spans="1:17" x14ac:dyDescent="0.25">
      <c r="A283" s="7">
        <v>2523</v>
      </c>
      <c r="B283" s="9" t="s">
        <v>46</v>
      </c>
      <c r="C283" s="9" t="s">
        <v>32</v>
      </c>
      <c r="D283" s="8">
        <v>45825</v>
      </c>
      <c r="E283" s="7" t="s">
        <v>254</v>
      </c>
      <c r="F283" s="7">
        <v>1</v>
      </c>
      <c r="G283" s="7" t="s">
        <v>15</v>
      </c>
      <c r="I283" s="8">
        <v>45597</v>
      </c>
      <c r="J283" s="7">
        <f t="shared" si="27"/>
        <v>2024</v>
      </c>
      <c r="K283" s="7">
        <f t="shared" si="28"/>
        <v>11</v>
      </c>
      <c r="L283" s="7">
        <f t="shared" si="24"/>
        <v>228</v>
      </c>
      <c r="M283" s="16" t="s">
        <v>497</v>
      </c>
      <c r="O283" s="7" t="s">
        <v>908</v>
      </c>
      <c r="P283" s="7">
        <f t="shared" si="25"/>
        <v>6</v>
      </c>
      <c r="Q283" s="7">
        <f t="shared" si="26"/>
        <v>2025</v>
      </c>
    </row>
    <row r="284" spans="1:17" x14ac:dyDescent="0.25">
      <c r="A284" s="7">
        <v>2523</v>
      </c>
      <c r="B284" s="9" t="s">
        <v>46</v>
      </c>
      <c r="C284" s="9" t="s">
        <v>32</v>
      </c>
      <c r="D284" s="8">
        <v>45825</v>
      </c>
      <c r="E284" s="7" t="s">
        <v>255</v>
      </c>
      <c r="F284" s="7">
        <v>1</v>
      </c>
      <c r="G284" s="7" t="s">
        <v>15</v>
      </c>
      <c r="I284" s="8">
        <v>45597</v>
      </c>
      <c r="J284" s="7">
        <f t="shared" si="27"/>
        <v>2024</v>
      </c>
      <c r="K284" s="7">
        <f t="shared" si="28"/>
        <v>11</v>
      </c>
      <c r="L284" s="7">
        <f t="shared" si="24"/>
        <v>228</v>
      </c>
      <c r="M284" s="16" t="s">
        <v>497</v>
      </c>
      <c r="O284" s="7" t="s">
        <v>908</v>
      </c>
      <c r="P284" s="7">
        <f t="shared" si="25"/>
        <v>6</v>
      </c>
      <c r="Q284" s="7">
        <f t="shared" si="26"/>
        <v>2025</v>
      </c>
    </row>
    <row r="285" spans="1:17" x14ac:dyDescent="0.25">
      <c r="A285" s="7">
        <v>2523</v>
      </c>
      <c r="B285" s="9" t="s">
        <v>46</v>
      </c>
      <c r="C285" s="9" t="s">
        <v>32</v>
      </c>
      <c r="D285" s="8">
        <v>45825</v>
      </c>
      <c r="E285" s="7" t="s">
        <v>256</v>
      </c>
      <c r="F285" s="7">
        <v>1</v>
      </c>
      <c r="G285" s="7" t="s">
        <v>15</v>
      </c>
      <c r="I285" s="8">
        <v>45597</v>
      </c>
      <c r="J285" s="7">
        <f t="shared" si="27"/>
        <v>2024</v>
      </c>
      <c r="K285" s="7">
        <f t="shared" si="28"/>
        <v>11</v>
      </c>
      <c r="L285" s="7">
        <f t="shared" si="24"/>
        <v>228</v>
      </c>
      <c r="M285" s="16" t="s">
        <v>497</v>
      </c>
      <c r="O285" s="7" t="s">
        <v>908</v>
      </c>
      <c r="P285" s="7">
        <f t="shared" si="25"/>
        <v>6</v>
      </c>
      <c r="Q285" s="7">
        <f t="shared" si="26"/>
        <v>2025</v>
      </c>
    </row>
    <row r="286" spans="1:17" x14ac:dyDescent="0.25">
      <c r="A286" s="7">
        <v>2523</v>
      </c>
      <c r="B286" s="9" t="s">
        <v>46</v>
      </c>
      <c r="C286" s="9" t="s">
        <v>32</v>
      </c>
      <c r="D286" s="8">
        <v>45825</v>
      </c>
      <c r="E286" s="7" t="s">
        <v>257</v>
      </c>
      <c r="F286" s="7">
        <v>1</v>
      </c>
      <c r="G286" s="7" t="s">
        <v>15</v>
      </c>
      <c r="I286" s="8">
        <v>45597</v>
      </c>
      <c r="J286" s="7">
        <f t="shared" si="27"/>
        <v>2024</v>
      </c>
      <c r="K286" s="7">
        <f t="shared" si="28"/>
        <v>11</v>
      </c>
      <c r="L286" s="7">
        <f t="shared" si="24"/>
        <v>228</v>
      </c>
      <c r="M286" s="16" t="s">
        <v>497</v>
      </c>
      <c r="O286" s="7" t="s">
        <v>908</v>
      </c>
      <c r="P286" s="7">
        <f t="shared" si="25"/>
        <v>6</v>
      </c>
      <c r="Q286" s="7">
        <f t="shared" si="26"/>
        <v>2025</v>
      </c>
    </row>
    <row r="287" spans="1:17" x14ac:dyDescent="0.25">
      <c r="A287" s="7">
        <v>2523</v>
      </c>
      <c r="B287" s="9" t="s">
        <v>46</v>
      </c>
      <c r="C287" s="9" t="s">
        <v>32</v>
      </c>
      <c r="D287" s="8">
        <v>45825</v>
      </c>
      <c r="E287" s="7" t="s">
        <v>258</v>
      </c>
      <c r="F287" s="7">
        <v>1</v>
      </c>
      <c r="G287" s="7" t="s">
        <v>15</v>
      </c>
      <c r="I287" s="8">
        <v>45597</v>
      </c>
      <c r="J287" s="7">
        <f t="shared" si="27"/>
        <v>2024</v>
      </c>
      <c r="K287" s="7">
        <f t="shared" si="28"/>
        <v>11</v>
      </c>
      <c r="L287" s="7">
        <f t="shared" si="24"/>
        <v>228</v>
      </c>
      <c r="M287" s="16" t="s">
        <v>497</v>
      </c>
      <c r="O287" s="7" t="s">
        <v>908</v>
      </c>
      <c r="P287" s="7">
        <f t="shared" si="25"/>
        <v>6</v>
      </c>
      <c r="Q287" s="7">
        <f t="shared" si="26"/>
        <v>2025</v>
      </c>
    </row>
    <row r="288" spans="1:17" x14ac:dyDescent="0.25">
      <c r="A288" s="7">
        <v>2523</v>
      </c>
      <c r="B288" s="9" t="s">
        <v>46</v>
      </c>
      <c r="C288" s="9" t="s">
        <v>32</v>
      </c>
      <c r="D288" s="8">
        <v>45825</v>
      </c>
      <c r="E288" s="7" t="s">
        <v>259</v>
      </c>
      <c r="F288" s="7">
        <v>1</v>
      </c>
      <c r="G288" s="7" t="s">
        <v>15</v>
      </c>
      <c r="I288" s="8">
        <v>45597</v>
      </c>
      <c r="J288" s="7">
        <f t="shared" si="27"/>
        <v>2024</v>
      </c>
      <c r="K288" s="7">
        <f t="shared" si="28"/>
        <v>11</v>
      </c>
      <c r="L288" s="7">
        <f t="shared" si="24"/>
        <v>228</v>
      </c>
      <c r="M288" s="16" t="s">
        <v>497</v>
      </c>
      <c r="O288" s="7" t="s">
        <v>908</v>
      </c>
      <c r="P288" s="7">
        <f t="shared" si="25"/>
        <v>6</v>
      </c>
      <c r="Q288" s="7">
        <f t="shared" si="26"/>
        <v>2025</v>
      </c>
    </row>
    <row r="289" spans="1:17" x14ac:dyDescent="0.25">
      <c r="A289" s="7">
        <v>2523</v>
      </c>
      <c r="B289" s="9" t="s">
        <v>46</v>
      </c>
      <c r="C289" s="9" t="s">
        <v>32</v>
      </c>
      <c r="D289" s="8">
        <v>45825</v>
      </c>
      <c r="E289" s="7" t="s">
        <v>260</v>
      </c>
      <c r="F289" s="7">
        <v>1</v>
      </c>
      <c r="G289" s="7" t="s">
        <v>15</v>
      </c>
      <c r="I289" s="8">
        <v>45566</v>
      </c>
      <c r="J289" s="7">
        <f t="shared" si="27"/>
        <v>2024</v>
      </c>
      <c r="K289" s="7">
        <f t="shared" si="28"/>
        <v>10</v>
      </c>
      <c r="L289" s="7">
        <f t="shared" si="24"/>
        <v>259</v>
      </c>
      <c r="M289" s="16" t="s">
        <v>497</v>
      </c>
      <c r="O289" s="7" t="s">
        <v>908</v>
      </c>
      <c r="P289" s="7">
        <f t="shared" si="25"/>
        <v>6</v>
      </c>
      <c r="Q289" s="7">
        <f t="shared" si="26"/>
        <v>2025</v>
      </c>
    </row>
    <row r="290" spans="1:17" x14ac:dyDescent="0.25">
      <c r="A290" s="7">
        <v>2523</v>
      </c>
      <c r="B290" s="9" t="s">
        <v>46</v>
      </c>
      <c r="C290" s="9" t="s">
        <v>32</v>
      </c>
      <c r="D290" s="8">
        <v>45825</v>
      </c>
      <c r="E290" s="7" t="s">
        <v>261</v>
      </c>
      <c r="F290" s="7">
        <v>1</v>
      </c>
      <c r="G290" s="7" t="s">
        <v>15</v>
      </c>
      <c r="I290" s="8">
        <v>45566</v>
      </c>
      <c r="J290" s="7">
        <f>YEAR(I290)</f>
        <v>2024</v>
      </c>
      <c r="K290" s="7">
        <f>MONTH(I290)</f>
        <v>10</v>
      </c>
      <c r="L290" s="7">
        <f t="shared" si="24"/>
        <v>259</v>
      </c>
      <c r="M290" s="16" t="s">
        <v>497</v>
      </c>
      <c r="O290" s="7" t="s">
        <v>908</v>
      </c>
      <c r="P290" s="7">
        <f t="shared" si="25"/>
        <v>6</v>
      </c>
      <c r="Q290" s="7">
        <f t="shared" si="26"/>
        <v>2025</v>
      </c>
    </row>
    <row r="291" spans="1:17" x14ac:dyDescent="0.25">
      <c r="A291" s="7">
        <v>2523</v>
      </c>
      <c r="B291" s="9" t="s">
        <v>46</v>
      </c>
      <c r="C291" s="9" t="s">
        <v>32</v>
      </c>
      <c r="D291" s="8">
        <v>45825</v>
      </c>
      <c r="E291" s="7" t="s">
        <v>262</v>
      </c>
      <c r="F291" s="7">
        <v>1</v>
      </c>
      <c r="G291" s="7" t="s">
        <v>15</v>
      </c>
      <c r="I291" s="8">
        <v>45597</v>
      </c>
      <c r="J291" s="7">
        <f t="shared" ref="J291:J353" si="29">YEAR(I291)</f>
        <v>2024</v>
      </c>
      <c r="K291" s="7">
        <f t="shared" ref="K291:K301" si="30">MONTH(I291)</f>
        <v>11</v>
      </c>
      <c r="L291" s="7">
        <f t="shared" si="24"/>
        <v>228</v>
      </c>
      <c r="M291" s="16" t="s">
        <v>497</v>
      </c>
      <c r="O291" s="7" t="s">
        <v>908</v>
      </c>
      <c r="P291" s="7">
        <f t="shared" si="25"/>
        <v>6</v>
      </c>
      <c r="Q291" s="7">
        <f t="shared" si="26"/>
        <v>2025</v>
      </c>
    </row>
    <row r="292" spans="1:17" x14ac:dyDescent="0.25">
      <c r="A292" s="7">
        <v>2523</v>
      </c>
      <c r="B292" s="9" t="s">
        <v>46</v>
      </c>
      <c r="C292" s="9" t="s">
        <v>32</v>
      </c>
      <c r="D292" s="8">
        <v>45825</v>
      </c>
      <c r="E292" s="7" t="s">
        <v>263</v>
      </c>
      <c r="F292" s="7">
        <v>1</v>
      </c>
      <c r="G292" s="7" t="s">
        <v>15</v>
      </c>
      <c r="I292" s="8">
        <v>45597</v>
      </c>
      <c r="J292" s="7">
        <f t="shared" si="29"/>
        <v>2024</v>
      </c>
      <c r="K292" s="7">
        <f t="shared" si="30"/>
        <v>11</v>
      </c>
      <c r="L292" s="7">
        <f t="shared" si="24"/>
        <v>228</v>
      </c>
      <c r="M292" s="16" t="s">
        <v>497</v>
      </c>
      <c r="O292" s="7" t="s">
        <v>908</v>
      </c>
      <c r="P292" s="7">
        <f t="shared" si="25"/>
        <v>6</v>
      </c>
      <c r="Q292" s="7">
        <f t="shared" si="26"/>
        <v>2025</v>
      </c>
    </row>
    <row r="293" spans="1:17" x14ac:dyDescent="0.25">
      <c r="A293" s="7">
        <v>2523</v>
      </c>
      <c r="B293" s="9" t="s">
        <v>46</v>
      </c>
      <c r="C293" s="9" t="s">
        <v>32</v>
      </c>
      <c r="D293" s="8">
        <v>45825</v>
      </c>
      <c r="E293" s="7" t="s">
        <v>264</v>
      </c>
      <c r="F293" s="7">
        <v>1</v>
      </c>
      <c r="G293" s="7" t="s">
        <v>15</v>
      </c>
      <c r="I293" s="8">
        <v>45566</v>
      </c>
      <c r="J293" s="7">
        <f t="shared" si="29"/>
        <v>2024</v>
      </c>
      <c r="K293" s="7">
        <f t="shared" si="30"/>
        <v>10</v>
      </c>
      <c r="L293" s="7">
        <f t="shared" si="24"/>
        <v>259</v>
      </c>
      <c r="M293" s="16" t="s">
        <v>497</v>
      </c>
      <c r="O293" s="7" t="s">
        <v>908</v>
      </c>
      <c r="P293" s="7">
        <f t="shared" si="25"/>
        <v>6</v>
      </c>
      <c r="Q293" s="7">
        <f t="shared" si="26"/>
        <v>2025</v>
      </c>
    </row>
    <row r="294" spans="1:17" x14ac:dyDescent="0.25">
      <c r="A294" s="7">
        <v>2523</v>
      </c>
      <c r="B294" s="9" t="s">
        <v>46</v>
      </c>
      <c r="C294" s="9" t="s">
        <v>32</v>
      </c>
      <c r="D294" s="8">
        <v>45825</v>
      </c>
      <c r="E294" s="7" t="s">
        <v>265</v>
      </c>
      <c r="F294" s="7">
        <v>1</v>
      </c>
      <c r="G294" s="7" t="s">
        <v>15</v>
      </c>
      <c r="I294" s="8">
        <v>45566</v>
      </c>
      <c r="J294" s="7">
        <f t="shared" si="29"/>
        <v>2024</v>
      </c>
      <c r="K294" s="7">
        <f t="shared" si="30"/>
        <v>10</v>
      </c>
      <c r="L294" s="7">
        <f t="shared" si="24"/>
        <v>259</v>
      </c>
      <c r="M294" s="16" t="s">
        <v>497</v>
      </c>
      <c r="O294" s="7" t="s">
        <v>908</v>
      </c>
      <c r="P294" s="7">
        <f t="shared" si="25"/>
        <v>6</v>
      </c>
      <c r="Q294" s="7">
        <f t="shared" si="26"/>
        <v>2025</v>
      </c>
    </row>
    <row r="295" spans="1:17" x14ac:dyDescent="0.25">
      <c r="A295" s="7">
        <v>2523</v>
      </c>
      <c r="B295" s="9" t="s">
        <v>46</v>
      </c>
      <c r="C295" s="9" t="s">
        <v>32</v>
      </c>
      <c r="D295" s="8">
        <v>45825</v>
      </c>
      <c r="E295" s="7" t="s">
        <v>266</v>
      </c>
      <c r="F295" s="7">
        <v>1</v>
      </c>
      <c r="G295" s="7" t="s">
        <v>15</v>
      </c>
      <c r="I295" s="8">
        <v>45597</v>
      </c>
      <c r="J295" s="7">
        <f t="shared" si="29"/>
        <v>2024</v>
      </c>
      <c r="K295" s="7">
        <f t="shared" si="30"/>
        <v>11</v>
      </c>
      <c r="L295" s="7">
        <f t="shared" si="24"/>
        <v>228</v>
      </c>
      <c r="M295" s="16" t="s">
        <v>497</v>
      </c>
      <c r="O295" s="7" t="s">
        <v>908</v>
      </c>
      <c r="P295" s="7">
        <f t="shared" si="25"/>
        <v>6</v>
      </c>
      <c r="Q295" s="7">
        <f t="shared" si="26"/>
        <v>2025</v>
      </c>
    </row>
    <row r="296" spans="1:17" x14ac:dyDescent="0.25">
      <c r="A296" s="7">
        <v>2524</v>
      </c>
      <c r="B296" s="9" t="s">
        <v>9</v>
      </c>
      <c r="C296" s="9" t="s">
        <v>337</v>
      </c>
      <c r="D296" s="8">
        <v>45827</v>
      </c>
      <c r="E296" s="17" t="s">
        <v>267</v>
      </c>
      <c r="F296" s="7">
        <v>1</v>
      </c>
      <c r="G296" s="7" t="s">
        <v>15</v>
      </c>
      <c r="I296" s="8">
        <v>45566</v>
      </c>
      <c r="J296" s="7">
        <f t="shared" si="29"/>
        <v>2024</v>
      </c>
      <c r="K296" s="7">
        <f t="shared" si="30"/>
        <v>10</v>
      </c>
      <c r="L296" s="7">
        <f t="shared" si="24"/>
        <v>261</v>
      </c>
      <c r="M296" s="7" t="s">
        <v>917</v>
      </c>
      <c r="O296" s="7" t="s">
        <v>682</v>
      </c>
      <c r="P296" s="7">
        <f t="shared" si="25"/>
        <v>6</v>
      </c>
      <c r="Q296" s="7">
        <f t="shared" si="26"/>
        <v>2025</v>
      </c>
    </row>
    <row r="297" spans="1:17" x14ac:dyDescent="0.25">
      <c r="A297" s="7">
        <v>2525</v>
      </c>
      <c r="B297" s="9" t="s">
        <v>9</v>
      </c>
      <c r="C297" s="9" t="s">
        <v>338</v>
      </c>
      <c r="D297" s="8">
        <v>45827</v>
      </c>
      <c r="E297" s="7" t="s">
        <v>339</v>
      </c>
      <c r="F297" s="7">
        <v>1</v>
      </c>
      <c r="G297" s="7" t="s">
        <v>15</v>
      </c>
      <c r="I297" s="8">
        <v>45078</v>
      </c>
      <c r="J297" s="7">
        <f t="shared" si="29"/>
        <v>2023</v>
      </c>
      <c r="K297" s="7">
        <f t="shared" si="30"/>
        <v>6</v>
      </c>
      <c r="L297" s="7">
        <f t="shared" si="24"/>
        <v>749</v>
      </c>
      <c r="M297" s="16" t="s">
        <v>497</v>
      </c>
      <c r="N297" s="7" t="s">
        <v>579</v>
      </c>
      <c r="O297" s="7" t="s">
        <v>680</v>
      </c>
      <c r="P297" s="7">
        <f t="shared" si="25"/>
        <v>6</v>
      </c>
      <c r="Q297" s="7">
        <f t="shared" si="26"/>
        <v>2025</v>
      </c>
    </row>
    <row r="298" spans="1:17" x14ac:dyDescent="0.25">
      <c r="A298" s="7">
        <v>2525</v>
      </c>
      <c r="B298" s="9" t="s">
        <v>9</v>
      </c>
      <c r="C298" s="9" t="s">
        <v>338</v>
      </c>
      <c r="D298" s="8">
        <v>45827</v>
      </c>
      <c r="E298" s="7" t="s">
        <v>268</v>
      </c>
      <c r="F298" s="7">
        <v>1</v>
      </c>
      <c r="G298" s="7" t="s">
        <v>15</v>
      </c>
      <c r="I298" s="8">
        <v>45047</v>
      </c>
      <c r="J298" s="7">
        <f t="shared" si="29"/>
        <v>2023</v>
      </c>
      <c r="K298" s="7">
        <f t="shared" si="30"/>
        <v>5</v>
      </c>
      <c r="L298" s="7">
        <f t="shared" si="24"/>
        <v>780</v>
      </c>
      <c r="M298" s="16" t="s">
        <v>497</v>
      </c>
      <c r="N298" s="7" t="s">
        <v>579</v>
      </c>
      <c r="O298" s="7" t="s">
        <v>680</v>
      </c>
      <c r="P298" s="7">
        <f t="shared" si="25"/>
        <v>6</v>
      </c>
      <c r="Q298" s="7">
        <f t="shared" si="26"/>
        <v>2025</v>
      </c>
    </row>
    <row r="299" spans="1:17" x14ac:dyDescent="0.25">
      <c r="A299" s="7">
        <v>2526</v>
      </c>
      <c r="B299" s="9" t="s">
        <v>9</v>
      </c>
      <c r="C299" s="9" t="s">
        <v>269</v>
      </c>
      <c r="D299" s="8">
        <v>45827</v>
      </c>
      <c r="E299" s="7" t="s">
        <v>270</v>
      </c>
      <c r="F299" s="7">
        <v>1</v>
      </c>
      <c r="G299" s="7" t="s">
        <v>15</v>
      </c>
      <c r="I299" s="8">
        <v>44958</v>
      </c>
      <c r="J299" s="7">
        <f t="shared" si="29"/>
        <v>2023</v>
      </c>
      <c r="K299" s="7">
        <f t="shared" si="30"/>
        <v>2</v>
      </c>
      <c r="L299" s="7">
        <f t="shared" si="24"/>
        <v>869</v>
      </c>
      <c r="M299" s="16" t="s">
        <v>497</v>
      </c>
      <c r="N299" s="7" t="s">
        <v>579</v>
      </c>
      <c r="O299" s="7" t="s">
        <v>680</v>
      </c>
      <c r="P299" s="7">
        <f t="shared" si="25"/>
        <v>6</v>
      </c>
      <c r="Q299" s="7">
        <f t="shared" si="26"/>
        <v>2025</v>
      </c>
    </row>
    <row r="300" spans="1:17" x14ac:dyDescent="0.25">
      <c r="A300" s="7">
        <v>2527</v>
      </c>
      <c r="B300" s="9" t="s">
        <v>340</v>
      </c>
      <c r="C300" s="9" t="s">
        <v>274</v>
      </c>
      <c r="D300" s="8">
        <v>45839</v>
      </c>
      <c r="E300" s="7" t="s">
        <v>271</v>
      </c>
      <c r="F300" s="7">
        <v>1</v>
      </c>
      <c r="G300" s="7" t="s">
        <v>14</v>
      </c>
      <c r="I300" s="8">
        <v>44896</v>
      </c>
      <c r="J300" s="7">
        <f t="shared" si="29"/>
        <v>2022</v>
      </c>
      <c r="K300" s="7">
        <f t="shared" si="30"/>
        <v>12</v>
      </c>
      <c r="L300" s="7">
        <f t="shared" si="24"/>
        <v>943</v>
      </c>
      <c r="M300" s="7" t="s">
        <v>152</v>
      </c>
      <c r="N300" s="7" t="s">
        <v>580</v>
      </c>
      <c r="O300" s="7" t="s">
        <v>680</v>
      </c>
      <c r="P300" s="7">
        <f t="shared" si="25"/>
        <v>7</v>
      </c>
      <c r="Q300" s="7">
        <f t="shared" si="26"/>
        <v>2025</v>
      </c>
    </row>
    <row r="301" spans="1:17" x14ac:dyDescent="0.25">
      <c r="A301" s="7">
        <v>2527</v>
      </c>
      <c r="B301" s="9" t="s">
        <v>340</v>
      </c>
      <c r="C301" s="9" t="s">
        <v>274</v>
      </c>
      <c r="D301" s="8">
        <v>45839</v>
      </c>
      <c r="E301" s="7" t="s">
        <v>923</v>
      </c>
      <c r="F301" s="7">
        <v>1</v>
      </c>
      <c r="G301" s="7" t="s">
        <v>14</v>
      </c>
      <c r="I301" s="8">
        <v>44927</v>
      </c>
      <c r="J301" s="7">
        <f t="shared" si="29"/>
        <v>2023</v>
      </c>
      <c r="K301" s="7">
        <f t="shared" si="30"/>
        <v>1</v>
      </c>
      <c r="L301" s="7">
        <f t="shared" si="24"/>
        <v>912</v>
      </c>
      <c r="M301" s="7" t="s">
        <v>152</v>
      </c>
      <c r="O301" s="17" t="s">
        <v>682</v>
      </c>
      <c r="P301" s="7">
        <f t="shared" si="25"/>
        <v>7</v>
      </c>
      <c r="Q301" s="7">
        <f t="shared" si="26"/>
        <v>2025</v>
      </c>
    </row>
    <row r="302" spans="1:17" x14ac:dyDescent="0.25">
      <c r="A302" s="7">
        <v>2527</v>
      </c>
      <c r="B302" s="9" t="s">
        <v>340</v>
      </c>
      <c r="C302" s="9" t="s">
        <v>274</v>
      </c>
      <c r="D302" s="8">
        <v>45839</v>
      </c>
      <c r="E302" s="7" t="s">
        <v>272</v>
      </c>
      <c r="F302" s="7">
        <v>1</v>
      </c>
      <c r="G302" s="7" t="s">
        <v>14</v>
      </c>
      <c r="I302" s="8">
        <v>44927</v>
      </c>
      <c r="J302" s="7">
        <f t="shared" si="29"/>
        <v>2023</v>
      </c>
      <c r="K302" s="7">
        <f>MONTH(I302)</f>
        <v>1</v>
      </c>
      <c r="L302" s="7">
        <f t="shared" si="24"/>
        <v>912</v>
      </c>
      <c r="M302" s="16" t="s">
        <v>497</v>
      </c>
      <c r="N302" s="7" t="s">
        <v>579</v>
      </c>
      <c r="O302" s="7" t="s">
        <v>680</v>
      </c>
      <c r="P302" s="7">
        <f t="shared" si="25"/>
        <v>7</v>
      </c>
      <c r="Q302" s="7">
        <f t="shared" si="26"/>
        <v>2025</v>
      </c>
    </row>
    <row r="303" spans="1:17" x14ac:dyDescent="0.25">
      <c r="A303" s="7">
        <v>2527</v>
      </c>
      <c r="B303" s="9" t="s">
        <v>340</v>
      </c>
      <c r="C303" s="9" t="s">
        <v>274</v>
      </c>
      <c r="D303" s="8">
        <v>45839</v>
      </c>
      <c r="E303" s="7" t="s">
        <v>273</v>
      </c>
      <c r="F303" s="7">
        <v>1</v>
      </c>
      <c r="G303" s="7" t="s">
        <v>14</v>
      </c>
      <c r="I303" s="8">
        <v>44927</v>
      </c>
      <c r="J303" s="7">
        <f t="shared" si="29"/>
        <v>2023</v>
      </c>
      <c r="K303" s="7">
        <f t="shared" ref="K303:K317" si="31">MONTH(I303)</f>
        <v>1</v>
      </c>
      <c r="L303" s="7">
        <f t="shared" si="24"/>
        <v>912</v>
      </c>
      <c r="M303" s="7" t="s">
        <v>152</v>
      </c>
      <c r="N303" s="7" t="s">
        <v>580</v>
      </c>
      <c r="O303" s="7" t="s">
        <v>680</v>
      </c>
      <c r="P303" s="7">
        <f t="shared" si="25"/>
        <v>7</v>
      </c>
      <c r="Q303" s="7">
        <f t="shared" si="26"/>
        <v>2025</v>
      </c>
    </row>
    <row r="304" spans="1:17" x14ac:dyDescent="0.25">
      <c r="A304" s="7">
        <v>2528</v>
      </c>
      <c r="B304" s="12" t="s">
        <v>10</v>
      </c>
      <c r="C304" s="12" t="s">
        <v>313</v>
      </c>
      <c r="D304" s="13">
        <v>45839</v>
      </c>
      <c r="E304" s="7" t="s">
        <v>275</v>
      </c>
      <c r="F304" s="11">
        <v>1</v>
      </c>
      <c r="G304" s="7" t="s">
        <v>15</v>
      </c>
      <c r="H304" s="11"/>
      <c r="I304" s="13">
        <v>45292</v>
      </c>
      <c r="J304" s="7">
        <f t="shared" si="29"/>
        <v>2024</v>
      </c>
      <c r="K304" s="7">
        <f t="shared" si="31"/>
        <v>1</v>
      </c>
      <c r="L304" s="7">
        <f t="shared" si="24"/>
        <v>547</v>
      </c>
      <c r="M304" s="7" t="s">
        <v>527</v>
      </c>
      <c r="O304" s="17" t="s">
        <v>682</v>
      </c>
      <c r="P304" s="7">
        <f t="shared" si="25"/>
        <v>7</v>
      </c>
      <c r="Q304" s="7">
        <f t="shared" si="26"/>
        <v>2025</v>
      </c>
    </row>
    <row r="305" spans="1:17" x14ac:dyDescent="0.25">
      <c r="A305" s="7">
        <v>2529</v>
      </c>
      <c r="B305" s="9" t="s">
        <v>312</v>
      </c>
      <c r="C305" s="9" t="s">
        <v>341</v>
      </c>
      <c r="D305" s="8">
        <v>45863</v>
      </c>
      <c r="E305" s="7" t="s">
        <v>276</v>
      </c>
      <c r="F305" s="7">
        <v>1</v>
      </c>
      <c r="G305" s="7" t="s">
        <v>15</v>
      </c>
      <c r="I305" s="8">
        <v>44927</v>
      </c>
      <c r="J305" s="7">
        <f t="shared" si="29"/>
        <v>2023</v>
      </c>
      <c r="K305" s="7">
        <f t="shared" si="31"/>
        <v>1</v>
      </c>
      <c r="L305" s="7">
        <f t="shared" si="24"/>
        <v>936</v>
      </c>
      <c r="M305" s="7" t="s">
        <v>152</v>
      </c>
      <c r="O305" s="17" t="s">
        <v>682</v>
      </c>
      <c r="P305" s="7">
        <f t="shared" si="25"/>
        <v>7</v>
      </c>
      <c r="Q305" s="7">
        <f t="shared" si="26"/>
        <v>2025</v>
      </c>
    </row>
    <row r="306" spans="1:17" x14ac:dyDescent="0.25">
      <c r="A306" s="7">
        <v>2529</v>
      </c>
      <c r="B306" s="9" t="s">
        <v>312</v>
      </c>
      <c r="C306" s="9" t="s">
        <v>341</v>
      </c>
      <c r="D306" s="8">
        <v>45863</v>
      </c>
      <c r="E306" s="7" t="s">
        <v>277</v>
      </c>
      <c r="F306" s="7">
        <v>1</v>
      </c>
      <c r="G306" s="7" t="s">
        <v>15</v>
      </c>
      <c r="I306" s="8">
        <v>44927</v>
      </c>
      <c r="J306" s="7">
        <f t="shared" si="29"/>
        <v>2023</v>
      </c>
      <c r="K306" s="7">
        <f t="shared" si="31"/>
        <v>1</v>
      </c>
      <c r="L306" s="7">
        <f t="shared" si="24"/>
        <v>936</v>
      </c>
      <c r="M306" s="7" t="s">
        <v>152</v>
      </c>
      <c r="O306" s="17" t="s">
        <v>682</v>
      </c>
      <c r="P306" s="7">
        <f t="shared" si="25"/>
        <v>7</v>
      </c>
      <c r="Q306" s="7">
        <f t="shared" si="26"/>
        <v>2025</v>
      </c>
    </row>
    <row r="307" spans="1:17" x14ac:dyDescent="0.25">
      <c r="A307" s="7">
        <v>2529</v>
      </c>
      <c r="B307" s="9" t="s">
        <v>312</v>
      </c>
      <c r="C307" s="9" t="s">
        <v>341</v>
      </c>
      <c r="D307" s="8">
        <v>45863</v>
      </c>
      <c r="E307" s="7" t="s">
        <v>278</v>
      </c>
      <c r="F307" s="7">
        <v>1</v>
      </c>
      <c r="G307" s="7" t="s">
        <v>15</v>
      </c>
      <c r="I307" s="8">
        <v>44986</v>
      </c>
      <c r="J307" s="7">
        <f t="shared" si="29"/>
        <v>2023</v>
      </c>
      <c r="K307" s="7">
        <f t="shared" si="31"/>
        <v>3</v>
      </c>
      <c r="L307" s="7">
        <f t="shared" si="24"/>
        <v>877</v>
      </c>
      <c r="M307" s="7" t="s">
        <v>152</v>
      </c>
      <c r="O307" s="17" t="s">
        <v>682</v>
      </c>
      <c r="P307" s="7">
        <f t="shared" si="25"/>
        <v>7</v>
      </c>
      <c r="Q307" s="7">
        <f t="shared" si="26"/>
        <v>2025</v>
      </c>
    </row>
    <row r="308" spans="1:17" x14ac:dyDescent="0.25">
      <c r="A308" s="7">
        <v>2529</v>
      </c>
      <c r="B308" s="9" t="s">
        <v>312</v>
      </c>
      <c r="C308" s="9" t="s">
        <v>341</v>
      </c>
      <c r="D308" s="8">
        <v>45863</v>
      </c>
      <c r="E308" s="7" t="s">
        <v>279</v>
      </c>
      <c r="F308" s="7">
        <v>1</v>
      </c>
      <c r="G308" s="7" t="s">
        <v>15</v>
      </c>
      <c r="I308" s="8">
        <v>44927</v>
      </c>
      <c r="J308" s="7">
        <f t="shared" si="29"/>
        <v>2023</v>
      </c>
      <c r="K308" s="7">
        <f t="shared" si="31"/>
        <v>1</v>
      </c>
      <c r="L308" s="7">
        <f t="shared" si="24"/>
        <v>936</v>
      </c>
      <c r="M308" s="7" t="s">
        <v>152</v>
      </c>
      <c r="O308" s="17" t="s">
        <v>682</v>
      </c>
      <c r="P308" s="7">
        <f t="shared" si="25"/>
        <v>7</v>
      </c>
      <c r="Q308" s="7">
        <f t="shared" si="26"/>
        <v>2025</v>
      </c>
    </row>
    <row r="309" spans="1:17" x14ac:dyDescent="0.25">
      <c r="A309" s="7">
        <v>2529</v>
      </c>
      <c r="B309" s="9" t="s">
        <v>312</v>
      </c>
      <c r="C309" s="9" t="s">
        <v>341</v>
      </c>
      <c r="D309" s="8">
        <v>45863</v>
      </c>
      <c r="E309" s="7" t="s">
        <v>280</v>
      </c>
      <c r="F309" s="7">
        <v>1</v>
      </c>
      <c r="G309" s="7" t="s">
        <v>15</v>
      </c>
      <c r="I309" s="8">
        <v>44927</v>
      </c>
      <c r="J309" s="7">
        <f t="shared" si="29"/>
        <v>2023</v>
      </c>
      <c r="K309" s="7">
        <f t="shared" si="31"/>
        <v>1</v>
      </c>
      <c r="L309" s="7">
        <f t="shared" si="24"/>
        <v>936</v>
      </c>
      <c r="M309" s="7" t="s">
        <v>152</v>
      </c>
      <c r="O309" s="17" t="s">
        <v>682</v>
      </c>
      <c r="P309" s="7">
        <f t="shared" si="25"/>
        <v>7</v>
      </c>
      <c r="Q309" s="7">
        <f t="shared" si="26"/>
        <v>2025</v>
      </c>
    </row>
    <row r="310" spans="1:17" x14ac:dyDescent="0.25">
      <c r="A310" s="7">
        <v>2529</v>
      </c>
      <c r="B310" s="9" t="s">
        <v>312</v>
      </c>
      <c r="C310" s="9" t="s">
        <v>341</v>
      </c>
      <c r="D310" s="8">
        <v>45863</v>
      </c>
      <c r="E310" s="7" t="s">
        <v>281</v>
      </c>
      <c r="F310" s="7">
        <v>1</v>
      </c>
      <c r="G310" s="7" t="s">
        <v>15</v>
      </c>
      <c r="I310" s="8">
        <v>44958</v>
      </c>
      <c r="J310" s="7">
        <f t="shared" si="29"/>
        <v>2023</v>
      </c>
      <c r="K310" s="7">
        <f t="shared" si="31"/>
        <v>2</v>
      </c>
      <c r="L310" s="7">
        <f t="shared" si="24"/>
        <v>905</v>
      </c>
      <c r="M310" s="7" t="s">
        <v>152</v>
      </c>
      <c r="O310" s="17" t="s">
        <v>682</v>
      </c>
      <c r="P310" s="7">
        <f t="shared" si="25"/>
        <v>7</v>
      </c>
      <c r="Q310" s="7">
        <f t="shared" si="26"/>
        <v>2025</v>
      </c>
    </row>
    <row r="311" spans="1:17" x14ac:dyDescent="0.25">
      <c r="A311" s="7">
        <v>2529</v>
      </c>
      <c r="B311" s="9" t="s">
        <v>312</v>
      </c>
      <c r="C311" s="9" t="s">
        <v>341</v>
      </c>
      <c r="D311" s="8">
        <v>45863</v>
      </c>
      <c r="E311" s="7" t="s">
        <v>282</v>
      </c>
      <c r="F311" s="7">
        <v>1</v>
      </c>
      <c r="G311" s="7" t="s">
        <v>15</v>
      </c>
      <c r="I311" s="8">
        <v>44958</v>
      </c>
      <c r="J311" s="7">
        <f t="shared" si="29"/>
        <v>2023</v>
      </c>
      <c r="K311" s="7">
        <f t="shared" si="31"/>
        <v>2</v>
      </c>
      <c r="L311" s="7">
        <f t="shared" si="24"/>
        <v>905</v>
      </c>
      <c r="M311" s="7" t="s">
        <v>152</v>
      </c>
      <c r="O311" s="17" t="s">
        <v>682</v>
      </c>
      <c r="P311" s="7">
        <f t="shared" si="25"/>
        <v>7</v>
      </c>
      <c r="Q311" s="7">
        <f t="shared" si="26"/>
        <v>2025</v>
      </c>
    </row>
    <row r="312" spans="1:17" x14ac:dyDescent="0.25">
      <c r="A312" s="7">
        <v>2529</v>
      </c>
      <c r="B312" s="9" t="s">
        <v>312</v>
      </c>
      <c r="C312" s="9" t="s">
        <v>341</v>
      </c>
      <c r="D312" s="8">
        <v>45863</v>
      </c>
      <c r="E312" s="7" t="s">
        <v>283</v>
      </c>
      <c r="F312" s="7">
        <v>1</v>
      </c>
      <c r="G312" s="7" t="s">
        <v>15</v>
      </c>
      <c r="I312" s="8">
        <v>44986</v>
      </c>
      <c r="J312" s="7">
        <f t="shared" si="29"/>
        <v>2023</v>
      </c>
      <c r="K312" s="7">
        <f t="shared" si="31"/>
        <v>3</v>
      </c>
      <c r="L312" s="7">
        <f t="shared" si="24"/>
        <v>877</v>
      </c>
      <c r="M312" s="7" t="s">
        <v>152</v>
      </c>
      <c r="O312" s="17" t="s">
        <v>682</v>
      </c>
      <c r="P312" s="7">
        <f t="shared" si="25"/>
        <v>7</v>
      </c>
      <c r="Q312" s="7">
        <f t="shared" si="26"/>
        <v>2025</v>
      </c>
    </row>
    <row r="313" spans="1:17" x14ac:dyDescent="0.25">
      <c r="A313" s="7">
        <v>2529</v>
      </c>
      <c r="B313" s="9" t="s">
        <v>312</v>
      </c>
      <c r="C313" s="9" t="s">
        <v>341</v>
      </c>
      <c r="D313" s="8">
        <v>45863</v>
      </c>
      <c r="E313" s="7" t="s">
        <v>284</v>
      </c>
      <c r="F313" s="7">
        <v>1</v>
      </c>
      <c r="G313" s="7" t="s">
        <v>15</v>
      </c>
      <c r="I313" s="8">
        <v>44986</v>
      </c>
      <c r="J313" s="7">
        <f t="shared" si="29"/>
        <v>2023</v>
      </c>
      <c r="K313" s="7">
        <f t="shared" si="31"/>
        <v>3</v>
      </c>
      <c r="L313" s="7">
        <f t="shared" si="24"/>
        <v>877</v>
      </c>
      <c r="M313" s="7" t="s">
        <v>152</v>
      </c>
      <c r="O313" s="17" t="s">
        <v>682</v>
      </c>
      <c r="P313" s="7">
        <f t="shared" si="25"/>
        <v>7</v>
      </c>
      <c r="Q313" s="7">
        <f t="shared" si="26"/>
        <v>2025</v>
      </c>
    </row>
    <row r="314" spans="1:17" x14ac:dyDescent="0.25">
      <c r="A314" s="7">
        <v>2529</v>
      </c>
      <c r="B314" s="9" t="s">
        <v>312</v>
      </c>
      <c r="C314" s="9" t="s">
        <v>341</v>
      </c>
      <c r="D314" s="8">
        <v>45863</v>
      </c>
      <c r="E314" s="7" t="s">
        <v>285</v>
      </c>
      <c r="F314" s="7">
        <v>1</v>
      </c>
      <c r="G314" s="7" t="s">
        <v>15</v>
      </c>
      <c r="I314" s="8">
        <v>44986</v>
      </c>
      <c r="J314" s="7">
        <f t="shared" si="29"/>
        <v>2023</v>
      </c>
      <c r="K314" s="7">
        <f t="shared" si="31"/>
        <v>3</v>
      </c>
      <c r="L314" s="7">
        <f t="shared" si="24"/>
        <v>877</v>
      </c>
      <c r="M314" s="7" t="s">
        <v>152</v>
      </c>
      <c r="O314" s="17" t="s">
        <v>682</v>
      </c>
      <c r="P314" s="7">
        <f t="shared" si="25"/>
        <v>7</v>
      </c>
      <c r="Q314" s="7">
        <f t="shared" si="26"/>
        <v>2025</v>
      </c>
    </row>
    <row r="315" spans="1:17" x14ac:dyDescent="0.25">
      <c r="A315" s="7">
        <v>2529</v>
      </c>
      <c r="B315" s="9" t="s">
        <v>312</v>
      </c>
      <c r="C315" s="9" t="s">
        <v>341</v>
      </c>
      <c r="D315" s="8">
        <v>45863</v>
      </c>
      <c r="E315" s="7" t="s">
        <v>286</v>
      </c>
      <c r="F315" s="7">
        <v>1</v>
      </c>
      <c r="G315" s="7" t="s">
        <v>15</v>
      </c>
      <c r="I315" s="8">
        <v>44986</v>
      </c>
      <c r="J315" s="7">
        <f t="shared" si="29"/>
        <v>2023</v>
      </c>
      <c r="K315" s="7">
        <f t="shared" si="31"/>
        <v>3</v>
      </c>
      <c r="L315" s="7">
        <f t="shared" si="24"/>
        <v>877</v>
      </c>
      <c r="M315" s="7" t="s">
        <v>152</v>
      </c>
      <c r="O315" s="17" t="s">
        <v>682</v>
      </c>
      <c r="P315" s="7">
        <f t="shared" si="25"/>
        <v>7</v>
      </c>
      <c r="Q315" s="7">
        <f t="shared" si="26"/>
        <v>2025</v>
      </c>
    </row>
    <row r="316" spans="1:17" x14ac:dyDescent="0.25">
      <c r="A316" s="7">
        <v>2529</v>
      </c>
      <c r="B316" s="9" t="s">
        <v>312</v>
      </c>
      <c r="C316" s="9" t="s">
        <v>341</v>
      </c>
      <c r="D316" s="8">
        <v>45863</v>
      </c>
      <c r="E316" s="7" t="s">
        <v>287</v>
      </c>
      <c r="F316" s="7">
        <v>1</v>
      </c>
      <c r="G316" s="7" t="s">
        <v>15</v>
      </c>
      <c r="I316" s="8">
        <v>44986</v>
      </c>
      <c r="J316" s="7">
        <f t="shared" si="29"/>
        <v>2023</v>
      </c>
      <c r="K316" s="7">
        <f t="shared" si="31"/>
        <v>3</v>
      </c>
      <c r="L316" s="7">
        <f t="shared" si="24"/>
        <v>877</v>
      </c>
      <c r="M316" s="7" t="s">
        <v>152</v>
      </c>
      <c r="O316" s="17" t="s">
        <v>682</v>
      </c>
      <c r="P316" s="7">
        <f t="shared" si="25"/>
        <v>7</v>
      </c>
      <c r="Q316" s="7">
        <f t="shared" si="26"/>
        <v>2025</v>
      </c>
    </row>
    <row r="317" spans="1:17" x14ac:dyDescent="0.25">
      <c r="A317" s="7">
        <v>2530</v>
      </c>
      <c r="B317" s="9" t="s">
        <v>342</v>
      </c>
      <c r="C317" s="9" t="s">
        <v>342</v>
      </c>
      <c r="D317" s="8">
        <v>45873</v>
      </c>
      <c r="E317" s="7" t="s">
        <v>288</v>
      </c>
      <c r="F317" s="7">
        <v>1</v>
      </c>
      <c r="G317" s="7" t="s">
        <v>15</v>
      </c>
      <c r="H317" s="7" t="s">
        <v>314</v>
      </c>
      <c r="I317" s="8">
        <v>45717</v>
      </c>
      <c r="J317" s="7">
        <f t="shared" si="29"/>
        <v>2025</v>
      </c>
      <c r="K317" s="7">
        <f t="shared" si="31"/>
        <v>3</v>
      </c>
      <c r="L317" s="7">
        <f t="shared" si="24"/>
        <v>156</v>
      </c>
      <c r="M317" s="7" t="s">
        <v>917</v>
      </c>
      <c r="O317" s="17" t="s">
        <v>682</v>
      </c>
      <c r="P317" s="7">
        <f>MONTH(D317)</f>
        <v>8</v>
      </c>
      <c r="Q317" s="7">
        <f t="shared" si="26"/>
        <v>2025</v>
      </c>
    </row>
    <row r="318" spans="1:17" x14ac:dyDescent="0.25">
      <c r="A318" s="7">
        <v>2531</v>
      </c>
      <c r="B318" s="9" t="s">
        <v>289</v>
      </c>
      <c r="C318" s="9" t="s">
        <v>583</v>
      </c>
      <c r="D318" s="8">
        <v>45866</v>
      </c>
      <c r="E318" s="7" t="s">
        <v>581</v>
      </c>
      <c r="F318" s="7">
        <v>1</v>
      </c>
      <c r="G318" s="7" t="s">
        <v>14</v>
      </c>
      <c r="J318" s="7">
        <f t="shared" si="29"/>
        <v>1900</v>
      </c>
      <c r="K318" s="7">
        <f>MONTH(I318)</f>
        <v>1</v>
      </c>
      <c r="L318" s="7">
        <f t="shared" si="24"/>
        <v>45866</v>
      </c>
      <c r="M318" s="7" t="s">
        <v>1079</v>
      </c>
      <c r="O318" s="17" t="s">
        <v>682</v>
      </c>
      <c r="P318" s="7">
        <f t="shared" ref="P318:P381" si="32">MONTH(D318)</f>
        <v>7</v>
      </c>
      <c r="Q318" s="7">
        <f t="shared" si="26"/>
        <v>2025</v>
      </c>
    </row>
    <row r="319" spans="1:17" x14ac:dyDescent="0.25">
      <c r="A319" s="7">
        <v>2531</v>
      </c>
      <c r="B319" s="9" t="s">
        <v>289</v>
      </c>
      <c r="C319" s="9" t="s">
        <v>583</v>
      </c>
      <c r="D319" s="8">
        <v>45866</v>
      </c>
      <c r="E319" s="7" t="s">
        <v>582</v>
      </c>
      <c r="F319" s="7">
        <v>1</v>
      </c>
      <c r="G319" s="7" t="s">
        <v>14</v>
      </c>
      <c r="J319" s="7">
        <f t="shared" si="29"/>
        <v>1900</v>
      </c>
      <c r="K319" s="7">
        <f t="shared" ref="K319:K381" si="33">MONTH(I319)</f>
        <v>1</v>
      </c>
      <c r="L319" s="7">
        <f t="shared" si="24"/>
        <v>45866</v>
      </c>
      <c r="M319" s="7" t="s">
        <v>586</v>
      </c>
      <c r="O319" s="17" t="s">
        <v>682</v>
      </c>
      <c r="P319" s="7">
        <f t="shared" si="32"/>
        <v>7</v>
      </c>
      <c r="Q319" s="7">
        <f t="shared" si="26"/>
        <v>2025</v>
      </c>
    </row>
    <row r="320" spans="1:17" x14ac:dyDescent="0.25">
      <c r="A320" s="7">
        <v>2531</v>
      </c>
      <c r="B320" s="9" t="s">
        <v>289</v>
      </c>
      <c r="C320" s="9" t="s">
        <v>583</v>
      </c>
      <c r="D320" s="8">
        <v>45866</v>
      </c>
      <c r="E320" s="7" t="s">
        <v>584</v>
      </c>
      <c r="F320" s="7">
        <v>1</v>
      </c>
      <c r="G320" s="7" t="s">
        <v>14</v>
      </c>
      <c r="J320" s="7">
        <f t="shared" si="29"/>
        <v>1900</v>
      </c>
      <c r="K320" s="7">
        <f t="shared" si="33"/>
        <v>1</v>
      </c>
      <c r="L320" s="7">
        <f t="shared" si="24"/>
        <v>45866</v>
      </c>
      <c r="M320" s="7" t="s">
        <v>587</v>
      </c>
      <c r="O320" s="17" t="s">
        <v>682</v>
      </c>
      <c r="P320" s="7">
        <f t="shared" si="32"/>
        <v>7</v>
      </c>
      <c r="Q320" s="7">
        <f t="shared" si="26"/>
        <v>2025</v>
      </c>
    </row>
    <row r="321" spans="1:17" x14ac:dyDescent="0.25">
      <c r="A321" s="7">
        <v>2531</v>
      </c>
      <c r="B321" s="9" t="s">
        <v>289</v>
      </c>
      <c r="C321" s="9" t="s">
        <v>583</v>
      </c>
      <c r="D321" s="8">
        <v>45866</v>
      </c>
      <c r="E321" s="7" t="s">
        <v>585</v>
      </c>
      <c r="F321" s="7">
        <v>1</v>
      </c>
      <c r="G321" s="7" t="s">
        <v>14</v>
      </c>
      <c r="J321" s="7">
        <f t="shared" si="29"/>
        <v>1900</v>
      </c>
      <c r="K321" s="7">
        <f t="shared" si="33"/>
        <v>1</v>
      </c>
      <c r="L321" s="7">
        <f t="shared" ref="L321:L383" si="34">D321-I321</f>
        <v>45866</v>
      </c>
      <c r="M321" s="7" t="s">
        <v>586</v>
      </c>
      <c r="O321" s="17" t="s">
        <v>682</v>
      </c>
      <c r="P321" s="7">
        <f t="shared" si="32"/>
        <v>7</v>
      </c>
      <c r="Q321" s="7">
        <f t="shared" si="26"/>
        <v>2025</v>
      </c>
    </row>
    <row r="322" spans="1:17" x14ac:dyDescent="0.25">
      <c r="A322" s="7">
        <v>2531</v>
      </c>
      <c r="B322" s="9" t="s">
        <v>289</v>
      </c>
      <c r="C322" s="9" t="s">
        <v>583</v>
      </c>
      <c r="D322" s="8">
        <v>45866</v>
      </c>
      <c r="E322" s="7" t="s">
        <v>588</v>
      </c>
      <c r="F322" s="7">
        <v>1</v>
      </c>
      <c r="G322" s="7" t="s">
        <v>14</v>
      </c>
      <c r="J322" s="7">
        <f t="shared" si="29"/>
        <v>1900</v>
      </c>
      <c r="K322" s="7">
        <f t="shared" si="33"/>
        <v>1</v>
      </c>
      <c r="L322" s="7">
        <f t="shared" si="34"/>
        <v>45866</v>
      </c>
      <c r="M322" s="7" t="s">
        <v>587</v>
      </c>
      <c r="O322" s="17" t="s">
        <v>682</v>
      </c>
      <c r="P322" s="7">
        <f t="shared" si="32"/>
        <v>7</v>
      </c>
      <c r="Q322" s="7">
        <f t="shared" si="26"/>
        <v>2025</v>
      </c>
    </row>
    <row r="323" spans="1:17" x14ac:dyDescent="0.25">
      <c r="A323" s="7">
        <v>2531</v>
      </c>
      <c r="B323" s="9" t="s">
        <v>289</v>
      </c>
      <c r="C323" s="9" t="s">
        <v>583</v>
      </c>
      <c r="D323" s="8">
        <v>45866</v>
      </c>
      <c r="E323" s="7" t="s">
        <v>589</v>
      </c>
      <c r="F323" s="7">
        <v>1</v>
      </c>
      <c r="G323" s="7" t="s">
        <v>14</v>
      </c>
      <c r="J323" s="7">
        <f t="shared" si="29"/>
        <v>1900</v>
      </c>
      <c r="K323" s="7">
        <f t="shared" si="33"/>
        <v>1</v>
      </c>
      <c r="L323" s="7">
        <f t="shared" si="34"/>
        <v>45866</v>
      </c>
      <c r="M323" s="7" t="s">
        <v>590</v>
      </c>
      <c r="O323" s="17" t="s">
        <v>682</v>
      </c>
      <c r="P323" s="7">
        <f t="shared" si="32"/>
        <v>7</v>
      </c>
      <c r="Q323" s="7">
        <f t="shared" ref="Q323:Q386" si="35">YEAR(D323)</f>
        <v>2025</v>
      </c>
    </row>
    <row r="324" spans="1:17" x14ac:dyDescent="0.25">
      <c r="A324" s="7">
        <v>2532</v>
      </c>
      <c r="B324" s="9" t="s">
        <v>9</v>
      </c>
      <c r="C324" s="9" t="s">
        <v>290</v>
      </c>
      <c r="D324" s="8">
        <v>45868</v>
      </c>
      <c r="E324" s="7" t="s">
        <v>296</v>
      </c>
      <c r="F324" s="7">
        <v>1</v>
      </c>
      <c r="G324" s="7" t="s">
        <v>14</v>
      </c>
      <c r="J324" s="7">
        <f t="shared" si="29"/>
        <v>1900</v>
      </c>
      <c r="K324" s="7">
        <f t="shared" si="33"/>
        <v>1</v>
      </c>
      <c r="L324" s="7">
        <f t="shared" si="34"/>
        <v>45868</v>
      </c>
      <c r="M324" s="7" t="s">
        <v>152</v>
      </c>
      <c r="O324" s="17" t="s">
        <v>682</v>
      </c>
      <c r="P324" s="7">
        <f t="shared" si="32"/>
        <v>7</v>
      </c>
      <c r="Q324" s="7">
        <f t="shared" si="35"/>
        <v>2025</v>
      </c>
    </row>
    <row r="325" spans="1:17" x14ac:dyDescent="0.25">
      <c r="A325" s="7">
        <v>2532</v>
      </c>
      <c r="B325" s="9" t="s">
        <v>9</v>
      </c>
      <c r="C325" s="9" t="s">
        <v>290</v>
      </c>
      <c r="D325" s="8">
        <v>45868</v>
      </c>
      <c r="E325" s="7" t="s">
        <v>295</v>
      </c>
      <c r="F325" s="7">
        <v>1</v>
      </c>
      <c r="G325" s="7" t="s">
        <v>14</v>
      </c>
      <c r="J325" s="7">
        <f t="shared" si="29"/>
        <v>1900</v>
      </c>
      <c r="K325" s="7">
        <f t="shared" si="33"/>
        <v>1</v>
      </c>
      <c r="L325" s="7">
        <f t="shared" si="34"/>
        <v>45868</v>
      </c>
      <c r="M325" s="7" t="s">
        <v>152</v>
      </c>
      <c r="O325" s="17" t="s">
        <v>682</v>
      </c>
      <c r="P325" s="7">
        <f t="shared" si="32"/>
        <v>7</v>
      </c>
      <c r="Q325" s="7">
        <f t="shared" si="35"/>
        <v>2025</v>
      </c>
    </row>
    <row r="326" spans="1:17" x14ac:dyDescent="0.25">
      <c r="A326" s="7">
        <v>2532</v>
      </c>
      <c r="B326" s="9" t="s">
        <v>9</v>
      </c>
      <c r="C326" s="9" t="s">
        <v>290</v>
      </c>
      <c r="D326" s="8">
        <v>45868</v>
      </c>
      <c r="E326" s="7" t="s">
        <v>291</v>
      </c>
      <c r="F326" s="7">
        <v>1</v>
      </c>
      <c r="G326" s="7" t="s">
        <v>14</v>
      </c>
      <c r="J326" s="7">
        <f t="shared" si="29"/>
        <v>1900</v>
      </c>
      <c r="K326" s="7">
        <f t="shared" si="33"/>
        <v>1</v>
      </c>
      <c r="L326" s="7">
        <f t="shared" si="34"/>
        <v>45868</v>
      </c>
      <c r="M326" s="7" t="s">
        <v>152</v>
      </c>
      <c r="O326" s="17" t="s">
        <v>682</v>
      </c>
      <c r="P326" s="7">
        <f t="shared" si="32"/>
        <v>7</v>
      </c>
      <c r="Q326" s="7">
        <f t="shared" si="35"/>
        <v>2025</v>
      </c>
    </row>
    <row r="327" spans="1:17" x14ac:dyDescent="0.25">
      <c r="A327" s="7">
        <v>2532</v>
      </c>
      <c r="B327" s="9" t="s">
        <v>9</v>
      </c>
      <c r="C327" s="9" t="s">
        <v>290</v>
      </c>
      <c r="D327" s="8">
        <v>45868</v>
      </c>
      <c r="E327" s="7" t="s">
        <v>297</v>
      </c>
      <c r="F327" s="7">
        <v>1</v>
      </c>
      <c r="G327" s="7" t="s">
        <v>14</v>
      </c>
      <c r="J327" s="7">
        <f t="shared" si="29"/>
        <v>1900</v>
      </c>
      <c r="K327" s="7">
        <f t="shared" si="33"/>
        <v>1</v>
      </c>
      <c r="L327" s="7">
        <f t="shared" si="34"/>
        <v>45868</v>
      </c>
      <c r="M327" s="7" t="s">
        <v>152</v>
      </c>
      <c r="O327" s="17" t="s">
        <v>682</v>
      </c>
      <c r="P327" s="7">
        <f t="shared" si="32"/>
        <v>7</v>
      </c>
      <c r="Q327" s="7">
        <f t="shared" si="35"/>
        <v>2025</v>
      </c>
    </row>
    <row r="328" spans="1:17" x14ac:dyDescent="0.25">
      <c r="A328" s="7">
        <v>2532</v>
      </c>
      <c r="B328" s="9" t="s">
        <v>9</v>
      </c>
      <c r="C328" s="9" t="s">
        <v>290</v>
      </c>
      <c r="D328" s="8">
        <v>45868</v>
      </c>
      <c r="E328" s="7" t="s">
        <v>298</v>
      </c>
      <c r="F328" s="7">
        <v>1</v>
      </c>
      <c r="G328" s="7" t="s">
        <v>14</v>
      </c>
      <c r="J328" s="7">
        <f t="shared" si="29"/>
        <v>1900</v>
      </c>
      <c r="K328" s="7">
        <f t="shared" si="33"/>
        <v>1</v>
      </c>
      <c r="L328" s="7">
        <f t="shared" si="34"/>
        <v>45868</v>
      </c>
      <c r="M328" s="7" t="s">
        <v>152</v>
      </c>
      <c r="O328" s="17" t="s">
        <v>682</v>
      </c>
      <c r="P328" s="7">
        <f t="shared" si="32"/>
        <v>7</v>
      </c>
      <c r="Q328" s="7">
        <f t="shared" si="35"/>
        <v>2025</v>
      </c>
    </row>
    <row r="329" spans="1:17" x14ac:dyDescent="0.25">
      <c r="A329" s="7">
        <v>2532</v>
      </c>
      <c r="B329" s="9" t="s">
        <v>9</v>
      </c>
      <c r="C329" s="9" t="s">
        <v>290</v>
      </c>
      <c r="D329" s="8">
        <v>45868</v>
      </c>
      <c r="E329" s="7" t="s">
        <v>299</v>
      </c>
      <c r="F329" s="7">
        <v>1</v>
      </c>
      <c r="G329" s="7" t="s">
        <v>14</v>
      </c>
      <c r="J329" s="7">
        <f t="shared" si="29"/>
        <v>1900</v>
      </c>
      <c r="K329" s="7">
        <f t="shared" si="33"/>
        <v>1</v>
      </c>
      <c r="L329" s="7">
        <f t="shared" si="34"/>
        <v>45868</v>
      </c>
      <c r="M329" s="7" t="s">
        <v>152</v>
      </c>
      <c r="O329" s="17" t="s">
        <v>682</v>
      </c>
      <c r="P329" s="7">
        <f t="shared" si="32"/>
        <v>7</v>
      </c>
      <c r="Q329" s="7">
        <f t="shared" si="35"/>
        <v>2025</v>
      </c>
    </row>
    <row r="330" spans="1:17" x14ac:dyDescent="0.25">
      <c r="A330" s="7">
        <v>2532</v>
      </c>
      <c r="B330" s="9" t="s">
        <v>9</v>
      </c>
      <c r="C330" s="9" t="s">
        <v>290</v>
      </c>
      <c r="D330" s="8">
        <v>45868</v>
      </c>
      <c r="E330" s="7" t="s">
        <v>292</v>
      </c>
      <c r="F330" s="7">
        <v>1</v>
      </c>
      <c r="G330" s="7" t="s">
        <v>14</v>
      </c>
      <c r="J330" s="7">
        <f t="shared" si="29"/>
        <v>1900</v>
      </c>
      <c r="K330" s="7">
        <f t="shared" si="33"/>
        <v>1</v>
      </c>
      <c r="L330" s="7">
        <f t="shared" si="34"/>
        <v>45868</v>
      </c>
      <c r="M330" s="7" t="s">
        <v>152</v>
      </c>
      <c r="O330" s="17" t="s">
        <v>682</v>
      </c>
      <c r="P330" s="7">
        <f t="shared" si="32"/>
        <v>7</v>
      </c>
      <c r="Q330" s="7">
        <f t="shared" si="35"/>
        <v>2025</v>
      </c>
    </row>
    <row r="331" spans="1:17" x14ac:dyDescent="0.25">
      <c r="A331" s="7">
        <v>2532</v>
      </c>
      <c r="B331" s="9" t="s">
        <v>9</v>
      </c>
      <c r="C331" s="9" t="s">
        <v>290</v>
      </c>
      <c r="D331" s="8">
        <v>45868</v>
      </c>
      <c r="E331" s="7" t="s">
        <v>300</v>
      </c>
      <c r="F331" s="7">
        <v>1</v>
      </c>
      <c r="G331" s="7" t="s">
        <v>14</v>
      </c>
      <c r="J331" s="7">
        <f t="shared" si="29"/>
        <v>1900</v>
      </c>
      <c r="K331" s="7">
        <f t="shared" si="33"/>
        <v>1</v>
      </c>
      <c r="L331" s="7">
        <f t="shared" si="34"/>
        <v>45868</v>
      </c>
      <c r="M331" s="7" t="s">
        <v>152</v>
      </c>
      <c r="O331" s="17" t="s">
        <v>682</v>
      </c>
      <c r="P331" s="7">
        <f t="shared" si="32"/>
        <v>7</v>
      </c>
      <c r="Q331" s="7">
        <f t="shared" si="35"/>
        <v>2025</v>
      </c>
    </row>
    <row r="332" spans="1:17" x14ac:dyDescent="0.25">
      <c r="A332" s="7">
        <v>2532</v>
      </c>
      <c r="B332" s="9" t="s">
        <v>9</v>
      </c>
      <c r="C332" s="9" t="s">
        <v>290</v>
      </c>
      <c r="D332" s="8">
        <v>45868</v>
      </c>
      <c r="E332" s="7" t="s">
        <v>301</v>
      </c>
      <c r="F332" s="7">
        <v>1</v>
      </c>
      <c r="G332" s="7" t="s">
        <v>14</v>
      </c>
      <c r="J332" s="7">
        <f t="shared" si="29"/>
        <v>1900</v>
      </c>
      <c r="K332" s="7">
        <f t="shared" si="33"/>
        <v>1</v>
      </c>
      <c r="L332" s="7">
        <f t="shared" si="34"/>
        <v>45868</v>
      </c>
      <c r="M332" s="7" t="s">
        <v>152</v>
      </c>
      <c r="O332" s="17" t="s">
        <v>682</v>
      </c>
      <c r="P332" s="7">
        <f t="shared" si="32"/>
        <v>7</v>
      </c>
      <c r="Q332" s="7">
        <f t="shared" si="35"/>
        <v>2025</v>
      </c>
    </row>
    <row r="333" spans="1:17" x14ac:dyDescent="0.25">
      <c r="A333" s="7">
        <v>2532</v>
      </c>
      <c r="B333" s="9" t="s">
        <v>9</v>
      </c>
      <c r="C333" s="9" t="s">
        <v>290</v>
      </c>
      <c r="D333" s="8">
        <v>45868</v>
      </c>
      <c r="E333" s="7" t="s">
        <v>302</v>
      </c>
      <c r="F333" s="7">
        <v>1</v>
      </c>
      <c r="G333" s="7" t="s">
        <v>14</v>
      </c>
      <c r="J333" s="7">
        <f t="shared" si="29"/>
        <v>1900</v>
      </c>
      <c r="K333" s="7">
        <f t="shared" si="33"/>
        <v>1</v>
      </c>
      <c r="L333" s="7">
        <f t="shared" si="34"/>
        <v>45868</v>
      </c>
      <c r="M333" s="7" t="s">
        <v>152</v>
      </c>
      <c r="O333" s="17" t="s">
        <v>682</v>
      </c>
      <c r="P333" s="7">
        <f t="shared" si="32"/>
        <v>7</v>
      </c>
      <c r="Q333" s="7">
        <f t="shared" si="35"/>
        <v>2025</v>
      </c>
    </row>
    <row r="334" spans="1:17" x14ac:dyDescent="0.25">
      <c r="A334" s="7">
        <v>2532</v>
      </c>
      <c r="B334" s="9" t="s">
        <v>9</v>
      </c>
      <c r="C334" s="9" t="s">
        <v>290</v>
      </c>
      <c r="D334" s="8">
        <v>45868</v>
      </c>
      <c r="E334" s="7" t="s">
        <v>303</v>
      </c>
      <c r="F334" s="7">
        <v>1</v>
      </c>
      <c r="G334" s="7" t="s">
        <v>14</v>
      </c>
      <c r="J334" s="7">
        <f t="shared" si="29"/>
        <v>1900</v>
      </c>
      <c r="K334" s="7">
        <f t="shared" si="33"/>
        <v>1</v>
      </c>
      <c r="L334" s="7">
        <f t="shared" si="34"/>
        <v>45868</v>
      </c>
      <c r="M334" s="7" t="s">
        <v>152</v>
      </c>
      <c r="O334" s="17" t="s">
        <v>682</v>
      </c>
      <c r="P334" s="7">
        <f t="shared" si="32"/>
        <v>7</v>
      </c>
      <c r="Q334" s="7">
        <f t="shared" si="35"/>
        <v>2025</v>
      </c>
    </row>
    <row r="335" spans="1:17" x14ac:dyDescent="0.25">
      <c r="A335" s="7">
        <v>2532</v>
      </c>
      <c r="B335" s="9" t="s">
        <v>9</v>
      </c>
      <c r="C335" s="9" t="s">
        <v>290</v>
      </c>
      <c r="D335" s="8">
        <v>45868</v>
      </c>
      <c r="E335" s="7" t="s">
        <v>304</v>
      </c>
      <c r="F335" s="7">
        <v>1</v>
      </c>
      <c r="G335" s="7" t="s">
        <v>14</v>
      </c>
      <c r="J335" s="7">
        <f t="shared" si="29"/>
        <v>1900</v>
      </c>
      <c r="K335" s="7">
        <f t="shared" si="33"/>
        <v>1</v>
      </c>
      <c r="L335" s="7">
        <f t="shared" si="34"/>
        <v>45868</v>
      </c>
      <c r="M335" s="7" t="s">
        <v>152</v>
      </c>
      <c r="O335" s="17" t="s">
        <v>682</v>
      </c>
      <c r="P335" s="7">
        <f t="shared" si="32"/>
        <v>7</v>
      </c>
      <c r="Q335" s="7">
        <f t="shared" si="35"/>
        <v>2025</v>
      </c>
    </row>
    <row r="336" spans="1:17" x14ac:dyDescent="0.25">
      <c r="A336" s="7">
        <v>2532</v>
      </c>
      <c r="B336" s="9" t="s">
        <v>9</v>
      </c>
      <c r="C336" s="9" t="s">
        <v>290</v>
      </c>
      <c r="D336" s="8">
        <v>45868</v>
      </c>
      <c r="E336" s="7" t="s">
        <v>305</v>
      </c>
      <c r="F336" s="7">
        <v>1</v>
      </c>
      <c r="G336" s="7" t="s">
        <v>14</v>
      </c>
      <c r="J336" s="7">
        <f t="shared" si="29"/>
        <v>1900</v>
      </c>
      <c r="K336" s="7">
        <f t="shared" si="33"/>
        <v>1</v>
      </c>
      <c r="L336" s="7">
        <f t="shared" si="34"/>
        <v>45868</v>
      </c>
      <c r="M336" s="7" t="s">
        <v>152</v>
      </c>
      <c r="O336" s="17" t="s">
        <v>682</v>
      </c>
      <c r="P336" s="7">
        <f t="shared" si="32"/>
        <v>7</v>
      </c>
      <c r="Q336" s="7">
        <f t="shared" si="35"/>
        <v>2025</v>
      </c>
    </row>
    <row r="337" spans="1:17" x14ac:dyDescent="0.25">
      <c r="A337" s="7">
        <v>2532</v>
      </c>
      <c r="B337" s="9" t="s">
        <v>9</v>
      </c>
      <c r="C337" s="9" t="s">
        <v>290</v>
      </c>
      <c r="D337" s="8">
        <v>45868</v>
      </c>
      <c r="E337" s="7" t="s">
        <v>306</v>
      </c>
      <c r="F337" s="7">
        <v>1</v>
      </c>
      <c r="G337" s="7" t="s">
        <v>14</v>
      </c>
      <c r="J337" s="7">
        <f t="shared" si="29"/>
        <v>1900</v>
      </c>
      <c r="K337" s="7">
        <f t="shared" si="33"/>
        <v>1</v>
      </c>
      <c r="L337" s="7">
        <f t="shared" si="34"/>
        <v>45868</v>
      </c>
      <c r="M337" s="7" t="s">
        <v>152</v>
      </c>
      <c r="O337" s="17" t="s">
        <v>682</v>
      </c>
      <c r="P337" s="7">
        <f t="shared" si="32"/>
        <v>7</v>
      </c>
      <c r="Q337" s="7">
        <f t="shared" si="35"/>
        <v>2025</v>
      </c>
    </row>
    <row r="338" spans="1:17" x14ac:dyDescent="0.25">
      <c r="A338" s="7">
        <v>2532</v>
      </c>
      <c r="B338" s="9" t="s">
        <v>9</v>
      </c>
      <c r="C338" s="9" t="s">
        <v>290</v>
      </c>
      <c r="D338" s="8">
        <v>45868</v>
      </c>
      <c r="E338" s="7" t="s">
        <v>307</v>
      </c>
      <c r="F338" s="7">
        <v>1</v>
      </c>
      <c r="G338" s="7" t="s">
        <v>14</v>
      </c>
      <c r="J338" s="7">
        <f t="shared" si="29"/>
        <v>1900</v>
      </c>
      <c r="K338" s="7">
        <f t="shared" si="33"/>
        <v>1</v>
      </c>
      <c r="L338" s="7">
        <f t="shared" si="34"/>
        <v>45868</v>
      </c>
      <c r="M338" s="7" t="s">
        <v>152</v>
      </c>
      <c r="O338" s="17" t="s">
        <v>682</v>
      </c>
      <c r="P338" s="7">
        <f t="shared" si="32"/>
        <v>7</v>
      </c>
      <c r="Q338" s="7">
        <f t="shared" si="35"/>
        <v>2025</v>
      </c>
    </row>
    <row r="339" spans="1:17" x14ac:dyDescent="0.25">
      <c r="A339" s="7">
        <v>2532</v>
      </c>
      <c r="B339" s="9" t="s">
        <v>9</v>
      </c>
      <c r="C339" s="9" t="s">
        <v>290</v>
      </c>
      <c r="D339" s="8">
        <v>45868</v>
      </c>
      <c r="E339" s="7" t="s">
        <v>293</v>
      </c>
      <c r="F339" s="7">
        <v>1</v>
      </c>
      <c r="G339" s="7" t="s">
        <v>14</v>
      </c>
      <c r="J339" s="7">
        <f t="shared" si="29"/>
        <v>1900</v>
      </c>
      <c r="K339" s="7">
        <f t="shared" si="33"/>
        <v>1</v>
      </c>
      <c r="L339" s="7">
        <f t="shared" si="34"/>
        <v>45868</v>
      </c>
      <c r="M339" s="7" t="s">
        <v>152</v>
      </c>
      <c r="O339" s="17" t="s">
        <v>682</v>
      </c>
      <c r="P339" s="7">
        <f t="shared" si="32"/>
        <v>7</v>
      </c>
      <c r="Q339" s="7">
        <f t="shared" si="35"/>
        <v>2025</v>
      </c>
    </row>
    <row r="340" spans="1:17" x14ac:dyDescent="0.25">
      <c r="A340" s="7">
        <v>2532</v>
      </c>
      <c r="B340" s="9" t="s">
        <v>9</v>
      </c>
      <c r="C340" s="9" t="s">
        <v>290</v>
      </c>
      <c r="D340" s="8">
        <v>45868</v>
      </c>
      <c r="E340" s="7" t="s">
        <v>294</v>
      </c>
      <c r="F340" s="7">
        <v>1</v>
      </c>
      <c r="G340" s="7" t="s">
        <v>14</v>
      </c>
      <c r="J340" s="7">
        <f t="shared" si="29"/>
        <v>1900</v>
      </c>
      <c r="K340" s="7">
        <f t="shared" si="33"/>
        <v>1</v>
      </c>
      <c r="L340" s="7">
        <f t="shared" si="34"/>
        <v>45868</v>
      </c>
      <c r="M340" s="7" t="s">
        <v>152</v>
      </c>
      <c r="O340" s="17" t="s">
        <v>682</v>
      </c>
      <c r="P340" s="7">
        <f t="shared" si="32"/>
        <v>7</v>
      </c>
      <c r="Q340" s="7">
        <f t="shared" si="35"/>
        <v>2025</v>
      </c>
    </row>
    <row r="341" spans="1:17" x14ac:dyDescent="0.25">
      <c r="A341" s="7">
        <v>2532</v>
      </c>
      <c r="B341" s="9" t="s">
        <v>9</v>
      </c>
      <c r="C341" s="9" t="s">
        <v>290</v>
      </c>
      <c r="D341" s="8">
        <v>45868</v>
      </c>
      <c r="E341" s="7" t="s">
        <v>308</v>
      </c>
      <c r="F341" s="7">
        <v>1</v>
      </c>
      <c r="G341" s="7" t="s">
        <v>14</v>
      </c>
      <c r="J341" s="7">
        <f t="shared" si="29"/>
        <v>1900</v>
      </c>
      <c r="K341" s="7">
        <f t="shared" si="33"/>
        <v>1</v>
      </c>
      <c r="L341" s="7">
        <f t="shared" si="34"/>
        <v>45868</v>
      </c>
      <c r="M341" s="7" t="s">
        <v>152</v>
      </c>
      <c r="O341" s="17" t="s">
        <v>682</v>
      </c>
      <c r="P341" s="7">
        <f t="shared" si="32"/>
        <v>7</v>
      </c>
      <c r="Q341" s="7">
        <f t="shared" si="35"/>
        <v>2025</v>
      </c>
    </row>
    <row r="342" spans="1:17" x14ac:dyDescent="0.25">
      <c r="A342" s="7">
        <v>2532</v>
      </c>
      <c r="B342" s="9" t="s">
        <v>9</v>
      </c>
      <c r="C342" s="9" t="s">
        <v>290</v>
      </c>
      <c r="D342" s="8">
        <v>45868</v>
      </c>
      <c r="E342" s="7" t="s">
        <v>344</v>
      </c>
      <c r="F342" s="7">
        <v>1</v>
      </c>
      <c r="G342" s="7" t="s">
        <v>14</v>
      </c>
      <c r="J342" s="7">
        <f t="shared" si="29"/>
        <v>1900</v>
      </c>
      <c r="K342" s="7">
        <f t="shared" si="33"/>
        <v>1</v>
      </c>
      <c r="L342" s="7">
        <f t="shared" si="34"/>
        <v>45868</v>
      </c>
      <c r="M342" s="7" t="s">
        <v>152</v>
      </c>
      <c r="O342" s="17" t="s">
        <v>682</v>
      </c>
      <c r="P342" s="7">
        <f t="shared" si="32"/>
        <v>7</v>
      </c>
      <c r="Q342" s="7">
        <f t="shared" si="35"/>
        <v>2025</v>
      </c>
    </row>
    <row r="343" spans="1:17" x14ac:dyDescent="0.25">
      <c r="A343" s="7">
        <v>2532</v>
      </c>
      <c r="B343" s="9" t="s">
        <v>9</v>
      </c>
      <c r="C343" s="9" t="s">
        <v>290</v>
      </c>
      <c r="D343" s="8">
        <v>45868</v>
      </c>
      <c r="E343" s="7" t="s">
        <v>345</v>
      </c>
      <c r="F343" s="7">
        <v>1</v>
      </c>
      <c r="G343" s="7" t="s">
        <v>14</v>
      </c>
      <c r="J343" s="7">
        <f t="shared" si="29"/>
        <v>1900</v>
      </c>
      <c r="K343" s="7">
        <f t="shared" si="33"/>
        <v>1</v>
      </c>
      <c r="L343" s="7">
        <f t="shared" si="34"/>
        <v>45868</v>
      </c>
      <c r="M343" s="7" t="s">
        <v>152</v>
      </c>
      <c r="O343" s="17" t="s">
        <v>682</v>
      </c>
      <c r="P343" s="7">
        <f t="shared" si="32"/>
        <v>7</v>
      </c>
      <c r="Q343" s="7">
        <f t="shared" si="35"/>
        <v>2025</v>
      </c>
    </row>
    <row r="344" spans="1:17" x14ac:dyDescent="0.25">
      <c r="A344" s="7">
        <v>2532</v>
      </c>
      <c r="B344" s="9" t="s">
        <v>9</v>
      </c>
      <c r="C344" s="9" t="s">
        <v>290</v>
      </c>
      <c r="D344" s="8">
        <v>45868</v>
      </c>
      <c r="E344" s="7" t="s">
        <v>346</v>
      </c>
      <c r="F344" s="7">
        <v>1</v>
      </c>
      <c r="G344" s="7" t="s">
        <v>14</v>
      </c>
      <c r="J344" s="7">
        <f t="shared" si="29"/>
        <v>1900</v>
      </c>
      <c r="K344" s="7">
        <f t="shared" si="33"/>
        <v>1</v>
      </c>
      <c r="L344" s="7">
        <f t="shared" si="34"/>
        <v>45868</v>
      </c>
      <c r="M344" s="7" t="s">
        <v>152</v>
      </c>
      <c r="O344" s="17" t="s">
        <v>682</v>
      </c>
      <c r="P344" s="7">
        <f t="shared" si="32"/>
        <v>7</v>
      </c>
      <c r="Q344" s="7">
        <f t="shared" si="35"/>
        <v>2025</v>
      </c>
    </row>
    <row r="345" spans="1:17" x14ac:dyDescent="0.25">
      <c r="A345" s="7">
        <v>2532</v>
      </c>
      <c r="B345" s="9" t="s">
        <v>9</v>
      </c>
      <c r="C345" s="9" t="s">
        <v>290</v>
      </c>
      <c r="D345" s="8">
        <v>45868</v>
      </c>
      <c r="E345" s="7" t="s">
        <v>347</v>
      </c>
      <c r="F345" s="7">
        <v>1</v>
      </c>
      <c r="G345" s="7" t="s">
        <v>14</v>
      </c>
      <c r="J345" s="7">
        <f t="shared" si="29"/>
        <v>1900</v>
      </c>
      <c r="K345" s="7">
        <f t="shared" si="33"/>
        <v>1</v>
      </c>
      <c r="L345" s="7">
        <f t="shared" si="34"/>
        <v>45868</v>
      </c>
      <c r="M345" s="7" t="s">
        <v>152</v>
      </c>
      <c r="O345" s="17" t="s">
        <v>682</v>
      </c>
      <c r="P345" s="7">
        <f t="shared" si="32"/>
        <v>7</v>
      </c>
      <c r="Q345" s="7">
        <f t="shared" si="35"/>
        <v>2025</v>
      </c>
    </row>
    <row r="346" spans="1:17" x14ac:dyDescent="0.25">
      <c r="A346" s="7">
        <v>2532</v>
      </c>
      <c r="B346" s="9" t="s">
        <v>9</v>
      </c>
      <c r="C346" s="9" t="s">
        <v>290</v>
      </c>
      <c r="D346" s="8">
        <v>45868</v>
      </c>
      <c r="E346" s="7" t="s">
        <v>348</v>
      </c>
      <c r="F346" s="7">
        <v>1</v>
      </c>
      <c r="G346" s="7" t="s">
        <v>14</v>
      </c>
      <c r="J346" s="7">
        <f t="shared" si="29"/>
        <v>1900</v>
      </c>
      <c r="K346" s="7">
        <f t="shared" si="33"/>
        <v>1</v>
      </c>
      <c r="L346" s="7">
        <f t="shared" si="34"/>
        <v>45868</v>
      </c>
      <c r="M346" s="7" t="s">
        <v>152</v>
      </c>
      <c r="O346" s="17" t="s">
        <v>682</v>
      </c>
      <c r="P346" s="7">
        <f t="shared" si="32"/>
        <v>7</v>
      </c>
      <c r="Q346" s="7">
        <f t="shared" si="35"/>
        <v>2025</v>
      </c>
    </row>
    <row r="347" spans="1:17" x14ac:dyDescent="0.25">
      <c r="A347" s="7">
        <v>2532</v>
      </c>
      <c r="B347" s="9" t="s">
        <v>9</v>
      </c>
      <c r="C347" s="9" t="s">
        <v>290</v>
      </c>
      <c r="D347" s="8">
        <v>45868</v>
      </c>
      <c r="E347" s="7" t="s">
        <v>349</v>
      </c>
      <c r="F347" s="7">
        <v>1</v>
      </c>
      <c r="G347" s="7" t="s">
        <v>14</v>
      </c>
      <c r="J347" s="7">
        <f t="shared" si="29"/>
        <v>1900</v>
      </c>
      <c r="K347" s="7">
        <f t="shared" si="33"/>
        <v>1</v>
      </c>
      <c r="L347" s="7">
        <f t="shared" si="34"/>
        <v>45868</v>
      </c>
      <c r="M347" s="7" t="s">
        <v>152</v>
      </c>
      <c r="O347" s="17" t="s">
        <v>682</v>
      </c>
      <c r="P347" s="7">
        <f t="shared" si="32"/>
        <v>7</v>
      </c>
      <c r="Q347" s="7">
        <f t="shared" si="35"/>
        <v>2025</v>
      </c>
    </row>
    <row r="348" spans="1:17" x14ac:dyDescent="0.25">
      <c r="A348" s="7">
        <v>2532</v>
      </c>
      <c r="B348" s="9" t="s">
        <v>9</v>
      </c>
      <c r="C348" s="9" t="s">
        <v>290</v>
      </c>
      <c r="D348" s="8">
        <v>45868</v>
      </c>
      <c r="E348" s="7" t="s">
        <v>350</v>
      </c>
      <c r="F348" s="7">
        <v>1</v>
      </c>
      <c r="G348" s="7" t="s">
        <v>14</v>
      </c>
      <c r="J348" s="7">
        <f t="shared" si="29"/>
        <v>1900</v>
      </c>
      <c r="K348" s="7">
        <f t="shared" si="33"/>
        <v>1</v>
      </c>
      <c r="L348" s="7">
        <f t="shared" si="34"/>
        <v>45868</v>
      </c>
      <c r="M348" s="7" t="s">
        <v>152</v>
      </c>
      <c r="O348" s="17" t="s">
        <v>682</v>
      </c>
      <c r="P348" s="7">
        <f t="shared" si="32"/>
        <v>7</v>
      </c>
      <c r="Q348" s="7">
        <f t="shared" si="35"/>
        <v>2025</v>
      </c>
    </row>
    <row r="349" spans="1:17" x14ac:dyDescent="0.25">
      <c r="A349" s="7">
        <v>2532</v>
      </c>
      <c r="B349" s="9" t="s">
        <v>9</v>
      </c>
      <c r="C349" s="9" t="s">
        <v>290</v>
      </c>
      <c r="D349" s="8">
        <v>45868</v>
      </c>
      <c r="E349" s="7" t="s">
        <v>351</v>
      </c>
      <c r="F349" s="7">
        <v>1</v>
      </c>
      <c r="G349" s="7" t="s">
        <v>14</v>
      </c>
      <c r="J349" s="7">
        <f t="shared" si="29"/>
        <v>1900</v>
      </c>
      <c r="K349" s="7">
        <f t="shared" si="33"/>
        <v>1</v>
      </c>
      <c r="L349" s="7">
        <f t="shared" si="34"/>
        <v>45868</v>
      </c>
      <c r="M349" s="7" t="s">
        <v>152</v>
      </c>
      <c r="O349" s="17" t="s">
        <v>682</v>
      </c>
      <c r="P349" s="7">
        <f t="shared" si="32"/>
        <v>7</v>
      </c>
      <c r="Q349" s="7">
        <f t="shared" si="35"/>
        <v>2025</v>
      </c>
    </row>
    <row r="350" spans="1:17" x14ac:dyDescent="0.25">
      <c r="A350" s="7">
        <v>2532</v>
      </c>
      <c r="B350" s="9" t="s">
        <v>9</v>
      </c>
      <c r="C350" s="9" t="s">
        <v>290</v>
      </c>
      <c r="D350" s="8">
        <v>45868</v>
      </c>
      <c r="E350" s="7" t="s">
        <v>352</v>
      </c>
      <c r="F350" s="7">
        <v>1</v>
      </c>
      <c r="G350" s="7" t="s">
        <v>14</v>
      </c>
      <c r="J350" s="7">
        <f t="shared" si="29"/>
        <v>1900</v>
      </c>
      <c r="K350" s="7">
        <f t="shared" si="33"/>
        <v>1</v>
      </c>
      <c r="L350" s="7">
        <f t="shared" si="34"/>
        <v>45868</v>
      </c>
      <c r="M350" s="7" t="s">
        <v>152</v>
      </c>
      <c r="O350" s="17" t="s">
        <v>682</v>
      </c>
      <c r="P350" s="7">
        <f t="shared" si="32"/>
        <v>7</v>
      </c>
      <c r="Q350" s="7">
        <f t="shared" si="35"/>
        <v>2025</v>
      </c>
    </row>
    <row r="351" spans="1:17" x14ac:dyDescent="0.25">
      <c r="A351" s="7">
        <v>2532</v>
      </c>
      <c r="B351" s="9" t="s">
        <v>9</v>
      </c>
      <c r="C351" s="9" t="s">
        <v>290</v>
      </c>
      <c r="D351" s="8">
        <v>45868</v>
      </c>
      <c r="E351" s="7" t="s">
        <v>353</v>
      </c>
      <c r="F351" s="7">
        <v>1</v>
      </c>
      <c r="G351" s="7" t="s">
        <v>14</v>
      </c>
      <c r="J351" s="7">
        <f t="shared" si="29"/>
        <v>1900</v>
      </c>
      <c r="K351" s="7">
        <f t="shared" si="33"/>
        <v>1</v>
      </c>
      <c r="L351" s="7">
        <f t="shared" si="34"/>
        <v>45868</v>
      </c>
      <c r="M351" s="7" t="s">
        <v>152</v>
      </c>
      <c r="O351" s="17" t="s">
        <v>682</v>
      </c>
      <c r="P351" s="7">
        <f t="shared" si="32"/>
        <v>7</v>
      </c>
      <c r="Q351" s="7">
        <f t="shared" si="35"/>
        <v>2025</v>
      </c>
    </row>
    <row r="352" spans="1:17" x14ac:dyDescent="0.25">
      <c r="A352" s="7">
        <v>2532</v>
      </c>
      <c r="B352" s="9" t="s">
        <v>9</v>
      </c>
      <c r="C352" s="9" t="s">
        <v>290</v>
      </c>
      <c r="D352" s="8">
        <v>45868</v>
      </c>
      <c r="E352" s="7" t="s">
        <v>354</v>
      </c>
      <c r="F352" s="7">
        <v>1</v>
      </c>
      <c r="G352" s="7" t="s">
        <v>14</v>
      </c>
      <c r="J352" s="7">
        <f t="shared" si="29"/>
        <v>1900</v>
      </c>
      <c r="K352" s="7">
        <f t="shared" si="33"/>
        <v>1</v>
      </c>
      <c r="L352" s="7">
        <f t="shared" si="34"/>
        <v>45868</v>
      </c>
      <c r="M352" s="7" t="s">
        <v>152</v>
      </c>
      <c r="O352" s="17" t="s">
        <v>682</v>
      </c>
      <c r="P352" s="7">
        <f t="shared" si="32"/>
        <v>7</v>
      </c>
      <c r="Q352" s="7">
        <f t="shared" si="35"/>
        <v>2025</v>
      </c>
    </row>
    <row r="353" spans="1:17" x14ac:dyDescent="0.25">
      <c r="A353" s="7">
        <v>2532</v>
      </c>
      <c r="B353" s="9" t="s">
        <v>9</v>
      </c>
      <c r="C353" s="9" t="s">
        <v>290</v>
      </c>
      <c r="D353" s="8">
        <v>45868</v>
      </c>
      <c r="E353" s="7" t="s">
        <v>355</v>
      </c>
      <c r="F353" s="7">
        <v>1</v>
      </c>
      <c r="G353" s="7" t="s">
        <v>14</v>
      </c>
      <c r="J353" s="7">
        <f t="shared" si="29"/>
        <v>1900</v>
      </c>
      <c r="K353" s="7">
        <f t="shared" si="33"/>
        <v>1</v>
      </c>
      <c r="L353" s="7">
        <f t="shared" si="34"/>
        <v>45868</v>
      </c>
      <c r="M353" s="7" t="s">
        <v>152</v>
      </c>
      <c r="O353" s="17" t="s">
        <v>682</v>
      </c>
      <c r="P353" s="7">
        <f t="shared" si="32"/>
        <v>7</v>
      </c>
      <c r="Q353" s="7">
        <f t="shared" si="35"/>
        <v>2025</v>
      </c>
    </row>
    <row r="354" spans="1:17" x14ac:dyDescent="0.25">
      <c r="A354" s="7">
        <v>2532</v>
      </c>
      <c r="B354" s="9" t="s">
        <v>9</v>
      </c>
      <c r="C354" s="9" t="s">
        <v>290</v>
      </c>
      <c r="D354" s="8">
        <v>45868</v>
      </c>
      <c r="E354" s="7" t="s">
        <v>356</v>
      </c>
      <c r="F354" s="7">
        <v>1</v>
      </c>
      <c r="G354" s="7" t="s">
        <v>14</v>
      </c>
      <c r="J354" s="7">
        <f t="shared" ref="J354:J417" si="36">YEAR(I354)</f>
        <v>1900</v>
      </c>
      <c r="K354" s="7">
        <f t="shared" si="33"/>
        <v>1</v>
      </c>
      <c r="L354" s="7">
        <f t="shared" si="34"/>
        <v>45868</v>
      </c>
      <c r="M354" s="7" t="s">
        <v>152</v>
      </c>
      <c r="O354" s="17" t="s">
        <v>682</v>
      </c>
      <c r="P354" s="7">
        <f t="shared" si="32"/>
        <v>7</v>
      </c>
      <c r="Q354" s="7">
        <f t="shared" si="35"/>
        <v>2025</v>
      </c>
    </row>
    <row r="355" spans="1:17" x14ac:dyDescent="0.25">
      <c r="A355" s="7">
        <v>2532</v>
      </c>
      <c r="B355" s="9" t="s">
        <v>9</v>
      </c>
      <c r="C355" s="9" t="s">
        <v>290</v>
      </c>
      <c r="D355" s="8">
        <v>45868</v>
      </c>
      <c r="E355" s="7" t="s">
        <v>357</v>
      </c>
      <c r="F355" s="7">
        <v>1</v>
      </c>
      <c r="G355" s="7" t="s">
        <v>14</v>
      </c>
      <c r="J355" s="7">
        <f t="shared" si="36"/>
        <v>1900</v>
      </c>
      <c r="K355" s="7">
        <f t="shared" si="33"/>
        <v>1</v>
      </c>
      <c r="L355" s="7">
        <f t="shared" si="34"/>
        <v>45868</v>
      </c>
      <c r="M355" s="7" t="s">
        <v>152</v>
      </c>
      <c r="O355" s="17" t="s">
        <v>682</v>
      </c>
      <c r="P355" s="7">
        <f t="shared" si="32"/>
        <v>7</v>
      </c>
      <c r="Q355" s="7">
        <f t="shared" si="35"/>
        <v>2025</v>
      </c>
    </row>
    <row r="356" spans="1:17" x14ac:dyDescent="0.25">
      <c r="A356" s="7">
        <v>2532</v>
      </c>
      <c r="B356" s="9" t="s">
        <v>9</v>
      </c>
      <c r="C356" s="9" t="s">
        <v>290</v>
      </c>
      <c r="D356" s="8">
        <v>45868</v>
      </c>
      <c r="E356" s="7" t="s">
        <v>358</v>
      </c>
      <c r="F356" s="7">
        <v>1</v>
      </c>
      <c r="G356" s="7" t="s">
        <v>14</v>
      </c>
      <c r="J356" s="7">
        <f t="shared" si="36"/>
        <v>1900</v>
      </c>
      <c r="K356" s="7">
        <f t="shared" si="33"/>
        <v>1</v>
      </c>
      <c r="L356" s="7">
        <f t="shared" si="34"/>
        <v>45868</v>
      </c>
      <c r="M356" s="7" t="s">
        <v>152</v>
      </c>
      <c r="O356" s="17" t="s">
        <v>682</v>
      </c>
      <c r="P356" s="7">
        <f t="shared" si="32"/>
        <v>7</v>
      </c>
      <c r="Q356" s="7">
        <f t="shared" si="35"/>
        <v>2025</v>
      </c>
    </row>
    <row r="357" spans="1:17" x14ac:dyDescent="0.25">
      <c r="A357" s="7">
        <v>2532</v>
      </c>
      <c r="B357" s="9" t="s">
        <v>9</v>
      </c>
      <c r="C357" s="9" t="s">
        <v>290</v>
      </c>
      <c r="D357" s="8">
        <v>45868</v>
      </c>
      <c r="E357" s="7" t="s">
        <v>359</v>
      </c>
      <c r="F357" s="7">
        <v>1</v>
      </c>
      <c r="G357" s="7" t="s">
        <v>14</v>
      </c>
      <c r="J357" s="7">
        <f t="shared" si="36"/>
        <v>1900</v>
      </c>
      <c r="K357" s="7">
        <f t="shared" si="33"/>
        <v>1</v>
      </c>
      <c r="L357" s="7">
        <f t="shared" si="34"/>
        <v>45868</v>
      </c>
      <c r="M357" s="7" t="s">
        <v>152</v>
      </c>
      <c r="O357" s="17" t="s">
        <v>682</v>
      </c>
      <c r="P357" s="7">
        <f t="shared" si="32"/>
        <v>7</v>
      </c>
      <c r="Q357" s="7">
        <f t="shared" si="35"/>
        <v>2025</v>
      </c>
    </row>
    <row r="358" spans="1:17" x14ac:dyDescent="0.25">
      <c r="A358" s="7">
        <v>2532</v>
      </c>
      <c r="B358" s="9" t="s">
        <v>9</v>
      </c>
      <c r="C358" s="9" t="s">
        <v>290</v>
      </c>
      <c r="D358" s="8">
        <v>45868</v>
      </c>
      <c r="E358" s="7" t="s">
        <v>360</v>
      </c>
      <c r="F358" s="7">
        <v>1</v>
      </c>
      <c r="G358" s="7" t="s">
        <v>14</v>
      </c>
      <c r="J358" s="7">
        <f t="shared" si="36"/>
        <v>1900</v>
      </c>
      <c r="K358" s="7">
        <f t="shared" si="33"/>
        <v>1</v>
      </c>
      <c r="L358" s="7">
        <f t="shared" si="34"/>
        <v>45868</v>
      </c>
      <c r="M358" s="7" t="s">
        <v>152</v>
      </c>
      <c r="O358" s="17" t="s">
        <v>682</v>
      </c>
      <c r="P358" s="7">
        <f t="shared" si="32"/>
        <v>7</v>
      </c>
      <c r="Q358" s="7">
        <f t="shared" si="35"/>
        <v>2025</v>
      </c>
    </row>
    <row r="359" spans="1:17" x14ac:dyDescent="0.25">
      <c r="A359" s="7">
        <v>2532</v>
      </c>
      <c r="B359" s="9" t="s">
        <v>9</v>
      </c>
      <c r="C359" s="9" t="s">
        <v>290</v>
      </c>
      <c r="D359" s="8">
        <v>45868</v>
      </c>
      <c r="E359" s="7" t="s">
        <v>361</v>
      </c>
      <c r="F359" s="7">
        <v>1</v>
      </c>
      <c r="G359" s="7" t="s">
        <v>14</v>
      </c>
      <c r="J359" s="7">
        <f t="shared" si="36"/>
        <v>1900</v>
      </c>
      <c r="K359" s="7">
        <f t="shared" si="33"/>
        <v>1</v>
      </c>
      <c r="L359" s="7">
        <f t="shared" si="34"/>
        <v>45868</v>
      </c>
      <c r="M359" s="7" t="s">
        <v>152</v>
      </c>
      <c r="O359" s="17" t="s">
        <v>682</v>
      </c>
      <c r="P359" s="7">
        <f t="shared" si="32"/>
        <v>7</v>
      </c>
      <c r="Q359" s="7">
        <f t="shared" si="35"/>
        <v>2025</v>
      </c>
    </row>
    <row r="360" spans="1:17" x14ac:dyDescent="0.25">
      <c r="A360" s="7">
        <v>2532</v>
      </c>
      <c r="B360" s="9" t="s">
        <v>9</v>
      </c>
      <c r="C360" s="9" t="s">
        <v>290</v>
      </c>
      <c r="D360" s="8">
        <v>45868</v>
      </c>
      <c r="E360" s="7" t="s">
        <v>362</v>
      </c>
      <c r="F360" s="7">
        <v>1</v>
      </c>
      <c r="G360" s="7" t="s">
        <v>14</v>
      </c>
      <c r="J360" s="7">
        <f t="shared" si="36"/>
        <v>1900</v>
      </c>
      <c r="K360" s="7">
        <f t="shared" si="33"/>
        <v>1</v>
      </c>
      <c r="L360" s="7">
        <f t="shared" si="34"/>
        <v>45868</v>
      </c>
      <c r="M360" s="7" t="s">
        <v>152</v>
      </c>
      <c r="O360" s="17" t="s">
        <v>682</v>
      </c>
      <c r="P360" s="7">
        <f t="shared" si="32"/>
        <v>7</v>
      </c>
      <c r="Q360" s="7">
        <f t="shared" si="35"/>
        <v>2025</v>
      </c>
    </row>
    <row r="361" spans="1:17" x14ac:dyDescent="0.25">
      <c r="A361" s="7">
        <v>2532</v>
      </c>
      <c r="B361" s="9" t="s">
        <v>9</v>
      </c>
      <c r="C361" s="9" t="s">
        <v>290</v>
      </c>
      <c r="D361" s="8">
        <v>45868</v>
      </c>
      <c r="E361" s="7" t="s">
        <v>363</v>
      </c>
      <c r="F361" s="7">
        <v>1</v>
      </c>
      <c r="G361" s="7" t="s">
        <v>14</v>
      </c>
      <c r="J361" s="7">
        <f t="shared" si="36"/>
        <v>1900</v>
      </c>
      <c r="K361" s="7">
        <f t="shared" si="33"/>
        <v>1</v>
      </c>
      <c r="L361" s="7">
        <f t="shared" si="34"/>
        <v>45868</v>
      </c>
      <c r="M361" s="7" t="s">
        <v>152</v>
      </c>
      <c r="O361" s="17" t="s">
        <v>682</v>
      </c>
      <c r="P361" s="7">
        <f t="shared" si="32"/>
        <v>7</v>
      </c>
      <c r="Q361" s="7">
        <f t="shared" si="35"/>
        <v>2025</v>
      </c>
    </row>
    <row r="362" spans="1:17" x14ac:dyDescent="0.25">
      <c r="A362" s="7">
        <v>2532</v>
      </c>
      <c r="B362" s="9" t="s">
        <v>9</v>
      </c>
      <c r="C362" s="9" t="s">
        <v>290</v>
      </c>
      <c r="D362" s="8">
        <v>45868</v>
      </c>
      <c r="E362" s="7" t="s">
        <v>364</v>
      </c>
      <c r="F362" s="7">
        <v>1</v>
      </c>
      <c r="G362" s="7" t="s">
        <v>14</v>
      </c>
      <c r="J362" s="7">
        <f t="shared" si="36"/>
        <v>1900</v>
      </c>
      <c r="K362" s="7">
        <f t="shared" si="33"/>
        <v>1</v>
      </c>
      <c r="L362" s="7">
        <f t="shared" si="34"/>
        <v>45868</v>
      </c>
      <c r="M362" s="7" t="s">
        <v>152</v>
      </c>
      <c r="O362" s="17" t="s">
        <v>682</v>
      </c>
      <c r="P362" s="7">
        <f t="shared" si="32"/>
        <v>7</v>
      </c>
      <c r="Q362" s="7">
        <f t="shared" si="35"/>
        <v>2025</v>
      </c>
    </row>
    <row r="363" spans="1:17" x14ac:dyDescent="0.25">
      <c r="A363" s="7">
        <v>2532</v>
      </c>
      <c r="B363" s="9" t="s">
        <v>9</v>
      </c>
      <c r="C363" s="9" t="s">
        <v>290</v>
      </c>
      <c r="D363" s="8">
        <v>45868</v>
      </c>
      <c r="E363" s="7" t="s">
        <v>365</v>
      </c>
      <c r="F363" s="7">
        <v>1</v>
      </c>
      <c r="G363" s="7" t="s">
        <v>14</v>
      </c>
      <c r="J363" s="7">
        <f t="shared" si="36"/>
        <v>1900</v>
      </c>
      <c r="K363" s="7">
        <f t="shared" si="33"/>
        <v>1</v>
      </c>
      <c r="L363" s="7">
        <f t="shared" si="34"/>
        <v>45868</v>
      </c>
      <c r="M363" s="7" t="s">
        <v>152</v>
      </c>
      <c r="O363" s="17" t="s">
        <v>682</v>
      </c>
      <c r="P363" s="7">
        <f t="shared" si="32"/>
        <v>7</v>
      </c>
      <c r="Q363" s="7">
        <f t="shared" si="35"/>
        <v>2025</v>
      </c>
    </row>
    <row r="364" spans="1:17" x14ac:dyDescent="0.25">
      <c r="A364" s="7">
        <v>2532</v>
      </c>
      <c r="B364" s="9" t="s">
        <v>9</v>
      </c>
      <c r="C364" s="9" t="s">
        <v>290</v>
      </c>
      <c r="D364" s="8">
        <v>45868</v>
      </c>
      <c r="E364" s="7" t="s">
        <v>366</v>
      </c>
      <c r="F364" s="7">
        <v>1</v>
      </c>
      <c r="G364" s="7" t="s">
        <v>14</v>
      </c>
      <c r="J364" s="7">
        <f t="shared" si="36"/>
        <v>1900</v>
      </c>
      <c r="K364" s="7">
        <f t="shared" si="33"/>
        <v>1</v>
      </c>
      <c r="L364" s="7">
        <f t="shared" si="34"/>
        <v>45868</v>
      </c>
      <c r="M364" s="7" t="s">
        <v>152</v>
      </c>
      <c r="O364" s="17" t="s">
        <v>682</v>
      </c>
      <c r="P364" s="7">
        <f t="shared" si="32"/>
        <v>7</v>
      </c>
      <c r="Q364" s="7">
        <f t="shared" si="35"/>
        <v>2025</v>
      </c>
    </row>
    <row r="365" spans="1:17" x14ac:dyDescent="0.25">
      <c r="A365" s="7">
        <v>2532</v>
      </c>
      <c r="B365" s="9" t="s">
        <v>9</v>
      </c>
      <c r="C365" s="9" t="s">
        <v>290</v>
      </c>
      <c r="D365" s="8">
        <v>45868</v>
      </c>
      <c r="E365" s="7" t="s">
        <v>367</v>
      </c>
      <c r="F365" s="7">
        <v>1</v>
      </c>
      <c r="G365" s="7" t="s">
        <v>14</v>
      </c>
      <c r="J365" s="7">
        <f t="shared" si="36"/>
        <v>1900</v>
      </c>
      <c r="K365" s="7">
        <f t="shared" si="33"/>
        <v>1</v>
      </c>
      <c r="L365" s="7">
        <f t="shared" si="34"/>
        <v>45868</v>
      </c>
      <c r="M365" s="7" t="s">
        <v>152</v>
      </c>
      <c r="O365" s="17" t="s">
        <v>682</v>
      </c>
      <c r="P365" s="7">
        <f t="shared" si="32"/>
        <v>7</v>
      </c>
      <c r="Q365" s="7">
        <f t="shared" si="35"/>
        <v>2025</v>
      </c>
    </row>
    <row r="366" spans="1:17" x14ac:dyDescent="0.25">
      <c r="A366" s="7">
        <v>2532</v>
      </c>
      <c r="B366" s="9" t="s">
        <v>9</v>
      </c>
      <c r="C366" s="9" t="s">
        <v>290</v>
      </c>
      <c r="D366" s="8">
        <v>45868</v>
      </c>
      <c r="E366" s="7" t="s">
        <v>368</v>
      </c>
      <c r="F366" s="7">
        <v>1</v>
      </c>
      <c r="G366" s="7" t="s">
        <v>14</v>
      </c>
      <c r="J366" s="7">
        <f t="shared" si="36"/>
        <v>1900</v>
      </c>
      <c r="K366" s="7">
        <f t="shared" si="33"/>
        <v>1</v>
      </c>
      <c r="L366" s="7">
        <f t="shared" si="34"/>
        <v>45868</v>
      </c>
      <c r="M366" s="7" t="s">
        <v>152</v>
      </c>
      <c r="O366" s="17" t="s">
        <v>682</v>
      </c>
      <c r="P366" s="7">
        <f t="shared" si="32"/>
        <v>7</v>
      </c>
      <c r="Q366" s="7">
        <f t="shared" si="35"/>
        <v>2025</v>
      </c>
    </row>
    <row r="367" spans="1:17" x14ac:dyDescent="0.25">
      <c r="A367" s="7">
        <v>2532</v>
      </c>
      <c r="B367" s="9" t="s">
        <v>9</v>
      </c>
      <c r="C367" s="9" t="s">
        <v>290</v>
      </c>
      <c r="D367" s="8">
        <v>45868</v>
      </c>
      <c r="E367" s="7" t="s">
        <v>369</v>
      </c>
      <c r="F367" s="7">
        <v>1</v>
      </c>
      <c r="G367" s="7" t="s">
        <v>14</v>
      </c>
      <c r="J367" s="7">
        <f t="shared" si="36"/>
        <v>1900</v>
      </c>
      <c r="K367" s="7">
        <f t="shared" si="33"/>
        <v>1</v>
      </c>
      <c r="L367" s="7">
        <f t="shared" si="34"/>
        <v>45868</v>
      </c>
      <c r="M367" s="7" t="s">
        <v>152</v>
      </c>
      <c r="O367" s="17" t="s">
        <v>682</v>
      </c>
      <c r="P367" s="7">
        <f t="shared" si="32"/>
        <v>7</v>
      </c>
      <c r="Q367" s="7">
        <f t="shared" si="35"/>
        <v>2025</v>
      </c>
    </row>
    <row r="368" spans="1:17" x14ac:dyDescent="0.25">
      <c r="A368" s="7">
        <v>2532</v>
      </c>
      <c r="B368" s="9" t="s">
        <v>9</v>
      </c>
      <c r="C368" s="9" t="s">
        <v>290</v>
      </c>
      <c r="D368" s="8">
        <v>45868</v>
      </c>
      <c r="E368" s="7" t="s">
        <v>370</v>
      </c>
      <c r="F368" s="7">
        <v>1</v>
      </c>
      <c r="G368" s="7" t="s">
        <v>14</v>
      </c>
      <c r="J368" s="7">
        <f t="shared" si="36"/>
        <v>1900</v>
      </c>
      <c r="K368" s="7">
        <f t="shared" si="33"/>
        <v>1</v>
      </c>
      <c r="L368" s="7">
        <f t="shared" si="34"/>
        <v>45868</v>
      </c>
      <c r="M368" s="7" t="s">
        <v>152</v>
      </c>
      <c r="O368" s="17" t="s">
        <v>682</v>
      </c>
      <c r="P368" s="7">
        <f t="shared" si="32"/>
        <v>7</v>
      </c>
      <c r="Q368" s="7">
        <f t="shared" si="35"/>
        <v>2025</v>
      </c>
    </row>
    <row r="369" spans="1:17" x14ac:dyDescent="0.25">
      <c r="A369" s="7">
        <v>2532</v>
      </c>
      <c r="B369" s="9" t="s">
        <v>9</v>
      </c>
      <c r="C369" s="9" t="s">
        <v>290</v>
      </c>
      <c r="D369" s="8">
        <v>45868</v>
      </c>
      <c r="E369" s="7" t="s">
        <v>371</v>
      </c>
      <c r="F369" s="7">
        <v>1</v>
      </c>
      <c r="G369" s="7" t="s">
        <v>14</v>
      </c>
      <c r="J369" s="7">
        <f t="shared" si="36"/>
        <v>1900</v>
      </c>
      <c r="K369" s="7">
        <f t="shared" si="33"/>
        <v>1</v>
      </c>
      <c r="L369" s="7">
        <f t="shared" si="34"/>
        <v>45868</v>
      </c>
      <c r="M369" s="7" t="s">
        <v>152</v>
      </c>
      <c r="O369" s="17" t="s">
        <v>682</v>
      </c>
      <c r="P369" s="7">
        <f t="shared" si="32"/>
        <v>7</v>
      </c>
      <c r="Q369" s="7">
        <f t="shared" si="35"/>
        <v>2025</v>
      </c>
    </row>
    <row r="370" spans="1:17" x14ac:dyDescent="0.25">
      <c r="A370" s="7">
        <v>2532</v>
      </c>
      <c r="B370" s="9" t="s">
        <v>9</v>
      </c>
      <c r="C370" s="9" t="s">
        <v>290</v>
      </c>
      <c r="D370" s="8">
        <v>45868</v>
      </c>
      <c r="E370" s="7" t="s">
        <v>372</v>
      </c>
      <c r="F370" s="7">
        <v>1</v>
      </c>
      <c r="G370" s="7" t="s">
        <v>14</v>
      </c>
      <c r="J370" s="7">
        <f t="shared" si="36"/>
        <v>1900</v>
      </c>
      <c r="K370" s="7">
        <f t="shared" si="33"/>
        <v>1</v>
      </c>
      <c r="L370" s="7">
        <f t="shared" si="34"/>
        <v>45868</v>
      </c>
      <c r="M370" s="7" t="s">
        <v>152</v>
      </c>
      <c r="O370" s="17" t="s">
        <v>682</v>
      </c>
      <c r="P370" s="7">
        <f t="shared" si="32"/>
        <v>7</v>
      </c>
      <c r="Q370" s="7">
        <f t="shared" si="35"/>
        <v>2025</v>
      </c>
    </row>
    <row r="371" spans="1:17" x14ac:dyDescent="0.25">
      <c r="A371" s="7">
        <v>2532</v>
      </c>
      <c r="B371" s="9" t="s">
        <v>9</v>
      </c>
      <c r="C371" s="9" t="s">
        <v>290</v>
      </c>
      <c r="D371" s="8">
        <v>45868</v>
      </c>
      <c r="E371" s="7" t="s">
        <v>373</v>
      </c>
      <c r="F371" s="7">
        <v>1</v>
      </c>
      <c r="G371" s="7" t="s">
        <v>14</v>
      </c>
      <c r="J371" s="7">
        <f t="shared" si="36"/>
        <v>1900</v>
      </c>
      <c r="K371" s="7">
        <f t="shared" si="33"/>
        <v>1</v>
      </c>
      <c r="L371" s="7">
        <f t="shared" si="34"/>
        <v>45868</v>
      </c>
      <c r="M371" s="7" t="s">
        <v>152</v>
      </c>
      <c r="O371" s="17" t="s">
        <v>682</v>
      </c>
      <c r="P371" s="7">
        <f t="shared" si="32"/>
        <v>7</v>
      </c>
      <c r="Q371" s="7">
        <f t="shared" si="35"/>
        <v>2025</v>
      </c>
    </row>
    <row r="372" spans="1:17" x14ac:dyDescent="0.25">
      <c r="A372" s="7">
        <v>2532</v>
      </c>
      <c r="B372" s="9" t="s">
        <v>9</v>
      </c>
      <c r="C372" s="9" t="s">
        <v>290</v>
      </c>
      <c r="D372" s="8">
        <v>45868</v>
      </c>
      <c r="E372" s="7" t="s">
        <v>374</v>
      </c>
      <c r="F372" s="7">
        <v>1</v>
      </c>
      <c r="G372" s="7" t="s">
        <v>14</v>
      </c>
      <c r="J372" s="7">
        <f t="shared" si="36"/>
        <v>1900</v>
      </c>
      <c r="K372" s="7">
        <f t="shared" si="33"/>
        <v>1</v>
      </c>
      <c r="L372" s="7">
        <f t="shared" si="34"/>
        <v>45868</v>
      </c>
      <c r="M372" s="7" t="s">
        <v>152</v>
      </c>
      <c r="O372" s="17" t="s">
        <v>682</v>
      </c>
      <c r="P372" s="7">
        <f t="shared" si="32"/>
        <v>7</v>
      </c>
      <c r="Q372" s="7">
        <f t="shared" si="35"/>
        <v>2025</v>
      </c>
    </row>
    <row r="373" spans="1:17" x14ac:dyDescent="0.25">
      <c r="A373" s="7">
        <v>2532</v>
      </c>
      <c r="B373" s="9" t="s">
        <v>9</v>
      </c>
      <c r="C373" s="9" t="s">
        <v>290</v>
      </c>
      <c r="D373" s="8">
        <v>45868</v>
      </c>
      <c r="E373" s="28" t="s">
        <v>375</v>
      </c>
      <c r="F373" s="7">
        <v>1</v>
      </c>
      <c r="G373" s="7" t="s">
        <v>14</v>
      </c>
      <c r="J373" s="7">
        <f t="shared" si="36"/>
        <v>1900</v>
      </c>
      <c r="K373" s="7">
        <f t="shared" si="33"/>
        <v>1</v>
      </c>
      <c r="L373" s="7">
        <f t="shared" si="34"/>
        <v>45868</v>
      </c>
      <c r="M373" s="7" t="s">
        <v>152</v>
      </c>
      <c r="O373" s="17" t="s">
        <v>682</v>
      </c>
      <c r="P373" s="7">
        <f t="shared" si="32"/>
        <v>7</v>
      </c>
      <c r="Q373" s="7">
        <f t="shared" si="35"/>
        <v>2025</v>
      </c>
    </row>
    <row r="374" spans="1:17" x14ac:dyDescent="0.25">
      <c r="A374" s="7">
        <v>2532</v>
      </c>
      <c r="B374" s="9" t="s">
        <v>9</v>
      </c>
      <c r="C374" s="9" t="s">
        <v>290</v>
      </c>
      <c r="D374" s="8">
        <v>45868</v>
      </c>
      <c r="E374" s="7" t="s">
        <v>376</v>
      </c>
      <c r="F374" s="7">
        <v>1</v>
      </c>
      <c r="G374" s="7" t="s">
        <v>14</v>
      </c>
      <c r="J374" s="7">
        <f t="shared" si="36"/>
        <v>1900</v>
      </c>
      <c r="K374" s="7">
        <f t="shared" si="33"/>
        <v>1</v>
      </c>
      <c r="L374" s="7">
        <f t="shared" si="34"/>
        <v>45868</v>
      </c>
      <c r="M374" s="7" t="s">
        <v>152</v>
      </c>
      <c r="O374" s="17" t="s">
        <v>682</v>
      </c>
      <c r="P374" s="7">
        <f t="shared" si="32"/>
        <v>7</v>
      </c>
      <c r="Q374" s="7">
        <f t="shared" si="35"/>
        <v>2025</v>
      </c>
    </row>
    <row r="375" spans="1:17" x14ac:dyDescent="0.25">
      <c r="A375" s="7">
        <v>2532</v>
      </c>
      <c r="B375" s="9" t="s">
        <v>9</v>
      </c>
      <c r="C375" s="9" t="s">
        <v>290</v>
      </c>
      <c r="D375" s="8">
        <v>45868</v>
      </c>
      <c r="E375" s="7" t="s">
        <v>377</v>
      </c>
      <c r="F375" s="7">
        <v>1</v>
      </c>
      <c r="G375" s="7" t="s">
        <v>14</v>
      </c>
      <c r="J375" s="7">
        <f t="shared" si="36"/>
        <v>1900</v>
      </c>
      <c r="K375" s="7">
        <f t="shared" si="33"/>
        <v>1</v>
      </c>
      <c r="L375" s="7">
        <f t="shared" si="34"/>
        <v>45868</v>
      </c>
      <c r="M375" s="7" t="s">
        <v>152</v>
      </c>
      <c r="O375" s="17" t="s">
        <v>682</v>
      </c>
      <c r="P375" s="7">
        <f t="shared" si="32"/>
        <v>7</v>
      </c>
      <c r="Q375" s="7">
        <f t="shared" si="35"/>
        <v>2025</v>
      </c>
    </row>
    <row r="376" spans="1:17" x14ac:dyDescent="0.25">
      <c r="A376" s="7">
        <v>2532</v>
      </c>
      <c r="B376" s="9" t="s">
        <v>9</v>
      </c>
      <c r="C376" s="9" t="s">
        <v>290</v>
      </c>
      <c r="D376" s="8">
        <v>45868</v>
      </c>
      <c r="E376" s="7" t="s">
        <v>378</v>
      </c>
      <c r="F376" s="7">
        <v>1</v>
      </c>
      <c r="G376" s="7" t="s">
        <v>14</v>
      </c>
      <c r="J376" s="7">
        <f t="shared" si="36"/>
        <v>1900</v>
      </c>
      <c r="K376" s="7">
        <f t="shared" si="33"/>
        <v>1</v>
      </c>
      <c r="L376" s="7">
        <f t="shared" si="34"/>
        <v>45868</v>
      </c>
      <c r="M376" s="7" t="s">
        <v>152</v>
      </c>
      <c r="O376" s="17" t="s">
        <v>682</v>
      </c>
      <c r="P376" s="7">
        <f t="shared" si="32"/>
        <v>7</v>
      </c>
      <c r="Q376" s="7">
        <f t="shared" si="35"/>
        <v>2025</v>
      </c>
    </row>
    <row r="377" spans="1:17" x14ac:dyDescent="0.25">
      <c r="A377" s="7">
        <v>2532</v>
      </c>
      <c r="B377" s="9" t="s">
        <v>9</v>
      </c>
      <c r="C377" s="9" t="s">
        <v>290</v>
      </c>
      <c r="D377" s="8">
        <v>45868</v>
      </c>
      <c r="E377" s="7" t="s">
        <v>379</v>
      </c>
      <c r="F377" s="7">
        <v>1</v>
      </c>
      <c r="G377" s="7" t="s">
        <v>14</v>
      </c>
      <c r="J377" s="7">
        <f t="shared" si="36"/>
        <v>1900</v>
      </c>
      <c r="K377" s="7">
        <f t="shared" si="33"/>
        <v>1</v>
      </c>
      <c r="L377" s="7">
        <f t="shared" si="34"/>
        <v>45868</v>
      </c>
      <c r="M377" s="7" t="s">
        <v>152</v>
      </c>
      <c r="O377" s="17" t="s">
        <v>682</v>
      </c>
      <c r="P377" s="7">
        <f t="shared" si="32"/>
        <v>7</v>
      </c>
      <c r="Q377" s="7">
        <f t="shared" si="35"/>
        <v>2025</v>
      </c>
    </row>
    <row r="378" spans="1:17" x14ac:dyDescent="0.25">
      <c r="A378" s="7">
        <v>2532</v>
      </c>
      <c r="B378" s="9" t="s">
        <v>9</v>
      </c>
      <c r="C378" s="9" t="s">
        <v>290</v>
      </c>
      <c r="D378" s="8">
        <v>45868</v>
      </c>
      <c r="E378" s="7" t="s">
        <v>380</v>
      </c>
      <c r="F378" s="7">
        <v>1</v>
      </c>
      <c r="G378" s="7" t="s">
        <v>14</v>
      </c>
      <c r="J378" s="7">
        <f t="shared" si="36"/>
        <v>1900</v>
      </c>
      <c r="K378" s="7">
        <f t="shared" si="33"/>
        <v>1</v>
      </c>
      <c r="L378" s="7">
        <f t="shared" si="34"/>
        <v>45868</v>
      </c>
      <c r="M378" s="7" t="s">
        <v>152</v>
      </c>
      <c r="O378" s="17" t="s">
        <v>682</v>
      </c>
      <c r="P378" s="7">
        <f t="shared" si="32"/>
        <v>7</v>
      </c>
      <c r="Q378" s="7">
        <f t="shared" si="35"/>
        <v>2025</v>
      </c>
    </row>
    <row r="379" spans="1:17" x14ac:dyDescent="0.25">
      <c r="A379" s="7">
        <v>2532</v>
      </c>
      <c r="B379" s="9" t="s">
        <v>9</v>
      </c>
      <c r="C379" s="9" t="s">
        <v>290</v>
      </c>
      <c r="D379" s="8">
        <v>45868</v>
      </c>
      <c r="E379" s="7" t="s">
        <v>381</v>
      </c>
      <c r="F379" s="7">
        <v>1</v>
      </c>
      <c r="G379" s="7" t="s">
        <v>14</v>
      </c>
      <c r="J379" s="7">
        <f t="shared" si="36"/>
        <v>1900</v>
      </c>
      <c r="K379" s="7">
        <f t="shared" si="33"/>
        <v>1</v>
      </c>
      <c r="L379" s="7">
        <f t="shared" si="34"/>
        <v>45868</v>
      </c>
      <c r="M379" s="7" t="s">
        <v>152</v>
      </c>
      <c r="O379" s="17" t="s">
        <v>682</v>
      </c>
      <c r="P379" s="7">
        <f t="shared" si="32"/>
        <v>7</v>
      </c>
      <c r="Q379" s="7">
        <f t="shared" si="35"/>
        <v>2025</v>
      </c>
    </row>
    <row r="380" spans="1:17" x14ac:dyDescent="0.25">
      <c r="A380" s="7">
        <v>2532</v>
      </c>
      <c r="B380" s="9" t="s">
        <v>9</v>
      </c>
      <c r="C380" s="9" t="s">
        <v>290</v>
      </c>
      <c r="D380" s="8">
        <v>45868</v>
      </c>
      <c r="E380" s="7" t="s">
        <v>382</v>
      </c>
      <c r="F380" s="7">
        <v>1</v>
      </c>
      <c r="G380" s="7" t="s">
        <v>14</v>
      </c>
      <c r="J380" s="7">
        <f t="shared" si="36"/>
        <v>1900</v>
      </c>
      <c r="K380" s="7">
        <f t="shared" si="33"/>
        <v>1</v>
      </c>
      <c r="L380" s="7">
        <f t="shared" si="34"/>
        <v>45868</v>
      </c>
      <c r="M380" s="7" t="s">
        <v>152</v>
      </c>
      <c r="O380" s="17" t="s">
        <v>682</v>
      </c>
      <c r="P380" s="7">
        <f t="shared" si="32"/>
        <v>7</v>
      </c>
      <c r="Q380" s="7">
        <f t="shared" si="35"/>
        <v>2025</v>
      </c>
    </row>
    <row r="381" spans="1:17" x14ac:dyDescent="0.25">
      <c r="A381" s="7">
        <v>2532</v>
      </c>
      <c r="B381" s="9" t="s">
        <v>9</v>
      </c>
      <c r="C381" s="9" t="s">
        <v>290</v>
      </c>
      <c r="D381" s="8">
        <v>45868</v>
      </c>
      <c r="E381" s="7" t="s">
        <v>387</v>
      </c>
      <c r="F381" s="7">
        <v>1</v>
      </c>
      <c r="G381" s="7" t="s">
        <v>14</v>
      </c>
      <c r="J381" s="7">
        <f t="shared" si="36"/>
        <v>1900</v>
      </c>
      <c r="K381" s="7">
        <f t="shared" si="33"/>
        <v>1</v>
      </c>
      <c r="L381" s="7">
        <f t="shared" si="34"/>
        <v>45868</v>
      </c>
      <c r="M381" s="7" t="s">
        <v>152</v>
      </c>
      <c r="O381" s="17" t="s">
        <v>682</v>
      </c>
      <c r="P381" s="7">
        <f t="shared" si="32"/>
        <v>7</v>
      </c>
      <c r="Q381" s="7">
        <f t="shared" si="35"/>
        <v>2025</v>
      </c>
    </row>
    <row r="382" spans="1:17" x14ac:dyDescent="0.25">
      <c r="A382" s="7">
        <v>2532</v>
      </c>
      <c r="B382" s="9" t="s">
        <v>9</v>
      </c>
      <c r="C382" s="9" t="s">
        <v>290</v>
      </c>
      <c r="D382" s="8">
        <v>45868</v>
      </c>
      <c r="E382" s="7" t="s">
        <v>383</v>
      </c>
      <c r="F382" s="7">
        <v>1</v>
      </c>
      <c r="G382" s="7" t="s">
        <v>14</v>
      </c>
      <c r="J382" s="7">
        <f t="shared" si="36"/>
        <v>1900</v>
      </c>
      <c r="K382" s="7">
        <f t="shared" ref="K382:K445" si="37">MONTH(I382)</f>
        <v>1</v>
      </c>
      <c r="L382" s="7">
        <f t="shared" si="34"/>
        <v>45868</v>
      </c>
      <c r="M382" s="7" t="s">
        <v>152</v>
      </c>
      <c r="O382" s="17" t="s">
        <v>682</v>
      </c>
      <c r="P382" s="7">
        <f t="shared" ref="P382:P445" si="38">MONTH(D382)</f>
        <v>7</v>
      </c>
      <c r="Q382" s="7">
        <f t="shared" si="35"/>
        <v>2025</v>
      </c>
    </row>
    <row r="383" spans="1:17" x14ac:dyDescent="0.25">
      <c r="A383" s="7">
        <v>2532</v>
      </c>
      <c r="B383" s="9" t="s">
        <v>9</v>
      </c>
      <c r="C383" s="9" t="s">
        <v>290</v>
      </c>
      <c r="D383" s="8">
        <v>45868</v>
      </c>
      <c r="E383" s="7" t="s">
        <v>384</v>
      </c>
      <c r="F383" s="7">
        <v>1</v>
      </c>
      <c r="G383" s="7" t="s">
        <v>14</v>
      </c>
      <c r="J383" s="7">
        <f t="shared" si="36"/>
        <v>1900</v>
      </c>
      <c r="K383" s="7">
        <f t="shared" si="37"/>
        <v>1</v>
      </c>
      <c r="L383" s="7">
        <f t="shared" si="34"/>
        <v>45868</v>
      </c>
      <c r="M383" s="7" t="s">
        <v>152</v>
      </c>
      <c r="O383" s="17" t="s">
        <v>682</v>
      </c>
      <c r="P383" s="7">
        <f t="shared" si="38"/>
        <v>7</v>
      </c>
      <c r="Q383" s="7">
        <f t="shared" si="35"/>
        <v>2025</v>
      </c>
    </row>
    <row r="384" spans="1:17" x14ac:dyDescent="0.25">
      <c r="A384" s="7">
        <v>2532</v>
      </c>
      <c r="B384" s="9" t="s">
        <v>9</v>
      </c>
      <c r="C384" s="9" t="s">
        <v>290</v>
      </c>
      <c r="D384" s="8">
        <v>45868</v>
      </c>
      <c r="E384" s="7" t="s">
        <v>388</v>
      </c>
      <c r="F384" s="7">
        <v>1</v>
      </c>
      <c r="G384" s="7" t="s">
        <v>14</v>
      </c>
      <c r="J384" s="7">
        <f t="shared" si="36"/>
        <v>1900</v>
      </c>
      <c r="K384" s="7">
        <f t="shared" si="37"/>
        <v>1</v>
      </c>
      <c r="L384" s="7">
        <f t="shared" ref="L384:L447" si="39">D384-I384</f>
        <v>45868</v>
      </c>
      <c r="M384" s="7" t="s">
        <v>152</v>
      </c>
      <c r="O384" s="17" t="s">
        <v>682</v>
      </c>
      <c r="P384" s="7">
        <f t="shared" si="38"/>
        <v>7</v>
      </c>
      <c r="Q384" s="7">
        <f t="shared" si="35"/>
        <v>2025</v>
      </c>
    </row>
    <row r="385" spans="1:17" x14ac:dyDescent="0.25">
      <c r="A385" s="7">
        <v>2532</v>
      </c>
      <c r="B385" s="9" t="s">
        <v>9</v>
      </c>
      <c r="C385" s="9" t="s">
        <v>290</v>
      </c>
      <c r="D385" s="8">
        <v>45868</v>
      </c>
      <c r="E385" s="7" t="s">
        <v>385</v>
      </c>
      <c r="F385" s="7">
        <v>1</v>
      </c>
      <c r="G385" s="7" t="s">
        <v>14</v>
      </c>
      <c r="J385" s="7">
        <f t="shared" si="36"/>
        <v>1900</v>
      </c>
      <c r="K385" s="7">
        <f t="shared" si="37"/>
        <v>1</v>
      </c>
      <c r="L385" s="7">
        <f t="shared" si="39"/>
        <v>45868</v>
      </c>
      <c r="M385" s="7" t="s">
        <v>152</v>
      </c>
      <c r="O385" s="17" t="s">
        <v>682</v>
      </c>
      <c r="P385" s="7">
        <f t="shared" si="38"/>
        <v>7</v>
      </c>
      <c r="Q385" s="7">
        <f t="shared" si="35"/>
        <v>2025</v>
      </c>
    </row>
    <row r="386" spans="1:17" x14ac:dyDescent="0.25">
      <c r="A386" s="7">
        <v>2532</v>
      </c>
      <c r="B386" s="9" t="s">
        <v>9</v>
      </c>
      <c r="C386" s="9" t="s">
        <v>290</v>
      </c>
      <c r="D386" s="8">
        <v>45868</v>
      </c>
      <c r="E386" s="7" t="s">
        <v>389</v>
      </c>
      <c r="F386" s="7">
        <v>1</v>
      </c>
      <c r="G386" s="7" t="s">
        <v>14</v>
      </c>
      <c r="J386" s="7">
        <f t="shared" si="36"/>
        <v>1900</v>
      </c>
      <c r="K386" s="7">
        <f t="shared" si="37"/>
        <v>1</v>
      </c>
      <c r="L386" s="7">
        <f t="shared" si="39"/>
        <v>45868</v>
      </c>
      <c r="M386" s="7" t="s">
        <v>152</v>
      </c>
      <c r="O386" s="17" t="s">
        <v>682</v>
      </c>
      <c r="P386" s="7">
        <f t="shared" si="38"/>
        <v>7</v>
      </c>
      <c r="Q386" s="7">
        <f t="shared" si="35"/>
        <v>2025</v>
      </c>
    </row>
    <row r="387" spans="1:17" x14ac:dyDescent="0.25">
      <c r="A387" s="7">
        <v>2532</v>
      </c>
      <c r="B387" s="9" t="s">
        <v>9</v>
      </c>
      <c r="C387" s="9" t="s">
        <v>290</v>
      </c>
      <c r="D387" s="8">
        <v>45868</v>
      </c>
      <c r="E387" s="7" t="s">
        <v>390</v>
      </c>
      <c r="F387" s="7">
        <v>1</v>
      </c>
      <c r="G387" s="7" t="s">
        <v>14</v>
      </c>
      <c r="J387" s="7">
        <f t="shared" si="36"/>
        <v>1900</v>
      </c>
      <c r="K387" s="7">
        <f t="shared" si="37"/>
        <v>1</v>
      </c>
      <c r="L387" s="7">
        <f t="shared" si="39"/>
        <v>45868</v>
      </c>
      <c r="M387" s="7" t="s">
        <v>152</v>
      </c>
      <c r="O387" s="17" t="s">
        <v>682</v>
      </c>
      <c r="P387" s="7">
        <f t="shared" si="38"/>
        <v>7</v>
      </c>
      <c r="Q387" s="7">
        <f t="shared" ref="Q387:Q450" si="40">YEAR(D387)</f>
        <v>2025</v>
      </c>
    </row>
    <row r="388" spans="1:17" x14ac:dyDescent="0.25">
      <c r="A388" s="7">
        <v>2532</v>
      </c>
      <c r="B388" s="9" t="s">
        <v>9</v>
      </c>
      <c r="C388" s="9" t="s">
        <v>290</v>
      </c>
      <c r="D388" s="8">
        <v>45868</v>
      </c>
      <c r="E388" s="7" t="s">
        <v>391</v>
      </c>
      <c r="F388" s="7">
        <v>1</v>
      </c>
      <c r="G388" s="7" t="s">
        <v>14</v>
      </c>
      <c r="J388" s="7">
        <f t="shared" si="36"/>
        <v>1900</v>
      </c>
      <c r="K388" s="7">
        <f t="shared" si="37"/>
        <v>1</v>
      </c>
      <c r="L388" s="7">
        <f t="shared" si="39"/>
        <v>45868</v>
      </c>
      <c r="M388" s="7" t="s">
        <v>152</v>
      </c>
      <c r="O388" s="17" t="s">
        <v>682</v>
      </c>
      <c r="P388" s="7">
        <f t="shared" si="38"/>
        <v>7</v>
      </c>
      <c r="Q388" s="7">
        <f t="shared" si="40"/>
        <v>2025</v>
      </c>
    </row>
    <row r="389" spans="1:17" x14ac:dyDescent="0.25">
      <c r="A389" s="7">
        <v>2532</v>
      </c>
      <c r="B389" s="9" t="s">
        <v>9</v>
      </c>
      <c r="C389" s="9" t="s">
        <v>290</v>
      </c>
      <c r="D389" s="8">
        <v>45868</v>
      </c>
      <c r="E389" s="7" t="s">
        <v>392</v>
      </c>
      <c r="F389" s="7">
        <v>1</v>
      </c>
      <c r="G389" s="7" t="s">
        <v>14</v>
      </c>
      <c r="J389" s="7">
        <f t="shared" si="36"/>
        <v>1900</v>
      </c>
      <c r="K389" s="7">
        <f t="shared" si="37"/>
        <v>1</v>
      </c>
      <c r="L389" s="7">
        <f t="shared" si="39"/>
        <v>45868</v>
      </c>
      <c r="M389" s="7" t="s">
        <v>152</v>
      </c>
      <c r="O389" s="17" t="s">
        <v>682</v>
      </c>
      <c r="P389" s="7">
        <f t="shared" si="38"/>
        <v>7</v>
      </c>
      <c r="Q389" s="7">
        <f t="shared" si="40"/>
        <v>2025</v>
      </c>
    </row>
    <row r="390" spans="1:17" x14ac:dyDescent="0.25">
      <c r="A390" s="7">
        <v>2532</v>
      </c>
      <c r="B390" s="9" t="s">
        <v>9</v>
      </c>
      <c r="C390" s="9" t="s">
        <v>290</v>
      </c>
      <c r="D390" s="8">
        <v>45868</v>
      </c>
      <c r="E390" s="7" t="s">
        <v>393</v>
      </c>
      <c r="F390" s="7">
        <v>1</v>
      </c>
      <c r="G390" s="7" t="s">
        <v>14</v>
      </c>
      <c r="J390" s="7">
        <f t="shared" si="36"/>
        <v>1900</v>
      </c>
      <c r="K390" s="7">
        <f t="shared" si="37"/>
        <v>1</v>
      </c>
      <c r="L390" s="7">
        <f t="shared" si="39"/>
        <v>45868</v>
      </c>
      <c r="M390" s="7" t="s">
        <v>152</v>
      </c>
      <c r="O390" s="17" t="s">
        <v>682</v>
      </c>
      <c r="P390" s="7">
        <f t="shared" si="38"/>
        <v>7</v>
      </c>
      <c r="Q390" s="7">
        <f t="shared" si="40"/>
        <v>2025</v>
      </c>
    </row>
    <row r="391" spans="1:17" x14ac:dyDescent="0.25">
      <c r="A391" s="7">
        <v>2532</v>
      </c>
      <c r="B391" s="9" t="s">
        <v>9</v>
      </c>
      <c r="C391" s="9" t="s">
        <v>290</v>
      </c>
      <c r="D391" s="8">
        <v>45868</v>
      </c>
      <c r="E391" s="7" t="s">
        <v>394</v>
      </c>
      <c r="F391" s="7">
        <v>1</v>
      </c>
      <c r="G391" s="7" t="s">
        <v>14</v>
      </c>
      <c r="J391" s="7">
        <f t="shared" si="36"/>
        <v>1900</v>
      </c>
      <c r="K391" s="7">
        <f t="shared" si="37"/>
        <v>1</v>
      </c>
      <c r="L391" s="7">
        <f t="shared" si="39"/>
        <v>45868</v>
      </c>
      <c r="M391" s="7" t="s">
        <v>152</v>
      </c>
      <c r="O391" s="17" t="s">
        <v>682</v>
      </c>
      <c r="P391" s="7">
        <f t="shared" si="38"/>
        <v>7</v>
      </c>
      <c r="Q391" s="7">
        <f t="shared" si="40"/>
        <v>2025</v>
      </c>
    </row>
    <row r="392" spans="1:17" x14ac:dyDescent="0.25">
      <c r="A392" s="7">
        <v>2532</v>
      </c>
      <c r="B392" s="9" t="s">
        <v>9</v>
      </c>
      <c r="C392" s="9" t="s">
        <v>290</v>
      </c>
      <c r="D392" s="8">
        <v>45868</v>
      </c>
      <c r="E392" s="7" t="s">
        <v>395</v>
      </c>
      <c r="F392" s="7">
        <v>1</v>
      </c>
      <c r="G392" s="7" t="s">
        <v>14</v>
      </c>
      <c r="J392" s="7">
        <f t="shared" si="36"/>
        <v>1900</v>
      </c>
      <c r="K392" s="7">
        <f t="shared" si="37"/>
        <v>1</v>
      </c>
      <c r="L392" s="7">
        <f t="shared" si="39"/>
        <v>45868</v>
      </c>
      <c r="M392" s="7" t="s">
        <v>152</v>
      </c>
      <c r="O392" s="17" t="s">
        <v>682</v>
      </c>
      <c r="P392" s="7">
        <f t="shared" si="38"/>
        <v>7</v>
      </c>
      <c r="Q392" s="7">
        <f t="shared" si="40"/>
        <v>2025</v>
      </c>
    </row>
    <row r="393" spans="1:17" x14ac:dyDescent="0.25">
      <c r="A393" s="7">
        <v>2532</v>
      </c>
      <c r="B393" s="9" t="s">
        <v>9</v>
      </c>
      <c r="C393" s="9" t="s">
        <v>290</v>
      </c>
      <c r="D393" s="8">
        <v>45868</v>
      </c>
      <c r="E393" s="7" t="s">
        <v>396</v>
      </c>
      <c r="F393" s="7">
        <v>1</v>
      </c>
      <c r="G393" s="7" t="s">
        <v>14</v>
      </c>
      <c r="J393" s="7">
        <f t="shared" si="36"/>
        <v>1900</v>
      </c>
      <c r="K393" s="7">
        <f t="shared" si="37"/>
        <v>1</v>
      </c>
      <c r="L393" s="7">
        <f t="shared" si="39"/>
        <v>45868</v>
      </c>
      <c r="M393" s="7" t="s">
        <v>152</v>
      </c>
      <c r="O393" s="17" t="s">
        <v>682</v>
      </c>
      <c r="P393" s="7">
        <f t="shared" si="38"/>
        <v>7</v>
      </c>
      <c r="Q393" s="7">
        <f t="shared" si="40"/>
        <v>2025</v>
      </c>
    </row>
    <row r="394" spans="1:17" x14ac:dyDescent="0.25">
      <c r="A394" s="7">
        <v>2532</v>
      </c>
      <c r="B394" s="9" t="s">
        <v>9</v>
      </c>
      <c r="C394" s="9" t="s">
        <v>290</v>
      </c>
      <c r="D394" s="8">
        <v>45868</v>
      </c>
      <c r="E394" s="7" t="s">
        <v>397</v>
      </c>
      <c r="F394" s="7">
        <v>1</v>
      </c>
      <c r="G394" s="7" t="s">
        <v>14</v>
      </c>
      <c r="J394" s="7">
        <f t="shared" si="36"/>
        <v>1900</v>
      </c>
      <c r="K394" s="7">
        <f t="shared" si="37"/>
        <v>1</v>
      </c>
      <c r="L394" s="7">
        <f t="shared" si="39"/>
        <v>45868</v>
      </c>
      <c r="M394" s="7" t="s">
        <v>152</v>
      </c>
      <c r="O394" s="17" t="s">
        <v>682</v>
      </c>
      <c r="P394" s="7">
        <f t="shared" si="38"/>
        <v>7</v>
      </c>
      <c r="Q394" s="7">
        <f t="shared" si="40"/>
        <v>2025</v>
      </c>
    </row>
    <row r="395" spans="1:17" x14ac:dyDescent="0.25">
      <c r="A395" s="7">
        <v>2532</v>
      </c>
      <c r="B395" s="9" t="s">
        <v>9</v>
      </c>
      <c r="C395" s="9" t="s">
        <v>290</v>
      </c>
      <c r="D395" s="8">
        <v>45868</v>
      </c>
      <c r="E395" s="7" t="s">
        <v>386</v>
      </c>
      <c r="F395" s="7">
        <v>1</v>
      </c>
      <c r="G395" s="7" t="s">
        <v>14</v>
      </c>
      <c r="J395" s="7">
        <f t="shared" si="36"/>
        <v>1900</v>
      </c>
      <c r="K395" s="7">
        <f t="shared" si="37"/>
        <v>1</v>
      </c>
      <c r="L395" s="7">
        <f t="shared" si="39"/>
        <v>45868</v>
      </c>
      <c r="M395" s="7" t="s">
        <v>152</v>
      </c>
      <c r="O395" s="17" t="s">
        <v>682</v>
      </c>
      <c r="P395" s="7">
        <f t="shared" si="38"/>
        <v>7</v>
      </c>
      <c r="Q395" s="7">
        <f t="shared" si="40"/>
        <v>2025</v>
      </c>
    </row>
    <row r="396" spans="1:17" x14ac:dyDescent="0.25">
      <c r="A396" s="7">
        <v>2532</v>
      </c>
      <c r="B396" s="9" t="s">
        <v>9</v>
      </c>
      <c r="C396" s="9" t="s">
        <v>290</v>
      </c>
      <c r="D396" s="8">
        <v>45868</v>
      </c>
      <c r="E396" s="7" t="s">
        <v>400</v>
      </c>
      <c r="F396" s="7">
        <v>1</v>
      </c>
      <c r="G396" s="7" t="s">
        <v>14</v>
      </c>
      <c r="J396" s="7">
        <f t="shared" si="36"/>
        <v>1900</v>
      </c>
      <c r="K396" s="7">
        <f t="shared" si="37"/>
        <v>1</v>
      </c>
      <c r="L396" s="7">
        <f t="shared" si="39"/>
        <v>45868</v>
      </c>
      <c r="M396" s="7" t="s">
        <v>152</v>
      </c>
      <c r="O396" s="17" t="s">
        <v>682</v>
      </c>
      <c r="P396" s="7">
        <f t="shared" si="38"/>
        <v>7</v>
      </c>
      <c r="Q396" s="7">
        <f t="shared" si="40"/>
        <v>2025</v>
      </c>
    </row>
    <row r="397" spans="1:17" x14ac:dyDescent="0.25">
      <c r="A397" s="7">
        <v>2532</v>
      </c>
      <c r="B397" s="9" t="s">
        <v>9</v>
      </c>
      <c r="C397" s="9" t="s">
        <v>290</v>
      </c>
      <c r="D397" s="8">
        <v>45868</v>
      </c>
      <c r="E397" s="7" t="s">
        <v>401</v>
      </c>
      <c r="F397" s="7">
        <v>1</v>
      </c>
      <c r="G397" s="7" t="s">
        <v>14</v>
      </c>
      <c r="J397" s="7">
        <f t="shared" si="36"/>
        <v>1900</v>
      </c>
      <c r="K397" s="7">
        <f t="shared" si="37"/>
        <v>1</v>
      </c>
      <c r="L397" s="7">
        <f t="shared" si="39"/>
        <v>45868</v>
      </c>
      <c r="M397" s="7" t="s">
        <v>152</v>
      </c>
      <c r="O397" s="17" t="s">
        <v>682</v>
      </c>
      <c r="P397" s="7">
        <f t="shared" si="38"/>
        <v>7</v>
      </c>
      <c r="Q397" s="7">
        <f t="shared" si="40"/>
        <v>2025</v>
      </c>
    </row>
    <row r="398" spans="1:17" x14ac:dyDescent="0.25">
      <c r="A398" s="7">
        <v>2532</v>
      </c>
      <c r="B398" s="9" t="s">
        <v>9</v>
      </c>
      <c r="C398" s="9" t="s">
        <v>290</v>
      </c>
      <c r="D398" s="8">
        <v>45868</v>
      </c>
      <c r="E398" s="7" t="s">
        <v>402</v>
      </c>
      <c r="F398" s="7">
        <v>1</v>
      </c>
      <c r="G398" s="7" t="s">
        <v>14</v>
      </c>
      <c r="J398" s="7">
        <f t="shared" si="36"/>
        <v>1900</v>
      </c>
      <c r="K398" s="7">
        <f t="shared" si="37"/>
        <v>1</v>
      </c>
      <c r="L398" s="7">
        <f t="shared" si="39"/>
        <v>45868</v>
      </c>
      <c r="M398" s="7" t="s">
        <v>152</v>
      </c>
      <c r="O398" s="17" t="s">
        <v>682</v>
      </c>
      <c r="P398" s="7">
        <f t="shared" si="38"/>
        <v>7</v>
      </c>
      <c r="Q398" s="7">
        <f t="shared" si="40"/>
        <v>2025</v>
      </c>
    </row>
    <row r="399" spans="1:17" x14ac:dyDescent="0.25">
      <c r="A399" s="7">
        <v>2532</v>
      </c>
      <c r="B399" s="9" t="s">
        <v>9</v>
      </c>
      <c r="C399" s="9" t="s">
        <v>290</v>
      </c>
      <c r="D399" s="8">
        <v>45868</v>
      </c>
      <c r="E399" s="7" t="s">
        <v>398</v>
      </c>
      <c r="F399" s="7">
        <v>1</v>
      </c>
      <c r="G399" s="7" t="s">
        <v>14</v>
      </c>
      <c r="J399" s="7">
        <f t="shared" si="36"/>
        <v>1900</v>
      </c>
      <c r="K399" s="7">
        <f t="shared" si="37"/>
        <v>1</v>
      </c>
      <c r="L399" s="7">
        <f t="shared" si="39"/>
        <v>45868</v>
      </c>
      <c r="M399" s="7" t="s">
        <v>152</v>
      </c>
      <c r="O399" s="17" t="s">
        <v>682</v>
      </c>
      <c r="P399" s="7">
        <f t="shared" si="38"/>
        <v>7</v>
      </c>
      <c r="Q399" s="7">
        <f t="shared" si="40"/>
        <v>2025</v>
      </c>
    </row>
    <row r="400" spans="1:17" x14ac:dyDescent="0.25">
      <c r="A400" s="7">
        <v>2532</v>
      </c>
      <c r="B400" s="9" t="s">
        <v>9</v>
      </c>
      <c r="C400" s="9" t="s">
        <v>290</v>
      </c>
      <c r="D400" s="8">
        <v>45868</v>
      </c>
      <c r="E400" s="7" t="s">
        <v>403</v>
      </c>
      <c r="F400" s="7">
        <v>1</v>
      </c>
      <c r="G400" s="7" t="s">
        <v>14</v>
      </c>
      <c r="J400" s="7">
        <f t="shared" si="36"/>
        <v>1900</v>
      </c>
      <c r="K400" s="7">
        <f t="shared" si="37"/>
        <v>1</v>
      </c>
      <c r="L400" s="7">
        <f t="shared" si="39"/>
        <v>45868</v>
      </c>
      <c r="M400" s="7" t="s">
        <v>152</v>
      </c>
      <c r="O400" s="17" t="s">
        <v>682</v>
      </c>
      <c r="P400" s="7">
        <f t="shared" si="38"/>
        <v>7</v>
      </c>
      <c r="Q400" s="7">
        <f t="shared" si="40"/>
        <v>2025</v>
      </c>
    </row>
    <row r="401" spans="1:17" x14ac:dyDescent="0.25">
      <c r="A401" s="7">
        <v>2532</v>
      </c>
      <c r="B401" s="9" t="s">
        <v>9</v>
      </c>
      <c r="C401" s="9" t="s">
        <v>290</v>
      </c>
      <c r="D401" s="8">
        <v>45868</v>
      </c>
      <c r="E401" s="7" t="s">
        <v>404</v>
      </c>
      <c r="F401" s="7">
        <v>1</v>
      </c>
      <c r="G401" s="7" t="s">
        <v>14</v>
      </c>
      <c r="J401" s="7">
        <f t="shared" si="36"/>
        <v>1900</v>
      </c>
      <c r="K401" s="7">
        <f t="shared" si="37"/>
        <v>1</v>
      </c>
      <c r="L401" s="7">
        <f t="shared" si="39"/>
        <v>45868</v>
      </c>
      <c r="M401" s="7" t="s">
        <v>152</v>
      </c>
      <c r="O401" s="17" t="s">
        <v>682</v>
      </c>
      <c r="P401" s="7">
        <f t="shared" si="38"/>
        <v>7</v>
      </c>
      <c r="Q401" s="7">
        <f t="shared" si="40"/>
        <v>2025</v>
      </c>
    </row>
    <row r="402" spans="1:17" x14ac:dyDescent="0.25">
      <c r="A402" s="7">
        <v>2532</v>
      </c>
      <c r="B402" s="9" t="s">
        <v>9</v>
      </c>
      <c r="C402" s="9" t="s">
        <v>290</v>
      </c>
      <c r="D402" s="8">
        <v>45868</v>
      </c>
      <c r="E402" s="7" t="s">
        <v>399</v>
      </c>
      <c r="F402" s="7">
        <v>1</v>
      </c>
      <c r="G402" s="7" t="s">
        <v>14</v>
      </c>
      <c r="J402" s="7">
        <f t="shared" si="36"/>
        <v>1900</v>
      </c>
      <c r="K402" s="7">
        <f t="shared" si="37"/>
        <v>1</v>
      </c>
      <c r="L402" s="7">
        <f t="shared" si="39"/>
        <v>45868</v>
      </c>
      <c r="M402" s="7" t="s">
        <v>152</v>
      </c>
      <c r="O402" s="17" t="s">
        <v>682</v>
      </c>
      <c r="P402" s="7">
        <f t="shared" si="38"/>
        <v>7</v>
      </c>
      <c r="Q402" s="7">
        <f t="shared" si="40"/>
        <v>2025</v>
      </c>
    </row>
    <row r="403" spans="1:17" x14ac:dyDescent="0.25">
      <c r="A403" s="7">
        <v>2532</v>
      </c>
      <c r="B403" s="9" t="s">
        <v>9</v>
      </c>
      <c r="C403" s="9" t="s">
        <v>290</v>
      </c>
      <c r="D403" s="8">
        <v>45868</v>
      </c>
      <c r="E403" s="7" t="s">
        <v>405</v>
      </c>
      <c r="F403" s="7">
        <v>1</v>
      </c>
      <c r="G403" s="7" t="s">
        <v>14</v>
      </c>
      <c r="J403" s="7">
        <f t="shared" si="36"/>
        <v>1900</v>
      </c>
      <c r="K403" s="7">
        <f t="shared" si="37"/>
        <v>1</v>
      </c>
      <c r="L403" s="7">
        <f t="shared" si="39"/>
        <v>45868</v>
      </c>
      <c r="M403" s="7" t="s">
        <v>152</v>
      </c>
      <c r="O403" s="17" t="s">
        <v>682</v>
      </c>
      <c r="P403" s="7">
        <f t="shared" si="38"/>
        <v>7</v>
      </c>
      <c r="Q403" s="7">
        <f t="shared" si="40"/>
        <v>2025</v>
      </c>
    </row>
    <row r="404" spans="1:17" x14ac:dyDescent="0.25">
      <c r="A404" s="7">
        <v>2532</v>
      </c>
      <c r="B404" s="9" t="s">
        <v>9</v>
      </c>
      <c r="C404" s="9" t="s">
        <v>290</v>
      </c>
      <c r="D404" s="8">
        <v>45868</v>
      </c>
      <c r="E404" s="7" t="s">
        <v>406</v>
      </c>
      <c r="F404" s="7">
        <v>1</v>
      </c>
      <c r="G404" s="7" t="s">
        <v>14</v>
      </c>
      <c r="J404" s="7">
        <f t="shared" si="36"/>
        <v>1900</v>
      </c>
      <c r="K404" s="7">
        <f t="shared" si="37"/>
        <v>1</v>
      </c>
      <c r="L404" s="7">
        <f t="shared" si="39"/>
        <v>45868</v>
      </c>
      <c r="M404" s="7" t="s">
        <v>152</v>
      </c>
      <c r="O404" s="17" t="s">
        <v>682</v>
      </c>
      <c r="P404" s="7">
        <f t="shared" si="38"/>
        <v>7</v>
      </c>
      <c r="Q404" s="7">
        <f t="shared" si="40"/>
        <v>2025</v>
      </c>
    </row>
    <row r="405" spans="1:17" x14ac:dyDescent="0.25">
      <c r="A405" s="7">
        <v>2532</v>
      </c>
      <c r="B405" s="9" t="s">
        <v>9</v>
      </c>
      <c r="C405" s="9" t="s">
        <v>290</v>
      </c>
      <c r="D405" s="8">
        <v>45868</v>
      </c>
      <c r="E405" s="7" t="s">
        <v>407</v>
      </c>
      <c r="F405" s="7">
        <v>1</v>
      </c>
      <c r="G405" s="7" t="s">
        <v>14</v>
      </c>
      <c r="J405" s="7">
        <f t="shared" si="36"/>
        <v>1900</v>
      </c>
      <c r="K405" s="7">
        <f t="shared" si="37"/>
        <v>1</v>
      </c>
      <c r="L405" s="7">
        <f t="shared" si="39"/>
        <v>45868</v>
      </c>
      <c r="M405" s="7" t="s">
        <v>152</v>
      </c>
      <c r="O405" s="17" t="s">
        <v>682</v>
      </c>
      <c r="P405" s="7">
        <f t="shared" si="38"/>
        <v>7</v>
      </c>
      <c r="Q405" s="7">
        <f t="shared" si="40"/>
        <v>2025</v>
      </c>
    </row>
    <row r="406" spans="1:17" x14ac:dyDescent="0.25">
      <c r="A406" s="7">
        <v>2532</v>
      </c>
      <c r="B406" s="9" t="s">
        <v>9</v>
      </c>
      <c r="C406" s="9" t="s">
        <v>290</v>
      </c>
      <c r="D406" s="8">
        <v>45868</v>
      </c>
      <c r="E406" s="7" t="s">
        <v>408</v>
      </c>
      <c r="F406" s="7">
        <v>1</v>
      </c>
      <c r="G406" s="7" t="s">
        <v>14</v>
      </c>
      <c r="J406" s="7">
        <f t="shared" si="36"/>
        <v>1900</v>
      </c>
      <c r="K406" s="7">
        <f t="shared" si="37"/>
        <v>1</v>
      </c>
      <c r="L406" s="7">
        <f t="shared" si="39"/>
        <v>45868</v>
      </c>
      <c r="M406" s="7" t="s">
        <v>152</v>
      </c>
      <c r="O406" s="17" t="s">
        <v>682</v>
      </c>
      <c r="P406" s="7">
        <f t="shared" si="38"/>
        <v>7</v>
      </c>
      <c r="Q406" s="7">
        <f t="shared" si="40"/>
        <v>2025</v>
      </c>
    </row>
    <row r="407" spans="1:17" x14ac:dyDescent="0.25">
      <c r="A407" s="7">
        <v>2532</v>
      </c>
      <c r="B407" s="9" t="s">
        <v>9</v>
      </c>
      <c r="C407" s="9" t="s">
        <v>290</v>
      </c>
      <c r="D407" s="8">
        <v>45868</v>
      </c>
      <c r="E407" s="7" t="s">
        <v>409</v>
      </c>
      <c r="F407" s="7">
        <v>1</v>
      </c>
      <c r="G407" s="7" t="s">
        <v>14</v>
      </c>
      <c r="J407" s="7">
        <f t="shared" si="36"/>
        <v>1900</v>
      </c>
      <c r="K407" s="7">
        <f t="shared" si="37"/>
        <v>1</v>
      </c>
      <c r="L407" s="7">
        <f t="shared" si="39"/>
        <v>45868</v>
      </c>
      <c r="M407" s="7" t="s">
        <v>152</v>
      </c>
      <c r="O407" s="17" t="s">
        <v>682</v>
      </c>
      <c r="P407" s="7">
        <f t="shared" si="38"/>
        <v>7</v>
      </c>
      <c r="Q407" s="7">
        <f t="shared" si="40"/>
        <v>2025</v>
      </c>
    </row>
    <row r="408" spans="1:17" x14ac:dyDescent="0.25">
      <c r="A408" s="7">
        <v>2532</v>
      </c>
      <c r="B408" s="9" t="s">
        <v>9</v>
      </c>
      <c r="C408" s="9" t="s">
        <v>290</v>
      </c>
      <c r="D408" s="8">
        <v>45868</v>
      </c>
      <c r="E408" s="7" t="s">
        <v>410</v>
      </c>
      <c r="F408" s="7">
        <v>1</v>
      </c>
      <c r="G408" s="7" t="s">
        <v>14</v>
      </c>
      <c r="J408" s="7">
        <f t="shared" si="36"/>
        <v>1900</v>
      </c>
      <c r="K408" s="7">
        <f t="shared" si="37"/>
        <v>1</v>
      </c>
      <c r="L408" s="7">
        <f t="shared" si="39"/>
        <v>45868</v>
      </c>
      <c r="M408" s="7" t="s">
        <v>152</v>
      </c>
      <c r="O408" s="17" t="s">
        <v>682</v>
      </c>
      <c r="P408" s="7">
        <f t="shared" si="38"/>
        <v>7</v>
      </c>
      <c r="Q408" s="7">
        <f t="shared" si="40"/>
        <v>2025</v>
      </c>
    </row>
    <row r="409" spans="1:17" x14ac:dyDescent="0.25">
      <c r="A409" s="7">
        <v>2532</v>
      </c>
      <c r="B409" s="9" t="s">
        <v>9</v>
      </c>
      <c r="C409" s="9" t="s">
        <v>290</v>
      </c>
      <c r="D409" s="8">
        <v>45868</v>
      </c>
      <c r="E409" s="7" t="s">
        <v>411</v>
      </c>
      <c r="F409" s="7">
        <v>1</v>
      </c>
      <c r="G409" s="7" t="s">
        <v>14</v>
      </c>
      <c r="J409" s="7">
        <f t="shared" si="36"/>
        <v>1900</v>
      </c>
      <c r="K409" s="7">
        <f t="shared" si="37"/>
        <v>1</v>
      </c>
      <c r="L409" s="7">
        <f t="shared" si="39"/>
        <v>45868</v>
      </c>
      <c r="M409" s="7" t="s">
        <v>152</v>
      </c>
      <c r="O409" s="17" t="s">
        <v>682</v>
      </c>
      <c r="P409" s="7">
        <f t="shared" si="38"/>
        <v>7</v>
      </c>
      <c r="Q409" s="7">
        <f t="shared" si="40"/>
        <v>2025</v>
      </c>
    </row>
    <row r="410" spans="1:17" x14ac:dyDescent="0.25">
      <c r="A410" s="7">
        <v>2532</v>
      </c>
      <c r="B410" s="9" t="s">
        <v>9</v>
      </c>
      <c r="C410" s="9" t="s">
        <v>290</v>
      </c>
      <c r="D410" s="8">
        <v>45868</v>
      </c>
      <c r="E410" s="7" t="s">
        <v>412</v>
      </c>
      <c r="F410" s="7">
        <v>1</v>
      </c>
      <c r="G410" s="7" t="s">
        <v>14</v>
      </c>
      <c r="J410" s="7">
        <f t="shared" si="36"/>
        <v>1900</v>
      </c>
      <c r="K410" s="7">
        <f t="shared" si="37"/>
        <v>1</v>
      </c>
      <c r="L410" s="7">
        <f t="shared" si="39"/>
        <v>45868</v>
      </c>
      <c r="M410" s="7" t="s">
        <v>152</v>
      </c>
      <c r="O410" s="17" t="s">
        <v>682</v>
      </c>
      <c r="P410" s="7">
        <f t="shared" si="38"/>
        <v>7</v>
      </c>
      <c r="Q410" s="7">
        <f t="shared" si="40"/>
        <v>2025</v>
      </c>
    </row>
    <row r="411" spans="1:17" x14ac:dyDescent="0.25">
      <c r="A411" s="7">
        <v>2532</v>
      </c>
      <c r="B411" s="9" t="s">
        <v>9</v>
      </c>
      <c r="C411" s="9" t="s">
        <v>290</v>
      </c>
      <c r="D411" s="8">
        <v>45868</v>
      </c>
      <c r="E411" s="7" t="s">
        <v>413</v>
      </c>
      <c r="F411" s="7">
        <v>1</v>
      </c>
      <c r="G411" s="7" t="s">
        <v>14</v>
      </c>
      <c r="J411" s="7">
        <f t="shared" si="36"/>
        <v>1900</v>
      </c>
      <c r="K411" s="7">
        <f t="shared" si="37"/>
        <v>1</v>
      </c>
      <c r="L411" s="7">
        <f t="shared" si="39"/>
        <v>45868</v>
      </c>
      <c r="M411" s="7" t="s">
        <v>152</v>
      </c>
      <c r="O411" s="17" t="s">
        <v>682</v>
      </c>
      <c r="P411" s="7">
        <f t="shared" si="38"/>
        <v>7</v>
      </c>
      <c r="Q411" s="7">
        <f t="shared" si="40"/>
        <v>2025</v>
      </c>
    </row>
    <row r="412" spans="1:17" x14ac:dyDescent="0.25">
      <c r="A412" s="7">
        <v>2532</v>
      </c>
      <c r="B412" s="9" t="s">
        <v>9</v>
      </c>
      <c r="C412" s="9" t="s">
        <v>290</v>
      </c>
      <c r="D412" s="8">
        <v>45868</v>
      </c>
      <c r="E412" s="7" t="s">
        <v>415</v>
      </c>
      <c r="F412" s="7">
        <v>1</v>
      </c>
      <c r="G412" s="7" t="s">
        <v>14</v>
      </c>
      <c r="J412" s="7">
        <f t="shared" si="36"/>
        <v>1900</v>
      </c>
      <c r="K412" s="7">
        <f t="shared" si="37"/>
        <v>1</v>
      </c>
      <c r="L412" s="7">
        <f t="shared" si="39"/>
        <v>45868</v>
      </c>
      <c r="M412" s="7" t="s">
        <v>152</v>
      </c>
      <c r="O412" s="17" t="s">
        <v>682</v>
      </c>
      <c r="P412" s="7">
        <f t="shared" si="38"/>
        <v>7</v>
      </c>
      <c r="Q412" s="7">
        <f t="shared" si="40"/>
        <v>2025</v>
      </c>
    </row>
    <row r="413" spans="1:17" x14ac:dyDescent="0.25">
      <c r="A413" s="7">
        <v>2532</v>
      </c>
      <c r="B413" s="9" t="s">
        <v>9</v>
      </c>
      <c r="C413" s="9" t="s">
        <v>290</v>
      </c>
      <c r="D413" s="8">
        <v>45868</v>
      </c>
      <c r="E413" s="7" t="s">
        <v>416</v>
      </c>
      <c r="F413" s="7">
        <v>1</v>
      </c>
      <c r="G413" s="7" t="s">
        <v>14</v>
      </c>
      <c r="J413" s="7">
        <f t="shared" si="36"/>
        <v>1900</v>
      </c>
      <c r="K413" s="7">
        <f t="shared" si="37"/>
        <v>1</v>
      </c>
      <c r="L413" s="7">
        <f t="shared" si="39"/>
        <v>45868</v>
      </c>
      <c r="M413" s="7" t="s">
        <v>152</v>
      </c>
      <c r="O413" s="17" t="s">
        <v>682</v>
      </c>
      <c r="P413" s="7">
        <f t="shared" si="38"/>
        <v>7</v>
      </c>
      <c r="Q413" s="7">
        <f t="shared" si="40"/>
        <v>2025</v>
      </c>
    </row>
    <row r="414" spans="1:17" x14ac:dyDescent="0.25">
      <c r="A414" s="7">
        <v>2532</v>
      </c>
      <c r="B414" s="9" t="s">
        <v>9</v>
      </c>
      <c r="C414" s="9" t="s">
        <v>290</v>
      </c>
      <c r="D414" s="8">
        <v>45868</v>
      </c>
      <c r="E414" s="7" t="s">
        <v>417</v>
      </c>
      <c r="F414" s="7">
        <v>1</v>
      </c>
      <c r="G414" s="7" t="s">
        <v>14</v>
      </c>
      <c r="J414" s="7">
        <f t="shared" si="36"/>
        <v>1900</v>
      </c>
      <c r="K414" s="7">
        <f t="shared" si="37"/>
        <v>1</v>
      </c>
      <c r="L414" s="7">
        <f t="shared" si="39"/>
        <v>45868</v>
      </c>
      <c r="M414" s="7" t="s">
        <v>152</v>
      </c>
      <c r="O414" s="17" t="s">
        <v>682</v>
      </c>
      <c r="P414" s="7">
        <f t="shared" si="38"/>
        <v>7</v>
      </c>
      <c r="Q414" s="7">
        <f t="shared" si="40"/>
        <v>2025</v>
      </c>
    </row>
    <row r="415" spans="1:17" x14ac:dyDescent="0.25">
      <c r="A415" s="7">
        <v>2532</v>
      </c>
      <c r="B415" s="9" t="s">
        <v>9</v>
      </c>
      <c r="C415" s="9" t="s">
        <v>290</v>
      </c>
      <c r="D415" s="8">
        <v>45868</v>
      </c>
      <c r="E415" s="7" t="s">
        <v>418</v>
      </c>
      <c r="F415" s="7">
        <v>1</v>
      </c>
      <c r="G415" s="7" t="s">
        <v>14</v>
      </c>
      <c r="J415" s="7">
        <f t="shared" si="36"/>
        <v>1900</v>
      </c>
      <c r="K415" s="7">
        <f t="shared" si="37"/>
        <v>1</v>
      </c>
      <c r="L415" s="7">
        <f t="shared" si="39"/>
        <v>45868</v>
      </c>
      <c r="M415" s="7" t="s">
        <v>152</v>
      </c>
      <c r="O415" s="17" t="s">
        <v>682</v>
      </c>
      <c r="P415" s="7">
        <f t="shared" si="38"/>
        <v>7</v>
      </c>
      <c r="Q415" s="7">
        <f t="shared" si="40"/>
        <v>2025</v>
      </c>
    </row>
    <row r="416" spans="1:17" x14ac:dyDescent="0.25">
      <c r="A416" s="7">
        <v>2532</v>
      </c>
      <c r="B416" s="9" t="s">
        <v>9</v>
      </c>
      <c r="C416" s="9" t="s">
        <v>290</v>
      </c>
      <c r="D416" s="8">
        <v>45868</v>
      </c>
      <c r="E416" s="7" t="s">
        <v>419</v>
      </c>
      <c r="F416" s="7">
        <v>1</v>
      </c>
      <c r="G416" s="7" t="s">
        <v>14</v>
      </c>
      <c r="J416" s="7">
        <f t="shared" si="36"/>
        <v>1900</v>
      </c>
      <c r="K416" s="7">
        <f t="shared" si="37"/>
        <v>1</v>
      </c>
      <c r="L416" s="7">
        <f t="shared" si="39"/>
        <v>45868</v>
      </c>
      <c r="M416" s="7" t="s">
        <v>152</v>
      </c>
      <c r="O416" s="17" t="s">
        <v>682</v>
      </c>
      <c r="P416" s="7">
        <f t="shared" si="38"/>
        <v>7</v>
      </c>
      <c r="Q416" s="7">
        <f t="shared" si="40"/>
        <v>2025</v>
      </c>
    </row>
    <row r="417" spans="1:17" x14ac:dyDescent="0.25">
      <c r="A417" s="7">
        <v>2532</v>
      </c>
      <c r="B417" s="9" t="s">
        <v>9</v>
      </c>
      <c r="C417" s="9" t="s">
        <v>290</v>
      </c>
      <c r="D417" s="8">
        <v>45868</v>
      </c>
      <c r="E417" s="7" t="s">
        <v>420</v>
      </c>
      <c r="F417" s="7">
        <v>1</v>
      </c>
      <c r="G417" s="7" t="s">
        <v>14</v>
      </c>
      <c r="J417" s="7">
        <f t="shared" si="36"/>
        <v>1900</v>
      </c>
      <c r="K417" s="7">
        <f t="shared" si="37"/>
        <v>1</v>
      </c>
      <c r="L417" s="7">
        <f t="shared" si="39"/>
        <v>45868</v>
      </c>
      <c r="M417" s="7" t="s">
        <v>152</v>
      </c>
      <c r="O417" s="17" t="s">
        <v>682</v>
      </c>
      <c r="P417" s="7">
        <f t="shared" si="38"/>
        <v>7</v>
      </c>
      <c r="Q417" s="7">
        <f t="shared" si="40"/>
        <v>2025</v>
      </c>
    </row>
    <row r="418" spans="1:17" x14ac:dyDescent="0.25">
      <c r="A418" s="7">
        <v>2532</v>
      </c>
      <c r="B418" s="9" t="s">
        <v>9</v>
      </c>
      <c r="C418" s="9" t="s">
        <v>290</v>
      </c>
      <c r="D418" s="8">
        <v>45868</v>
      </c>
      <c r="E418" s="7" t="s">
        <v>421</v>
      </c>
      <c r="F418" s="7">
        <v>1</v>
      </c>
      <c r="G418" s="7" t="s">
        <v>14</v>
      </c>
      <c r="J418" s="7">
        <f t="shared" ref="J418:J478" si="41">YEAR(I418)</f>
        <v>1900</v>
      </c>
      <c r="K418" s="7">
        <f t="shared" si="37"/>
        <v>1</v>
      </c>
      <c r="L418" s="7">
        <f t="shared" si="39"/>
        <v>45868</v>
      </c>
      <c r="M418" s="7" t="s">
        <v>152</v>
      </c>
      <c r="O418" s="17" t="s">
        <v>682</v>
      </c>
      <c r="P418" s="7">
        <f t="shared" si="38"/>
        <v>7</v>
      </c>
      <c r="Q418" s="7">
        <f t="shared" si="40"/>
        <v>2025</v>
      </c>
    </row>
    <row r="419" spans="1:17" x14ac:dyDescent="0.25">
      <c r="A419" s="7">
        <v>2532</v>
      </c>
      <c r="B419" s="9" t="s">
        <v>9</v>
      </c>
      <c r="C419" s="9" t="s">
        <v>290</v>
      </c>
      <c r="D419" s="8">
        <v>45868</v>
      </c>
      <c r="E419" s="7" t="s">
        <v>422</v>
      </c>
      <c r="F419" s="7">
        <v>1</v>
      </c>
      <c r="G419" s="7" t="s">
        <v>14</v>
      </c>
      <c r="J419" s="7">
        <f t="shared" si="41"/>
        <v>1900</v>
      </c>
      <c r="K419" s="7">
        <f t="shared" si="37"/>
        <v>1</v>
      </c>
      <c r="L419" s="7">
        <f t="shared" si="39"/>
        <v>45868</v>
      </c>
      <c r="M419" s="7" t="s">
        <v>152</v>
      </c>
      <c r="O419" s="17" t="s">
        <v>682</v>
      </c>
      <c r="P419" s="7">
        <f t="shared" si="38"/>
        <v>7</v>
      </c>
      <c r="Q419" s="7">
        <f t="shared" si="40"/>
        <v>2025</v>
      </c>
    </row>
    <row r="420" spans="1:17" x14ac:dyDescent="0.25">
      <c r="A420" s="7">
        <v>2532</v>
      </c>
      <c r="B420" s="9" t="s">
        <v>9</v>
      </c>
      <c r="C420" s="9" t="s">
        <v>290</v>
      </c>
      <c r="D420" s="8">
        <v>45868</v>
      </c>
      <c r="E420" s="7" t="s">
        <v>414</v>
      </c>
      <c r="F420" s="7">
        <v>1</v>
      </c>
      <c r="G420" s="7" t="s">
        <v>14</v>
      </c>
      <c r="J420" s="7">
        <f t="shared" si="41"/>
        <v>1900</v>
      </c>
      <c r="K420" s="7">
        <f t="shared" si="37"/>
        <v>1</v>
      </c>
      <c r="L420" s="7">
        <f t="shared" si="39"/>
        <v>45868</v>
      </c>
      <c r="M420" s="7" t="s">
        <v>152</v>
      </c>
      <c r="O420" s="17" t="s">
        <v>682</v>
      </c>
      <c r="P420" s="7">
        <f t="shared" si="38"/>
        <v>7</v>
      </c>
      <c r="Q420" s="7">
        <f t="shared" si="40"/>
        <v>2025</v>
      </c>
    </row>
    <row r="421" spans="1:17" x14ac:dyDescent="0.25">
      <c r="A421" s="7">
        <v>2532</v>
      </c>
      <c r="B421" s="9" t="s">
        <v>9</v>
      </c>
      <c r="C421" s="9" t="s">
        <v>290</v>
      </c>
      <c r="D421" s="8">
        <v>45868</v>
      </c>
      <c r="E421" s="7" t="s">
        <v>423</v>
      </c>
      <c r="F421" s="7">
        <v>1</v>
      </c>
      <c r="G421" s="7" t="s">
        <v>14</v>
      </c>
      <c r="J421" s="7">
        <f t="shared" si="41"/>
        <v>1900</v>
      </c>
      <c r="K421" s="7">
        <f t="shared" si="37"/>
        <v>1</v>
      </c>
      <c r="L421" s="7">
        <f t="shared" si="39"/>
        <v>45868</v>
      </c>
      <c r="M421" s="7" t="s">
        <v>152</v>
      </c>
      <c r="O421" s="17" t="s">
        <v>682</v>
      </c>
      <c r="P421" s="7">
        <f t="shared" si="38"/>
        <v>7</v>
      </c>
      <c r="Q421" s="7">
        <f t="shared" si="40"/>
        <v>2025</v>
      </c>
    </row>
    <row r="422" spans="1:17" x14ac:dyDescent="0.25">
      <c r="A422" s="7">
        <v>2532</v>
      </c>
      <c r="B422" s="9" t="s">
        <v>9</v>
      </c>
      <c r="C422" s="9" t="s">
        <v>290</v>
      </c>
      <c r="D422" s="8">
        <v>45868</v>
      </c>
      <c r="E422" s="7" t="s">
        <v>424</v>
      </c>
      <c r="F422" s="7">
        <v>1</v>
      </c>
      <c r="G422" s="7" t="s">
        <v>14</v>
      </c>
      <c r="J422" s="7">
        <f t="shared" si="41"/>
        <v>1900</v>
      </c>
      <c r="K422" s="7">
        <f t="shared" si="37"/>
        <v>1</v>
      </c>
      <c r="L422" s="7">
        <f t="shared" si="39"/>
        <v>45868</v>
      </c>
      <c r="M422" s="7" t="s">
        <v>152</v>
      </c>
      <c r="O422" s="17" t="s">
        <v>682</v>
      </c>
      <c r="P422" s="7">
        <f t="shared" si="38"/>
        <v>7</v>
      </c>
      <c r="Q422" s="7">
        <f t="shared" si="40"/>
        <v>2025</v>
      </c>
    </row>
    <row r="423" spans="1:17" x14ac:dyDescent="0.25">
      <c r="A423" s="7">
        <v>2532</v>
      </c>
      <c r="B423" s="9" t="s">
        <v>9</v>
      </c>
      <c r="C423" s="9" t="s">
        <v>290</v>
      </c>
      <c r="D423" s="8">
        <v>45868</v>
      </c>
      <c r="E423" s="7" t="s">
        <v>425</v>
      </c>
      <c r="F423" s="7">
        <v>1</v>
      </c>
      <c r="G423" s="7" t="s">
        <v>14</v>
      </c>
      <c r="J423" s="7">
        <f t="shared" si="41"/>
        <v>1900</v>
      </c>
      <c r="K423" s="7">
        <f t="shared" si="37"/>
        <v>1</v>
      </c>
      <c r="L423" s="7">
        <f t="shared" si="39"/>
        <v>45868</v>
      </c>
      <c r="M423" s="7" t="s">
        <v>152</v>
      </c>
      <c r="O423" s="17" t="s">
        <v>682</v>
      </c>
      <c r="P423" s="7">
        <f t="shared" si="38"/>
        <v>7</v>
      </c>
      <c r="Q423" s="7">
        <f t="shared" si="40"/>
        <v>2025</v>
      </c>
    </row>
    <row r="424" spans="1:17" x14ac:dyDescent="0.25">
      <c r="A424" s="7">
        <v>2532</v>
      </c>
      <c r="B424" s="9" t="s">
        <v>9</v>
      </c>
      <c r="C424" s="9" t="s">
        <v>290</v>
      </c>
      <c r="D424" s="8">
        <v>45868</v>
      </c>
      <c r="E424" s="7" t="s">
        <v>426</v>
      </c>
      <c r="F424" s="7">
        <v>1</v>
      </c>
      <c r="G424" s="7" t="s">
        <v>14</v>
      </c>
      <c r="J424" s="7">
        <f t="shared" si="41"/>
        <v>1900</v>
      </c>
      <c r="K424" s="7">
        <f t="shared" si="37"/>
        <v>1</v>
      </c>
      <c r="L424" s="7">
        <f t="shared" si="39"/>
        <v>45868</v>
      </c>
      <c r="M424" s="7" t="s">
        <v>152</v>
      </c>
      <c r="O424" s="17" t="s">
        <v>682</v>
      </c>
      <c r="P424" s="7">
        <f t="shared" si="38"/>
        <v>7</v>
      </c>
      <c r="Q424" s="7">
        <f t="shared" si="40"/>
        <v>2025</v>
      </c>
    </row>
    <row r="425" spans="1:17" x14ac:dyDescent="0.25">
      <c r="A425" s="7">
        <v>2532</v>
      </c>
      <c r="B425" s="9" t="s">
        <v>9</v>
      </c>
      <c r="C425" s="9" t="s">
        <v>290</v>
      </c>
      <c r="D425" s="8">
        <v>45868</v>
      </c>
      <c r="E425" s="7" t="s">
        <v>427</v>
      </c>
      <c r="F425" s="7">
        <v>1</v>
      </c>
      <c r="G425" s="7" t="s">
        <v>14</v>
      </c>
      <c r="J425" s="7">
        <f t="shared" si="41"/>
        <v>1900</v>
      </c>
      <c r="K425" s="7">
        <f t="shared" si="37"/>
        <v>1</v>
      </c>
      <c r="L425" s="7">
        <f t="shared" si="39"/>
        <v>45868</v>
      </c>
      <c r="M425" s="7" t="s">
        <v>152</v>
      </c>
      <c r="O425" s="17" t="s">
        <v>682</v>
      </c>
      <c r="P425" s="7">
        <f t="shared" si="38"/>
        <v>7</v>
      </c>
      <c r="Q425" s="7">
        <f t="shared" si="40"/>
        <v>2025</v>
      </c>
    </row>
    <row r="426" spans="1:17" x14ac:dyDescent="0.25">
      <c r="A426" s="7">
        <v>2532</v>
      </c>
      <c r="B426" s="9" t="s">
        <v>9</v>
      </c>
      <c r="C426" s="9" t="s">
        <v>290</v>
      </c>
      <c r="D426" s="8">
        <v>45868</v>
      </c>
      <c r="E426" s="7" t="s">
        <v>428</v>
      </c>
      <c r="F426" s="7">
        <v>1</v>
      </c>
      <c r="G426" s="7" t="s">
        <v>14</v>
      </c>
      <c r="J426" s="7">
        <f t="shared" si="41"/>
        <v>1900</v>
      </c>
      <c r="K426" s="7">
        <f t="shared" si="37"/>
        <v>1</v>
      </c>
      <c r="L426" s="7">
        <f t="shared" si="39"/>
        <v>45868</v>
      </c>
      <c r="M426" s="7" t="s">
        <v>152</v>
      </c>
      <c r="O426" s="17" t="s">
        <v>682</v>
      </c>
      <c r="P426" s="7">
        <f t="shared" si="38"/>
        <v>7</v>
      </c>
      <c r="Q426" s="7">
        <f t="shared" si="40"/>
        <v>2025</v>
      </c>
    </row>
    <row r="427" spans="1:17" x14ac:dyDescent="0.25">
      <c r="A427" s="7">
        <v>2532</v>
      </c>
      <c r="B427" s="9" t="s">
        <v>9</v>
      </c>
      <c r="C427" s="9" t="s">
        <v>290</v>
      </c>
      <c r="D427" s="8">
        <v>45868</v>
      </c>
      <c r="E427" s="7" t="s">
        <v>430</v>
      </c>
      <c r="F427" s="7">
        <v>1</v>
      </c>
      <c r="G427" s="7" t="s">
        <v>14</v>
      </c>
      <c r="J427" s="7">
        <f t="shared" si="41"/>
        <v>1900</v>
      </c>
      <c r="K427" s="7">
        <f t="shared" si="37"/>
        <v>1</v>
      </c>
      <c r="L427" s="7">
        <f t="shared" si="39"/>
        <v>45868</v>
      </c>
      <c r="M427" s="7" t="s">
        <v>152</v>
      </c>
      <c r="O427" s="17" t="s">
        <v>682</v>
      </c>
      <c r="P427" s="7">
        <f t="shared" si="38"/>
        <v>7</v>
      </c>
      <c r="Q427" s="7">
        <f t="shared" si="40"/>
        <v>2025</v>
      </c>
    </row>
    <row r="428" spans="1:17" x14ac:dyDescent="0.25">
      <c r="A428" s="7">
        <v>2532</v>
      </c>
      <c r="B428" s="9" t="s">
        <v>9</v>
      </c>
      <c r="C428" s="9" t="s">
        <v>290</v>
      </c>
      <c r="D428" s="8">
        <v>45868</v>
      </c>
      <c r="E428" s="7" t="s">
        <v>431</v>
      </c>
      <c r="F428" s="7">
        <v>1</v>
      </c>
      <c r="G428" s="7" t="s">
        <v>14</v>
      </c>
      <c r="J428" s="7">
        <f t="shared" si="41"/>
        <v>1900</v>
      </c>
      <c r="K428" s="7">
        <f t="shared" si="37"/>
        <v>1</v>
      </c>
      <c r="L428" s="7">
        <f t="shared" si="39"/>
        <v>45868</v>
      </c>
      <c r="M428" s="7" t="s">
        <v>152</v>
      </c>
      <c r="O428" s="17" t="s">
        <v>682</v>
      </c>
      <c r="P428" s="7">
        <f t="shared" si="38"/>
        <v>7</v>
      </c>
      <c r="Q428" s="7">
        <f t="shared" si="40"/>
        <v>2025</v>
      </c>
    </row>
    <row r="429" spans="1:17" x14ac:dyDescent="0.25">
      <c r="A429" s="7">
        <v>2532</v>
      </c>
      <c r="B429" s="9" t="s">
        <v>9</v>
      </c>
      <c r="C429" s="9" t="s">
        <v>290</v>
      </c>
      <c r="D429" s="8">
        <v>45868</v>
      </c>
      <c r="E429" s="7" t="s">
        <v>432</v>
      </c>
      <c r="F429" s="7">
        <v>1</v>
      </c>
      <c r="G429" s="7" t="s">
        <v>14</v>
      </c>
      <c r="J429" s="7">
        <f t="shared" si="41"/>
        <v>1900</v>
      </c>
      <c r="K429" s="7">
        <f t="shared" si="37"/>
        <v>1</v>
      </c>
      <c r="L429" s="7">
        <f t="shared" si="39"/>
        <v>45868</v>
      </c>
      <c r="M429" s="7" t="s">
        <v>152</v>
      </c>
      <c r="O429" s="17" t="s">
        <v>682</v>
      </c>
      <c r="P429" s="7">
        <f t="shared" si="38"/>
        <v>7</v>
      </c>
      <c r="Q429" s="7">
        <f t="shared" si="40"/>
        <v>2025</v>
      </c>
    </row>
    <row r="430" spans="1:17" x14ac:dyDescent="0.25">
      <c r="A430" s="7">
        <v>2532</v>
      </c>
      <c r="B430" s="9" t="s">
        <v>9</v>
      </c>
      <c r="C430" s="9" t="s">
        <v>290</v>
      </c>
      <c r="D430" s="8">
        <v>45868</v>
      </c>
      <c r="E430" s="7" t="s">
        <v>433</v>
      </c>
      <c r="F430" s="7">
        <v>1</v>
      </c>
      <c r="G430" s="7" t="s">
        <v>14</v>
      </c>
      <c r="J430" s="7">
        <f t="shared" si="41"/>
        <v>1900</v>
      </c>
      <c r="K430" s="7">
        <f t="shared" si="37"/>
        <v>1</v>
      </c>
      <c r="L430" s="7">
        <f t="shared" si="39"/>
        <v>45868</v>
      </c>
      <c r="M430" s="7" t="s">
        <v>152</v>
      </c>
      <c r="O430" s="17" t="s">
        <v>682</v>
      </c>
      <c r="P430" s="7">
        <f t="shared" si="38"/>
        <v>7</v>
      </c>
      <c r="Q430" s="7">
        <f t="shared" si="40"/>
        <v>2025</v>
      </c>
    </row>
    <row r="431" spans="1:17" x14ac:dyDescent="0.25">
      <c r="A431" s="7">
        <v>2532</v>
      </c>
      <c r="B431" s="9" t="s">
        <v>9</v>
      </c>
      <c r="C431" s="9" t="s">
        <v>290</v>
      </c>
      <c r="D431" s="8">
        <v>45868</v>
      </c>
      <c r="E431" s="7" t="s">
        <v>434</v>
      </c>
      <c r="F431" s="7">
        <v>1</v>
      </c>
      <c r="G431" s="7" t="s">
        <v>14</v>
      </c>
      <c r="J431" s="7">
        <f t="shared" si="41"/>
        <v>1900</v>
      </c>
      <c r="K431" s="7">
        <f t="shared" si="37"/>
        <v>1</v>
      </c>
      <c r="L431" s="7">
        <f t="shared" si="39"/>
        <v>45868</v>
      </c>
      <c r="M431" s="7" t="s">
        <v>152</v>
      </c>
      <c r="O431" s="17" t="s">
        <v>682</v>
      </c>
      <c r="P431" s="7">
        <f t="shared" si="38"/>
        <v>7</v>
      </c>
      <c r="Q431" s="7">
        <f t="shared" si="40"/>
        <v>2025</v>
      </c>
    </row>
    <row r="432" spans="1:17" x14ac:dyDescent="0.25">
      <c r="A432" s="7">
        <v>2532</v>
      </c>
      <c r="B432" s="9" t="s">
        <v>9</v>
      </c>
      <c r="C432" s="9" t="s">
        <v>290</v>
      </c>
      <c r="D432" s="8">
        <v>45868</v>
      </c>
      <c r="E432" s="7" t="s">
        <v>435</v>
      </c>
      <c r="F432" s="7">
        <v>1</v>
      </c>
      <c r="G432" s="7" t="s">
        <v>14</v>
      </c>
      <c r="J432" s="7">
        <f t="shared" si="41"/>
        <v>1900</v>
      </c>
      <c r="K432" s="7">
        <f t="shared" si="37"/>
        <v>1</v>
      </c>
      <c r="L432" s="7">
        <f t="shared" si="39"/>
        <v>45868</v>
      </c>
      <c r="M432" s="7" t="s">
        <v>152</v>
      </c>
      <c r="O432" s="17" t="s">
        <v>682</v>
      </c>
      <c r="P432" s="7">
        <f t="shared" si="38"/>
        <v>7</v>
      </c>
      <c r="Q432" s="7">
        <f t="shared" si="40"/>
        <v>2025</v>
      </c>
    </row>
    <row r="433" spans="1:17" x14ac:dyDescent="0.25">
      <c r="A433" s="7">
        <v>2532</v>
      </c>
      <c r="B433" s="9" t="s">
        <v>9</v>
      </c>
      <c r="C433" s="9" t="s">
        <v>290</v>
      </c>
      <c r="D433" s="8">
        <v>45868</v>
      </c>
      <c r="E433" s="7" t="s">
        <v>436</v>
      </c>
      <c r="F433" s="7">
        <v>1</v>
      </c>
      <c r="G433" s="7" t="s">
        <v>14</v>
      </c>
      <c r="J433" s="7">
        <f t="shared" si="41"/>
        <v>1900</v>
      </c>
      <c r="K433" s="7">
        <f t="shared" si="37"/>
        <v>1</v>
      </c>
      <c r="L433" s="7">
        <f t="shared" si="39"/>
        <v>45868</v>
      </c>
      <c r="M433" s="7" t="s">
        <v>152</v>
      </c>
      <c r="O433" s="17" t="s">
        <v>682</v>
      </c>
      <c r="P433" s="7">
        <f t="shared" si="38"/>
        <v>7</v>
      </c>
      <c r="Q433" s="7">
        <f t="shared" si="40"/>
        <v>2025</v>
      </c>
    </row>
    <row r="434" spans="1:17" x14ac:dyDescent="0.25">
      <c r="A434" s="7">
        <v>2532</v>
      </c>
      <c r="B434" s="9" t="s">
        <v>9</v>
      </c>
      <c r="C434" s="9" t="s">
        <v>290</v>
      </c>
      <c r="D434" s="8">
        <v>45868</v>
      </c>
      <c r="E434" s="7" t="s">
        <v>437</v>
      </c>
      <c r="F434" s="7">
        <v>1</v>
      </c>
      <c r="G434" s="7" t="s">
        <v>14</v>
      </c>
      <c r="J434" s="7">
        <f t="shared" si="41"/>
        <v>1900</v>
      </c>
      <c r="K434" s="7">
        <f t="shared" si="37"/>
        <v>1</v>
      </c>
      <c r="L434" s="7">
        <f t="shared" si="39"/>
        <v>45868</v>
      </c>
      <c r="M434" s="7" t="s">
        <v>152</v>
      </c>
      <c r="O434" s="17" t="s">
        <v>682</v>
      </c>
      <c r="P434" s="7">
        <f t="shared" si="38"/>
        <v>7</v>
      </c>
      <c r="Q434" s="7">
        <f t="shared" si="40"/>
        <v>2025</v>
      </c>
    </row>
    <row r="435" spans="1:17" x14ac:dyDescent="0.25">
      <c r="A435" s="7">
        <v>2532</v>
      </c>
      <c r="B435" s="9" t="s">
        <v>9</v>
      </c>
      <c r="C435" s="9" t="s">
        <v>290</v>
      </c>
      <c r="D435" s="8">
        <v>45868</v>
      </c>
      <c r="E435" s="7" t="s">
        <v>438</v>
      </c>
      <c r="F435" s="7">
        <v>1</v>
      </c>
      <c r="G435" s="7" t="s">
        <v>14</v>
      </c>
      <c r="J435" s="7">
        <f t="shared" si="41"/>
        <v>1900</v>
      </c>
      <c r="K435" s="7">
        <f t="shared" si="37"/>
        <v>1</v>
      </c>
      <c r="L435" s="7">
        <f t="shared" si="39"/>
        <v>45868</v>
      </c>
      <c r="M435" s="7" t="s">
        <v>152</v>
      </c>
      <c r="O435" s="17" t="s">
        <v>682</v>
      </c>
      <c r="P435" s="7">
        <f t="shared" si="38"/>
        <v>7</v>
      </c>
      <c r="Q435" s="7">
        <f t="shared" si="40"/>
        <v>2025</v>
      </c>
    </row>
    <row r="436" spans="1:17" x14ac:dyDescent="0.25">
      <c r="A436" s="7">
        <v>2532</v>
      </c>
      <c r="B436" s="9" t="s">
        <v>9</v>
      </c>
      <c r="C436" s="9" t="s">
        <v>290</v>
      </c>
      <c r="D436" s="8">
        <v>45868</v>
      </c>
      <c r="E436" s="7" t="s">
        <v>439</v>
      </c>
      <c r="F436" s="7">
        <v>1</v>
      </c>
      <c r="G436" s="7" t="s">
        <v>14</v>
      </c>
      <c r="J436" s="7">
        <f t="shared" si="41"/>
        <v>1900</v>
      </c>
      <c r="K436" s="7">
        <f t="shared" si="37"/>
        <v>1</v>
      </c>
      <c r="L436" s="7">
        <f t="shared" si="39"/>
        <v>45868</v>
      </c>
      <c r="M436" s="7" t="s">
        <v>152</v>
      </c>
      <c r="O436" s="17" t="s">
        <v>682</v>
      </c>
      <c r="P436" s="7">
        <f t="shared" si="38"/>
        <v>7</v>
      </c>
      <c r="Q436" s="7">
        <f t="shared" si="40"/>
        <v>2025</v>
      </c>
    </row>
    <row r="437" spans="1:17" x14ac:dyDescent="0.25">
      <c r="A437" s="7">
        <v>2532</v>
      </c>
      <c r="B437" s="9" t="s">
        <v>9</v>
      </c>
      <c r="C437" s="9" t="s">
        <v>290</v>
      </c>
      <c r="D437" s="8">
        <v>45868</v>
      </c>
      <c r="E437" s="7" t="s">
        <v>440</v>
      </c>
      <c r="F437" s="7">
        <v>1</v>
      </c>
      <c r="G437" s="7" t="s">
        <v>14</v>
      </c>
      <c r="J437" s="7">
        <f t="shared" si="41"/>
        <v>1900</v>
      </c>
      <c r="K437" s="7">
        <f t="shared" si="37"/>
        <v>1</v>
      </c>
      <c r="L437" s="7">
        <f t="shared" si="39"/>
        <v>45868</v>
      </c>
      <c r="M437" s="7" t="s">
        <v>152</v>
      </c>
      <c r="O437" s="17" t="s">
        <v>682</v>
      </c>
      <c r="P437" s="7">
        <f t="shared" si="38"/>
        <v>7</v>
      </c>
      <c r="Q437" s="7">
        <f t="shared" si="40"/>
        <v>2025</v>
      </c>
    </row>
    <row r="438" spans="1:17" x14ac:dyDescent="0.25">
      <c r="A438" s="7">
        <v>2532</v>
      </c>
      <c r="B438" s="9" t="s">
        <v>9</v>
      </c>
      <c r="C438" s="9" t="s">
        <v>290</v>
      </c>
      <c r="D438" s="8">
        <v>45868</v>
      </c>
      <c r="E438" s="7" t="s">
        <v>441</v>
      </c>
      <c r="F438" s="7">
        <v>1</v>
      </c>
      <c r="G438" s="7" t="s">
        <v>14</v>
      </c>
      <c r="J438" s="7">
        <f t="shared" si="41"/>
        <v>1900</v>
      </c>
      <c r="K438" s="7">
        <f t="shared" si="37"/>
        <v>1</v>
      </c>
      <c r="L438" s="7">
        <f t="shared" si="39"/>
        <v>45868</v>
      </c>
      <c r="M438" s="7" t="s">
        <v>152</v>
      </c>
      <c r="O438" s="17" t="s">
        <v>682</v>
      </c>
      <c r="P438" s="7">
        <f t="shared" si="38"/>
        <v>7</v>
      </c>
      <c r="Q438" s="7">
        <f t="shared" si="40"/>
        <v>2025</v>
      </c>
    </row>
    <row r="439" spans="1:17" x14ac:dyDescent="0.25">
      <c r="A439" s="7">
        <v>2532</v>
      </c>
      <c r="B439" s="9" t="s">
        <v>9</v>
      </c>
      <c r="C439" s="9" t="s">
        <v>290</v>
      </c>
      <c r="D439" s="8">
        <v>45868</v>
      </c>
      <c r="E439" s="7" t="s">
        <v>442</v>
      </c>
      <c r="F439" s="7">
        <v>1</v>
      </c>
      <c r="G439" s="7" t="s">
        <v>14</v>
      </c>
      <c r="J439" s="7">
        <f t="shared" si="41"/>
        <v>1900</v>
      </c>
      <c r="K439" s="7">
        <f t="shared" si="37"/>
        <v>1</v>
      </c>
      <c r="L439" s="7">
        <f t="shared" si="39"/>
        <v>45868</v>
      </c>
      <c r="M439" s="7" t="s">
        <v>152</v>
      </c>
      <c r="O439" s="17" t="s">
        <v>682</v>
      </c>
      <c r="P439" s="7">
        <f t="shared" si="38"/>
        <v>7</v>
      </c>
      <c r="Q439" s="7">
        <f t="shared" si="40"/>
        <v>2025</v>
      </c>
    </row>
    <row r="440" spans="1:17" x14ac:dyDescent="0.25">
      <c r="A440" s="7">
        <v>2532</v>
      </c>
      <c r="B440" s="9" t="s">
        <v>9</v>
      </c>
      <c r="C440" s="9" t="s">
        <v>290</v>
      </c>
      <c r="D440" s="8">
        <v>45868</v>
      </c>
      <c r="E440" s="7" t="s">
        <v>443</v>
      </c>
      <c r="F440" s="7">
        <v>1</v>
      </c>
      <c r="G440" s="7" t="s">
        <v>14</v>
      </c>
      <c r="J440" s="7">
        <f t="shared" si="41"/>
        <v>1900</v>
      </c>
      <c r="K440" s="7">
        <f t="shared" si="37"/>
        <v>1</v>
      </c>
      <c r="L440" s="7">
        <f t="shared" si="39"/>
        <v>45868</v>
      </c>
      <c r="M440" s="7" t="s">
        <v>152</v>
      </c>
      <c r="O440" s="17" t="s">
        <v>682</v>
      </c>
      <c r="P440" s="7">
        <f t="shared" si="38"/>
        <v>7</v>
      </c>
      <c r="Q440" s="7">
        <f t="shared" si="40"/>
        <v>2025</v>
      </c>
    </row>
    <row r="441" spans="1:17" x14ac:dyDescent="0.25">
      <c r="A441" s="7">
        <v>2532</v>
      </c>
      <c r="B441" s="9" t="s">
        <v>9</v>
      </c>
      <c r="C441" s="9" t="s">
        <v>290</v>
      </c>
      <c r="D441" s="8">
        <v>45868</v>
      </c>
      <c r="E441" s="7" t="s">
        <v>444</v>
      </c>
      <c r="F441" s="7">
        <v>1</v>
      </c>
      <c r="G441" s="7" t="s">
        <v>14</v>
      </c>
      <c r="J441" s="7">
        <f t="shared" si="41"/>
        <v>1900</v>
      </c>
      <c r="K441" s="7">
        <f t="shared" si="37"/>
        <v>1</v>
      </c>
      <c r="L441" s="7">
        <f t="shared" si="39"/>
        <v>45868</v>
      </c>
      <c r="M441" s="7" t="s">
        <v>152</v>
      </c>
      <c r="O441" s="17" t="s">
        <v>682</v>
      </c>
      <c r="P441" s="7">
        <f t="shared" si="38"/>
        <v>7</v>
      </c>
      <c r="Q441" s="7">
        <f t="shared" si="40"/>
        <v>2025</v>
      </c>
    </row>
    <row r="442" spans="1:17" x14ac:dyDescent="0.25">
      <c r="A442" s="7">
        <v>2532</v>
      </c>
      <c r="B442" s="9" t="s">
        <v>9</v>
      </c>
      <c r="C442" s="9" t="s">
        <v>290</v>
      </c>
      <c r="D442" s="8">
        <v>45868</v>
      </c>
      <c r="E442" s="7" t="s">
        <v>445</v>
      </c>
      <c r="F442" s="7">
        <v>1</v>
      </c>
      <c r="G442" s="7" t="s">
        <v>14</v>
      </c>
      <c r="J442" s="7">
        <f t="shared" si="41"/>
        <v>1900</v>
      </c>
      <c r="K442" s="7">
        <f t="shared" si="37"/>
        <v>1</v>
      </c>
      <c r="L442" s="7">
        <f t="shared" si="39"/>
        <v>45868</v>
      </c>
      <c r="M442" s="7" t="s">
        <v>152</v>
      </c>
      <c r="O442" s="17" t="s">
        <v>682</v>
      </c>
      <c r="P442" s="7">
        <f t="shared" si="38"/>
        <v>7</v>
      </c>
      <c r="Q442" s="7">
        <f t="shared" si="40"/>
        <v>2025</v>
      </c>
    </row>
    <row r="443" spans="1:17" x14ac:dyDescent="0.25">
      <c r="A443" s="7">
        <v>2532</v>
      </c>
      <c r="B443" s="9" t="s">
        <v>9</v>
      </c>
      <c r="C443" s="9" t="s">
        <v>290</v>
      </c>
      <c r="D443" s="8">
        <v>45868</v>
      </c>
      <c r="E443" s="7" t="s">
        <v>446</v>
      </c>
      <c r="F443" s="7">
        <v>1</v>
      </c>
      <c r="G443" s="7" t="s">
        <v>14</v>
      </c>
      <c r="J443" s="7">
        <f t="shared" si="41"/>
        <v>1900</v>
      </c>
      <c r="K443" s="7">
        <f t="shared" si="37"/>
        <v>1</v>
      </c>
      <c r="L443" s="7">
        <f t="shared" si="39"/>
        <v>45868</v>
      </c>
      <c r="M443" s="7" t="s">
        <v>152</v>
      </c>
      <c r="O443" s="17" t="s">
        <v>682</v>
      </c>
      <c r="P443" s="7">
        <f t="shared" si="38"/>
        <v>7</v>
      </c>
      <c r="Q443" s="7">
        <f t="shared" si="40"/>
        <v>2025</v>
      </c>
    </row>
    <row r="444" spans="1:17" x14ac:dyDescent="0.25">
      <c r="A444" s="7">
        <v>2532</v>
      </c>
      <c r="B444" s="9" t="s">
        <v>9</v>
      </c>
      <c r="C444" s="9" t="s">
        <v>290</v>
      </c>
      <c r="D444" s="8">
        <v>45868</v>
      </c>
      <c r="E444" s="7" t="s">
        <v>447</v>
      </c>
      <c r="F444" s="7">
        <v>1</v>
      </c>
      <c r="G444" s="7" t="s">
        <v>14</v>
      </c>
      <c r="J444" s="7">
        <f t="shared" si="41"/>
        <v>1900</v>
      </c>
      <c r="K444" s="7">
        <f t="shared" si="37"/>
        <v>1</v>
      </c>
      <c r="L444" s="7">
        <f t="shared" si="39"/>
        <v>45868</v>
      </c>
      <c r="M444" s="7" t="s">
        <v>152</v>
      </c>
      <c r="O444" s="17" t="s">
        <v>682</v>
      </c>
      <c r="P444" s="7">
        <f t="shared" si="38"/>
        <v>7</v>
      </c>
      <c r="Q444" s="7">
        <f t="shared" si="40"/>
        <v>2025</v>
      </c>
    </row>
    <row r="445" spans="1:17" x14ac:dyDescent="0.25">
      <c r="A445" s="7">
        <v>2532</v>
      </c>
      <c r="B445" s="9" t="s">
        <v>9</v>
      </c>
      <c r="C445" s="9" t="s">
        <v>290</v>
      </c>
      <c r="D445" s="8">
        <v>45868</v>
      </c>
      <c r="E445" s="7" t="s">
        <v>448</v>
      </c>
      <c r="F445" s="7">
        <v>1</v>
      </c>
      <c r="G445" s="7" t="s">
        <v>14</v>
      </c>
      <c r="J445" s="7">
        <f t="shared" si="41"/>
        <v>1900</v>
      </c>
      <c r="K445" s="7">
        <f t="shared" si="37"/>
        <v>1</v>
      </c>
      <c r="L445" s="7">
        <f t="shared" si="39"/>
        <v>45868</v>
      </c>
      <c r="M445" s="7" t="s">
        <v>152</v>
      </c>
      <c r="O445" s="17" t="s">
        <v>682</v>
      </c>
      <c r="P445" s="7">
        <f t="shared" si="38"/>
        <v>7</v>
      </c>
      <c r="Q445" s="7">
        <f t="shared" si="40"/>
        <v>2025</v>
      </c>
    </row>
    <row r="446" spans="1:17" x14ac:dyDescent="0.25">
      <c r="A446" s="7">
        <v>2532</v>
      </c>
      <c r="B446" s="9" t="s">
        <v>9</v>
      </c>
      <c r="C446" s="9" t="s">
        <v>290</v>
      </c>
      <c r="D446" s="8">
        <v>45868</v>
      </c>
      <c r="E446" s="7" t="s">
        <v>449</v>
      </c>
      <c r="F446" s="7">
        <v>1</v>
      </c>
      <c r="G446" s="7" t="s">
        <v>14</v>
      </c>
      <c r="J446" s="7">
        <f t="shared" si="41"/>
        <v>1900</v>
      </c>
      <c r="K446" s="7">
        <f t="shared" ref="K446:K506" si="42">MONTH(I446)</f>
        <v>1</v>
      </c>
      <c r="L446" s="7">
        <f t="shared" si="39"/>
        <v>45868</v>
      </c>
      <c r="M446" s="7" t="s">
        <v>152</v>
      </c>
      <c r="O446" s="17" t="s">
        <v>682</v>
      </c>
      <c r="P446" s="7">
        <f t="shared" ref="P446:P473" si="43">MONTH(D446)</f>
        <v>7</v>
      </c>
      <c r="Q446" s="7">
        <f t="shared" si="40"/>
        <v>2025</v>
      </c>
    </row>
    <row r="447" spans="1:17" x14ac:dyDescent="0.25">
      <c r="A447" s="7">
        <v>2532</v>
      </c>
      <c r="B447" s="9" t="s">
        <v>9</v>
      </c>
      <c r="C447" s="9" t="s">
        <v>290</v>
      </c>
      <c r="D447" s="8">
        <v>45868</v>
      </c>
      <c r="E447" s="7" t="s">
        <v>450</v>
      </c>
      <c r="F447" s="7">
        <v>1</v>
      </c>
      <c r="G447" s="7" t="s">
        <v>14</v>
      </c>
      <c r="J447" s="7">
        <f t="shared" si="41"/>
        <v>1900</v>
      </c>
      <c r="K447" s="7">
        <f t="shared" si="42"/>
        <v>1</v>
      </c>
      <c r="L447" s="7">
        <f t="shared" si="39"/>
        <v>45868</v>
      </c>
      <c r="M447" s="7" t="s">
        <v>152</v>
      </c>
      <c r="O447" s="17" t="s">
        <v>682</v>
      </c>
      <c r="P447" s="7">
        <f t="shared" si="43"/>
        <v>7</v>
      </c>
      <c r="Q447" s="7">
        <f t="shared" si="40"/>
        <v>2025</v>
      </c>
    </row>
    <row r="448" spans="1:17" x14ac:dyDescent="0.25">
      <c r="A448" s="7">
        <v>2532</v>
      </c>
      <c r="B448" s="9" t="s">
        <v>9</v>
      </c>
      <c r="C448" s="9" t="s">
        <v>290</v>
      </c>
      <c r="D448" s="8">
        <v>45868</v>
      </c>
      <c r="E448" s="7" t="s">
        <v>451</v>
      </c>
      <c r="F448" s="7">
        <v>1</v>
      </c>
      <c r="G448" s="7" t="s">
        <v>14</v>
      </c>
      <c r="J448" s="7">
        <f t="shared" si="41"/>
        <v>1900</v>
      </c>
      <c r="K448" s="7">
        <f t="shared" si="42"/>
        <v>1</v>
      </c>
      <c r="L448" s="7">
        <f t="shared" ref="L448:L508" si="44">D448-I448</f>
        <v>45868</v>
      </c>
      <c r="M448" s="7" t="s">
        <v>152</v>
      </c>
      <c r="O448" s="17" t="s">
        <v>682</v>
      </c>
      <c r="P448" s="7">
        <f t="shared" si="43"/>
        <v>7</v>
      </c>
      <c r="Q448" s="7">
        <f t="shared" si="40"/>
        <v>2025</v>
      </c>
    </row>
    <row r="449" spans="1:17" x14ac:dyDescent="0.25">
      <c r="A449" s="7">
        <v>2532</v>
      </c>
      <c r="B449" s="9" t="s">
        <v>9</v>
      </c>
      <c r="C449" s="9" t="s">
        <v>290</v>
      </c>
      <c r="D449" s="8">
        <v>45868</v>
      </c>
      <c r="E449" s="7" t="s">
        <v>452</v>
      </c>
      <c r="F449" s="7">
        <v>1</v>
      </c>
      <c r="G449" s="7" t="s">
        <v>14</v>
      </c>
      <c r="J449" s="7">
        <f t="shared" si="41"/>
        <v>1900</v>
      </c>
      <c r="K449" s="7">
        <f t="shared" si="42"/>
        <v>1</v>
      </c>
      <c r="L449" s="7">
        <f t="shared" si="44"/>
        <v>45868</v>
      </c>
      <c r="M449" s="7" t="s">
        <v>152</v>
      </c>
      <c r="O449" s="17" t="s">
        <v>682</v>
      </c>
      <c r="P449" s="7">
        <f t="shared" si="43"/>
        <v>7</v>
      </c>
      <c r="Q449" s="7">
        <f t="shared" si="40"/>
        <v>2025</v>
      </c>
    </row>
    <row r="450" spans="1:17" x14ac:dyDescent="0.25">
      <c r="A450" s="7">
        <v>2532</v>
      </c>
      <c r="B450" s="9" t="s">
        <v>9</v>
      </c>
      <c r="C450" s="9" t="s">
        <v>290</v>
      </c>
      <c r="D450" s="8">
        <v>45868</v>
      </c>
      <c r="E450" s="7" t="s">
        <v>453</v>
      </c>
      <c r="F450" s="7">
        <v>1</v>
      </c>
      <c r="G450" s="7" t="s">
        <v>14</v>
      </c>
      <c r="J450" s="7">
        <f t="shared" si="41"/>
        <v>1900</v>
      </c>
      <c r="K450" s="7">
        <f t="shared" si="42"/>
        <v>1</v>
      </c>
      <c r="L450" s="7">
        <f t="shared" si="44"/>
        <v>45868</v>
      </c>
      <c r="M450" s="7" t="s">
        <v>152</v>
      </c>
      <c r="O450" s="17" t="s">
        <v>682</v>
      </c>
      <c r="P450" s="7">
        <f t="shared" si="43"/>
        <v>7</v>
      </c>
      <c r="Q450" s="7">
        <f t="shared" si="40"/>
        <v>2025</v>
      </c>
    </row>
    <row r="451" spans="1:17" x14ac:dyDescent="0.25">
      <c r="A451" s="7">
        <v>2532</v>
      </c>
      <c r="B451" s="9" t="s">
        <v>9</v>
      </c>
      <c r="C451" s="9" t="s">
        <v>290</v>
      </c>
      <c r="D451" s="8">
        <v>45868</v>
      </c>
      <c r="E451" s="7" t="s">
        <v>429</v>
      </c>
      <c r="F451" s="7">
        <v>1</v>
      </c>
      <c r="G451" s="7" t="s">
        <v>14</v>
      </c>
      <c r="J451" s="7">
        <f t="shared" si="41"/>
        <v>1900</v>
      </c>
      <c r="K451" s="7">
        <f t="shared" si="42"/>
        <v>1</v>
      </c>
      <c r="L451" s="7">
        <f t="shared" si="44"/>
        <v>45868</v>
      </c>
      <c r="M451" s="7" t="s">
        <v>152</v>
      </c>
      <c r="O451" s="17" t="s">
        <v>682</v>
      </c>
      <c r="P451" s="7">
        <f t="shared" si="43"/>
        <v>7</v>
      </c>
      <c r="Q451" s="7">
        <f t="shared" ref="Q451:Q514" si="45">YEAR(D451)</f>
        <v>2025</v>
      </c>
    </row>
    <row r="452" spans="1:17" x14ac:dyDescent="0.25">
      <c r="A452" s="7">
        <v>2532</v>
      </c>
      <c r="B452" s="9" t="s">
        <v>9</v>
      </c>
      <c r="C452" s="9" t="s">
        <v>290</v>
      </c>
      <c r="D452" s="8">
        <v>45868</v>
      </c>
      <c r="E452" s="7" t="s">
        <v>454</v>
      </c>
      <c r="F452" s="7">
        <v>1</v>
      </c>
      <c r="G452" s="7" t="s">
        <v>14</v>
      </c>
      <c r="J452" s="7">
        <f t="shared" si="41"/>
        <v>1900</v>
      </c>
      <c r="K452" s="7">
        <f t="shared" si="42"/>
        <v>1</v>
      </c>
      <c r="L452" s="7">
        <f t="shared" si="44"/>
        <v>45868</v>
      </c>
      <c r="M452" s="7" t="s">
        <v>152</v>
      </c>
      <c r="O452" s="17" t="s">
        <v>682</v>
      </c>
      <c r="P452" s="7">
        <f t="shared" si="43"/>
        <v>7</v>
      </c>
      <c r="Q452" s="7">
        <f t="shared" si="45"/>
        <v>2025</v>
      </c>
    </row>
    <row r="453" spans="1:17" x14ac:dyDescent="0.25">
      <c r="A453" s="7">
        <v>2532</v>
      </c>
      <c r="B453" s="9" t="s">
        <v>9</v>
      </c>
      <c r="C453" s="9" t="s">
        <v>290</v>
      </c>
      <c r="D453" s="8">
        <v>45868</v>
      </c>
      <c r="E453" s="7" t="s">
        <v>455</v>
      </c>
      <c r="F453" s="7">
        <v>1</v>
      </c>
      <c r="G453" s="7" t="s">
        <v>14</v>
      </c>
      <c r="J453" s="7">
        <f t="shared" si="41"/>
        <v>1900</v>
      </c>
      <c r="K453" s="7">
        <f t="shared" si="42"/>
        <v>1</v>
      </c>
      <c r="L453" s="7">
        <f t="shared" si="44"/>
        <v>45868</v>
      </c>
      <c r="M453" s="7" t="s">
        <v>152</v>
      </c>
      <c r="O453" s="17" t="s">
        <v>682</v>
      </c>
      <c r="P453" s="7">
        <f t="shared" si="43"/>
        <v>7</v>
      </c>
      <c r="Q453" s="7">
        <f t="shared" si="45"/>
        <v>2025</v>
      </c>
    </row>
    <row r="454" spans="1:17" x14ac:dyDescent="0.25">
      <c r="A454" s="7">
        <v>2532</v>
      </c>
      <c r="B454" s="9" t="s">
        <v>9</v>
      </c>
      <c r="C454" s="9" t="s">
        <v>290</v>
      </c>
      <c r="D454" s="8">
        <v>45868</v>
      </c>
      <c r="E454" s="7" t="s">
        <v>456</v>
      </c>
      <c r="F454" s="7">
        <v>1</v>
      </c>
      <c r="G454" s="7" t="s">
        <v>14</v>
      </c>
      <c r="J454" s="7">
        <f t="shared" si="41"/>
        <v>1900</v>
      </c>
      <c r="K454" s="7">
        <f t="shared" si="42"/>
        <v>1</v>
      </c>
      <c r="L454" s="7">
        <f t="shared" si="44"/>
        <v>45868</v>
      </c>
      <c r="M454" s="7" t="s">
        <v>152</v>
      </c>
      <c r="O454" s="17" t="s">
        <v>682</v>
      </c>
      <c r="P454" s="7">
        <f t="shared" si="43"/>
        <v>7</v>
      </c>
      <c r="Q454" s="7">
        <f t="shared" si="45"/>
        <v>2025</v>
      </c>
    </row>
    <row r="455" spans="1:17" x14ac:dyDescent="0.25">
      <c r="A455" s="7">
        <v>2532</v>
      </c>
      <c r="B455" s="9" t="s">
        <v>9</v>
      </c>
      <c r="C455" s="9" t="s">
        <v>290</v>
      </c>
      <c r="D455" s="8">
        <v>45868</v>
      </c>
      <c r="E455" s="7" t="s">
        <v>457</v>
      </c>
      <c r="F455" s="7">
        <v>1</v>
      </c>
      <c r="G455" s="7" t="s">
        <v>14</v>
      </c>
      <c r="J455" s="7">
        <f t="shared" si="41"/>
        <v>1900</v>
      </c>
      <c r="K455" s="7">
        <f t="shared" si="42"/>
        <v>1</v>
      </c>
      <c r="L455" s="7">
        <f t="shared" si="44"/>
        <v>45868</v>
      </c>
      <c r="M455" s="7" t="s">
        <v>152</v>
      </c>
      <c r="O455" s="17" t="s">
        <v>682</v>
      </c>
      <c r="P455" s="7">
        <f t="shared" si="43"/>
        <v>7</v>
      </c>
      <c r="Q455" s="7">
        <f t="shared" si="45"/>
        <v>2025</v>
      </c>
    </row>
    <row r="456" spans="1:17" x14ac:dyDescent="0.25">
      <c r="A456" s="7">
        <v>2532</v>
      </c>
      <c r="B456" s="9" t="s">
        <v>9</v>
      </c>
      <c r="C456" s="9" t="s">
        <v>290</v>
      </c>
      <c r="D456" s="8">
        <v>45868</v>
      </c>
      <c r="E456" s="7" t="s">
        <v>458</v>
      </c>
      <c r="F456" s="7">
        <v>1</v>
      </c>
      <c r="G456" s="7" t="s">
        <v>14</v>
      </c>
      <c r="J456" s="7">
        <f t="shared" si="41"/>
        <v>1900</v>
      </c>
      <c r="K456" s="7">
        <f t="shared" si="42"/>
        <v>1</v>
      </c>
      <c r="L456" s="7">
        <f t="shared" si="44"/>
        <v>45868</v>
      </c>
      <c r="M456" s="7" t="s">
        <v>152</v>
      </c>
      <c r="O456" s="17" t="s">
        <v>682</v>
      </c>
      <c r="P456" s="7">
        <f t="shared" si="43"/>
        <v>7</v>
      </c>
      <c r="Q456" s="7">
        <f t="shared" si="45"/>
        <v>2025</v>
      </c>
    </row>
    <row r="457" spans="1:17" x14ac:dyDescent="0.25">
      <c r="A457" s="7">
        <v>2532</v>
      </c>
      <c r="B457" s="9" t="s">
        <v>9</v>
      </c>
      <c r="C457" s="9" t="s">
        <v>290</v>
      </c>
      <c r="D457" s="8">
        <v>45868</v>
      </c>
      <c r="E457" s="7" t="s">
        <v>459</v>
      </c>
      <c r="F457" s="7">
        <v>1</v>
      </c>
      <c r="G457" s="7" t="s">
        <v>14</v>
      </c>
      <c r="J457" s="7">
        <f t="shared" si="41"/>
        <v>1900</v>
      </c>
      <c r="K457" s="7">
        <f t="shared" si="42"/>
        <v>1</v>
      </c>
      <c r="L457" s="7">
        <f t="shared" si="44"/>
        <v>45868</v>
      </c>
      <c r="M457" s="7" t="s">
        <v>152</v>
      </c>
      <c r="O457" s="17" t="s">
        <v>682</v>
      </c>
      <c r="P457" s="7">
        <f t="shared" si="43"/>
        <v>7</v>
      </c>
      <c r="Q457" s="7">
        <f t="shared" si="45"/>
        <v>2025</v>
      </c>
    </row>
    <row r="458" spans="1:17" x14ac:dyDescent="0.25">
      <c r="A458" s="7">
        <v>2532</v>
      </c>
      <c r="B458" s="9" t="s">
        <v>9</v>
      </c>
      <c r="C458" s="9" t="s">
        <v>290</v>
      </c>
      <c r="D458" s="8">
        <v>45868</v>
      </c>
      <c r="E458" s="7" t="s">
        <v>460</v>
      </c>
      <c r="F458" s="7">
        <v>1</v>
      </c>
      <c r="G458" s="7" t="s">
        <v>14</v>
      </c>
      <c r="J458" s="7">
        <f t="shared" si="41"/>
        <v>1900</v>
      </c>
      <c r="K458" s="7">
        <f t="shared" si="42"/>
        <v>1</v>
      </c>
      <c r="L458" s="7">
        <f t="shared" si="44"/>
        <v>45868</v>
      </c>
      <c r="M458" s="7" t="s">
        <v>152</v>
      </c>
      <c r="O458" s="17" t="s">
        <v>682</v>
      </c>
      <c r="P458" s="7">
        <f t="shared" si="43"/>
        <v>7</v>
      </c>
      <c r="Q458" s="7">
        <f t="shared" si="45"/>
        <v>2025</v>
      </c>
    </row>
    <row r="459" spans="1:17" x14ac:dyDescent="0.25">
      <c r="A459" s="7">
        <v>2532</v>
      </c>
      <c r="B459" s="9" t="s">
        <v>9</v>
      </c>
      <c r="C459" s="9" t="s">
        <v>290</v>
      </c>
      <c r="D459" s="8">
        <v>45868</v>
      </c>
      <c r="E459" s="7" t="s">
        <v>461</v>
      </c>
      <c r="F459" s="7">
        <v>1</v>
      </c>
      <c r="G459" s="7" t="s">
        <v>14</v>
      </c>
      <c r="J459" s="7">
        <f t="shared" si="41"/>
        <v>1900</v>
      </c>
      <c r="K459" s="7">
        <f t="shared" si="42"/>
        <v>1</v>
      </c>
      <c r="L459" s="7">
        <f t="shared" si="44"/>
        <v>45868</v>
      </c>
      <c r="M459" s="7" t="s">
        <v>152</v>
      </c>
      <c r="O459" s="17" t="s">
        <v>682</v>
      </c>
      <c r="P459" s="7">
        <f t="shared" si="43"/>
        <v>7</v>
      </c>
      <c r="Q459" s="7">
        <f t="shared" si="45"/>
        <v>2025</v>
      </c>
    </row>
    <row r="460" spans="1:17" x14ac:dyDescent="0.25">
      <c r="A460" s="7">
        <v>2532</v>
      </c>
      <c r="B460" s="9" t="s">
        <v>9</v>
      </c>
      <c r="C460" s="9" t="s">
        <v>290</v>
      </c>
      <c r="D460" s="8">
        <v>45868</v>
      </c>
      <c r="E460" s="7" t="s">
        <v>462</v>
      </c>
      <c r="F460" s="7">
        <v>1</v>
      </c>
      <c r="G460" s="7" t="s">
        <v>14</v>
      </c>
      <c r="J460" s="7">
        <f t="shared" si="41"/>
        <v>1900</v>
      </c>
      <c r="K460" s="7">
        <f t="shared" si="42"/>
        <v>1</v>
      </c>
      <c r="L460" s="7">
        <f t="shared" si="44"/>
        <v>45868</v>
      </c>
      <c r="M460" s="7" t="s">
        <v>152</v>
      </c>
      <c r="O460" s="17" t="s">
        <v>682</v>
      </c>
      <c r="P460" s="7">
        <f t="shared" si="43"/>
        <v>7</v>
      </c>
      <c r="Q460" s="7">
        <f t="shared" si="45"/>
        <v>2025</v>
      </c>
    </row>
    <row r="461" spans="1:17" x14ac:dyDescent="0.25">
      <c r="A461" s="7">
        <v>2532</v>
      </c>
      <c r="B461" s="9" t="s">
        <v>9</v>
      </c>
      <c r="C461" s="9" t="s">
        <v>290</v>
      </c>
      <c r="D461" s="8">
        <v>45868</v>
      </c>
      <c r="E461" s="7" t="s">
        <v>463</v>
      </c>
      <c r="F461" s="7">
        <v>1</v>
      </c>
      <c r="G461" s="7" t="s">
        <v>14</v>
      </c>
      <c r="J461" s="7">
        <f t="shared" si="41"/>
        <v>1900</v>
      </c>
      <c r="K461" s="7">
        <f t="shared" si="42"/>
        <v>1</v>
      </c>
      <c r="L461" s="7">
        <f t="shared" si="44"/>
        <v>45868</v>
      </c>
      <c r="M461" s="7" t="s">
        <v>152</v>
      </c>
      <c r="O461" s="17" t="s">
        <v>682</v>
      </c>
      <c r="P461" s="7">
        <f t="shared" si="43"/>
        <v>7</v>
      </c>
      <c r="Q461" s="7">
        <f t="shared" si="45"/>
        <v>2025</v>
      </c>
    </row>
    <row r="462" spans="1:17" x14ac:dyDescent="0.25">
      <c r="A462" s="7">
        <v>2532</v>
      </c>
      <c r="B462" s="9" t="s">
        <v>9</v>
      </c>
      <c r="C462" s="9" t="s">
        <v>290</v>
      </c>
      <c r="D462" s="8">
        <v>45868</v>
      </c>
      <c r="E462" s="7" t="s">
        <v>464</v>
      </c>
      <c r="F462" s="7">
        <v>1</v>
      </c>
      <c r="G462" s="7" t="s">
        <v>14</v>
      </c>
      <c r="J462" s="7">
        <f t="shared" si="41"/>
        <v>1900</v>
      </c>
      <c r="K462" s="7">
        <f t="shared" si="42"/>
        <v>1</v>
      </c>
      <c r="L462" s="7">
        <f t="shared" si="44"/>
        <v>45868</v>
      </c>
      <c r="M462" s="7" t="s">
        <v>152</v>
      </c>
      <c r="O462" s="17" t="s">
        <v>682</v>
      </c>
      <c r="P462" s="7">
        <f t="shared" si="43"/>
        <v>7</v>
      </c>
      <c r="Q462" s="7">
        <f t="shared" si="45"/>
        <v>2025</v>
      </c>
    </row>
    <row r="463" spans="1:17" x14ac:dyDescent="0.25">
      <c r="A463" s="7">
        <v>2532</v>
      </c>
      <c r="B463" s="9" t="s">
        <v>9</v>
      </c>
      <c r="C463" s="9" t="s">
        <v>290</v>
      </c>
      <c r="D463" s="8">
        <v>45868</v>
      </c>
      <c r="E463" s="7" t="s">
        <v>465</v>
      </c>
      <c r="F463" s="7">
        <v>1</v>
      </c>
      <c r="G463" s="7" t="s">
        <v>14</v>
      </c>
      <c r="J463" s="7">
        <f t="shared" si="41"/>
        <v>1900</v>
      </c>
      <c r="K463" s="7">
        <f t="shared" si="42"/>
        <v>1</v>
      </c>
      <c r="L463" s="7">
        <f t="shared" si="44"/>
        <v>45868</v>
      </c>
      <c r="M463" s="7" t="s">
        <v>152</v>
      </c>
      <c r="O463" s="17" t="s">
        <v>682</v>
      </c>
      <c r="P463" s="7">
        <f t="shared" si="43"/>
        <v>7</v>
      </c>
      <c r="Q463" s="7">
        <f t="shared" si="45"/>
        <v>2025</v>
      </c>
    </row>
    <row r="464" spans="1:17" x14ac:dyDescent="0.25">
      <c r="A464" s="7">
        <v>2532</v>
      </c>
      <c r="B464" s="9" t="s">
        <v>9</v>
      </c>
      <c r="C464" s="9" t="s">
        <v>290</v>
      </c>
      <c r="D464" s="8">
        <v>45868</v>
      </c>
      <c r="E464" s="7" t="s">
        <v>466</v>
      </c>
      <c r="F464" s="7">
        <v>1</v>
      </c>
      <c r="G464" s="7" t="s">
        <v>14</v>
      </c>
      <c r="J464" s="7">
        <f t="shared" si="41"/>
        <v>1900</v>
      </c>
      <c r="K464" s="7">
        <f t="shared" si="42"/>
        <v>1</v>
      </c>
      <c r="L464" s="7">
        <f t="shared" si="44"/>
        <v>45868</v>
      </c>
      <c r="M464" s="7" t="s">
        <v>152</v>
      </c>
      <c r="O464" s="17" t="s">
        <v>682</v>
      </c>
      <c r="P464" s="7">
        <f t="shared" si="43"/>
        <v>7</v>
      </c>
      <c r="Q464" s="7">
        <f t="shared" si="45"/>
        <v>2025</v>
      </c>
    </row>
    <row r="465" spans="1:17" x14ac:dyDescent="0.25">
      <c r="A465" s="7">
        <v>2532</v>
      </c>
      <c r="B465" s="9" t="s">
        <v>9</v>
      </c>
      <c r="C465" s="9" t="s">
        <v>290</v>
      </c>
      <c r="D465" s="8">
        <v>45868</v>
      </c>
      <c r="E465" s="7" t="s">
        <v>467</v>
      </c>
      <c r="F465" s="7">
        <v>1</v>
      </c>
      <c r="G465" s="7" t="s">
        <v>14</v>
      </c>
      <c r="J465" s="7">
        <f t="shared" si="41"/>
        <v>1900</v>
      </c>
      <c r="K465" s="7">
        <f t="shared" si="42"/>
        <v>1</v>
      </c>
      <c r="L465" s="7">
        <f t="shared" si="44"/>
        <v>45868</v>
      </c>
      <c r="M465" s="7" t="s">
        <v>152</v>
      </c>
      <c r="O465" s="17" t="s">
        <v>682</v>
      </c>
      <c r="P465" s="7">
        <f t="shared" si="43"/>
        <v>7</v>
      </c>
      <c r="Q465" s="7">
        <f t="shared" si="45"/>
        <v>2025</v>
      </c>
    </row>
    <row r="466" spans="1:17" x14ac:dyDescent="0.25">
      <c r="A466" s="7">
        <v>2532</v>
      </c>
      <c r="B466" s="9" t="s">
        <v>9</v>
      </c>
      <c r="C466" s="9" t="s">
        <v>290</v>
      </c>
      <c r="D466" s="8">
        <v>45868</v>
      </c>
      <c r="E466" s="7" t="s">
        <v>468</v>
      </c>
      <c r="F466" s="7">
        <v>1</v>
      </c>
      <c r="G466" s="7" t="s">
        <v>14</v>
      </c>
      <c r="J466" s="7">
        <f t="shared" si="41"/>
        <v>1900</v>
      </c>
      <c r="K466" s="7">
        <f t="shared" si="42"/>
        <v>1</v>
      </c>
      <c r="L466" s="7">
        <f t="shared" si="44"/>
        <v>45868</v>
      </c>
      <c r="M466" s="7" t="s">
        <v>152</v>
      </c>
      <c r="O466" s="17" t="s">
        <v>682</v>
      </c>
      <c r="P466" s="7">
        <f t="shared" si="43"/>
        <v>7</v>
      </c>
      <c r="Q466" s="7">
        <f t="shared" si="45"/>
        <v>2025</v>
      </c>
    </row>
    <row r="467" spans="1:17" x14ac:dyDescent="0.25">
      <c r="A467" s="7">
        <v>2532</v>
      </c>
      <c r="B467" s="9" t="s">
        <v>9</v>
      </c>
      <c r="C467" s="9" t="s">
        <v>290</v>
      </c>
      <c r="D467" s="8">
        <v>45868</v>
      </c>
      <c r="E467" s="7" t="s">
        <v>469</v>
      </c>
      <c r="F467" s="7">
        <v>1</v>
      </c>
      <c r="G467" s="7" t="s">
        <v>14</v>
      </c>
      <c r="J467" s="7">
        <f t="shared" si="41"/>
        <v>1900</v>
      </c>
      <c r="K467" s="7">
        <f t="shared" si="42"/>
        <v>1</v>
      </c>
      <c r="L467" s="7">
        <f t="shared" si="44"/>
        <v>45868</v>
      </c>
      <c r="M467" s="7" t="s">
        <v>152</v>
      </c>
      <c r="O467" s="17" t="s">
        <v>682</v>
      </c>
      <c r="P467" s="7">
        <f t="shared" si="43"/>
        <v>7</v>
      </c>
      <c r="Q467" s="7">
        <f t="shared" si="45"/>
        <v>2025</v>
      </c>
    </row>
    <row r="468" spans="1:17" x14ac:dyDescent="0.25">
      <c r="A468" s="7">
        <v>2532</v>
      </c>
      <c r="B468" s="9" t="s">
        <v>9</v>
      </c>
      <c r="C468" s="9" t="s">
        <v>290</v>
      </c>
      <c r="D468" s="8">
        <v>45868</v>
      </c>
      <c r="E468" s="7" t="s">
        <v>470</v>
      </c>
      <c r="F468" s="7">
        <v>1</v>
      </c>
      <c r="G468" s="7" t="s">
        <v>14</v>
      </c>
      <c r="J468" s="7">
        <f t="shared" si="41"/>
        <v>1900</v>
      </c>
      <c r="K468" s="7">
        <f t="shared" si="42"/>
        <v>1</v>
      </c>
      <c r="L468" s="7">
        <f t="shared" si="44"/>
        <v>45868</v>
      </c>
      <c r="M468" s="7" t="s">
        <v>152</v>
      </c>
      <c r="O468" s="17" t="s">
        <v>682</v>
      </c>
      <c r="P468" s="7">
        <f t="shared" si="43"/>
        <v>7</v>
      </c>
      <c r="Q468" s="7">
        <f t="shared" si="45"/>
        <v>2025</v>
      </c>
    </row>
    <row r="469" spans="1:17" x14ac:dyDescent="0.25">
      <c r="A469" s="7">
        <v>2532</v>
      </c>
      <c r="B469" s="9" t="s">
        <v>9</v>
      </c>
      <c r="C469" s="9" t="s">
        <v>290</v>
      </c>
      <c r="D469" s="8">
        <v>45868</v>
      </c>
      <c r="E469" s="7" t="s">
        <v>471</v>
      </c>
      <c r="F469" s="7">
        <v>1</v>
      </c>
      <c r="G469" s="7" t="s">
        <v>14</v>
      </c>
      <c r="J469" s="7">
        <f t="shared" si="41"/>
        <v>1900</v>
      </c>
      <c r="K469" s="7">
        <f t="shared" si="42"/>
        <v>1</v>
      </c>
      <c r="L469" s="7">
        <f t="shared" si="44"/>
        <v>45868</v>
      </c>
      <c r="M469" s="7" t="s">
        <v>152</v>
      </c>
      <c r="O469" s="17" t="s">
        <v>682</v>
      </c>
      <c r="P469" s="7">
        <f t="shared" si="43"/>
        <v>7</v>
      </c>
      <c r="Q469" s="7">
        <f t="shared" si="45"/>
        <v>2025</v>
      </c>
    </row>
    <row r="470" spans="1:17" x14ac:dyDescent="0.25">
      <c r="A470" s="7">
        <v>2532</v>
      </c>
      <c r="B470" s="9" t="s">
        <v>9</v>
      </c>
      <c r="C470" s="9" t="s">
        <v>290</v>
      </c>
      <c r="D470" s="8">
        <v>45868</v>
      </c>
      <c r="E470" s="7" t="s">
        <v>472</v>
      </c>
      <c r="F470" s="7">
        <v>1</v>
      </c>
      <c r="G470" s="7" t="s">
        <v>14</v>
      </c>
      <c r="J470" s="7">
        <f t="shared" si="41"/>
        <v>1900</v>
      </c>
      <c r="K470" s="7">
        <f t="shared" si="42"/>
        <v>1</v>
      </c>
      <c r="L470" s="7">
        <f t="shared" si="44"/>
        <v>45868</v>
      </c>
      <c r="M470" s="7" t="s">
        <v>152</v>
      </c>
      <c r="O470" s="17" t="s">
        <v>682</v>
      </c>
      <c r="P470" s="7">
        <f t="shared" si="43"/>
        <v>7</v>
      </c>
      <c r="Q470" s="7">
        <f t="shared" si="45"/>
        <v>2025</v>
      </c>
    </row>
    <row r="471" spans="1:17" x14ac:dyDescent="0.25">
      <c r="A471" s="7">
        <v>2532</v>
      </c>
      <c r="B471" s="9" t="s">
        <v>9</v>
      </c>
      <c r="C471" s="9" t="s">
        <v>290</v>
      </c>
      <c r="D471" s="8">
        <v>45868</v>
      </c>
      <c r="E471" s="7" t="s">
        <v>473</v>
      </c>
      <c r="F471" s="7">
        <v>1</v>
      </c>
      <c r="G471" s="7" t="s">
        <v>14</v>
      </c>
      <c r="J471" s="7">
        <f t="shared" si="41"/>
        <v>1900</v>
      </c>
      <c r="K471" s="7">
        <f t="shared" si="42"/>
        <v>1</v>
      </c>
      <c r="L471" s="7">
        <f t="shared" si="44"/>
        <v>45868</v>
      </c>
      <c r="M471" s="7" t="s">
        <v>152</v>
      </c>
      <c r="O471" s="17" t="s">
        <v>682</v>
      </c>
      <c r="P471" s="7">
        <f t="shared" si="43"/>
        <v>7</v>
      </c>
      <c r="Q471" s="7">
        <f t="shared" si="45"/>
        <v>2025</v>
      </c>
    </row>
    <row r="472" spans="1:17" x14ac:dyDescent="0.25">
      <c r="A472" s="7">
        <v>2532</v>
      </c>
      <c r="B472" s="9" t="s">
        <v>9</v>
      </c>
      <c r="C472" s="9" t="s">
        <v>290</v>
      </c>
      <c r="D472" s="8">
        <v>45868</v>
      </c>
      <c r="E472" s="7" t="s">
        <v>474</v>
      </c>
      <c r="F472" s="7">
        <v>1</v>
      </c>
      <c r="G472" s="7" t="s">
        <v>14</v>
      </c>
      <c r="J472" s="7">
        <f t="shared" si="41"/>
        <v>1900</v>
      </c>
      <c r="K472" s="7">
        <f t="shared" si="42"/>
        <v>1</v>
      </c>
      <c r="L472" s="7">
        <f t="shared" si="44"/>
        <v>45868</v>
      </c>
      <c r="M472" s="7" t="s">
        <v>152</v>
      </c>
      <c r="O472" s="17" t="s">
        <v>682</v>
      </c>
      <c r="P472" s="7">
        <f t="shared" si="43"/>
        <v>7</v>
      </c>
      <c r="Q472" s="7">
        <f t="shared" si="45"/>
        <v>2025</v>
      </c>
    </row>
    <row r="473" spans="1:17" x14ac:dyDescent="0.25">
      <c r="A473" s="7">
        <v>2532</v>
      </c>
      <c r="B473" s="9" t="s">
        <v>9</v>
      </c>
      <c r="C473" s="9" t="s">
        <v>290</v>
      </c>
      <c r="D473" s="8">
        <v>45868</v>
      </c>
      <c r="E473" s="7" t="s">
        <v>475</v>
      </c>
      <c r="F473" s="7">
        <v>1</v>
      </c>
      <c r="G473" s="7" t="s">
        <v>14</v>
      </c>
      <c r="J473" s="7">
        <f t="shared" si="41"/>
        <v>1900</v>
      </c>
      <c r="K473" s="7">
        <f t="shared" si="42"/>
        <v>1</v>
      </c>
      <c r="L473" s="7">
        <f t="shared" si="44"/>
        <v>45868</v>
      </c>
      <c r="M473" s="7" t="s">
        <v>152</v>
      </c>
      <c r="O473" s="17" t="s">
        <v>682</v>
      </c>
      <c r="P473" s="7">
        <f t="shared" si="43"/>
        <v>7</v>
      </c>
      <c r="Q473" s="7">
        <f t="shared" si="45"/>
        <v>2025</v>
      </c>
    </row>
    <row r="474" spans="1:17" x14ac:dyDescent="0.25">
      <c r="A474" s="7">
        <v>2533</v>
      </c>
      <c r="B474" s="9" t="s">
        <v>28</v>
      </c>
      <c r="C474" s="9" t="s">
        <v>477</v>
      </c>
      <c r="D474" s="8">
        <v>45884</v>
      </c>
      <c r="E474" s="7" t="s">
        <v>559</v>
      </c>
      <c r="F474" s="7">
        <v>1</v>
      </c>
      <c r="G474" s="7" t="s">
        <v>14</v>
      </c>
      <c r="H474" s="7" t="s">
        <v>314</v>
      </c>
      <c r="J474" s="7">
        <f t="shared" si="41"/>
        <v>1900</v>
      </c>
      <c r="K474" s="7">
        <f t="shared" si="42"/>
        <v>1</v>
      </c>
      <c r="L474" s="7">
        <f t="shared" si="44"/>
        <v>45884</v>
      </c>
      <c r="M474" s="16" t="s">
        <v>497</v>
      </c>
      <c r="N474" s="7" t="s">
        <v>579</v>
      </c>
      <c r="O474" s="17" t="s">
        <v>680</v>
      </c>
      <c r="P474" s="7">
        <f t="shared" ref="P474:P491" si="46">MONTH(D474)</f>
        <v>8</v>
      </c>
      <c r="Q474" s="7">
        <f t="shared" si="45"/>
        <v>2025</v>
      </c>
    </row>
    <row r="475" spans="1:17" x14ac:dyDescent="0.25">
      <c r="A475" s="7">
        <v>2533</v>
      </c>
      <c r="B475" s="9" t="s">
        <v>28</v>
      </c>
      <c r="C475" s="9" t="s">
        <v>477</v>
      </c>
      <c r="D475" s="8">
        <v>45884</v>
      </c>
      <c r="E475" s="7" t="s">
        <v>560</v>
      </c>
      <c r="F475" s="7">
        <v>1</v>
      </c>
      <c r="G475" s="7" t="s">
        <v>14</v>
      </c>
      <c r="H475" s="7" t="s">
        <v>314</v>
      </c>
      <c r="J475" s="7">
        <f t="shared" si="41"/>
        <v>1900</v>
      </c>
      <c r="K475" s="7">
        <f t="shared" si="42"/>
        <v>1</v>
      </c>
      <c r="L475" s="7">
        <f t="shared" si="44"/>
        <v>45884</v>
      </c>
      <c r="M475" s="16" t="s">
        <v>497</v>
      </c>
      <c r="N475" s="7" t="s">
        <v>579</v>
      </c>
      <c r="O475" s="17" t="s">
        <v>680</v>
      </c>
      <c r="P475" s="7">
        <f t="shared" si="46"/>
        <v>8</v>
      </c>
      <c r="Q475" s="7">
        <f t="shared" si="45"/>
        <v>2025</v>
      </c>
    </row>
    <row r="476" spans="1:17" x14ac:dyDescent="0.25">
      <c r="A476" s="7">
        <v>2533</v>
      </c>
      <c r="B476" s="9" t="s">
        <v>28</v>
      </c>
      <c r="C476" s="9" t="s">
        <v>477</v>
      </c>
      <c r="D476" s="8">
        <v>45884</v>
      </c>
      <c r="E476" s="7" t="s">
        <v>561</v>
      </c>
      <c r="F476" s="7">
        <v>1</v>
      </c>
      <c r="G476" s="7" t="s">
        <v>14</v>
      </c>
      <c r="H476" s="7" t="s">
        <v>314</v>
      </c>
      <c r="J476" s="7">
        <f t="shared" si="41"/>
        <v>1900</v>
      </c>
      <c r="K476" s="7">
        <f t="shared" si="42"/>
        <v>1</v>
      </c>
      <c r="L476" s="7">
        <f t="shared" si="44"/>
        <v>45884</v>
      </c>
      <c r="M476" s="16" t="s">
        <v>497</v>
      </c>
      <c r="N476" s="7" t="s">
        <v>579</v>
      </c>
      <c r="O476" s="17" t="s">
        <v>680</v>
      </c>
      <c r="P476" s="7">
        <f t="shared" si="46"/>
        <v>8</v>
      </c>
      <c r="Q476" s="7">
        <f t="shared" si="45"/>
        <v>2025</v>
      </c>
    </row>
    <row r="477" spans="1:17" x14ac:dyDescent="0.25">
      <c r="A477" s="7">
        <v>2533</v>
      </c>
      <c r="B477" s="9" t="s">
        <v>28</v>
      </c>
      <c r="C477" s="9" t="s">
        <v>477</v>
      </c>
      <c r="D477" s="8">
        <v>45884</v>
      </c>
      <c r="E477" s="7" t="s">
        <v>562</v>
      </c>
      <c r="F477" s="7">
        <v>1</v>
      </c>
      <c r="G477" s="7" t="s">
        <v>14</v>
      </c>
      <c r="H477" s="7" t="s">
        <v>314</v>
      </c>
      <c r="J477" s="7">
        <f t="shared" si="41"/>
        <v>1900</v>
      </c>
      <c r="K477" s="7">
        <f t="shared" si="42"/>
        <v>1</v>
      </c>
      <c r="L477" s="7">
        <f t="shared" si="44"/>
        <v>45884</v>
      </c>
      <c r="M477" s="16" t="s">
        <v>497</v>
      </c>
      <c r="N477" s="7" t="s">
        <v>579</v>
      </c>
      <c r="O477" s="17" t="s">
        <v>680</v>
      </c>
      <c r="P477" s="7">
        <f t="shared" si="46"/>
        <v>8</v>
      </c>
      <c r="Q477" s="7">
        <f t="shared" si="45"/>
        <v>2025</v>
      </c>
    </row>
    <row r="478" spans="1:17" x14ac:dyDescent="0.25">
      <c r="A478" s="7">
        <v>2533</v>
      </c>
      <c r="B478" s="9" t="s">
        <v>28</v>
      </c>
      <c r="C478" s="9" t="s">
        <v>477</v>
      </c>
      <c r="D478" s="8">
        <v>45884</v>
      </c>
      <c r="E478" s="7" t="s">
        <v>563</v>
      </c>
      <c r="F478" s="7">
        <v>1</v>
      </c>
      <c r="G478" s="7" t="s">
        <v>14</v>
      </c>
      <c r="H478" s="7" t="s">
        <v>314</v>
      </c>
      <c r="J478" s="7">
        <f t="shared" si="41"/>
        <v>1900</v>
      </c>
      <c r="K478" s="7">
        <f t="shared" si="42"/>
        <v>1</v>
      </c>
      <c r="L478" s="7">
        <f t="shared" si="44"/>
        <v>45884</v>
      </c>
      <c r="M478" s="16" t="s">
        <v>497</v>
      </c>
      <c r="N478" s="7" t="s">
        <v>579</v>
      </c>
      <c r="O478" s="17" t="s">
        <v>680</v>
      </c>
      <c r="P478" s="7">
        <f t="shared" si="46"/>
        <v>8</v>
      </c>
      <c r="Q478" s="7">
        <f t="shared" si="45"/>
        <v>2025</v>
      </c>
    </row>
    <row r="479" spans="1:17" x14ac:dyDescent="0.25">
      <c r="A479" s="7">
        <v>2533</v>
      </c>
      <c r="B479" s="9" t="s">
        <v>28</v>
      </c>
      <c r="C479" s="9" t="s">
        <v>477</v>
      </c>
      <c r="D479" s="8">
        <v>45884</v>
      </c>
      <c r="E479" s="7" t="s">
        <v>564</v>
      </c>
      <c r="F479" s="7">
        <v>1</v>
      </c>
      <c r="G479" s="7" t="s">
        <v>14</v>
      </c>
      <c r="H479" s="7" t="s">
        <v>314</v>
      </c>
      <c r="J479" s="7">
        <f t="shared" ref="J479:J542" si="47">YEAR(I479)</f>
        <v>1900</v>
      </c>
      <c r="K479" s="7">
        <f t="shared" si="42"/>
        <v>1</v>
      </c>
      <c r="L479" s="7">
        <f t="shared" si="44"/>
        <v>45884</v>
      </c>
      <c r="M479" s="16" t="s">
        <v>497</v>
      </c>
      <c r="N479" s="7" t="s">
        <v>579</v>
      </c>
      <c r="O479" s="17" t="s">
        <v>680</v>
      </c>
      <c r="P479" s="7">
        <f t="shared" si="46"/>
        <v>8</v>
      </c>
      <c r="Q479" s="7">
        <f t="shared" si="45"/>
        <v>2025</v>
      </c>
    </row>
    <row r="480" spans="1:17" x14ac:dyDescent="0.25">
      <c r="A480" s="7">
        <v>2533</v>
      </c>
      <c r="B480" s="9" t="s">
        <v>28</v>
      </c>
      <c r="C480" s="9" t="s">
        <v>477</v>
      </c>
      <c r="D480" s="8">
        <v>45884</v>
      </c>
      <c r="E480" s="7" t="s">
        <v>565</v>
      </c>
      <c r="F480" s="7">
        <v>1</v>
      </c>
      <c r="G480" s="7" t="s">
        <v>14</v>
      </c>
      <c r="H480" s="7" t="s">
        <v>314</v>
      </c>
      <c r="J480" s="7">
        <f t="shared" si="47"/>
        <v>1900</v>
      </c>
      <c r="K480" s="7">
        <f t="shared" si="42"/>
        <v>1</v>
      </c>
      <c r="L480" s="7">
        <f t="shared" si="44"/>
        <v>45884</v>
      </c>
      <c r="M480" s="16" t="s">
        <v>497</v>
      </c>
      <c r="N480" s="7" t="s">
        <v>579</v>
      </c>
      <c r="O480" s="17" t="s">
        <v>680</v>
      </c>
      <c r="P480" s="7">
        <f t="shared" si="46"/>
        <v>8</v>
      </c>
      <c r="Q480" s="7">
        <f t="shared" si="45"/>
        <v>2025</v>
      </c>
    </row>
    <row r="481" spans="1:17" x14ac:dyDescent="0.25">
      <c r="A481" s="7">
        <v>2533</v>
      </c>
      <c r="B481" s="9" t="s">
        <v>28</v>
      </c>
      <c r="C481" s="9" t="s">
        <v>477</v>
      </c>
      <c r="D481" s="8">
        <v>45884</v>
      </c>
      <c r="E481" s="7" t="s">
        <v>566</v>
      </c>
      <c r="F481" s="7">
        <v>1</v>
      </c>
      <c r="G481" s="7" t="s">
        <v>14</v>
      </c>
      <c r="H481" s="7" t="s">
        <v>314</v>
      </c>
      <c r="J481" s="7">
        <f t="shared" si="47"/>
        <v>1900</v>
      </c>
      <c r="K481" s="7">
        <f t="shared" si="42"/>
        <v>1</v>
      </c>
      <c r="L481" s="7">
        <f t="shared" si="44"/>
        <v>45884</v>
      </c>
      <c r="M481" s="16" t="s">
        <v>497</v>
      </c>
      <c r="N481" s="7" t="s">
        <v>579</v>
      </c>
      <c r="O481" s="17" t="s">
        <v>680</v>
      </c>
      <c r="P481" s="7">
        <f t="shared" si="46"/>
        <v>8</v>
      </c>
      <c r="Q481" s="7">
        <f t="shared" si="45"/>
        <v>2025</v>
      </c>
    </row>
    <row r="482" spans="1:17" x14ac:dyDescent="0.25">
      <c r="A482" s="7">
        <v>2533</v>
      </c>
      <c r="B482" s="9" t="s">
        <v>28</v>
      </c>
      <c r="C482" s="9" t="s">
        <v>477</v>
      </c>
      <c r="D482" s="8">
        <v>45884</v>
      </c>
      <c r="E482" s="7" t="s">
        <v>574</v>
      </c>
      <c r="F482" s="7">
        <v>1</v>
      </c>
      <c r="G482" s="7" t="s">
        <v>14</v>
      </c>
      <c r="H482" s="7" t="s">
        <v>314</v>
      </c>
      <c r="J482" s="7">
        <f t="shared" si="47"/>
        <v>1900</v>
      </c>
      <c r="K482" s="7">
        <f t="shared" si="42"/>
        <v>1</v>
      </c>
      <c r="L482" s="7">
        <f t="shared" si="44"/>
        <v>45884</v>
      </c>
      <c r="M482" s="16" t="s">
        <v>497</v>
      </c>
      <c r="N482" s="7" t="s">
        <v>579</v>
      </c>
      <c r="O482" s="17" t="s">
        <v>680</v>
      </c>
      <c r="P482" s="7">
        <f t="shared" si="46"/>
        <v>8</v>
      </c>
      <c r="Q482" s="7">
        <f t="shared" si="45"/>
        <v>2025</v>
      </c>
    </row>
    <row r="483" spans="1:17" x14ac:dyDescent="0.25">
      <c r="A483" s="7">
        <v>2533</v>
      </c>
      <c r="B483" s="9" t="s">
        <v>28</v>
      </c>
      <c r="C483" s="9" t="s">
        <v>477</v>
      </c>
      <c r="D483" s="8">
        <v>45884</v>
      </c>
      <c r="E483" s="7" t="s">
        <v>567</v>
      </c>
      <c r="F483" s="7">
        <v>1</v>
      </c>
      <c r="G483" s="7" t="s">
        <v>14</v>
      </c>
      <c r="H483" s="7" t="s">
        <v>314</v>
      </c>
      <c r="J483" s="7">
        <f t="shared" si="47"/>
        <v>1900</v>
      </c>
      <c r="K483" s="7">
        <f t="shared" si="42"/>
        <v>1</v>
      </c>
      <c r="L483" s="7">
        <f t="shared" si="44"/>
        <v>45884</v>
      </c>
      <c r="M483" s="16" t="s">
        <v>497</v>
      </c>
      <c r="N483" s="7" t="s">
        <v>579</v>
      </c>
      <c r="O483" s="17" t="s">
        <v>680</v>
      </c>
      <c r="P483" s="7">
        <f t="shared" si="46"/>
        <v>8</v>
      </c>
      <c r="Q483" s="7">
        <f t="shared" si="45"/>
        <v>2025</v>
      </c>
    </row>
    <row r="484" spans="1:17" x14ac:dyDescent="0.25">
      <c r="A484" s="7">
        <v>2533</v>
      </c>
      <c r="B484" s="9" t="s">
        <v>28</v>
      </c>
      <c r="C484" s="9" t="s">
        <v>477</v>
      </c>
      <c r="D484" s="8">
        <v>45884</v>
      </c>
      <c r="E484" s="7" t="s">
        <v>568</v>
      </c>
      <c r="F484" s="7">
        <v>1</v>
      </c>
      <c r="G484" s="7" t="s">
        <v>14</v>
      </c>
      <c r="H484" s="7" t="s">
        <v>314</v>
      </c>
      <c r="J484" s="7">
        <f t="shared" si="47"/>
        <v>1900</v>
      </c>
      <c r="K484" s="7">
        <f t="shared" si="42"/>
        <v>1</v>
      </c>
      <c r="L484" s="7">
        <f t="shared" si="44"/>
        <v>45884</v>
      </c>
      <c r="M484" s="16" t="s">
        <v>497</v>
      </c>
      <c r="N484" s="7" t="s">
        <v>579</v>
      </c>
      <c r="O484" s="17" t="s">
        <v>680</v>
      </c>
      <c r="P484" s="7">
        <f t="shared" si="46"/>
        <v>8</v>
      </c>
      <c r="Q484" s="7">
        <f t="shared" si="45"/>
        <v>2025</v>
      </c>
    </row>
    <row r="485" spans="1:17" x14ac:dyDescent="0.25">
      <c r="A485" s="7">
        <v>2533</v>
      </c>
      <c r="B485" s="9" t="s">
        <v>28</v>
      </c>
      <c r="C485" s="9" t="s">
        <v>477</v>
      </c>
      <c r="D485" s="8">
        <v>45884</v>
      </c>
      <c r="E485" s="7" t="s">
        <v>569</v>
      </c>
      <c r="F485" s="7">
        <v>1</v>
      </c>
      <c r="G485" s="7" t="s">
        <v>14</v>
      </c>
      <c r="H485" s="7" t="s">
        <v>314</v>
      </c>
      <c r="J485" s="7">
        <f t="shared" si="47"/>
        <v>1900</v>
      </c>
      <c r="K485" s="7">
        <f t="shared" si="42"/>
        <v>1</v>
      </c>
      <c r="L485" s="7">
        <f t="shared" si="44"/>
        <v>45884</v>
      </c>
      <c r="M485" s="16" t="s">
        <v>497</v>
      </c>
      <c r="N485" s="7" t="s">
        <v>579</v>
      </c>
      <c r="O485" s="17" t="s">
        <v>680</v>
      </c>
      <c r="P485" s="7">
        <f t="shared" si="46"/>
        <v>8</v>
      </c>
      <c r="Q485" s="7">
        <f t="shared" si="45"/>
        <v>2025</v>
      </c>
    </row>
    <row r="486" spans="1:17" x14ac:dyDescent="0.25">
      <c r="A486" s="7">
        <v>2533</v>
      </c>
      <c r="B486" s="9" t="s">
        <v>28</v>
      </c>
      <c r="C486" s="9" t="s">
        <v>477</v>
      </c>
      <c r="D486" s="8">
        <v>45884</v>
      </c>
      <c r="E486" s="7" t="s">
        <v>570</v>
      </c>
      <c r="F486" s="7">
        <v>1</v>
      </c>
      <c r="G486" s="7" t="s">
        <v>14</v>
      </c>
      <c r="H486" s="7" t="s">
        <v>314</v>
      </c>
      <c r="J486" s="7">
        <f t="shared" si="47"/>
        <v>1900</v>
      </c>
      <c r="K486" s="7">
        <f t="shared" si="42"/>
        <v>1</v>
      </c>
      <c r="L486" s="7">
        <f t="shared" si="44"/>
        <v>45884</v>
      </c>
      <c r="M486" s="16" t="s">
        <v>497</v>
      </c>
      <c r="N486" s="7" t="s">
        <v>579</v>
      </c>
      <c r="O486" s="17" t="s">
        <v>680</v>
      </c>
      <c r="P486" s="7">
        <f t="shared" si="46"/>
        <v>8</v>
      </c>
      <c r="Q486" s="7">
        <f t="shared" si="45"/>
        <v>2025</v>
      </c>
    </row>
    <row r="487" spans="1:17" x14ac:dyDescent="0.25">
      <c r="A487" s="7">
        <v>2533</v>
      </c>
      <c r="B487" s="9" t="s">
        <v>28</v>
      </c>
      <c r="C487" s="9" t="s">
        <v>477</v>
      </c>
      <c r="D487" s="8">
        <v>45884</v>
      </c>
      <c r="E487" s="7" t="s">
        <v>571</v>
      </c>
      <c r="F487" s="7">
        <v>1</v>
      </c>
      <c r="G487" s="7" t="s">
        <v>14</v>
      </c>
      <c r="H487" s="7" t="s">
        <v>314</v>
      </c>
      <c r="J487" s="7">
        <f t="shared" si="47"/>
        <v>1900</v>
      </c>
      <c r="K487" s="7">
        <f t="shared" si="42"/>
        <v>1</v>
      </c>
      <c r="L487" s="7">
        <f t="shared" si="44"/>
        <v>45884</v>
      </c>
      <c r="M487" s="16" t="s">
        <v>497</v>
      </c>
      <c r="N487" s="7" t="s">
        <v>579</v>
      </c>
      <c r="O487" s="17" t="s">
        <v>680</v>
      </c>
      <c r="P487" s="7">
        <f t="shared" si="46"/>
        <v>8</v>
      </c>
      <c r="Q487" s="7">
        <f t="shared" si="45"/>
        <v>2025</v>
      </c>
    </row>
    <row r="488" spans="1:17" x14ac:dyDescent="0.25">
      <c r="A488" s="7">
        <v>2533</v>
      </c>
      <c r="B488" s="9" t="s">
        <v>28</v>
      </c>
      <c r="C488" s="9" t="s">
        <v>477</v>
      </c>
      <c r="D488" s="8">
        <v>45884</v>
      </c>
      <c r="E488" s="7" t="s">
        <v>576</v>
      </c>
      <c r="F488" s="7">
        <v>1</v>
      </c>
      <c r="G488" s="7" t="s">
        <v>14</v>
      </c>
      <c r="H488" s="7" t="s">
        <v>314</v>
      </c>
      <c r="J488" s="7">
        <f t="shared" si="47"/>
        <v>1900</v>
      </c>
      <c r="K488" s="7">
        <f t="shared" si="42"/>
        <v>1</v>
      </c>
      <c r="L488" s="7">
        <f t="shared" si="44"/>
        <v>45884</v>
      </c>
      <c r="M488" s="16" t="s">
        <v>497</v>
      </c>
      <c r="N488" s="7" t="s">
        <v>579</v>
      </c>
      <c r="O488" s="17" t="s">
        <v>680</v>
      </c>
      <c r="P488" s="7">
        <f t="shared" si="46"/>
        <v>8</v>
      </c>
      <c r="Q488" s="7">
        <f t="shared" si="45"/>
        <v>2025</v>
      </c>
    </row>
    <row r="489" spans="1:17" x14ac:dyDescent="0.25">
      <c r="A489" s="7">
        <v>2533</v>
      </c>
      <c r="B489" s="9" t="s">
        <v>28</v>
      </c>
      <c r="C489" s="9" t="s">
        <v>477</v>
      </c>
      <c r="D489" s="8">
        <v>45884</v>
      </c>
      <c r="E489" s="7" t="s">
        <v>572</v>
      </c>
      <c r="F489" s="7">
        <v>1</v>
      </c>
      <c r="G489" s="7" t="s">
        <v>14</v>
      </c>
      <c r="H489" s="7" t="s">
        <v>314</v>
      </c>
      <c r="J489" s="7">
        <f t="shared" si="47"/>
        <v>1900</v>
      </c>
      <c r="K489" s="7">
        <f t="shared" si="42"/>
        <v>1</v>
      </c>
      <c r="L489" s="7">
        <f t="shared" si="44"/>
        <v>45884</v>
      </c>
      <c r="M489" s="16" t="s">
        <v>497</v>
      </c>
      <c r="N489" s="7" t="s">
        <v>579</v>
      </c>
      <c r="O489" s="17" t="s">
        <v>680</v>
      </c>
      <c r="P489" s="7">
        <f t="shared" si="46"/>
        <v>8</v>
      </c>
      <c r="Q489" s="7">
        <f t="shared" si="45"/>
        <v>2025</v>
      </c>
    </row>
    <row r="490" spans="1:17" x14ac:dyDescent="0.25">
      <c r="A490" s="7">
        <v>2533</v>
      </c>
      <c r="B490" s="9" t="s">
        <v>28</v>
      </c>
      <c r="C490" s="9" t="s">
        <v>477</v>
      </c>
      <c r="D490" s="8">
        <v>45884</v>
      </c>
      <c r="E490" s="7" t="s">
        <v>575</v>
      </c>
      <c r="F490" s="7">
        <v>1</v>
      </c>
      <c r="G490" s="7" t="s">
        <v>14</v>
      </c>
      <c r="H490" s="7" t="s">
        <v>314</v>
      </c>
      <c r="J490" s="7">
        <f t="shared" si="47"/>
        <v>1900</v>
      </c>
      <c r="K490" s="7">
        <f t="shared" si="42"/>
        <v>1</v>
      </c>
      <c r="L490" s="7">
        <f t="shared" si="44"/>
        <v>45884</v>
      </c>
      <c r="M490" s="16" t="s">
        <v>497</v>
      </c>
      <c r="N490" s="7" t="s">
        <v>579</v>
      </c>
      <c r="O490" s="17" t="s">
        <v>680</v>
      </c>
      <c r="P490" s="7">
        <f t="shared" si="46"/>
        <v>8</v>
      </c>
      <c r="Q490" s="7">
        <f t="shared" si="45"/>
        <v>2025</v>
      </c>
    </row>
    <row r="491" spans="1:17" x14ac:dyDescent="0.25">
      <c r="A491" s="7">
        <v>2533</v>
      </c>
      <c r="B491" s="9" t="s">
        <v>28</v>
      </c>
      <c r="C491" s="9" t="s">
        <v>477</v>
      </c>
      <c r="D491" s="8">
        <v>45884</v>
      </c>
      <c r="E491" s="7" t="s">
        <v>573</v>
      </c>
      <c r="F491" s="7">
        <v>1</v>
      </c>
      <c r="G491" s="7" t="s">
        <v>14</v>
      </c>
      <c r="H491" s="7" t="s">
        <v>314</v>
      </c>
      <c r="J491" s="7">
        <f t="shared" si="47"/>
        <v>1900</v>
      </c>
      <c r="K491" s="7">
        <f t="shared" si="42"/>
        <v>1</v>
      </c>
      <c r="L491" s="7">
        <f t="shared" si="44"/>
        <v>45884</v>
      </c>
      <c r="M491" s="16" t="s">
        <v>497</v>
      </c>
      <c r="N491" s="7" t="s">
        <v>579</v>
      </c>
      <c r="O491" s="17" t="s">
        <v>680</v>
      </c>
      <c r="P491" s="7">
        <f t="shared" si="46"/>
        <v>8</v>
      </c>
      <c r="Q491" s="7">
        <f t="shared" si="45"/>
        <v>2025</v>
      </c>
    </row>
    <row r="492" spans="1:17" x14ac:dyDescent="0.25">
      <c r="A492" s="7">
        <v>2534</v>
      </c>
      <c r="B492" s="9" t="s">
        <v>9</v>
      </c>
      <c r="C492" s="9" t="s">
        <v>493</v>
      </c>
      <c r="D492" s="8">
        <v>45868</v>
      </c>
      <c r="E492" s="7" t="s">
        <v>60</v>
      </c>
      <c r="F492" s="7">
        <v>1</v>
      </c>
      <c r="G492" s="7" t="s">
        <v>14</v>
      </c>
      <c r="J492" s="7">
        <f t="shared" si="47"/>
        <v>1900</v>
      </c>
      <c r="K492" s="7">
        <f t="shared" si="42"/>
        <v>1</v>
      </c>
      <c r="L492" s="7">
        <f t="shared" si="44"/>
        <v>45868</v>
      </c>
      <c r="M492" s="7" t="s">
        <v>527</v>
      </c>
      <c r="O492" s="17" t="s">
        <v>682</v>
      </c>
      <c r="P492" s="7">
        <f>MONTH(D492)</f>
        <v>7</v>
      </c>
      <c r="Q492" s="7">
        <f t="shared" si="45"/>
        <v>2025</v>
      </c>
    </row>
    <row r="493" spans="1:17" x14ac:dyDescent="0.25">
      <c r="A493" s="7">
        <v>2534</v>
      </c>
      <c r="B493" s="9" t="s">
        <v>9</v>
      </c>
      <c r="C493" s="9" t="s">
        <v>493</v>
      </c>
      <c r="D493" s="8">
        <v>45868</v>
      </c>
      <c r="E493" s="7" t="s">
        <v>60</v>
      </c>
      <c r="F493" s="7">
        <v>1</v>
      </c>
      <c r="G493" s="7" t="s">
        <v>14</v>
      </c>
      <c r="J493" s="7">
        <f t="shared" si="47"/>
        <v>1900</v>
      </c>
      <c r="K493" s="7">
        <f t="shared" si="42"/>
        <v>1</v>
      </c>
      <c r="L493" s="7">
        <f t="shared" si="44"/>
        <v>45868</v>
      </c>
      <c r="M493" s="7" t="s">
        <v>527</v>
      </c>
      <c r="O493" s="17" t="s">
        <v>682</v>
      </c>
      <c r="P493" s="7">
        <f t="shared" ref="P493:P551" si="48">MONTH(D493)</f>
        <v>7</v>
      </c>
      <c r="Q493" s="7">
        <f t="shared" si="45"/>
        <v>2025</v>
      </c>
    </row>
    <row r="494" spans="1:17" x14ac:dyDescent="0.25">
      <c r="A494" s="7">
        <v>2534</v>
      </c>
      <c r="B494" s="9" t="s">
        <v>9</v>
      </c>
      <c r="C494" s="9" t="s">
        <v>493</v>
      </c>
      <c r="D494" s="8">
        <v>45868</v>
      </c>
      <c r="E494" s="7" t="s">
        <v>60</v>
      </c>
      <c r="F494" s="7">
        <v>1</v>
      </c>
      <c r="G494" s="7" t="s">
        <v>14</v>
      </c>
      <c r="J494" s="7">
        <f t="shared" si="47"/>
        <v>1900</v>
      </c>
      <c r="K494" s="7">
        <f t="shared" si="42"/>
        <v>1</v>
      </c>
      <c r="L494" s="7">
        <f t="shared" si="44"/>
        <v>45868</v>
      </c>
      <c r="M494" s="7" t="s">
        <v>527</v>
      </c>
      <c r="O494" s="17" t="s">
        <v>682</v>
      </c>
      <c r="P494" s="7">
        <f t="shared" si="48"/>
        <v>7</v>
      </c>
      <c r="Q494" s="7">
        <f t="shared" si="45"/>
        <v>2025</v>
      </c>
    </row>
    <row r="495" spans="1:17" x14ac:dyDescent="0.25">
      <c r="A495" s="7">
        <v>2534</v>
      </c>
      <c r="B495" s="9" t="s">
        <v>9</v>
      </c>
      <c r="C495" s="9" t="s">
        <v>493</v>
      </c>
      <c r="D495" s="8">
        <v>45868</v>
      </c>
      <c r="E495" s="7" t="s">
        <v>60</v>
      </c>
      <c r="F495" s="7">
        <v>1</v>
      </c>
      <c r="G495" s="7" t="s">
        <v>14</v>
      </c>
      <c r="J495" s="7">
        <f t="shared" si="47"/>
        <v>1900</v>
      </c>
      <c r="K495" s="7">
        <f t="shared" si="42"/>
        <v>1</v>
      </c>
      <c r="L495" s="7">
        <f t="shared" si="44"/>
        <v>45868</v>
      </c>
      <c r="M495" s="7" t="s">
        <v>527</v>
      </c>
      <c r="O495" s="17" t="s">
        <v>682</v>
      </c>
      <c r="P495" s="7">
        <f t="shared" si="48"/>
        <v>7</v>
      </c>
      <c r="Q495" s="7">
        <f t="shared" si="45"/>
        <v>2025</v>
      </c>
    </row>
    <row r="496" spans="1:17" x14ac:dyDescent="0.25">
      <c r="A496" s="7">
        <v>2534</v>
      </c>
      <c r="B496" s="9" t="s">
        <v>9</v>
      </c>
      <c r="C496" s="9" t="s">
        <v>493</v>
      </c>
      <c r="D496" s="8">
        <v>45868</v>
      </c>
      <c r="E496" s="7" t="s">
        <v>60</v>
      </c>
      <c r="F496" s="7">
        <v>1</v>
      </c>
      <c r="G496" s="7" t="s">
        <v>14</v>
      </c>
      <c r="J496" s="7">
        <f t="shared" si="47"/>
        <v>1900</v>
      </c>
      <c r="K496" s="7">
        <f t="shared" si="42"/>
        <v>1</v>
      </c>
      <c r="L496" s="7">
        <f t="shared" si="44"/>
        <v>45868</v>
      </c>
      <c r="M496" s="7" t="s">
        <v>527</v>
      </c>
      <c r="O496" s="17" t="s">
        <v>682</v>
      </c>
      <c r="P496" s="7">
        <f t="shared" si="48"/>
        <v>7</v>
      </c>
      <c r="Q496" s="7">
        <f t="shared" si="45"/>
        <v>2025</v>
      </c>
    </row>
    <row r="497" spans="1:17" x14ac:dyDescent="0.25">
      <c r="A497" s="7">
        <v>2534</v>
      </c>
      <c r="B497" s="9" t="s">
        <v>9</v>
      </c>
      <c r="C497" s="9" t="s">
        <v>493</v>
      </c>
      <c r="D497" s="8">
        <v>45868</v>
      </c>
      <c r="E497" s="7" t="s">
        <v>60</v>
      </c>
      <c r="F497" s="7">
        <v>1</v>
      </c>
      <c r="G497" s="7" t="s">
        <v>14</v>
      </c>
      <c r="J497" s="7">
        <f t="shared" si="47"/>
        <v>1900</v>
      </c>
      <c r="K497" s="7">
        <f t="shared" si="42"/>
        <v>1</v>
      </c>
      <c r="L497" s="7">
        <f t="shared" si="44"/>
        <v>45868</v>
      </c>
      <c r="M497" s="7" t="s">
        <v>527</v>
      </c>
      <c r="O497" s="17" t="s">
        <v>682</v>
      </c>
      <c r="P497" s="7">
        <f t="shared" si="48"/>
        <v>7</v>
      </c>
      <c r="Q497" s="7">
        <f t="shared" si="45"/>
        <v>2025</v>
      </c>
    </row>
    <row r="498" spans="1:17" x14ac:dyDescent="0.25">
      <c r="A498" s="7">
        <v>2534</v>
      </c>
      <c r="B498" s="9" t="s">
        <v>9</v>
      </c>
      <c r="C498" s="9" t="s">
        <v>493</v>
      </c>
      <c r="D498" s="8">
        <v>45868</v>
      </c>
      <c r="E498" s="7" t="s">
        <v>60</v>
      </c>
      <c r="F498" s="7">
        <v>1</v>
      </c>
      <c r="G498" s="7" t="s">
        <v>14</v>
      </c>
      <c r="J498" s="7">
        <f t="shared" si="47"/>
        <v>1900</v>
      </c>
      <c r="K498" s="7">
        <f t="shared" si="42"/>
        <v>1</v>
      </c>
      <c r="L498" s="7">
        <f t="shared" si="44"/>
        <v>45868</v>
      </c>
      <c r="M498" s="7" t="s">
        <v>527</v>
      </c>
      <c r="O498" s="17" t="s">
        <v>682</v>
      </c>
      <c r="P498" s="7">
        <f t="shared" si="48"/>
        <v>7</v>
      </c>
      <c r="Q498" s="7">
        <f t="shared" si="45"/>
        <v>2025</v>
      </c>
    </row>
    <row r="499" spans="1:17" x14ac:dyDescent="0.25">
      <c r="A499" s="7">
        <v>2534</v>
      </c>
      <c r="B499" s="9" t="s">
        <v>9</v>
      </c>
      <c r="C499" s="9" t="s">
        <v>493</v>
      </c>
      <c r="D499" s="8">
        <v>45868</v>
      </c>
      <c r="E499" s="7" t="s">
        <v>60</v>
      </c>
      <c r="F499" s="7">
        <v>1</v>
      </c>
      <c r="G499" s="7" t="s">
        <v>14</v>
      </c>
      <c r="J499" s="7">
        <f t="shared" si="47"/>
        <v>1900</v>
      </c>
      <c r="K499" s="7">
        <f t="shared" si="42"/>
        <v>1</v>
      </c>
      <c r="L499" s="7">
        <f t="shared" si="44"/>
        <v>45868</v>
      </c>
      <c r="M499" s="7" t="s">
        <v>527</v>
      </c>
      <c r="O499" s="17" t="s">
        <v>682</v>
      </c>
      <c r="P499" s="7">
        <f t="shared" si="48"/>
        <v>7</v>
      </c>
      <c r="Q499" s="7">
        <f t="shared" si="45"/>
        <v>2025</v>
      </c>
    </row>
    <row r="500" spans="1:17" x14ac:dyDescent="0.25">
      <c r="A500" s="7">
        <v>2534</v>
      </c>
      <c r="B500" s="9" t="s">
        <v>9</v>
      </c>
      <c r="C500" s="9" t="s">
        <v>493</v>
      </c>
      <c r="D500" s="8">
        <v>45868</v>
      </c>
      <c r="E500" s="7" t="s">
        <v>60</v>
      </c>
      <c r="F500" s="7">
        <v>1</v>
      </c>
      <c r="G500" s="7" t="s">
        <v>14</v>
      </c>
      <c r="J500" s="7">
        <f t="shared" si="47"/>
        <v>1900</v>
      </c>
      <c r="K500" s="7">
        <f t="shared" si="42"/>
        <v>1</v>
      </c>
      <c r="L500" s="7">
        <f t="shared" si="44"/>
        <v>45868</v>
      </c>
      <c r="M500" s="7" t="s">
        <v>527</v>
      </c>
      <c r="O500" s="17" t="s">
        <v>682</v>
      </c>
      <c r="P500" s="7">
        <f t="shared" si="48"/>
        <v>7</v>
      </c>
      <c r="Q500" s="7">
        <f t="shared" si="45"/>
        <v>2025</v>
      </c>
    </row>
    <row r="501" spans="1:17" x14ac:dyDescent="0.25">
      <c r="A501" s="7">
        <v>2534</v>
      </c>
      <c r="B501" s="9" t="s">
        <v>9</v>
      </c>
      <c r="C501" s="9" t="s">
        <v>493</v>
      </c>
      <c r="D501" s="8">
        <v>45868</v>
      </c>
      <c r="E501" s="7" t="s">
        <v>60</v>
      </c>
      <c r="F501" s="7">
        <v>1</v>
      </c>
      <c r="G501" s="7" t="s">
        <v>14</v>
      </c>
      <c r="J501" s="7">
        <f t="shared" si="47"/>
        <v>1900</v>
      </c>
      <c r="K501" s="7">
        <f t="shared" si="42"/>
        <v>1</v>
      </c>
      <c r="L501" s="7">
        <f t="shared" si="44"/>
        <v>45868</v>
      </c>
      <c r="M501" s="7" t="s">
        <v>527</v>
      </c>
      <c r="O501" s="17" t="s">
        <v>682</v>
      </c>
      <c r="P501" s="7">
        <f t="shared" si="48"/>
        <v>7</v>
      </c>
      <c r="Q501" s="7">
        <f t="shared" si="45"/>
        <v>2025</v>
      </c>
    </row>
    <row r="502" spans="1:17" x14ac:dyDescent="0.25">
      <c r="A502" s="7">
        <v>2534</v>
      </c>
      <c r="B502" s="9" t="s">
        <v>9</v>
      </c>
      <c r="C502" s="9" t="s">
        <v>493</v>
      </c>
      <c r="D502" s="8">
        <v>45868</v>
      </c>
      <c r="E502" s="7" t="s">
        <v>60</v>
      </c>
      <c r="F502" s="7">
        <v>1</v>
      </c>
      <c r="G502" s="7" t="s">
        <v>14</v>
      </c>
      <c r="J502" s="7">
        <f t="shared" si="47"/>
        <v>1900</v>
      </c>
      <c r="K502" s="7">
        <f t="shared" si="42"/>
        <v>1</v>
      </c>
      <c r="L502" s="7">
        <f t="shared" si="44"/>
        <v>45868</v>
      </c>
      <c r="M502" s="7" t="s">
        <v>527</v>
      </c>
      <c r="O502" s="17" t="s">
        <v>682</v>
      </c>
      <c r="P502" s="7">
        <f t="shared" si="48"/>
        <v>7</v>
      </c>
      <c r="Q502" s="7">
        <f t="shared" si="45"/>
        <v>2025</v>
      </c>
    </row>
    <row r="503" spans="1:17" x14ac:dyDescent="0.25">
      <c r="A503" s="7">
        <v>2534</v>
      </c>
      <c r="B503" s="9" t="s">
        <v>9</v>
      </c>
      <c r="C503" s="9" t="s">
        <v>493</v>
      </c>
      <c r="D503" s="8">
        <v>45868</v>
      </c>
      <c r="E503" s="7" t="s">
        <v>60</v>
      </c>
      <c r="F503" s="7">
        <v>1</v>
      </c>
      <c r="G503" s="7" t="s">
        <v>14</v>
      </c>
      <c r="J503" s="7">
        <f t="shared" si="47"/>
        <v>1900</v>
      </c>
      <c r="K503" s="7">
        <f t="shared" si="42"/>
        <v>1</v>
      </c>
      <c r="L503" s="7">
        <f t="shared" si="44"/>
        <v>45868</v>
      </c>
      <c r="M503" s="7" t="s">
        <v>527</v>
      </c>
      <c r="O503" s="17" t="s">
        <v>682</v>
      </c>
      <c r="P503" s="7">
        <f t="shared" si="48"/>
        <v>7</v>
      </c>
      <c r="Q503" s="7">
        <f t="shared" si="45"/>
        <v>2025</v>
      </c>
    </row>
    <row r="504" spans="1:17" x14ac:dyDescent="0.25">
      <c r="A504" s="7">
        <v>2534</v>
      </c>
      <c r="B504" s="9" t="s">
        <v>9</v>
      </c>
      <c r="C504" s="9" t="s">
        <v>493</v>
      </c>
      <c r="D504" s="8">
        <v>45868</v>
      </c>
      <c r="E504" s="7" t="s">
        <v>60</v>
      </c>
      <c r="F504" s="7">
        <v>1</v>
      </c>
      <c r="G504" s="7" t="s">
        <v>14</v>
      </c>
      <c r="J504" s="7">
        <f t="shared" si="47"/>
        <v>1900</v>
      </c>
      <c r="K504" s="7">
        <f t="shared" si="42"/>
        <v>1</v>
      </c>
      <c r="L504" s="7">
        <f t="shared" si="44"/>
        <v>45868</v>
      </c>
      <c r="M504" s="7" t="s">
        <v>527</v>
      </c>
      <c r="O504" s="17" t="s">
        <v>682</v>
      </c>
      <c r="P504" s="7">
        <f t="shared" si="48"/>
        <v>7</v>
      </c>
      <c r="Q504" s="7">
        <f t="shared" si="45"/>
        <v>2025</v>
      </c>
    </row>
    <row r="505" spans="1:17" x14ac:dyDescent="0.25">
      <c r="A505" s="7">
        <v>2534</v>
      </c>
      <c r="B505" s="9" t="s">
        <v>9</v>
      </c>
      <c r="C505" s="9" t="s">
        <v>493</v>
      </c>
      <c r="D505" s="8">
        <v>45868</v>
      </c>
      <c r="E505" s="7" t="s">
        <v>60</v>
      </c>
      <c r="F505" s="7">
        <v>1</v>
      </c>
      <c r="G505" s="7" t="s">
        <v>14</v>
      </c>
      <c r="J505" s="7">
        <f t="shared" si="47"/>
        <v>1900</v>
      </c>
      <c r="K505" s="7">
        <f t="shared" si="42"/>
        <v>1</v>
      </c>
      <c r="L505" s="7">
        <f t="shared" si="44"/>
        <v>45868</v>
      </c>
      <c r="M505" s="7" t="s">
        <v>527</v>
      </c>
      <c r="O505" s="17" t="s">
        <v>682</v>
      </c>
      <c r="P505" s="7">
        <f t="shared" si="48"/>
        <v>7</v>
      </c>
      <c r="Q505" s="7">
        <f t="shared" si="45"/>
        <v>2025</v>
      </c>
    </row>
    <row r="506" spans="1:17" x14ac:dyDescent="0.25">
      <c r="A506" s="7">
        <v>2534</v>
      </c>
      <c r="B506" s="9" t="s">
        <v>9</v>
      </c>
      <c r="C506" s="9" t="s">
        <v>493</v>
      </c>
      <c r="D506" s="8">
        <v>45868</v>
      </c>
      <c r="E506" s="7" t="s">
        <v>60</v>
      </c>
      <c r="F506" s="7">
        <v>1</v>
      </c>
      <c r="G506" s="7" t="s">
        <v>14</v>
      </c>
      <c r="J506" s="7">
        <f t="shared" si="47"/>
        <v>1900</v>
      </c>
      <c r="K506" s="7">
        <f t="shared" si="42"/>
        <v>1</v>
      </c>
      <c r="L506" s="7">
        <f t="shared" si="44"/>
        <v>45868</v>
      </c>
      <c r="M506" s="7" t="s">
        <v>527</v>
      </c>
      <c r="O506" s="17" t="s">
        <v>682</v>
      </c>
      <c r="P506" s="7">
        <f t="shared" si="48"/>
        <v>7</v>
      </c>
      <c r="Q506" s="7">
        <f t="shared" si="45"/>
        <v>2025</v>
      </c>
    </row>
    <row r="507" spans="1:17" x14ac:dyDescent="0.25">
      <c r="A507" s="7">
        <v>2534</v>
      </c>
      <c r="B507" s="9" t="s">
        <v>9</v>
      </c>
      <c r="C507" s="9" t="s">
        <v>493</v>
      </c>
      <c r="D507" s="8">
        <v>45868</v>
      </c>
      <c r="E507" s="7" t="s">
        <v>60</v>
      </c>
      <c r="F507" s="7">
        <v>1</v>
      </c>
      <c r="G507" s="7" t="s">
        <v>14</v>
      </c>
      <c r="J507" s="7">
        <f t="shared" si="47"/>
        <v>1900</v>
      </c>
      <c r="K507" s="7">
        <f t="shared" ref="K507:K562" si="49">MONTH(I507)</f>
        <v>1</v>
      </c>
      <c r="L507" s="7">
        <f t="shared" si="44"/>
        <v>45868</v>
      </c>
      <c r="M507" s="7" t="s">
        <v>527</v>
      </c>
      <c r="O507" s="17" t="s">
        <v>682</v>
      </c>
      <c r="P507" s="7">
        <f t="shared" si="48"/>
        <v>7</v>
      </c>
      <c r="Q507" s="7">
        <f t="shared" si="45"/>
        <v>2025</v>
      </c>
    </row>
    <row r="508" spans="1:17" x14ac:dyDescent="0.25">
      <c r="A508" s="7">
        <v>2534</v>
      </c>
      <c r="B508" s="9" t="s">
        <v>9</v>
      </c>
      <c r="C508" s="9" t="s">
        <v>493</v>
      </c>
      <c r="D508" s="8">
        <v>45868</v>
      </c>
      <c r="E508" s="7" t="s">
        <v>60</v>
      </c>
      <c r="F508" s="7">
        <v>1</v>
      </c>
      <c r="G508" s="7" t="s">
        <v>14</v>
      </c>
      <c r="J508" s="7">
        <f t="shared" si="47"/>
        <v>1900</v>
      </c>
      <c r="K508" s="7">
        <f t="shared" si="49"/>
        <v>1</v>
      </c>
      <c r="L508" s="7">
        <f t="shared" si="44"/>
        <v>45868</v>
      </c>
      <c r="M508" s="7" t="s">
        <v>527</v>
      </c>
      <c r="O508" s="17" t="s">
        <v>682</v>
      </c>
      <c r="P508" s="7">
        <f t="shared" si="48"/>
        <v>7</v>
      </c>
      <c r="Q508" s="7">
        <f t="shared" si="45"/>
        <v>2025</v>
      </c>
    </row>
    <row r="509" spans="1:17" x14ac:dyDescent="0.25">
      <c r="A509" s="7">
        <v>2534</v>
      </c>
      <c r="B509" s="9" t="s">
        <v>9</v>
      </c>
      <c r="C509" s="9" t="s">
        <v>493</v>
      </c>
      <c r="D509" s="8">
        <v>45868</v>
      </c>
      <c r="E509" s="7" t="s">
        <v>60</v>
      </c>
      <c r="F509" s="7">
        <v>1</v>
      </c>
      <c r="G509" s="7" t="s">
        <v>14</v>
      </c>
      <c r="J509" s="7">
        <f t="shared" si="47"/>
        <v>1900</v>
      </c>
      <c r="K509" s="7">
        <f t="shared" si="49"/>
        <v>1</v>
      </c>
      <c r="L509" s="7">
        <f t="shared" ref="L509:L564" si="50">D509-I509</f>
        <v>45868</v>
      </c>
      <c r="M509" s="7" t="s">
        <v>527</v>
      </c>
      <c r="O509" s="17" t="s">
        <v>682</v>
      </c>
      <c r="P509" s="7">
        <f t="shared" si="48"/>
        <v>7</v>
      </c>
      <c r="Q509" s="7">
        <f t="shared" si="45"/>
        <v>2025</v>
      </c>
    </row>
    <row r="510" spans="1:17" x14ac:dyDescent="0.25">
      <c r="A510" s="7">
        <v>2534</v>
      </c>
      <c r="B510" s="9" t="s">
        <v>9</v>
      </c>
      <c r="C510" s="9" t="s">
        <v>493</v>
      </c>
      <c r="D510" s="8">
        <v>45868</v>
      </c>
      <c r="E510" s="7" t="s">
        <v>60</v>
      </c>
      <c r="F510" s="7">
        <v>1</v>
      </c>
      <c r="G510" s="7" t="s">
        <v>14</v>
      </c>
      <c r="J510" s="7">
        <f t="shared" si="47"/>
        <v>1900</v>
      </c>
      <c r="K510" s="7">
        <f t="shared" si="49"/>
        <v>1</v>
      </c>
      <c r="L510" s="7">
        <f t="shared" si="50"/>
        <v>45868</v>
      </c>
      <c r="M510" s="7" t="s">
        <v>527</v>
      </c>
      <c r="O510" s="17" t="s">
        <v>682</v>
      </c>
      <c r="P510" s="7">
        <f t="shared" si="48"/>
        <v>7</v>
      </c>
      <c r="Q510" s="7">
        <f t="shared" si="45"/>
        <v>2025</v>
      </c>
    </row>
    <row r="511" spans="1:17" x14ac:dyDescent="0.25">
      <c r="A511" s="7">
        <v>2534</v>
      </c>
      <c r="B511" s="9" t="s">
        <v>9</v>
      </c>
      <c r="C511" s="9" t="s">
        <v>493</v>
      </c>
      <c r="D511" s="8">
        <v>45868</v>
      </c>
      <c r="E511" s="7" t="s">
        <v>60</v>
      </c>
      <c r="F511" s="7">
        <v>1</v>
      </c>
      <c r="G511" s="7" t="s">
        <v>14</v>
      </c>
      <c r="J511" s="7">
        <f t="shared" si="47"/>
        <v>1900</v>
      </c>
      <c r="K511" s="7">
        <f t="shared" si="49"/>
        <v>1</v>
      </c>
      <c r="L511" s="7">
        <f t="shared" si="50"/>
        <v>45868</v>
      </c>
      <c r="M511" s="7" t="s">
        <v>527</v>
      </c>
      <c r="O511" s="17" t="s">
        <v>682</v>
      </c>
      <c r="P511" s="7">
        <f t="shared" si="48"/>
        <v>7</v>
      </c>
      <c r="Q511" s="7">
        <f t="shared" si="45"/>
        <v>2025</v>
      </c>
    </row>
    <row r="512" spans="1:17" x14ac:dyDescent="0.25">
      <c r="A512" s="7">
        <v>2534</v>
      </c>
      <c r="B512" s="9" t="s">
        <v>9</v>
      </c>
      <c r="C512" s="9" t="s">
        <v>493</v>
      </c>
      <c r="D512" s="8">
        <v>45868</v>
      </c>
      <c r="E512" s="7" t="s">
        <v>60</v>
      </c>
      <c r="F512" s="7">
        <v>1</v>
      </c>
      <c r="G512" s="7" t="s">
        <v>14</v>
      </c>
      <c r="J512" s="7">
        <f t="shared" si="47"/>
        <v>1900</v>
      </c>
      <c r="K512" s="7">
        <f t="shared" si="49"/>
        <v>1</v>
      </c>
      <c r="L512" s="7">
        <f t="shared" si="50"/>
        <v>45868</v>
      </c>
      <c r="M512" s="7" t="s">
        <v>527</v>
      </c>
      <c r="O512" s="17" t="s">
        <v>682</v>
      </c>
      <c r="P512" s="7">
        <f t="shared" si="48"/>
        <v>7</v>
      </c>
      <c r="Q512" s="7">
        <f t="shared" si="45"/>
        <v>2025</v>
      </c>
    </row>
    <row r="513" spans="1:17" x14ac:dyDescent="0.25">
      <c r="A513" s="7">
        <v>2534</v>
      </c>
      <c r="B513" s="9" t="s">
        <v>9</v>
      </c>
      <c r="C513" s="9" t="s">
        <v>493</v>
      </c>
      <c r="D513" s="8">
        <v>45868</v>
      </c>
      <c r="E513" s="7" t="s">
        <v>60</v>
      </c>
      <c r="F513" s="7">
        <v>1</v>
      </c>
      <c r="G513" s="7" t="s">
        <v>14</v>
      </c>
      <c r="J513" s="7">
        <f t="shared" si="47"/>
        <v>1900</v>
      </c>
      <c r="K513" s="7">
        <f t="shared" si="49"/>
        <v>1</v>
      </c>
      <c r="L513" s="7">
        <f t="shared" si="50"/>
        <v>45868</v>
      </c>
      <c r="M513" s="7" t="s">
        <v>527</v>
      </c>
      <c r="O513" s="17" t="s">
        <v>682</v>
      </c>
      <c r="P513" s="7">
        <f t="shared" si="48"/>
        <v>7</v>
      </c>
      <c r="Q513" s="7">
        <f t="shared" si="45"/>
        <v>2025</v>
      </c>
    </row>
    <row r="514" spans="1:17" x14ac:dyDescent="0.25">
      <c r="A514" s="7">
        <v>2534</v>
      </c>
      <c r="B514" s="9" t="s">
        <v>9</v>
      </c>
      <c r="C514" s="9" t="s">
        <v>493</v>
      </c>
      <c r="D514" s="8">
        <v>45868</v>
      </c>
      <c r="E514" s="7" t="s">
        <v>60</v>
      </c>
      <c r="F514" s="7">
        <v>1</v>
      </c>
      <c r="G514" s="7" t="s">
        <v>14</v>
      </c>
      <c r="J514" s="7">
        <f t="shared" si="47"/>
        <v>1900</v>
      </c>
      <c r="K514" s="7">
        <f t="shared" si="49"/>
        <v>1</v>
      </c>
      <c r="L514" s="7">
        <f t="shared" si="50"/>
        <v>45868</v>
      </c>
      <c r="M514" s="7" t="s">
        <v>527</v>
      </c>
      <c r="O514" s="17" t="s">
        <v>682</v>
      </c>
      <c r="P514" s="7">
        <f t="shared" si="48"/>
        <v>7</v>
      </c>
      <c r="Q514" s="7">
        <f t="shared" si="45"/>
        <v>2025</v>
      </c>
    </row>
    <row r="515" spans="1:17" x14ac:dyDescent="0.25">
      <c r="A515" s="7">
        <v>2534</v>
      </c>
      <c r="B515" s="9" t="s">
        <v>9</v>
      </c>
      <c r="C515" s="9" t="s">
        <v>493</v>
      </c>
      <c r="D515" s="8">
        <v>45868</v>
      </c>
      <c r="E515" s="7" t="s">
        <v>60</v>
      </c>
      <c r="F515" s="7">
        <v>1</v>
      </c>
      <c r="G515" s="7" t="s">
        <v>14</v>
      </c>
      <c r="J515" s="7">
        <f t="shared" si="47"/>
        <v>1900</v>
      </c>
      <c r="K515" s="7">
        <f t="shared" si="49"/>
        <v>1</v>
      </c>
      <c r="L515" s="7">
        <f t="shared" si="50"/>
        <v>45868</v>
      </c>
      <c r="M515" s="7" t="s">
        <v>527</v>
      </c>
      <c r="O515" s="17" t="s">
        <v>682</v>
      </c>
      <c r="P515" s="7">
        <f t="shared" si="48"/>
        <v>7</v>
      </c>
      <c r="Q515" s="7">
        <f t="shared" ref="Q515:Q568" si="51">YEAR(D515)</f>
        <v>2025</v>
      </c>
    </row>
    <row r="516" spans="1:17" x14ac:dyDescent="0.25">
      <c r="A516" s="7">
        <v>2534</v>
      </c>
      <c r="B516" s="9" t="s">
        <v>9</v>
      </c>
      <c r="C516" s="9" t="s">
        <v>493</v>
      </c>
      <c r="D516" s="8">
        <v>45868</v>
      </c>
      <c r="E516" s="7" t="s">
        <v>60</v>
      </c>
      <c r="F516" s="7">
        <v>1</v>
      </c>
      <c r="G516" s="7" t="s">
        <v>14</v>
      </c>
      <c r="J516" s="7">
        <f t="shared" si="47"/>
        <v>1900</v>
      </c>
      <c r="K516" s="7">
        <f t="shared" si="49"/>
        <v>1</v>
      </c>
      <c r="L516" s="7">
        <f t="shared" si="50"/>
        <v>45868</v>
      </c>
      <c r="M516" s="7" t="s">
        <v>527</v>
      </c>
      <c r="O516" s="17" t="s">
        <v>682</v>
      </c>
      <c r="P516" s="7">
        <f t="shared" si="48"/>
        <v>7</v>
      </c>
      <c r="Q516" s="7">
        <f t="shared" si="51"/>
        <v>2025</v>
      </c>
    </row>
    <row r="517" spans="1:17" x14ac:dyDescent="0.25">
      <c r="A517" s="7">
        <v>2534</v>
      </c>
      <c r="B517" s="9" t="s">
        <v>9</v>
      </c>
      <c r="C517" s="9" t="s">
        <v>493</v>
      </c>
      <c r="D517" s="8">
        <v>45868</v>
      </c>
      <c r="E517" s="7" t="s">
        <v>60</v>
      </c>
      <c r="F517" s="7">
        <v>1</v>
      </c>
      <c r="G517" s="7" t="s">
        <v>14</v>
      </c>
      <c r="J517" s="7">
        <f t="shared" si="47"/>
        <v>1900</v>
      </c>
      <c r="K517" s="7">
        <f t="shared" si="49"/>
        <v>1</v>
      </c>
      <c r="L517" s="7">
        <f t="shared" si="50"/>
        <v>45868</v>
      </c>
      <c r="M517" s="7" t="s">
        <v>527</v>
      </c>
      <c r="O517" s="17" t="s">
        <v>682</v>
      </c>
      <c r="P517" s="7">
        <f t="shared" si="48"/>
        <v>7</v>
      </c>
      <c r="Q517" s="7">
        <f t="shared" si="51"/>
        <v>2025</v>
      </c>
    </row>
    <row r="518" spans="1:17" x14ac:dyDescent="0.25">
      <c r="A518" s="7">
        <v>2534</v>
      </c>
      <c r="B518" s="9" t="s">
        <v>9</v>
      </c>
      <c r="C518" s="9" t="s">
        <v>493</v>
      </c>
      <c r="D518" s="8">
        <v>45868</v>
      </c>
      <c r="E518" s="7" t="s">
        <v>60</v>
      </c>
      <c r="F518" s="7">
        <v>1</v>
      </c>
      <c r="G518" s="7" t="s">
        <v>14</v>
      </c>
      <c r="J518" s="7">
        <f t="shared" si="47"/>
        <v>1900</v>
      </c>
      <c r="K518" s="7">
        <f t="shared" si="49"/>
        <v>1</v>
      </c>
      <c r="L518" s="7">
        <f t="shared" si="50"/>
        <v>45868</v>
      </c>
      <c r="M518" s="7" t="s">
        <v>527</v>
      </c>
      <c r="O518" s="17" t="s">
        <v>682</v>
      </c>
      <c r="P518" s="7">
        <f t="shared" si="48"/>
        <v>7</v>
      </c>
      <c r="Q518" s="7">
        <f t="shared" si="51"/>
        <v>2025</v>
      </c>
    </row>
    <row r="519" spans="1:17" x14ac:dyDescent="0.25">
      <c r="A519" s="7">
        <v>2534</v>
      </c>
      <c r="B519" s="9" t="s">
        <v>9</v>
      </c>
      <c r="C519" s="9" t="s">
        <v>493</v>
      </c>
      <c r="D519" s="8">
        <v>45868</v>
      </c>
      <c r="E519" s="7" t="s">
        <v>60</v>
      </c>
      <c r="F519" s="7">
        <v>1</v>
      </c>
      <c r="G519" s="7" t="s">
        <v>14</v>
      </c>
      <c r="J519" s="7">
        <f t="shared" si="47"/>
        <v>1900</v>
      </c>
      <c r="K519" s="7">
        <f t="shared" si="49"/>
        <v>1</v>
      </c>
      <c r="L519" s="7">
        <f t="shared" si="50"/>
        <v>45868</v>
      </c>
      <c r="M519" s="7" t="s">
        <v>527</v>
      </c>
      <c r="O519" s="17" t="s">
        <v>682</v>
      </c>
      <c r="P519" s="7">
        <f t="shared" si="48"/>
        <v>7</v>
      </c>
      <c r="Q519" s="7">
        <f t="shared" si="51"/>
        <v>2025</v>
      </c>
    </row>
    <row r="520" spans="1:17" x14ac:dyDescent="0.25">
      <c r="A520" s="7">
        <v>2534</v>
      </c>
      <c r="B520" s="9" t="s">
        <v>9</v>
      </c>
      <c r="C520" s="9" t="s">
        <v>493</v>
      </c>
      <c r="D520" s="8">
        <v>45868</v>
      </c>
      <c r="E520" s="7" t="s">
        <v>60</v>
      </c>
      <c r="F520" s="7">
        <v>1</v>
      </c>
      <c r="G520" s="7" t="s">
        <v>14</v>
      </c>
      <c r="J520" s="7">
        <f t="shared" si="47"/>
        <v>1900</v>
      </c>
      <c r="K520" s="7">
        <f t="shared" si="49"/>
        <v>1</v>
      </c>
      <c r="L520" s="7">
        <f t="shared" si="50"/>
        <v>45868</v>
      </c>
      <c r="M520" s="7" t="s">
        <v>527</v>
      </c>
      <c r="O520" s="17" t="s">
        <v>682</v>
      </c>
      <c r="P520" s="7">
        <f t="shared" si="48"/>
        <v>7</v>
      </c>
      <c r="Q520" s="7">
        <f t="shared" si="51"/>
        <v>2025</v>
      </c>
    </row>
    <row r="521" spans="1:17" x14ac:dyDescent="0.25">
      <c r="A521" s="7">
        <v>2534</v>
      </c>
      <c r="B521" s="9" t="s">
        <v>9</v>
      </c>
      <c r="C521" s="9" t="s">
        <v>493</v>
      </c>
      <c r="D521" s="8">
        <v>45868</v>
      </c>
      <c r="E521" s="7" t="s">
        <v>60</v>
      </c>
      <c r="F521" s="7">
        <v>1</v>
      </c>
      <c r="G521" s="7" t="s">
        <v>14</v>
      </c>
      <c r="J521" s="7">
        <f t="shared" si="47"/>
        <v>1900</v>
      </c>
      <c r="K521" s="7">
        <f t="shared" si="49"/>
        <v>1</v>
      </c>
      <c r="L521" s="7">
        <f t="shared" si="50"/>
        <v>45868</v>
      </c>
      <c r="M521" s="7" t="s">
        <v>527</v>
      </c>
      <c r="O521" s="17" t="s">
        <v>682</v>
      </c>
      <c r="P521" s="7">
        <f t="shared" si="48"/>
        <v>7</v>
      </c>
      <c r="Q521" s="7">
        <f t="shared" si="51"/>
        <v>2025</v>
      </c>
    </row>
    <row r="522" spans="1:17" x14ac:dyDescent="0.25">
      <c r="A522" s="7">
        <v>2534</v>
      </c>
      <c r="B522" s="9" t="s">
        <v>9</v>
      </c>
      <c r="C522" s="9" t="s">
        <v>493</v>
      </c>
      <c r="D522" s="8">
        <v>45868</v>
      </c>
      <c r="E522" s="7" t="s">
        <v>60</v>
      </c>
      <c r="F522" s="7">
        <v>1</v>
      </c>
      <c r="G522" s="7" t="s">
        <v>14</v>
      </c>
      <c r="J522" s="7">
        <f t="shared" si="47"/>
        <v>1900</v>
      </c>
      <c r="K522" s="7">
        <f t="shared" si="49"/>
        <v>1</v>
      </c>
      <c r="L522" s="7">
        <f t="shared" si="50"/>
        <v>45868</v>
      </c>
      <c r="M522" s="7" t="s">
        <v>527</v>
      </c>
      <c r="O522" s="17" t="s">
        <v>682</v>
      </c>
      <c r="P522" s="7">
        <f t="shared" si="48"/>
        <v>7</v>
      </c>
      <c r="Q522" s="7">
        <f t="shared" si="51"/>
        <v>2025</v>
      </c>
    </row>
    <row r="523" spans="1:17" x14ac:dyDescent="0.25">
      <c r="A523" s="7">
        <v>2534</v>
      </c>
      <c r="B523" s="9" t="s">
        <v>9</v>
      </c>
      <c r="C523" s="9" t="s">
        <v>493</v>
      </c>
      <c r="D523" s="8">
        <v>45868</v>
      </c>
      <c r="E523" s="7" t="s">
        <v>60</v>
      </c>
      <c r="F523" s="7">
        <v>1</v>
      </c>
      <c r="G523" s="7" t="s">
        <v>14</v>
      </c>
      <c r="J523" s="7">
        <f t="shared" si="47"/>
        <v>1900</v>
      </c>
      <c r="K523" s="7">
        <f t="shared" si="49"/>
        <v>1</v>
      </c>
      <c r="L523" s="7">
        <f t="shared" si="50"/>
        <v>45868</v>
      </c>
      <c r="M523" s="7" t="s">
        <v>527</v>
      </c>
      <c r="O523" s="17" t="s">
        <v>682</v>
      </c>
      <c r="P523" s="7">
        <f t="shared" si="48"/>
        <v>7</v>
      </c>
      <c r="Q523" s="7">
        <f t="shared" si="51"/>
        <v>2025</v>
      </c>
    </row>
    <row r="524" spans="1:17" x14ac:dyDescent="0.25">
      <c r="A524" s="7">
        <v>2534</v>
      </c>
      <c r="B524" s="9" t="s">
        <v>9</v>
      </c>
      <c r="C524" s="9" t="s">
        <v>493</v>
      </c>
      <c r="D524" s="8">
        <v>45868</v>
      </c>
      <c r="E524" s="7" t="s">
        <v>60</v>
      </c>
      <c r="F524" s="7">
        <v>1</v>
      </c>
      <c r="G524" s="7" t="s">
        <v>14</v>
      </c>
      <c r="J524" s="7">
        <f t="shared" si="47"/>
        <v>1900</v>
      </c>
      <c r="K524" s="7">
        <f t="shared" si="49"/>
        <v>1</v>
      </c>
      <c r="L524" s="7">
        <f t="shared" si="50"/>
        <v>45868</v>
      </c>
      <c r="M524" s="7" t="s">
        <v>527</v>
      </c>
      <c r="O524" s="17" t="s">
        <v>682</v>
      </c>
      <c r="P524" s="7">
        <f t="shared" si="48"/>
        <v>7</v>
      </c>
      <c r="Q524" s="7">
        <f t="shared" si="51"/>
        <v>2025</v>
      </c>
    </row>
    <row r="525" spans="1:17" x14ac:dyDescent="0.25">
      <c r="A525" s="7">
        <v>2534</v>
      </c>
      <c r="B525" s="9" t="s">
        <v>9</v>
      </c>
      <c r="C525" s="9" t="s">
        <v>493</v>
      </c>
      <c r="D525" s="8">
        <v>45868</v>
      </c>
      <c r="E525" s="7" t="s">
        <v>60</v>
      </c>
      <c r="F525" s="7">
        <v>1</v>
      </c>
      <c r="G525" s="7" t="s">
        <v>14</v>
      </c>
      <c r="J525" s="7">
        <f t="shared" si="47"/>
        <v>1900</v>
      </c>
      <c r="K525" s="7">
        <f t="shared" si="49"/>
        <v>1</v>
      </c>
      <c r="L525" s="7">
        <f t="shared" si="50"/>
        <v>45868</v>
      </c>
      <c r="M525" s="7" t="s">
        <v>527</v>
      </c>
      <c r="O525" s="17" t="s">
        <v>682</v>
      </c>
      <c r="P525" s="7">
        <f t="shared" si="48"/>
        <v>7</v>
      </c>
      <c r="Q525" s="7">
        <f t="shared" si="51"/>
        <v>2025</v>
      </c>
    </row>
    <row r="526" spans="1:17" x14ac:dyDescent="0.25">
      <c r="A526" s="7">
        <v>2534</v>
      </c>
      <c r="B526" s="9" t="s">
        <v>9</v>
      </c>
      <c r="C526" s="9" t="s">
        <v>493</v>
      </c>
      <c r="D526" s="8">
        <v>45868</v>
      </c>
      <c r="E526" s="7" t="s">
        <v>60</v>
      </c>
      <c r="F526" s="7">
        <v>1</v>
      </c>
      <c r="G526" s="7" t="s">
        <v>14</v>
      </c>
      <c r="J526" s="7">
        <f t="shared" si="47"/>
        <v>1900</v>
      </c>
      <c r="K526" s="7">
        <f t="shared" si="49"/>
        <v>1</v>
      </c>
      <c r="L526" s="7">
        <f t="shared" si="50"/>
        <v>45868</v>
      </c>
      <c r="M526" s="7" t="s">
        <v>527</v>
      </c>
      <c r="O526" s="17" t="s">
        <v>682</v>
      </c>
      <c r="P526" s="7">
        <f t="shared" si="48"/>
        <v>7</v>
      </c>
      <c r="Q526" s="7">
        <f t="shared" si="51"/>
        <v>2025</v>
      </c>
    </row>
    <row r="527" spans="1:17" x14ac:dyDescent="0.25">
      <c r="A527" s="7">
        <v>2534</v>
      </c>
      <c r="B527" s="9" t="s">
        <v>9</v>
      </c>
      <c r="C527" s="9" t="s">
        <v>493</v>
      </c>
      <c r="D527" s="8">
        <v>45868</v>
      </c>
      <c r="E527" s="7" t="s">
        <v>60</v>
      </c>
      <c r="F527" s="7">
        <v>1</v>
      </c>
      <c r="G527" s="7" t="s">
        <v>14</v>
      </c>
      <c r="J527" s="7">
        <f t="shared" si="47"/>
        <v>1900</v>
      </c>
      <c r="K527" s="7">
        <f t="shared" si="49"/>
        <v>1</v>
      </c>
      <c r="L527" s="7">
        <f t="shared" si="50"/>
        <v>45868</v>
      </c>
      <c r="M527" s="7" t="s">
        <v>527</v>
      </c>
      <c r="O527" s="17" t="s">
        <v>682</v>
      </c>
      <c r="P527" s="7">
        <f t="shared" si="48"/>
        <v>7</v>
      </c>
      <c r="Q527" s="7">
        <f t="shared" si="51"/>
        <v>2025</v>
      </c>
    </row>
    <row r="528" spans="1:17" x14ac:dyDescent="0.25">
      <c r="A528" s="7">
        <v>2534</v>
      </c>
      <c r="B528" s="9" t="s">
        <v>9</v>
      </c>
      <c r="C528" s="9" t="s">
        <v>493</v>
      </c>
      <c r="D528" s="8">
        <v>45868</v>
      </c>
      <c r="E528" s="7" t="s">
        <v>60</v>
      </c>
      <c r="F528" s="7">
        <v>1</v>
      </c>
      <c r="G528" s="7" t="s">
        <v>14</v>
      </c>
      <c r="J528" s="7">
        <f t="shared" si="47"/>
        <v>1900</v>
      </c>
      <c r="K528" s="7">
        <f t="shared" si="49"/>
        <v>1</v>
      </c>
      <c r="L528" s="7">
        <f t="shared" si="50"/>
        <v>45868</v>
      </c>
      <c r="M528" s="7" t="s">
        <v>527</v>
      </c>
      <c r="O528" s="17" t="s">
        <v>682</v>
      </c>
      <c r="P528" s="7">
        <f t="shared" si="48"/>
        <v>7</v>
      </c>
      <c r="Q528" s="7">
        <f t="shared" si="51"/>
        <v>2025</v>
      </c>
    </row>
    <row r="529" spans="1:17" x14ac:dyDescent="0.25">
      <c r="A529" s="7">
        <v>2534</v>
      </c>
      <c r="B529" s="9" t="s">
        <v>9</v>
      </c>
      <c r="C529" s="9" t="s">
        <v>493</v>
      </c>
      <c r="D529" s="8">
        <v>45868</v>
      </c>
      <c r="E529" s="7" t="s">
        <v>60</v>
      </c>
      <c r="F529" s="7">
        <v>1</v>
      </c>
      <c r="G529" s="7" t="s">
        <v>14</v>
      </c>
      <c r="J529" s="7">
        <f t="shared" si="47"/>
        <v>1900</v>
      </c>
      <c r="K529" s="7">
        <f t="shared" si="49"/>
        <v>1</v>
      </c>
      <c r="L529" s="7">
        <f t="shared" si="50"/>
        <v>45868</v>
      </c>
      <c r="M529" s="7" t="s">
        <v>527</v>
      </c>
      <c r="O529" s="17" t="s">
        <v>682</v>
      </c>
      <c r="P529" s="7">
        <f t="shared" si="48"/>
        <v>7</v>
      </c>
      <c r="Q529" s="7">
        <f t="shared" si="51"/>
        <v>2025</v>
      </c>
    </row>
    <row r="530" spans="1:17" x14ac:dyDescent="0.25">
      <c r="A530" s="7">
        <v>2534</v>
      </c>
      <c r="B530" s="9" t="s">
        <v>9</v>
      </c>
      <c r="C530" s="9" t="s">
        <v>493</v>
      </c>
      <c r="D530" s="8">
        <v>45868</v>
      </c>
      <c r="E530" s="7" t="s">
        <v>60</v>
      </c>
      <c r="F530" s="7">
        <v>1</v>
      </c>
      <c r="G530" s="7" t="s">
        <v>14</v>
      </c>
      <c r="J530" s="7">
        <f t="shared" si="47"/>
        <v>1900</v>
      </c>
      <c r="K530" s="7">
        <f t="shared" si="49"/>
        <v>1</v>
      </c>
      <c r="L530" s="7">
        <f t="shared" si="50"/>
        <v>45868</v>
      </c>
      <c r="M530" s="7" t="s">
        <v>527</v>
      </c>
      <c r="O530" s="17" t="s">
        <v>682</v>
      </c>
      <c r="P530" s="7">
        <f t="shared" si="48"/>
        <v>7</v>
      </c>
      <c r="Q530" s="7">
        <f t="shared" si="51"/>
        <v>2025</v>
      </c>
    </row>
    <row r="531" spans="1:17" x14ac:dyDescent="0.25">
      <c r="A531" s="7">
        <v>2534</v>
      </c>
      <c r="B531" s="9" t="s">
        <v>9</v>
      </c>
      <c r="C531" s="9" t="s">
        <v>493</v>
      </c>
      <c r="D531" s="8">
        <v>45868</v>
      </c>
      <c r="E531" s="7" t="s">
        <v>60</v>
      </c>
      <c r="F531" s="7">
        <v>1</v>
      </c>
      <c r="G531" s="7" t="s">
        <v>14</v>
      </c>
      <c r="J531" s="7">
        <f t="shared" si="47"/>
        <v>1900</v>
      </c>
      <c r="K531" s="7">
        <f t="shared" si="49"/>
        <v>1</v>
      </c>
      <c r="L531" s="7">
        <f t="shared" si="50"/>
        <v>45868</v>
      </c>
      <c r="M531" s="7" t="s">
        <v>527</v>
      </c>
      <c r="O531" s="17" t="s">
        <v>682</v>
      </c>
      <c r="P531" s="7">
        <f t="shared" si="48"/>
        <v>7</v>
      </c>
      <c r="Q531" s="7">
        <f t="shared" si="51"/>
        <v>2025</v>
      </c>
    </row>
    <row r="532" spans="1:17" x14ac:dyDescent="0.25">
      <c r="A532" s="7">
        <v>2534</v>
      </c>
      <c r="B532" s="9" t="s">
        <v>9</v>
      </c>
      <c r="C532" s="9" t="s">
        <v>493</v>
      </c>
      <c r="D532" s="8">
        <v>45868</v>
      </c>
      <c r="E532" s="7" t="s">
        <v>60</v>
      </c>
      <c r="F532" s="7">
        <v>1</v>
      </c>
      <c r="G532" s="7" t="s">
        <v>14</v>
      </c>
      <c r="J532" s="7">
        <f t="shared" si="47"/>
        <v>1900</v>
      </c>
      <c r="K532" s="7">
        <f t="shared" si="49"/>
        <v>1</v>
      </c>
      <c r="L532" s="7">
        <f t="shared" si="50"/>
        <v>45868</v>
      </c>
      <c r="M532" s="7" t="s">
        <v>527</v>
      </c>
      <c r="O532" s="17" t="s">
        <v>682</v>
      </c>
      <c r="P532" s="7">
        <f t="shared" si="48"/>
        <v>7</v>
      </c>
      <c r="Q532" s="7">
        <f t="shared" si="51"/>
        <v>2025</v>
      </c>
    </row>
    <row r="533" spans="1:17" x14ac:dyDescent="0.25">
      <c r="A533" s="7">
        <v>2534</v>
      </c>
      <c r="B533" s="9" t="s">
        <v>9</v>
      </c>
      <c r="C533" s="9" t="s">
        <v>493</v>
      </c>
      <c r="D533" s="8">
        <v>45868</v>
      </c>
      <c r="E533" s="7" t="s">
        <v>60</v>
      </c>
      <c r="F533" s="7">
        <v>1</v>
      </c>
      <c r="G533" s="7" t="s">
        <v>14</v>
      </c>
      <c r="J533" s="7">
        <f t="shared" si="47"/>
        <v>1900</v>
      </c>
      <c r="K533" s="7">
        <f t="shared" si="49"/>
        <v>1</v>
      </c>
      <c r="L533" s="7">
        <f t="shared" si="50"/>
        <v>45868</v>
      </c>
      <c r="M533" s="7" t="s">
        <v>527</v>
      </c>
      <c r="O533" s="17" t="s">
        <v>682</v>
      </c>
      <c r="P533" s="7">
        <f t="shared" si="48"/>
        <v>7</v>
      </c>
      <c r="Q533" s="7">
        <f t="shared" si="51"/>
        <v>2025</v>
      </c>
    </row>
    <row r="534" spans="1:17" x14ac:dyDescent="0.25">
      <c r="A534" s="7">
        <v>2534</v>
      </c>
      <c r="B534" s="9" t="s">
        <v>9</v>
      </c>
      <c r="C534" s="9" t="s">
        <v>493</v>
      </c>
      <c r="D534" s="8">
        <v>45868</v>
      </c>
      <c r="E534" s="7" t="s">
        <v>60</v>
      </c>
      <c r="F534" s="7">
        <v>1</v>
      </c>
      <c r="G534" s="7" t="s">
        <v>14</v>
      </c>
      <c r="J534" s="7">
        <f t="shared" si="47"/>
        <v>1900</v>
      </c>
      <c r="K534" s="7">
        <f t="shared" si="49"/>
        <v>1</v>
      </c>
      <c r="L534" s="7">
        <f t="shared" si="50"/>
        <v>45868</v>
      </c>
      <c r="M534" s="7" t="s">
        <v>527</v>
      </c>
      <c r="O534" s="17" t="s">
        <v>682</v>
      </c>
      <c r="P534" s="7">
        <f t="shared" si="48"/>
        <v>7</v>
      </c>
      <c r="Q534" s="7">
        <f t="shared" si="51"/>
        <v>2025</v>
      </c>
    </row>
    <row r="535" spans="1:17" x14ac:dyDescent="0.25">
      <c r="A535" s="7">
        <v>2534</v>
      </c>
      <c r="B535" s="9" t="s">
        <v>9</v>
      </c>
      <c r="C535" s="9" t="s">
        <v>493</v>
      </c>
      <c r="D535" s="8">
        <v>45868</v>
      </c>
      <c r="E535" s="7" t="s">
        <v>60</v>
      </c>
      <c r="F535" s="7">
        <v>1</v>
      </c>
      <c r="G535" s="7" t="s">
        <v>14</v>
      </c>
      <c r="J535" s="7">
        <f t="shared" si="47"/>
        <v>1900</v>
      </c>
      <c r="K535" s="7">
        <f t="shared" si="49"/>
        <v>1</v>
      </c>
      <c r="L535" s="7">
        <f t="shared" si="50"/>
        <v>45868</v>
      </c>
      <c r="M535" s="7" t="s">
        <v>527</v>
      </c>
      <c r="O535" s="17" t="s">
        <v>682</v>
      </c>
      <c r="P535" s="7">
        <f t="shared" si="48"/>
        <v>7</v>
      </c>
      <c r="Q535" s="7">
        <f t="shared" si="51"/>
        <v>2025</v>
      </c>
    </row>
    <row r="536" spans="1:17" x14ac:dyDescent="0.25">
      <c r="A536" s="7">
        <v>2534</v>
      </c>
      <c r="B536" s="9" t="s">
        <v>9</v>
      </c>
      <c r="C536" s="9" t="s">
        <v>493</v>
      </c>
      <c r="D536" s="8">
        <v>45868</v>
      </c>
      <c r="E536" s="7" t="s">
        <v>60</v>
      </c>
      <c r="F536" s="7">
        <v>1</v>
      </c>
      <c r="G536" s="7" t="s">
        <v>14</v>
      </c>
      <c r="J536" s="7">
        <f t="shared" si="47"/>
        <v>1900</v>
      </c>
      <c r="K536" s="7">
        <f t="shared" si="49"/>
        <v>1</v>
      </c>
      <c r="L536" s="7">
        <f t="shared" si="50"/>
        <v>45868</v>
      </c>
      <c r="M536" s="7" t="s">
        <v>527</v>
      </c>
      <c r="O536" s="17" t="s">
        <v>682</v>
      </c>
      <c r="P536" s="7">
        <f t="shared" si="48"/>
        <v>7</v>
      </c>
      <c r="Q536" s="7">
        <f t="shared" si="51"/>
        <v>2025</v>
      </c>
    </row>
    <row r="537" spans="1:17" x14ac:dyDescent="0.25">
      <c r="A537" s="7">
        <v>2534</v>
      </c>
      <c r="B537" s="9" t="s">
        <v>9</v>
      </c>
      <c r="C537" s="9" t="s">
        <v>493</v>
      </c>
      <c r="D537" s="8">
        <v>45868</v>
      </c>
      <c r="E537" s="7" t="s">
        <v>60</v>
      </c>
      <c r="F537" s="7">
        <v>1</v>
      </c>
      <c r="G537" s="7" t="s">
        <v>14</v>
      </c>
      <c r="J537" s="7">
        <f t="shared" si="47"/>
        <v>1900</v>
      </c>
      <c r="K537" s="7">
        <f t="shared" si="49"/>
        <v>1</v>
      </c>
      <c r="L537" s="7">
        <f t="shared" si="50"/>
        <v>45868</v>
      </c>
      <c r="M537" s="7" t="s">
        <v>527</v>
      </c>
      <c r="O537" s="17" t="s">
        <v>682</v>
      </c>
      <c r="P537" s="7">
        <f t="shared" si="48"/>
        <v>7</v>
      </c>
      <c r="Q537" s="7">
        <f t="shared" si="51"/>
        <v>2025</v>
      </c>
    </row>
    <row r="538" spans="1:17" x14ac:dyDescent="0.25">
      <c r="A538" s="7">
        <v>2534</v>
      </c>
      <c r="B538" s="9" t="s">
        <v>9</v>
      </c>
      <c r="C538" s="9" t="s">
        <v>493</v>
      </c>
      <c r="D538" s="8">
        <v>45868</v>
      </c>
      <c r="E538" s="7" t="s">
        <v>60</v>
      </c>
      <c r="F538" s="7">
        <v>1</v>
      </c>
      <c r="G538" s="7" t="s">
        <v>14</v>
      </c>
      <c r="J538" s="7">
        <f t="shared" si="47"/>
        <v>1900</v>
      </c>
      <c r="K538" s="7">
        <f t="shared" si="49"/>
        <v>1</v>
      </c>
      <c r="L538" s="7">
        <f t="shared" si="50"/>
        <v>45868</v>
      </c>
      <c r="M538" s="7" t="s">
        <v>527</v>
      </c>
      <c r="O538" s="17" t="s">
        <v>682</v>
      </c>
      <c r="P538" s="7">
        <f t="shared" si="48"/>
        <v>7</v>
      </c>
      <c r="Q538" s="7">
        <f t="shared" si="51"/>
        <v>2025</v>
      </c>
    </row>
    <row r="539" spans="1:17" x14ac:dyDescent="0.25">
      <c r="A539" s="7">
        <v>2534</v>
      </c>
      <c r="B539" s="9" t="s">
        <v>9</v>
      </c>
      <c r="C539" s="9" t="s">
        <v>493</v>
      </c>
      <c r="D539" s="8">
        <v>45868</v>
      </c>
      <c r="E539" s="7" t="s">
        <v>60</v>
      </c>
      <c r="F539" s="7">
        <v>1</v>
      </c>
      <c r="G539" s="7" t="s">
        <v>14</v>
      </c>
      <c r="J539" s="7">
        <f t="shared" si="47"/>
        <v>1900</v>
      </c>
      <c r="K539" s="7">
        <f t="shared" si="49"/>
        <v>1</v>
      </c>
      <c r="L539" s="7">
        <f t="shared" si="50"/>
        <v>45868</v>
      </c>
      <c r="M539" s="7" t="s">
        <v>527</v>
      </c>
      <c r="O539" s="17" t="s">
        <v>682</v>
      </c>
      <c r="P539" s="7">
        <f t="shared" si="48"/>
        <v>7</v>
      </c>
      <c r="Q539" s="7">
        <f t="shared" si="51"/>
        <v>2025</v>
      </c>
    </row>
    <row r="540" spans="1:17" x14ac:dyDescent="0.25">
      <c r="A540" s="7">
        <v>2534</v>
      </c>
      <c r="B540" s="9" t="s">
        <v>9</v>
      </c>
      <c r="C540" s="9" t="s">
        <v>493</v>
      </c>
      <c r="D540" s="8">
        <v>45868</v>
      </c>
      <c r="E540" s="7" t="s">
        <v>60</v>
      </c>
      <c r="F540" s="7">
        <v>1</v>
      </c>
      <c r="G540" s="7" t="s">
        <v>14</v>
      </c>
      <c r="J540" s="7">
        <f t="shared" si="47"/>
        <v>1900</v>
      </c>
      <c r="K540" s="7">
        <f t="shared" si="49"/>
        <v>1</v>
      </c>
      <c r="L540" s="7">
        <f t="shared" si="50"/>
        <v>45868</v>
      </c>
      <c r="M540" s="7" t="s">
        <v>527</v>
      </c>
      <c r="O540" s="17" t="s">
        <v>682</v>
      </c>
      <c r="P540" s="7">
        <f t="shared" si="48"/>
        <v>7</v>
      </c>
      <c r="Q540" s="7">
        <f t="shared" si="51"/>
        <v>2025</v>
      </c>
    </row>
    <row r="541" spans="1:17" x14ac:dyDescent="0.25">
      <c r="A541" s="7">
        <v>2534</v>
      </c>
      <c r="B541" s="9" t="s">
        <v>9</v>
      </c>
      <c r="C541" s="9" t="s">
        <v>493</v>
      </c>
      <c r="D541" s="8">
        <v>45868</v>
      </c>
      <c r="E541" s="7" t="s">
        <v>60</v>
      </c>
      <c r="F541" s="7">
        <v>1</v>
      </c>
      <c r="G541" s="7" t="s">
        <v>14</v>
      </c>
      <c r="J541" s="7">
        <f t="shared" si="47"/>
        <v>1900</v>
      </c>
      <c r="K541" s="7">
        <f t="shared" si="49"/>
        <v>1</v>
      </c>
      <c r="L541" s="7">
        <f t="shared" si="50"/>
        <v>45868</v>
      </c>
      <c r="M541" s="7" t="s">
        <v>527</v>
      </c>
      <c r="O541" s="17" t="s">
        <v>682</v>
      </c>
      <c r="P541" s="7">
        <f t="shared" si="48"/>
        <v>7</v>
      </c>
      <c r="Q541" s="7">
        <f t="shared" si="51"/>
        <v>2025</v>
      </c>
    </row>
    <row r="542" spans="1:17" x14ac:dyDescent="0.25">
      <c r="A542" s="7">
        <v>2534</v>
      </c>
      <c r="B542" s="9" t="s">
        <v>9</v>
      </c>
      <c r="C542" s="9" t="s">
        <v>493</v>
      </c>
      <c r="D542" s="8">
        <v>45868</v>
      </c>
      <c r="E542" s="7" t="s">
        <v>60</v>
      </c>
      <c r="F542" s="7">
        <v>1</v>
      </c>
      <c r="G542" s="7" t="s">
        <v>14</v>
      </c>
      <c r="J542" s="7">
        <f t="shared" si="47"/>
        <v>1900</v>
      </c>
      <c r="K542" s="7">
        <f t="shared" si="49"/>
        <v>1</v>
      </c>
      <c r="L542" s="7">
        <f t="shared" si="50"/>
        <v>45868</v>
      </c>
      <c r="M542" s="7" t="s">
        <v>527</v>
      </c>
      <c r="O542" s="17" t="s">
        <v>682</v>
      </c>
      <c r="P542" s="7">
        <f t="shared" si="48"/>
        <v>7</v>
      </c>
      <c r="Q542" s="7">
        <f t="shared" si="51"/>
        <v>2025</v>
      </c>
    </row>
    <row r="543" spans="1:17" x14ac:dyDescent="0.25">
      <c r="A543" s="7">
        <v>2534</v>
      </c>
      <c r="B543" s="9" t="s">
        <v>9</v>
      </c>
      <c r="C543" s="9" t="s">
        <v>493</v>
      </c>
      <c r="D543" s="8">
        <v>45868</v>
      </c>
      <c r="E543" s="7" t="s">
        <v>60</v>
      </c>
      <c r="F543" s="7">
        <v>1</v>
      </c>
      <c r="G543" s="7" t="s">
        <v>14</v>
      </c>
      <c r="J543" s="7">
        <f t="shared" ref="J543:J592" si="52">YEAR(I543)</f>
        <v>1900</v>
      </c>
      <c r="K543" s="7">
        <f t="shared" si="49"/>
        <v>1</v>
      </c>
      <c r="L543" s="7">
        <f t="shared" si="50"/>
        <v>45868</v>
      </c>
      <c r="M543" s="7" t="s">
        <v>527</v>
      </c>
      <c r="O543" s="17" t="s">
        <v>682</v>
      </c>
      <c r="P543" s="7">
        <f t="shared" si="48"/>
        <v>7</v>
      </c>
      <c r="Q543" s="7">
        <f t="shared" si="51"/>
        <v>2025</v>
      </c>
    </row>
    <row r="544" spans="1:17" x14ac:dyDescent="0.25">
      <c r="A544" s="7">
        <v>2534</v>
      </c>
      <c r="B544" s="9" t="s">
        <v>9</v>
      </c>
      <c r="C544" s="9" t="s">
        <v>493</v>
      </c>
      <c r="D544" s="8">
        <v>45868</v>
      </c>
      <c r="E544" s="7" t="s">
        <v>60</v>
      </c>
      <c r="F544" s="7">
        <v>1</v>
      </c>
      <c r="G544" s="7" t="s">
        <v>14</v>
      </c>
      <c r="J544" s="7">
        <f t="shared" si="52"/>
        <v>1900</v>
      </c>
      <c r="K544" s="7">
        <f t="shared" si="49"/>
        <v>1</v>
      </c>
      <c r="L544" s="7">
        <f t="shared" si="50"/>
        <v>45868</v>
      </c>
      <c r="M544" s="7" t="s">
        <v>527</v>
      </c>
      <c r="O544" s="17" t="s">
        <v>682</v>
      </c>
      <c r="P544" s="7">
        <f t="shared" si="48"/>
        <v>7</v>
      </c>
      <c r="Q544" s="7">
        <f t="shared" si="51"/>
        <v>2025</v>
      </c>
    </row>
    <row r="545" spans="1:17" x14ac:dyDescent="0.25">
      <c r="A545" s="7">
        <v>2534</v>
      </c>
      <c r="B545" s="9" t="s">
        <v>9</v>
      </c>
      <c r="C545" s="9" t="s">
        <v>493</v>
      </c>
      <c r="D545" s="8">
        <v>45868</v>
      </c>
      <c r="E545" s="7" t="s">
        <v>60</v>
      </c>
      <c r="F545" s="7">
        <v>1</v>
      </c>
      <c r="G545" s="7" t="s">
        <v>14</v>
      </c>
      <c r="J545" s="7">
        <f t="shared" si="52"/>
        <v>1900</v>
      </c>
      <c r="K545" s="7">
        <f t="shared" si="49"/>
        <v>1</v>
      </c>
      <c r="L545" s="7">
        <f t="shared" si="50"/>
        <v>45868</v>
      </c>
      <c r="M545" s="7" t="s">
        <v>527</v>
      </c>
      <c r="O545" s="17" t="s">
        <v>682</v>
      </c>
      <c r="P545" s="7">
        <f t="shared" si="48"/>
        <v>7</v>
      </c>
      <c r="Q545" s="7">
        <f t="shared" si="51"/>
        <v>2025</v>
      </c>
    </row>
    <row r="546" spans="1:17" x14ac:dyDescent="0.25">
      <c r="A546" s="7">
        <v>2534</v>
      </c>
      <c r="B546" s="9" t="s">
        <v>9</v>
      </c>
      <c r="C546" s="9" t="s">
        <v>493</v>
      </c>
      <c r="D546" s="8">
        <v>45868</v>
      </c>
      <c r="E546" s="7" t="s">
        <v>60</v>
      </c>
      <c r="F546" s="7">
        <v>1</v>
      </c>
      <c r="G546" s="7" t="s">
        <v>14</v>
      </c>
      <c r="J546" s="7">
        <f t="shared" si="52"/>
        <v>1900</v>
      </c>
      <c r="K546" s="7">
        <f t="shared" si="49"/>
        <v>1</v>
      </c>
      <c r="L546" s="7">
        <f t="shared" si="50"/>
        <v>45868</v>
      </c>
      <c r="M546" s="7" t="s">
        <v>527</v>
      </c>
      <c r="O546" s="17" t="s">
        <v>682</v>
      </c>
      <c r="P546" s="7">
        <f t="shared" si="48"/>
        <v>7</v>
      </c>
      <c r="Q546" s="7">
        <f t="shared" si="51"/>
        <v>2025</v>
      </c>
    </row>
    <row r="547" spans="1:17" x14ac:dyDescent="0.25">
      <c r="A547" s="7">
        <v>2534</v>
      </c>
      <c r="B547" s="9" t="s">
        <v>9</v>
      </c>
      <c r="C547" s="9" t="s">
        <v>493</v>
      </c>
      <c r="D547" s="8">
        <v>45868</v>
      </c>
      <c r="E547" s="7" t="s">
        <v>60</v>
      </c>
      <c r="F547" s="7">
        <v>1</v>
      </c>
      <c r="G547" s="7" t="s">
        <v>14</v>
      </c>
      <c r="J547" s="7">
        <f t="shared" si="52"/>
        <v>1900</v>
      </c>
      <c r="K547" s="7">
        <f t="shared" si="49"/>
        <v>1</v>
      </c>
      <c r="L547" s="7">
        <f t="shared" si="50"/>
        <v>45868</v>
      </c>
      <c r="M547" s="7" t="s">
        <v>527</v>
      </c>
      <c r="O547" s="17" t="s">
        <v>682</v>
      </c>
      <c r="P547" s="7">
        <f t="shared" si="48"/>
        <v>7</v>
      </c>
      <c r="Q547" s="7">
        <f t="shared" si="51"/>
        <v>2025</v>
      </c>
    </row>
    <row r="548" spans="1:17" x14ac:dyDescent="0.25">
      <c r="A548" s="7">
        <v>2534</v>
      </c>
      <c r="B548" s="9" t="s">
        <v>9</v>
      </c>
      <c r="C548" s="9" t="s">
        <v>493</v>
      </c>
      <c r="D548" s="8">
        <v>45868</v>
      </c>
      <c r="E548" s="7" t="s">
        <v>60</v>
      </c>
      <c r="F548" s="7">
        <v>1</v>
      </c>
      <c r="G548" s="7" t="s">
        <v>14</v>
      </c>
      <c r="J548" s="7">
        <f t="shared" si="52"/>
        <v>1900</v>
      </c>
      <c r="K548" s="7">
        <f t="shared" si="49"/>
        <v>1</v>
      </c>
      <c r="L548" s="7">
        <f t="shared" si="50"/>
        <v>45868</v>
      </c>
      <c r="M548" s="7" t="s">
        <v>527</v>
      </c>
      <c r="O548" s="17" t="s">
        <v>682</v>
      </c>
      <c r="P548" s="7">
        <f t="shared" si="48"/>
        <v>7</v>
      </c>
      <c r="Q548" s="7">
        <f t="shared" si="51"/>
        <v>2025</v>
      </c>
    </row>
    <row r="549" spans="1:17" x14ac:dyDescent="0.25">
      <c r="A549" s="7">
        <v>2534</v>
      </c>
      <c r="B549" s="9" t="s">
        <v>9</v>
      </c>
      <c r="C549" s="9" t="s">
        <v>493</v>
      </c>
      <c r="D549" s="8">
        <v>45868</v>
      </c>
      <c r="E549" s="7" t="s">
        <v>60</v>
      </c>
      <c r="F549" s="7">
        <v>1</v>
      </c>
      <c r="G549" s="7" t="s">
        <v>14</v>
      </c>
      <c r="J549" s="7">
        <f t="shared" si="52"/>
        <v>1900</v>
      </c>
      <c r="K549" s="7">
        <f t="shared" si="49"/>
        <v>1</v>
      </c>
      <c r="L549" s="7">
        <f t="shared" si="50"/>
        <v>45868</v>
      </c>
      <c r="M549" s="7" t="s">
        <v>527</v>
      </c>
      <c r="O549" s="17" t="s">
        <v>682</v>
      </c>
      <c r="P549" s="7">
        <f t="shared" si="48"/>
        <v>7</v>
      </c>
      <c r="Q549" s="7">
        <f t="shared" si="51"/>
        <v>2025</v>
      </c>
    </row>
    <row r="550" spans="1:17" x14ac:dyDescent="0.25">
      <c r="A550" s="7">
        <v>2534</v>
      </c>
      <c r="B550" s="9" t="s">
        <v>9</v>
      </c>
      <c r="C550" s="9" t="s">
        <v>493</v>
      </c>
      <c r="D550" s="8">
        <v>45868</v>
      </c>
      <c r="E550" s="7" t="s">
        <v>60</v>
      </c>
      <c r="F550" s="7">
        <v>1</v>
      </c>
      <c r="G550" s="7" t="s">
        <v>14</v>
      </c>
      <c r="J550" s="7">
        <f t="shared" si="52"/>
        <v>1900</v>
      </c>
      <c r="K550" s="7">
        <f t="shared" si="49"/>
        <v>1</v>
      </c>
      <c r="L550" s="7">
        <f t="shared" si="50"/>
        <v>45868</v>
      </c>
      <c r="M550" s="7" t="s">
        <v>527</v>
      </c>
      <c r="O550" s="17" t="s">
        <v>682</v>
      </c>
      <c r="P550" s="7">
        <f t="shared" si="48"/>
        <v>7</v>
      </c>
      <c r="Q550" s="7">
        <f t="shared" si="51"/>
        <v>2025</v>
      </c>
    </row>
    <row r="551" spans="1:17" x14ac:dyDescent="0.25">
      <c r="A551" s="7">
        <v>2534</v>
      </c>
      <c r="B551" s="9" t="s">
        <v>9</v>
      </c>
      <c r="C551" s="9" t="s">
        <v>493</v>
      </c>
      <c r="D551" s="8">
        <v>45868</v>
      </c>
      <c r="E551" s="7" t="s">
        <v>60</v>
      </c>
      <c r="F551" s="7">
        <v>1</v>
      </c>
      <c r="G551" s="7" t="s">
        <v>14</v>
      </c>
      <c r="J551" s="7">
        <f t="shared" si="52"/>
        <v>1900</v>
      </c>
      <c r="K551" s="7">
        <f t="shared" si="49"/>
        <v>1</v>
      </c>
      <c r="L551" s="7">
        <f t="shared" si="50"/>
        <v>45868</v>
      </c>
      <c r="M551" s="7" t="s">
        <v>527</v>
      </c>
      <c r="O551" s="17" t="s">
        <v>682</v>
      </c>
      <c r="P551" s="7">
        <f t="shared" si="48"/>
        <v>7</v>
      </c>
      <c r="Q551" s="7">
        <f t="shared" si="51"/>
        <v>2025</v>
      </c>
    </row>
    <row r="552" spans="1:17" x14ac:dyDescent="0.25">
      <c r="A552" s="7">
        <v>2535</v>
      </c>
      <c r="B552" s="9" t="s">
        <v>524</v>
      </c>
      <c r="C552" s="9" t="s">
        <v>524</v>
      </c>
      <c r="D552" s="8">
        <v>45888</v>
      </c>
      <c r="E552" s="7" t="s">
        <v>60</v>
      </c>
      <c r="F552" s="7">
        <v>1</v>
      </c>
      <c r="G552" s="7" t="s">
        <v>15</v>
      </c>
      <c r="H552" s="7" t="s">
        <v>314</v>
      </c>
      <c r="J552" s="7">
        <f t="shared" si="52"/>
        <v>1900</v>
      </c>
      <c r="K552" s="7">
        <f t="shared" si="49"/>
        <v>1</v>
      </c>
      <c r="L552" s="7">
        <f t="shared" si="50"/>
        <v>45888</v>
      </c>
      <c r="M552" s="7" t="s">
        <v>525</v>
      </c>
      <c r="N552" s="7" t="s">
        <v>580</v>
      </c>
      <c r="O552" s="17" t="s">
        <v>680</v>
      </c>
      <c r="P552" s="7">
        <f t="shared" ref="P552:P601" si="53">MONTH(D552)</f>
        <v>8</v>
      </c>
      <c r="Q552" s="7">
        <f t="shared" si="51"/>
        <v>2025</v>
      </c>
    </row>
    <row r="553" spans="1:17" x14ac:dyDescent="0.25">
      <c r="A553" s="7">
        <v>2536</v>
      </c>
      <c r="B553" s="9" t="s">
        <v>529</v>
      </c>
      <c r="C553" s="9" t="s">
        <v>530</v>
      </c>
      <c r="D553" s="8">
        <v>45889</v>
      </c>
      <c r="E553" s="7" t="s">
        <v>1136</v>
      </c>
      <c r="F553" s="7">
        <v>1</v>
      </c>
      <c r="G553" s="7" t="s">
        <v>14</v>
      </c>
      <c r="H553" s="7" t="s">
        <v>314</v>
      </c>
      <c r="J553" s="7">
        <f t="shared" si="52"/>
        <v>1900</v>
      </c>
      <c r="K553" s="7">
        <f t="shared" si="49"/>
        <v>1</v>
      </c>
      <c r="L553" s="7">
        <f t="shared" si="50"/>
        <v>45889</v>
      </c>
      <c r="M553" s="16" t="s">
        <v>497</v>
      </c>
      <c r="N553" s="7" t="s">
        <v>579</v>
      </c>
      <c r="O553" s="17" t="s">
        <v>680</v>
      </c>
      <c r="P553" s="7">
        <f t="shared" si="53"/>
        <v>8</v>
      </c>
      <c r="Q553" s="7">
        <f t="shared" si="51"/>
        <v>2025</v>
      </c>
    </row>
    <row r="554" spans="1:17" x14ac:dyDescent="0.25">
      <c r="A554" s="7">
        <v>2536</v>
      </c>
      <c r="B554" s="9" t="s">
        <v>529</v>
      </c>
      <c r="C554" s="9" t="s">
        <v>530</v>
      </c>
      <c r="D554" s="8">
        <v>45889</v>
      </c>
      <c r="E554" s="7" t="s">
        <v>1137</v>
      </c>
      <c r="F554" s="7">
        <v>1</v>
      </c>
      <c r="G554" s="7" t="s">
        <v>14</v>
      </c>
      <c r="H554" s="7" t="s">
        <v>314</v>
      </c>
      <c r="J554" s="7">
        <f t="shared" si="52"/>
        <v>1900</v>
      </c>
      <c r="K554" s="7">
        <f t="shared" si="49"/>
        <v>1</v>
      </c>
      <c r="L554" s="7">
        <f t="shared" si="50"/>
        <v>45889</v>
      </c>
      <c r="M554" s="16" t="s">
        <v>497</v>
      </c>
      <c r="N554" s="7" t="s">
        <v>579</v>
      </c>
      <c r="O554" s="17" t="s">
        <v>680</v>
      </c>
      <c r="P554" s="7">
        <f t="shared" si="53"/>
        <v>8</v>
      </c>
      <c r="Q554" s="7">
        <f t="shared" si="51"/>
        <v>2025</v>
      </c>
    </row>
    <row r="555" spans="1:17" x14ac:dyDescent="0.25">
      <c r="A555" s="7">
        <v>2537</v>
      </c>
      <c r="B555" s="9" t="s">
        <v>529</v>
      </c>
      <c r="C555" s="9" t="s">
        <v>531</v>
      </c>
      <c r="D555" s="8">
        <v>45889</v>
      </c>
      <c r="E555" s="7" t="s">
        <v>1138</v>
      </c>
      <c r="F555" s="7">
        <v>1</v>
      </c>
      <c r="G555" s="7" t="s">
        <v>15</v>
      </c>
      <c r="H555" s="7" t="s">
        <v>314</v>
      </c>
      <c r="J555" s="7">
        <f t="shared" si="52"/>
        <v>1900</v>
      </c>
      <c r="K555" s="7">
        <f t="shared" si="49"/>
        <v>1</v>
      </c>
      <c r="L555" s="7">
        <f t="shared" si="50"/>
        <v>45889</v>
      </c>
      <c r="M555" s="16" t="s">
        <v>497</v>
      </c>
      <c r="N555" s="7" t="s">
        <v>579</v>
      </c>
      <c r="O555" s="17" t="s">
        <v>680</v>
      </c>
      <c r="P555" s="7">
        <f t="shared" si="53"/>
        <v>8</v>
      </c>
      <c r="Q555" s="7">
        <f t="shared" si="51"/>
        <v>2025</v>
      </c>
    </row>
    <row r="556" spans="1:17" x14ac:dyDescent="0.25">
      <c r="A556" s="7">
        <v>2537</v>
      </c>
      <c r="B556" s="9" t="s">
        <v>529</v>
      </c>
      <c r="C556" s="9" t="s">
        <v>531</v>
      </c>
      <c r="D556" s="8">
        <v>45889</v>
      </c>
      <c r="E556" s="7" t="s">
        <v>1139</v>
      </c>
      <c r="F556" s="7">
        <v>1</v>
      </c>
      <c r="G556" s="7" t="s">
        <v>15</v>
      </c>
      <c r="H556" s="7" t="s">
        <v>314</v>
      </c>
      <c r="J556" s="7">
        <f t="shared" si="52"/>
        <v>1900</v>
      </c>
      <c r="K556" s="7">
        <f t="shared" si="49"/>
        <v>1</v>
      </c>
      <c r="L556" s="7">
        <f t="shared" si="50"/>
        <v>45889</v>
      </c>
      <c r="M556" s="16" t="s">
        <v>497</v>
      </c>
      <c r="N556" s="7" t="s">
        <v>579</v>
      </c>
      <c r="O556" s="17" t="s">
        <v>680</v>
      </c>
      <c r="P556" s="7">
        <f t="shared" si="53"/>
        <v>8</v>
      </c>
      <c r="Q556" s="7">
        <f t="shared" si="51"/>
        <v>2025</v>
      </c>
    </row>
    <row r="557" spans="1:17" x14ac:dyDescent="0.25">
      <c r="A557" s="7">
        <v>2537</v>
      </c>
      <c r="B557" s="9" t="s">
        <v>529</v>
      </c>
      <c r="C557" s="9" t="s">
        <v>531</v>
      </c>
      <c r="D557" s="8">
        <v>45889</v>
      </c>
      <c r="E557" s="7" t="s">
        <v>1140</v>
      </c>
      <c r="F557" s="7">
        <v>1</v>
      </c>
      <c r="G557" s="7" t="s">
        <v>15</v>
      </c>
      <c r="H557" s="7" t="s">
        <v>314</v>
      </c>
      <c r="J557" s="7">
        <f t="shared" si="52"/>
        <v>1900</v>
      </c>
      <c r="K557" s="7">
        <f t="shared" si="49"/>
        <v>1</v>
      </c>
      <c r="L557" s="7">
        <f t="shared" si="50"/>
        <v>45889</v>
      </c>
      <c r="M557" s="16" t="s">
        <v>497</v>
      </c>
      <c r="N557" s="7" t="s">
        <v>579</v>
      </c>
      <c r="O557" s="17" t="s">
        <v>680</v>
      </c>
      <c r="P557" s="7">
        <f t="shared" si="53"/>
        <v>8</v>
      </c>
      <c r="Q557" s="7">
        <f t="shared" si="51"/>
        <v>2025</v>
      </c>
    </row>
    <row r="558" spans="1:17" x14ac:dyDescent="0.25">
      <c r="A558" s="7">
        <v>2538</v>
      </c>
      <c r="B558" s="9" t="s">
        <v>529</v>
      </c>
      <c r="C558" s="9" t="s">
        <v>532</v>
      </c>
      <c r="D558" s="8">
        <v>45889</v>
      </c>
      <c r="E558" s="7" t="s">
        <v>1101</v>
      </c>
      <c r="F558" s="7">
        <v>1</v>
      </c>
      <c r="G558" s="7" t="s">
        <v>14</v>
      </c>
      <c r="H558" s="7" t="s">
        <v>311</v>
      </c>
      <c r="J558" s="7">
        <f t="shared" si="52"/>
        <v>1900</v>
      </c>
      <c r="K558" s="7">
        <f t="shared" si="49"/>
        <v>1</v>
      </c>
      <c r="L558" s="7">
        <f t="shared" si="50"/>
        <v>45889</v>
      </c>
      <c r="M558" s="16" t="s">
        <v>497</v>
      </c>
      <c r="N558" s="7" t="s">
        <v>579</v>
      </c>
      <c r="O558" s="17" t="s">
        <v>680</v>
      </c>
      <c r="P558" s="7">
        <f t="shared" si="53"/>
        <v>8</v>
      </c>
      <c r="Q558" s="7">
        <f t="shared" si="51"/>
        <v>2025</v>
      </c>
    </row>
    <row r="559" spans="1:17" x14ac:dyDescent="0.25">
      <c r="A559" s="7">
        <v>2538</v>
      </c>
      <c r="B559" s="9" t="s">
        <v>529</v>
      </c>
      <c r="C559" s="9" t="s">
        <v>532</v>
      </c>
      <c r="D559" s="8">
        <v>45889</v>
      </c>
      <c r="E559" s="7" t="s">
        <v>1102</v>
      </c>
      <c r="F559" s="7">
        <v>1</v>
      </c>
      <c r="G559" s="7" t="s">
        <v>14</v>
      </c>
      <c r="H559" s="7" t="s">
        <v>311</v>
      </c>
      <c r="J559" s="7">
        <f t="shared" si="52"/>
        <v>1900</v>
      </c>
      <c r="K559" s="7">
        <f t="shared" si="49"/>
        <v>1</v>
      </c>
      <c r="L559" s="7">
        <f t="shared" si="50"/>
        <v>45889</v>
      </c>
      <c r="M559" s="16" t="s">
        <v>497</v>
      </c>
      <c r="N559" s="7" t="s">
        <v>579</v>
      </c>
      <c r="O559" s="17" t="s">
        <v>680</v>
      </c>
      <c r="P559" s="7">
        <f t="shared" si="53"/>
        <v>8</v>
      </c>
      <c r="Q559" s="7">
        <f t="shared" si="51"/>
        <v>2025</v>
      </c>
    </row>
    <row r="560" spans="1:17" x14ac:dyDescent="0.25">
      <c r="A560" s="7">
        <v>2538</v>
      </c>
      <c r="B560" s="9" t="s">
        <v>529</v>
      </c>
      <c r="C560" s="9" t="s">
        <v>532</v>
      </c>
      <c r="D560" s="8">
        <v>45889</v>
      </c>
      <c r="E560" s="7" t="s">
        <v>1103</v>
      </c>
      <c r="F560" s="7">
        <v>1</v>
      </c>
      <c r="G560" s="7" t="s">
        <v>14</v>
      </c>
      <c r="H560" s="7" t="s">
        <v>311</v>
      </c>
      <c r="J560" s="7">
        <f t="shared" si="52"/>
        <v>1900</v>
      </c>
      <c r="K560" s="7">
        <f t="shared" si="49"/>
        <v>1</v>
      </c>
      <c r="L560" s="7">
        <f t="shared" si="50"/>
        <v>45889</v>
      </c>
      <c r="M560" s="16" t="s">
        <v>497</v>
      </c>
      <c r="N560" s="7" t="s">
        <v>579</v>
      </c>
      <c r="O560" s="17" t="s">
        <v>680</v>
      </c>
      <c r="P560" s="7">
        <f t="shared" si="53"/>
        <v>8</v>
      </c>
      <c r="Q560" s="7">
        <f t="shared" si="51"/>
        <v>2025</v>
      </c>
    </row>
    <row r="561" spans="1:17" x14ac:dyDescent="0.25">
      <c r="A561" s="7">
        <v>2538</v>
      </c>
      <c r="B561" s="9" t="s">
        <v>529</v>
      </c>
      <c r="C561" s="9" t="s">
        <v>532</v>
      </c>
      <c r="D561" s="8">
        <v>45889</v>
      </c>
      <c r="E561" s="7" t="s">
        <v>1104</v>
      </c>
      <c r="F561" s="7">
        <v>1</v>
      </c>
      <c r="G561" s="7" t="s">
        <v>14</v>
      </c>
      <c r="H561" s="7" t="s">
        <v>311</v>
      </c>
      <c r="J561" s="7">
        <f t="shared" si="52"/>
        <v>1900</v>
      </c>
      <c r="K561" s="7">
        <f t="shared" si="49"/>
        <v>1</v>
      </c>
      <c r="L561" s="7">
        <f t="shared" si="50"/>
        <v>45889</v>
      </c>
      <c r="M561" s="16" t="s">
        <v>497</v>
      </c>
      <c r="N561" s="7" t="s">
        <v>579</v>
      </c>
      <c r="O561" s="17" t="s">
        <v>680</v>
      </c>
      <c r="P561" s="7">
        <f t="shared" si="53"/>
        <v>8</v>
      </c>
      <c r="Q561" s="7">
        <f t="shared" si="51"/>
        <v>2025</v>
      </c>
    </row>
    <row r="562" spans="1:17" x14ac:dyDescent="0.25">
      <c r="A562" s="7">
        <v>2538</v>
      </c>
      <c r="B562" s="9" t="s">
        <v>529</v>
      </c>
      <c r="C562" s="9" t="s">
        <v>532</v>
      </c>
      <c r="D562" s="8">
        <v>45889</v>
      </c>
      <c r="E562" s="7" t="s">
        <v>1105</v>
      </c>
      <c r="F562" s="7">
        <v>1</v>
      </c>
      <c r="G562" s="7" t="s">
        <v>14</v>
      </c>
      <c r="H562" s="7" t="s">
        <v>311</v>
      </c>
      <c r="J562" s="7">
        <f t="shared" si="52"/>
        <v>1900</v>
      </c>
      <c r="K562" s="7">
        <f t="shared" si="49"/>
        <v>1</v>
      </c>
      <c r="L562" s="7">
        <f t="shared" si="50"/>
        <v>45889</v>
      </c>
      <c r="M562" s="16" t="s">
        <v>497</v>
      </c>
      <c r="N562" s="7" t="s">
        <v>579</v>
      </c>
      <c r="O562" s="17" t="s">
        <v>680</v>
      </c>
      <c r="P562" s="7">
        <f t="shared" si="53"/>
        <v>8</v>
      </c>
      <c r="Q562" s="7">
        <f t="shared" si="51"/>
        <v>2025</v>
      </c>
    </row>
    <row r="563" spans="1:17" x14ac:dyDescent="0.25">
      <c r="A563" s="7">
        <v>2538</v>
      </c>
      <c r="B563" s="9" t="s">
        <v>529</v>
      </c>
      <c r="C563" s="9" t="s">
        <v>532</v>
      </c>
      <c r="D563" s="8">
        <v>45889</v>
      </c>
      <c r="E563" s="7" t="s">
        <v>1106</v>
      </c>
      <c r="F563" s="7">
        <v>1</v>
      </c>
      <c r="G563" s="7" t="s">
        <v>14</v>
      </c>
      <c r="H563" s="7" t="s">
        <v>311</v>
      </c>
      <c r="J563" s="7">
        <f t="shared" si="52"/>
        <v>1900</v>
      </c>
      <c r="K563" s="7">
        <f t="shared" ref="K563:K620" si="54">MONTH(I563)</f>
        <v>1</v>
      </c>
      <c r="L563" s="7">
        <f t="shared" si="50"/>
        <v>45889</v>
      </c>
      <c r="M563" s="16" t="s">
        <v>497</v>
      </c>
      <c r="N563" s="7" t="s">
        <v>579</v>
      </c>
      <c r="O563" s="17" t="s">
        <v>680</v>
      </c>
      <c r="P563" s="7">
        <f t="shared" si="53"/>
        <v>8</v>
      </c>
      <c r="Q563" s="7">
        <f t="shared" si="51"/>
        <v>2025</v>
      </c>
    </row>
    <row r="564" spans="1:17" x14ac:dyDescent="0.25">
      <c r="A564" s="7">
        <v>2538</v>
      </c>
      <c r="B564" s="9" t="s">
        <v>529</v>
      </c>
      <c r="C564" s="9" t="s">
        <v>532</v>
      </c>
      <c r="D564" s="8">
        <v>45889</v>
      </c>
      <c r="E564" s="7" t="s">
        <v>1107</v>
      </c>
      <c r="F564" s="7">
        <v>1</v>
      </c>
      <c r="G564" s="7" t="s">
        <v>14</v>
      </c>
      <c r="H564" s="7" t="s">
        <v>311</v>
      </c>
      <c r="J564" s="7">
        <f t="shared" si="52"/>
        <v>1900</v>
      </c>
      <c r="K564" s="7">
        <f t="shared" si="54"/>
        <v>1</v>
      </c>
      <c r="L564" s="7">
        <f t="shared" si="50"/>
        <v>45889</v>
      </c>
      <c r="M564" s="16" t="s">
        <v>497</v>
      </c>
      <c r="N564" s="7" t="s">
        <v>579</v>
      </c>
      <c r="O564" s="17" t="s">
        <v>680</v>
      </c>
      <c r="P564" s="7">
        <f t="shared" si="53"/>
        <v>8</v>
      </c>
      <c r="Q564" s="7">
        <f t="shared" si="51"/>
        <v>2025</v>
      </c>
    </row>
    <row r="565" spans="1:17" x14ac:dyDescent="0.25">
      <c r="A565" s="7">
        <v>2538</v>
      </c>
      <c r="B565" s="9" t="s">
        <v>529</v>
      </c>
      <c r="C565" s="9" t="s">
        <v>532</v>
      </c>
      <c r="D565" s="8">
        <v>45889</v>
      </c>
      <c r="E565" s="7" t="s">
        <v>1108</v>
      </c>
      <c r="F565" s="7">
        <v>1</v>
      </c>
      <c r="G565" s="7" t="s">
        <v>14</v>
      </c>
      <c r="H565" s="7" t="s">
        <v>311</v>
      </c>
      <c r="J565" s="7">
        <f t="shared" si="52"/>
        <v>1900</v>
      </c>
      <c r="K565" s="7">
        <f t="shared" si="54"/>
        <v>1</v>
      </c>
      <c r="L565" s="7">
        <f t="shared" ref="L565:L622" si="55">D565-I565</f>
        <v>45889</v>
      </c>
      <c r="M565" s="16" t="s">
        <v>497</v>
      </c>
      <c r="N565" s="7" t="s">
        <v>579</v>
      </c>
      <c r="O565" s="17" t="s">
        <v>680</v>
      </c>
      <c r="P565" s="7">
        <f t="shared" si="53"/>
        <v>8</v>
      </c>
      <c r="Q565" s="7">
        <f t="shared" si="51"/>
        <v>2025</v>
      </c>
    </row>
    <row r="566" spans="1:17" x14ac:dyDescent="0.25">
      <c r="A566" s="7">
        <v>2538</v>
      </c>
      <c r="B566" s="9" t="s">
        <v>529</v>
      </c>
      <c r="C566" s="9" t="s">
        <v>532</v>
      </c>
      <c r="D566" s="8">
        <v>45889</v>
      </c>
      <c r="E566" s="7" t="s">
        <v>1109</v>
      </c>
      <c r="F566" s="7">
        <v>1</v>
      </c>
      <c r="G566" s="7" t="s">
        <v>14</v>
      </c>
      <c r="H566" s="7" t="s">
        <v>311</v>
      </c>
      <c r="J566" s="7">
        <f t="shared" si="52"/>
        <v>1900</v>
      </c>
      <c r="K566" s="7">
        <f t="shared" si="54"/>
        <v>1</v>
      </c>
      <c r="L566" s="7">
        <f t="shared" si="55"/>
        <v>45889</v>
      </c>
      <c r="M566" s="16" t="s">
        <v>497</v>
      </c>
      <c r="N566" s="7" t="s">
        <v>579</v>
      </c>
      <c r="O566" s="17" t="s">
        <v>680</v>
      </c>
      <c r="P566" s="7">
        <f t="shared" si="53"/>
        <v>8</v>
      </c>
      <c r="Q566" s="7">
        <f t="shared" si="51"/>
        <v>2025</v>
      </c>
    </row>
    <row r="567" spans="1:17" x14ac:dyDescent="0.25">
      <c r="A567" s="7">
        <v>2538</v>
      </c>
      <c r="B567" s="9" t="s">
        <v>529</v>
      </c>
      <c r="C567" s="9" t="s">
        <v>532</v>
      </c>
      <c r="D567" s="8">
        <v>45889</v>
      </c>
      <c r="E567" s="7" t="s">
        <v>1110</v>
      </c>
      <c r="F567" s="7">
        <v>1</v>
      </c>
      <c r="G567" s="7" t="s">
        <v>14</v>
      </c>
      <c r="H567" s="7" t="s">
        <v>311</v>
      </c>
      <c r="J567" s="7">
        <f t="shared" si="52"/>
        <v>1900</v>
      </c>
      <c r="K567" s="7">
        <f t="shared" si="54"/>
        <v>1</v>
      </c>
      <c r="L567" s="7">
        <f t="shared" si="55"/>
        <v>45889</v>
      </c>
      <c r="M567" s="16" t="s">
        <v>497</v>
      </c>
      <c r="N567" s="7" t="s">
        <v>579</v>
      </c>
      <c r="O567" s="17" t="s">
        <v>680</v>
      </c>
      <c r="P567" s="7">
        <f t="shared" si="53"/>
        <v>8</v>
      </c>
      <c r="Q567" s="7">
        <f t="shared" si="51"/>
        <v>2025</v>
      </c>
    </row>
    <row r="568" spans="1:17" x14ac:dyDescent="0.25">
      <c r="A568" s="7">
        <v>2538</v>
      </c>
      <c r="B568" s="9" t="s">
        <v>529</v>
      </c>
      <c r="C568" s="9" t="s">
        <v>532</v>
      </c>
      <c r="D568" s="8">
        <v>45889</v>
      </c>
      <c r="E568" s="7" t="s">
        <v>1111</v>
      </c>
      <c r="F568" s="7">
        <v>1</v>
      </c>
      <c r="G568" s="7" t="s">
        <v>14</v>
      </c>
      <c r="H568" s="7" t="s">
        <v>311</v>
      </c>
      <c r="J568" s="7">
        <f t="shared" si="52"/>
        <v>1900</v>
      </c>
      <c r="K568" s="7">
        <f t="shared" si="54"/>
        <v>1</v>
      </c>
      <c r="L568" s="7">
        <f t="shared" si="55"/>
        <v>45889</v>
      </c>
      <c r="M568" s="16" t="s">
        <v>497</v>
      </c>
      <c r="N568" s="7" t="s">
        <v>579</v>
      </c>
      <c r="O568" s="17" t="s">
        <v>680</v>
      </c>
      <c r="P568" s="7">
        <f t="shared" si="53"/>
        <v>8</v>
      </c>
      <c r="Q568" s="7">
        <f t="shared" si="51"/>
        <v>2025</v>
      </c>
    </row>
    <row r="569" spans="1:17" x14ac:dyDescent="0.25">
      <c r="A569" s="7">
        <v>2538</v>
      </c>
      <c r="B569" s="9" t="s">
        <v>529</v>
      </c>
      <c r="C569" s="9" t="s">
        <v>532</v>
      </c>
      <c r="D569" s="8">
        <v>45889</v>
      </c>
      <c r="E569" s="7" t="s">
        <v>1112</v>
      </c>
      <c r="F569" s="7">
        <v>1</v>
      </c>
      <c r="G569" s="7" t="s">
        <v>14</v>
      </c>
      <c r="H569" s="7" t="s">
        <v>311</v>
      </c>
      <c r="J569" s="7">
        <f t="shared" si="52"/>
        <v>1900</v>
      </c>
      <c r="K569" s="7">
        <f t="shared" si="54"/>
        <v>1</v>
      </c>
      <c r="L569" s="7">
        <f t="shared" si="55"/>
        <v>45889</v>
      </c>
      <c r="M569" s="16" t="s">
        <v>497</v>
      </c>
      <c r="N569" s="7" t="s">
        <v>579</v>
      </c>
      <c r="O569" s="17" t="s">
        <v>680</v>
      </c>
      <c r="P569" s="7">
        <f t="shared" si="53"/>
        <v>8</v>
      </c>
      <c r="Q569" s="7">
        <f t="shared" ref="Q569:Q628" si="56">YEAR(D569)</f>
        <v>2025</v>
      </c>
    </row>
    <row r="570" spans="1:17" x14ac:dyDescent="0.25">
      <c r="A570" s="7">
        <v>2538</v>
      </c>
      <c r="B570" s="9" t="s">
        <v>529</v>
      </c>
      <c r="C570" s="9" t="s">
        <v>532</v>
      </c>
      <c r="D570" s="8">
        <v>45889</v>
      </c>
      <c r="E570" s="7" t="s">
        <v>1113</v>
      </c>
      <c r="F570" s="7">
        <v>1</v>
      </c>
      <c r="G570" s="7" t="s">
        <v>14</v>
      </c>
      <c r="H570" s="7" t="s">
        <v>311</v>
      </c>
      <c r="J570" s="7">
        <f t="shared" si="52"/>
        <v>1900</v>
      </c>
      <c r="K570" s="7">
        <f t="shared" si="54"/>
        <v>1</v>
      </c>
      <c r="L570" s="7">
        <f t="shared" si="55"/>
        <v>45889</v>
      </c>
      <c r="M570" s="16" t="s">
        <v>497</v>
      </c>
      <c r="N570" s="7" t="s">
        <v>579</v>
      </c>
      <c r="O570" s="17" t="s">
        <v>680</v>
      </c>
      <c r="P570" s="7">
        <f t="shared" si="53"/>
        <v>8</v>
      </c>
      <c r="Q570" s="7">
        <f t="shared" si="56"/>
        <v>2025</v>
      </c>
    </row>
    <row r="571" spans="1:17" x14ac:dyDescent="0.25">
      <c r="A571" s="7">
        <v>2538</v>
      </c>
      <c r="B571" s="9" t="s">
        <v>529</v>
      </c>
      <c r="C571" s="9" t="s">
        <v>532</v>
      </c>
      <c r="D571" s="8">
        <v>45889</v>
      </c>
      <c r="E571" s="7" t="s">
        <v>1114</v>
      </c>
      <c r="F571" s="7">
        <v>1</v>
      </c>
      <c r="G571" s="7" t="s">
        <v>14</v>
      </c>
      <c r="H571" s="7" t="s">
        <v>311</v>
      </c>
      <c r="J571" s="7">
        <f t="shared" si="52"/>
        <v>1900</v>
      </c>
      <c r="K571" s="7">
        <f t="shared" si="54"/>
        <v>1</v>
      </c>
      <c r="L571" s="7">
        <f t="shared" si="55"/>
        <v>45889</v>
      </c>
      <c r="M571" s="16" t="s">
        <v>497</v>
      </c>
      <c r="N571" s="7" t="s">
        <v>579</v>
      </c>
      <c r="O571" s="17" t="s">
        <v>680</v>
      </c>
      <c r="P571" s="7">
        <f t="shared" si="53"/>
        <v>8</v>
      </c>
      <c r="Q571" s="7">
        <f t="shared" si="56"/>
        <v>2025</v>
      </c>
    </row>
    <row r="572" spans="1:17" x14ac:dyDescent="0.25">
      <c r="A572" s="7">
        <v>2538</v>
      </c>
      <c r="B572" s="9" t="s">
        <v>529</v>
      </c>
      <c r="C572" s="9" t="s">
        <v>532</v>
      </c>
      <c r="D572" s="8">
        <v>45889</v>
      </c>
      <c r="E572" s="7" t="s">
        <v>1115</v>
      </c>
      <c r="F572" s="7">
        <v>1</v>
      </c>
      <c r="G572" s="7" t="s">
        <v>14</v>
      </c>
      <c r="H572" s="7" t="s">
        <v>311</v>
      </c>
      <c r="J572" s="7">
        <f t="shared" si="52"/>
        <v>1900</v>
      </c>
      <c r="K572" s="7">
        <f t="shared" si="54"/>
        <v>1</v>
      </c>
      <c r="L572" s="7">
        <f t="shared" si="55"/>
        <v>45889</v>
      </c>
      <c r="M572" s="16" t="s">
        <v>497</v>
      </c>
      <c r="N572" s="7" t="s">
        <v>579</v>
      </c>
      <c r="O572" s="17" t="s">
        <v>680</v>
      </c>
      <c r="P572" s="7">
        <f t="shared" si="53"/>
        <v>8</v>
      </c>
      <c r="Q572" s="7">
        <f t="shared" si="56"/>
        <v>2025</v>
      </c>
    </row>
    <row r="573" spans="1:17" x14ac:dyDescent="0.25">
      <c r="A573" s="7">
        <v>2539</v>
      </c>
      <c r="B573" s="9" t="s">
        <v>533</v>
      </c>
      <c r="C573" s="9" t="s">
        <v>533</v>
      </c>
      <c r="D573" s="8">
        <v>45891</v>
      </c>
      <c r="E573" s="7" t="s">
        <v>60</v>
      </c>
      <c r="F573" s="7">
        <v>1</v>
      </c>
      <c r="G573" s="7" t="s">
        <v>14</v>
      </c>
      <c r="H573" s="7" t="s">
        <v>314</v>
      </c>
      <c r="J573" s="7">
        <f t="shared" si="52"/>
        <v>1900</v>
      </c>
      <c r="K573" s="7">
        <f t="shared" si="54"/>
        <v>1</v>
      </c>
      <c r="L573" s="7">
        <f t="shared" si="55"/>
        <v>45891</v>
      </c>
      <c r="M573" s="7" t="s">
        <v>537</v>
      </c>
      <c r="N573" s="7" t="s">
        <v>922</v>
      </c>
      <c r="O573" s="17" t="s">
        <v>682</v>
      </c>
      <c r="P573" s="7">
        <f t="shared" si="53"/>
        <v>8</v>
      </c>
      <c r="Q573" s="7">
        <f t="shared" si="56"/>
        <v>2025</v>
      </c>
    </row>
    <row r="574" spans="1:17" x14ac:dyDescent="0.25">
      <c r="A574" s="7">
        <v>2539</v>
      </c>
      <c r="B574" s="9" t="s">
        <v>533</v>
      </c>
      <c r="C574" s="9" t="s">
        <v>533</v>
      </c>
      <c r="D574" s="8">
        <v>45891</v>
      </c>
      <c r="E574" s="7" t="s">
        <v>60</v>
      </c>
      <c r="F574" s="7">
        <v>1</v>
      </c>
      <c r="G574" s="7" t="s">
        <v>14</v>
      </c>
      <c r="H574" s="7" t="s">
        <v>314</v>
      </c>
      <c r="J574" s="7">
        <f t="shared" si="52"/>
        <v>1900</v>
      </c>
      <c r="K574" s="7">
        <f t="shared" si="54"/>
        <v>1</v>
      </c>
      <c r="L574" s="7">
        <f t="shared" si="55"/>
        <v>45891</v>
      </c>
      <c r="M574" s="7" t="s">
        <v>537</v>
      </c>
      <c r="N574" s="7" t="s">
        <v>922</v>
      </c>
      <c r="O574" s="17" t="s">
        <v>682</v>
      </c>
      <c r="P574" s="7">
        <f t="shared" si="53"/>
        <v>8</v>
      </c>
      <c r="Q574" s="7">
        <f t="shared" si="56"/>
        <v>2025</v>
      </c>
    </row>
    <row r="575" spans="1:17" x14ac:dyDescent="0.25">
      <c r="A575" s="7">
        <v>2539</v>
      </c>
      <c r="B575" s="9" t="s">
        <v>533</v>
      </c>
      <c r="C575" s="9" t="s">
        <v>533</v>
      </c>
      <c r="D575" s="8">
        <v>45891</v>
      </c>
      <c r="E575" s="7" t="s">
        <v>60</v>
      </c>
      <c r="F575" s="7">
        <v>1</v>
      </c>
      <c r="G575" s="7" t="s">
        <v>14</v>
      </c>
      <c r="H575" s="7" t="s">
        <v>314</v>
      </c>
      <c r="J575" s="7">
        <f t="shared" si="52"/>
        <v>1900</v>
      </c>
      <c r="K575" s="7">
        <f t="shared" si="54"/>
        <v>1</v>
      </c>
      <c r="L575" s="7">
        <f t="shared" si="55"/>
        <v>45891</v>
      </c>
      <c r="M575" s="7" t="s">
        <v>537</v>
      </c>
      <c r="N575" s="7" t="s">
        <v>922</v>
      </c>
      <c r="O575" s="17" t="s">
        <v>682</v>
      </c>
      <c r="P575" s="7">
        <f t="shared" si="53"/>
        <v>8</v>
      </c>
      <c r="Q575" s="7">
        <f t="shared" si="56"/>
        <v>2025</v>
      </c>
    </row>
    <row r="576" spans="1:17" x14ac:dyDescent="0.25">
      <c r="A576" s="7">
        <v>2539</v>
      </c>
      <c r="B576" s="9" t="s">
        <v>533</v>
      </c>
      <c r="C576" s="9" t="s">
        <v>533</v>
      </c>
      <c r="D576" s="8">
        <v>45891</v>
      </c>
      <c r="E576" s="7" t="s">
        <v>60</v>
      </c>
      <c r="F576" s="7">
        <v>1</v>
      </c>
      <c r="G576" s="7" t="s">
        <v>14</v>
      </c>
      <c r="H576" s="7" t="s">
        <v>314</v>
      </c>
      <c r="J576" s="7">
        <f t="shared" si="52"/>
        <v>1900</v>
      </c>
      <c r="K576" s="7">
        <f t="shared" si="54"/>
        <v>1</v>
      </c>
      <c r="L576" s="7">
        <f t="shared" si="55"/>
        <v>45891</v>
      </c>
      <c r="M576" s="7" t="s">
        <v>537</v>
      </c>
      <c r="N576" s="7" t="s">
        <v>922</v>
      </c>
      <c r="O576" s="17" t="s">
        <v>682</v>
      </c>
      <c r="P576" s="7">
        <f t="shared" si="53"/>
        <v>8</v>
      </c>
      <c r="Q576" s="7">
        <f t="shared" si="56"/>
        <v>2025</v>
      </c>
    </row>
    <row r="577" spans="1:17" x14ac:dyDescent="0.25">
      <c r="A577" s="7">
        <v>2539</v>
      </c>
      <c r="B577" s="9" t="s">
        <v>533</v>
      </c>
      <c r="C577" s="9" t="s">
        <v>533</v>
      </c>
      <c r="D577" s="8">
        <v>45891</v>
      </c>
      <c r="E577" s="7" t="s">
        <v>60</v>
      </c>
      <c r="F577" s="7">
        <v>1</v>
      </c>
      <c r="G577" s="7" t="s">
        <v>14</v>
      </c>
      <c r="H577" s="7" t="s">
        <v>314</v>
      </c>
      <c r="J577" s="7">
        <f t="shared" si="52"/>
        <v>1900</v>
      </c>
      <c r="K577" s="7">
        <f t="shared" si="54"/>
        <v>1</v>
      </c>
      <c r="L577" s="7">
        <f t="shared" si="55"/>
        <v>45891</v>
      </c>
      <c r="M577" s="7" t="s">
        <v>537</v>
      </c>
      <c r="N577" s="7" t="s">
        <v>922</v>
      </c>
      <c r="O577" s="17" t="s">
        <v>682</v>
      </c>
      <c r="P577" s="7">
        <f t="shared" si="53"/>
        <v>8</v>
      </c>
      <c r="Q577" s="7">
        <f t="shared" si="56"/>
        <v>2025</v>
      </c>
    </row>
    <row r="578" spans="1:17" x14ac:dyDescent="0.25">
      <c r="A578" s="7">
        <v>2539</v>
      </c>
      <c r="B578" s="9" t="s">
        <v>533</v>
      </c>
      <c r="C578" s="9" t="s">
        <v>533</v>
      </c>
      <c r="D578" s="8">
        <v>45891</v>
      </c>
      <c r="E578" s="7" t="s">
        <v>60</v>
      </c>
      <c r="F578" s="7">
        <v>1</v>
      </c>
      <c r="G578" s="7" t="s">
        <v>14</v>
      </c>
      <c r="H578" s="7" t="s">
        <v>314</v>
      </c>
      <c r="J578" s="7">
        <f t="shared" si="52"/>
        <v>1900</v>
      </c>
      <c r="K578" s="7">
        <f t="shared" si="54"/>
        <v>1</v>
      </c>
      <c r="L578" s="7">
        <f t="shared" si="55"/>
        <v>45891</v>
      </c>
      <c r="M578" s="7" t="s">
        <v>537</v>
      </c>
      <c r="N578" s="7" t="s">
        <v>922</v>
      </c>
      <c r="O578" s="17" t="s">
        <v>682</v>
      </c>
      <c r="P578" s="7">
        <f t="shared" si="53"/>
        <v>8</v>
      </c>
      <c r="Q578" s="7">
        <f t="shared" si="56"/>
        <v>2025</v>
      </c>
    </row>
    <row r="579" spans="1:17" x14ac:dyDescent="0.25">
      <c r="A579" s="7">
        <v>2539</v>
      </c>
      <c r="B579" s="9" t="s">
        <v>533</v>
      </c>
      <c r="C579" s="9" t="s">
        <v>533</v>
      </c>
      <c r="D579" s="8">
        <v>45891</v>
      </c>
      <c r="E579" s="7" t="s">
        <v>60</v>
      </c>
      <c r="F579" s="7">
        <v>1</v>
      </c>
      <c r="G579" s="7" t="s">
        <v>14</v>
      </c>
      <c r="H579" s="7" t="s">
        <v>314</v>
      </c>
      <c r="J579" s="7">
        <f t="shared" si="52"/>
        <v>1900</v>
      </c>
      <c r="K579" s="7">
        <f t="shared" si="54"/>
        <v>1</v>
      </c>
      <c r="L579" s="7">
        <f t="shared" si="55"/>
        <v>45891</v>
      </c>
      <c r="M579" s="7" t="s">
        <v>537</v>
      </c>
      <c r="N579" s="7" t="s">
        <v>922</v>
      </c>
      <c r="O579" s="17" t="s">
        <v>682</v>
      </c>
      <c r="P579" s="7">
        <f t="shared" si="53"/>
        <v>8</v>
      </c>
      <c r="Q579" s="7">
        <f t="shared" si="56"/>
        <v>2025</v>
      </c>
    </row>
    <row r="580" spans="1:17" x14ac:dyDescent="0.25">
      <c r="A580" s="7">
        <v>2539</v>
      </c>
      <c r="B580" s="9" t="s">
        <v>533</v>
      </c>
      <c r="C580" s="9" t="s">
        <v>533</v>
      </c>
      <c r="D580" s="8">
        <v>45891</v>
      </c>
      <c r="E580" s="7" t="s">
        <v>60</v>
      </c>
      <c r="F580" s="7">
        <v>1</v>
      </c>
      <c r="G580" s="7" t="s">
        <v>14</v>
      </c>
      <c r="H580" s="7" t="s">
        <v>314</v>
      </c>
      <c r="J580" s="7">
        <f t="shared" si="52"/>
        <v>1900</v>
      </c>
      <c r="K580" s="7">
        <f t="shared" si="54"/>
        <v>1</v>
      </c>
      <c r="L580" s="7">
        <f t="shared" si="55"/>
        <v>45891</v>
      </c>
      <c r="M580" s="7" t="s">
        <v>537</v>
      </c>
      <c r="N580" s="7" t="s">
        <v>922</v>
      </c>
      <c r="O580" s="17" t="s">
        <v>682</v>
      </c>
      <c r="P580" s="7">
        <f t="shared" si="53"/>
        <v>8</v>
      </c>
      <c r="Q580" s="7">
        <f t="shared" si="56"/>
        <v>2025</v>
      </c>
    </row>
    <row r="581" spans="1:17" x14ac:dyDescent="0.25">
      <c r="A581" s="7">
        <v>2539</v>
      </c>
      <c r="B581" s="9" t="s">
        <v>533</v>
      </c>
      <c r="C581" s="9" t="s">
        <v>533</v>
      </c>
      <c r="D581" s="8">
        <v>45891</v>
      </c>
      <c r="E581" s="7" t="s">
        <v>60</v>
      </c>
      <c r="F581" s="7">
        <v>1</v>
      </c>
      <c r="G581" s="7" t="s">
        <v>14</v>
      </c>
      <c r="H581" s="7" t="s">
        <v>314</v>
      </c>
      <c r="J581" s="7">
        <f t="shared" si="52"/>
        <v>1900</v>
      </c>
      <c r="K581" s="7">
        <f t="shared" si="54"/>
        <v>1</v>
      </c>
      <c r="L581" s="7">
        <f t="shared" si="55"/>
        <v>45891</v>
      </c>
      <c r="M581" s="7" t="s">
        <v>537</v>
      </c>
      <c r="N581" s="7" t="s">
        <v>922</v>
      </c>
      <c r="O581" s="17" t="s">
        <v>682</v>
      </c>
      <c r="P581" s="7">
        <f t="shared" si="53"/>
        <v>8</v>
      </c>
      <c r="Q581" s="7">
        <f t="shared" si="56"/>
        <v>2025</v>
      </c>
    </row>
    <row r="582" spans="1:17" x14ac:dyDescent="0.25">
      <c r="A582" s="7">
        <v>2539</v>
      </c>
      <c r="B582" s="9" t="s">
        <v>533</v>
      </c>
      <c r="C582" s="9" t="s">
        <v>533</v>
      </c>
      <c r="D582" s="8">
        <v>45891</v>
      </c>
      <c r="E582" s="7" t="s">
        <v>60</v>
      </c>
      <c r="F582" s="7">
        <v>1</v>
      </c>
      <c r="G582" s="7" t="s">
        <v>14</v>
      </c>
      <c r="H582" s="7" t="s">
        <v>314</v>
      </c>
      <c r="J582" s="7">
        <f t="shared" si="52"/>
        <v>1900</v>
      </c>
      <c r="K582" s="7">
        <f t="shared" si="54"/>
        <v>1</v>
      </c>
      <c r="L582" s="7">
        <f t="shared" si="55"/>
        <v>45891</v>
      </c>
      <c r="M582" s="7" t="s">
        <v>537</v>
      </c>
      <c r="N582" s="7" t="s">
        <v>922</v>
      </c>
      <c r="O582" s="17" t="s">
        <v>682</v>
      </c>
      <c r="P582" s="7">
        <f t="shared" si="53"/>
        <v>8</v>
      </c>
      <c r="Q582" s="7">
        <f t="shared" si="56"/>
        <v>2025</v>
      </c>
    </row>
    <row r="583" spans="1:17" x14ac:dyDescent="0.25">
      <c r="A583" s="7">
        <v>2539</v>
      </c>
      <c r="B583" s="9" t="s">
        <v>533</v>
      </c>
      <c r="C583" s="9" t="s">
        <v>533</v>
      </c>
      <c r="D583" s="8">
        <v>45891</v>
      </c>
      <c r="E583" s="7" t="s">
        <v>60</v>
      </c>
      <c r="F583" s="7">
        <v>1</v>
      </c>
      <c r="G583" s="7" t="s">
        <v>14</v>
      </c>
      <c r="H583" s="7" t="s">
        <v>314</v>
      </c>
      <c r="J583" s="7">
        <f t="shared" si="52"/>
        <v>1900</v>
      </c>
      <c r="K583" s="7">
        <f t="shared" si="54"/>
        <v>1</v>
      </c>
      <c r="L583" s="7">
        <f t="shared" si="55"/>
        <v>45891</v>
      </c>
      <c r="M583" s="7" t="s">
        <v>537</v>
      </c>
      <c r="N583" s="7" t="s">
        <v>922</v>
      </c>
      <c r="O583" s="17" t="s">
        <v>682</v>
      </c>
      <c r="P583" s="7">
        <f t="shared" si="53"/>
        <v>8</v>
      </c>
      <c r="Q583" s="7">
        <f t="shared" si="56"/>
        <v>2025</v>
      </c>
    </row>
    <row r="584" spans="1:17" x14ac:dyDescent="0.25">
      <c r="A584" s="7">
        <v>2539</v>
      </c>
      <c r="B584" s="9" t="s">
        <v>533</v>
      </c>
      <c r="C584" s="9" t="s">
        <v>533</v>
      </c>
      <c r="D584" s="8">
        <v>45891</v>
      </c>
      <c r="E584" s="7" t="s">
        <v>60</v>
      </c>
      <c r="F584" s="7">
        <v>1</v>
      </c>
      <c r="G584" s="7" t="s">
        <v>14</v>
      </c>
      <c r="H584" s="7" t="s">
        <v>314</v>
      </c>
      <c r="J584" s="7">
        <f t="shared" si="52"/>
        <v>1900</v>
      </c>
      <c r="K584" s="7">
        <f t="shared" si="54"/>
        <v>1</v>
      </c>
      <c r="L584" s="7">
        <f t="shared" si="55"/>
        <v>45891</v>
      </c>
      <c r="M584" s="7" t="s">
        <v>537</v>
      </c>
      <c r="N584" s="7" t="s">
        <v>922</v>
      </c>
      <c r="O584" s="17" t="s">
        <v>682</v>
      </c>
      <c r="P584" s="7">
        <f t="shared" si="53"/>
        <v>8</v>
      </c>
      <c r="Q584" s="7">
        <f t="shared" si="56"/>
        <v>2025</v>
      </c>
    </row>
    <row r="585" spans="1:17" x14ac:dyDescent="0.25">
      <c r="A585" s="7">
        <v>2539</v>
      </c>
      <c r="B585" s="9" t="s">
        <v>533</v>
      </c>
      <c r="C585" s="9" t="s">
        <v>533</v>
      </c>
      <c r="D585" s="8">
        <v>45891</v>
      </c>
      <c r="E585" s="7" t="s">
        <v>60</v>
      </c>
      <c r="F585" s="7">
        <v>1</v>
      </c>
      <c r="G585" s="7" t="s">
        <v>14</v>
      </c>
      <c r="H585" s="7" t="s">
        <v>314</v>
      </c>
      <c r="J585" s="7">
        <f t="shared" si="52"/>
        <v>1900</v>
      </c>
      <c r="K585" s="7">
        <f t="shared" si="54"/>
        <v>1</v>
      </c>
      <c r="L585" s="7">
        <f t="shared" si="55"/>
        <v>45891</v>
      </c>
      <c r="M585" s="7" t="s">
        <v>537</v>
      </c>
      <c r="N585" s="7" t="s">
        <v>922</v>
      </c>
      <c r="O585" s="17" t="s">
        <v>682</v>
      </c>
      <c r="P585" s="7">
        <f t="shared" si="53"/>
        <v>8</v>
      </c>
      <c r="Q585" s="7">
        <f t="shared" si="56"/>
        <v>2025</v>
      </c>
    </row>
    <row r="586" spans="1:17" x14ac:dyDescent="0.25">
      <c r="A586" s="7">
        <v>2539</v>
      </c>
      <c r="B586" s="9" t="s">
        <v>533</v>
      </c>
      <c r="C586" s="9" t="s">
        <v>533</v>
      </c>
      <c r="D586" s="8">
        <v>45891</v>
      </c>
      <c r="E586" s="7" t="s">
        <v>60</v>
      </c>
      <c r="F586" s="7">
        <v>1</v>
      </c>
      <c r="G586" s="7" t="s">
        <v>14</v>
      </c>
      <c r="H586" s="7" t="s">
        <v>314</v>
      </c>
      <c r="J586" s="7">
        <f t="shared" si="52"/>
        <v>1900</v>
      </c>
      <c r="K586" s="7">
        <f t="shared" si="54"/>
        <v>1</v>
      </c>
      <c r="L586" s="7">
        <f t="shared" si="55"/>
        <v>45891</v>
      </c>
      <c r="M586" s="7" t="s">
        <v>537</v>
      </c>
      <c r="N586" s="7" t="s">
        <v>922</v>
      </c>
      <c r="O586" s="17" t="s">
        <v>682</v>
      </c>
      <c r="P586" s="7">
        <f t="shared" si="53"/>
        <v>8</v>
      </c>
      <c r="Q586" s="7">
        <f t="shared" si="56"/>
        <v>2025</v>
      </c>
    </row>
    <row r="587" spans="1:17" x14ac:dyDescent="0.25">
      <c r="A587" s="7">
        <v>2539</v>
      </c>
      <c r="B587" s="9" t="s">
        <v>533</v>
      </c>
      <c r="C587" s="9" t="s">
        <v>533</v>
      </c>
      <c r="D587" s="8">
        <v>45891</v>
      </c>
      <c r="E587" s="7" t="s">
        <v>60</v>
      </c>
      <c r="F587" s="7">
        <v>1</v>
      </c>
      <c r="G587" s="7" t="s">
        <v>14</v>
      </c>
      <c r="H587" s="7" t="s">
        <v>314</v>
      </c>
      <c r="J587" s="7">
        <f t="shared" si="52"/>
        <v>1900</v>
      </c>
      <c r="K587" s="7">
        <f t="shared" si="54"/>
        <v>1</v>
      </c>
      <c r="L587" s="7">
        <f t="shared" si="55"/>
        <v>45891</v>
      </c>
      <c r="M587" s="7" t="s">
        <v>537</v>
      </c>
      <c r="N587" s="7" t="s">
        <v>922</v>
      </c>
      <c r="O587" s="17" t="s">
        <v>682</v>
      </c>
      <c r="P587" s="7">
        <f t="shared" si="53"/>
        <v>8</v>
      </c>
      <c r="Q587" s="7">
        <f t="shared" si="56"/>
        <v>2025</v>
      </c>
    </row>
    <row r="588" spans="1:17" x14ac:dyDescent="0.25">
      <c r="A588" s="7">
        <v>2539</v>
      </c>
      <c r="B588" s="9" t="s">
        <v>533</v>
      </c>
      <c r="C588" s="9" t="s">
        <v>533</v>
      </c>
      <c r="D588" s="8">
        <v>45891</v>
      </c>
      <c r="E588" s="7" t="s">
        <v>60</v>
      </c>
      <c r="F588" s="7">
        <v>1</v>
      </c>
      <c r="G588" s="7" t="s">
        <v>14</v>
      </c>
      <c r="H588" s="7" t="s">
        <v>314</v>
      </c>
      <c r="J588" s="7">
        <f t="shared" si="52"/>
        <v>1900</v>
      </c>
      <c r="K588" s="7">
        <f t="shared" si="54"/>
        <v>1</v>
      </c>
      <c r="L588" s="7">
        <f t="shared" si="55"/>
        <v>45891</v>
      </c>
      <c r="M588" s="7" t="s">
        <v>537</v>
      </c>
      <c r="N588" s="7" t="s">
        <v>922</v>
      </c>
      <c r="O588" s="17" t="s">
        <v>682</v>
      </c>
      <c r="P588" s="7">
        <f t="shared" si="53"/>
        <v>8</v>
      </c>
      <c r="Q588" s="7">
        <f t="shared" si="56"/>
        <v>2025</v>
      </c>
    </row>
    <row r="589" spans="1:17" x14ac:dyDescent="0.25">
      <c r="A589" s="7">
        <v>2539</v>
      </c>
      <c r="B589" s="9" t="s">
        <v>533</v>
      </c>
      <c r="C589" s="9" t="s">
        <v>533</v>
      </c>
      <c r="D589" s="8">
        <v>45891</v>
      </c>
      <c r="E589" s="7" t="s">
        <v>60</v>
      </c>
      <c r="F589" s="7">
        <v>1</v>
      </c>
      <c r="G589" s="7" t="s">
        <v>14</v>
      </c>
      <c r="H589" s="7" t="s">
        <v>314</v>
      </c>
      <c r="J589" s="7">
        <f t="shared" si="52"/>
        <v>1900</v>
      </c>
      <c r="K589" s="7">
        <f t="shared" si="54"/>
        <v>1</v>
      </c>
      <c r="L589" s="7">
        <f t="shared" si="55"/>
        <v>45891</v>
      </c>
      <c r="M589" s="7" t="s">
        <v>537</v>
      </c>
      <c r="N589" s="7" t="s">
        <v>922</v>
      </c>
      <c r="O589" s="17" t="s">
        <v>682</v>
      </c>
      <c r="P589" s="7">
        <f t="shared" si="53"/>
        <v>8</v>
      </c>
      <c r="Q589" s="7">
        <f t="shared" si="56"/>
        <v>2025</v>
      </c>
    </row>
    <row r="590" spans="1:17" x14ac:dyDescent="0.25">
      <c r="A590" s="7">
        <v>2539</v>
      </c>
      <c r="B590" s="9" t="s">
        <v>533</v>
      </c>
      <c r="C590" s="9" t="s">
        <v>533</v>
      </c>
      <c r="D590" s="8">
        <v>45891</v>
      </c>
      <c r="E590" s="7" t="s">
        <v>60</v>
      </c>
      <c r="F590" s="7">
        <v>1</v>
      </c>
      <c r="G590" s="7" t="s">
        <v>14</v>
      </c>
      <c r="H590" s="7" t="s">
        <v>314</v>
      </c>
      <c r="J590" s="7">
        <f t="shared" si="52"/>
        <v>1900</v>
      </c>
      <c r="K590" s="7">
        <f t="shared" si="54"/>
        <v>1</v>
      </c>
      <c r="L590" s="7">
        <f t="shared" si="55"/>
        <v>45891</v>
      </c>
      <c r="M590" s="7" t="s">
        <v>537</v>
      </c>
      <c r="N590" s="7" t="s">
        <v>922</v>
      </c>
      <c r="O590" s="17" t="s">
        <v>682</v>
      </c>
      <c r="P590" s="7">
        <f t="shared" si="53"/>
        <v>8</v>
      </c>
      <c r="Q590" s="7">
        <f t="shared" si="56"/>
        <v>2025</v>
      </c>
    </row>
    <row r="591" spans="1:17" x14ac:dyDescent="0.25">
      <c r="A591" s="7">
        <v>2539</v>
      </c>
      <c r="B591" s="9" t="s">
        <v>533</v>
      </c>
      <c r="C591" s="9" t="s">
        <v>533</v>
      </c>
      <c r="D591" s="8">
        <v>45891</v>
      </c>
      <c r="E591" s="7" t="s">
        <v>60</v>
      </c>
      <c r="F591" s="7">
        <v>1</v>
      </c>
      <c r="G591" s="7" t="s">
        <v>14</v>
      </c>
      <c r="H591" s="7" t="s">
        <v>314</v>
      </c>
      <c r="J591" s="7">
        <f t="shared" si="52"/>
        <v>1900</v>
      </c>
      <c r="K591" s="7">
        <f t="shared" si="54"/>
        <v>1</v>
      </c>
      <c r="L591" s="7">
        <f t="shared" si="55"/>
        <v>45891</v>
      </c>
      <c r="M591" s="7" t="s">
        <v>537</v>
      </c>
      <c r="N591" s="7" t="s">
        <v>922</v>
      </c>
      <c r="O591" s="17" t="s">
        <v>682</v>
      </c>
      <c r="P591" s="7">
        <f t="shared" si="53"/>
        <v>8</v>
      </c>
      <c r="Q591" s="7">
        <f t="shared" si="56"/>
        <v>2025</v>
      </c>
    </row>
    <row r="592" spans="1:17" x14ac:dyDescent="0.25">
      <c r="A592" s="7">
        <v>2539</v>
      </c>
      <c r="B592" s="9" t="s">
        <v>533</v>
      </c>
      <c r="C592" s="9" t="s">
        <v>533</v>
      </c>
      <c r="D592" s="8">
        <v>45891</v>
      </c>
      <c r="E592" s="7" t="s">
        <v>60</v>
      </c>
      <c r="F592" s="7">
        <v>1</v>
      </c>
      <c r="G592" s="7" t="s">
        <v>14</v>
      </c>
      <c r="H592" s="7" t="s">
        <v>314</v>
      </c>
      <c r="J592" s="7">
        <f t="shared" si="52"/>
        <v>1900</v>
      </c>
      <c r="K592" s="7">
        <f t="shared" si="54"/>
        <v>1</v>
      </c>
      <c r="L592" s="7">
        <f t="shared" si="55"/>
        <v>45891</v>
      </c>
      <c r="M592" s="7" t="s">
        <v>537</v>
      </c>
      <c r="N592" s="7" t="s">
        <v>922</v>
      </c>
      <c r="O592" s="17" t="s">
        <v>682</v>
      </c>
      <c r="P592" s="7">
        <f t="shared" si="53"/>
        <v>8</v>
      </c>
      <c r="Q592" s="7">
        <f t="shared" si="56"/>
        <v>2025</v>
      </c>
    </row>
    <row r="593" spans="1:17" x14ac:dyDescent="0.25">
      <c r="A593" s="7">
        <v>2539</v>
      </c>
      <c r="B593" s="9" t="s">
        <v>533</v>
      </c>
      <c r="C593" s="9" t="s">
        <v>533</v>
      </c>
      <c r="D593" s="8">
        <v>45891</v>
      </c>
      <c r="E593" s="7" t="s">
        <v>60</v>
      </c>
      <c r="F593" s="7">
        <v>1</v>
      </c>
      <c r="G593" s="7" t="s">
        <v>14</v>
      </c>
      <c r="H593" s="7" t="s">
        <v>314</v>
      </c>
      <c r="J593" s="7">
        <f t="shared" ref="J593:J656" si="57">YEAR(I593)</f>
        <v>1900</v>
      </c>
      <c r="K593" s="7">
        <f t="shared" si="54"/>
        <v>1</v>
      </c>
      <c r="L593" s="7">
        <f t="shared" si="55"/>
        <v>45891</v>
      </c>
      <c r="M593" s="7" t="s">
        <v>537</v>
      </c>
      <c r="N593" s="7" t="s">
        <v>922</v>
      </c>
      <c r="O593" s="17" t="s">
        <v>682</v>
      </c>
      <c r="P593" s="7">
        <f t="shared" si="53"/>
        <v>8</v>
      </c>
      <c r="Q593" s="7">
        <f t="shared" si="56"/>
        <v>2025</v>
      </c>
    </row>
    <row r="594" spans="1:17" x14ac:dyDescent="0.25">
      <c r="A594" s="7">
        <v>2539</v>
      </c>
      <c r="B594" s="9" t="s">
        <v>533</v>
      </c>
      <c r="C594" s="9" t="s">
        <v>533</v>
      </c>
      <c r="D594" s="8">
        <v>45891</v>
      </c>
      <c r="E594" s="7" t="s">
        <v>60</v>
      </c>
      <c r="F594" s="7">
        <v>1</v>
      </c>
      <c r="G594" s="7" t="s">
        <v>14</v>
      </c>
      <c r="H594" s="7" t="s">
        <v>314</v>
      </c>
      <c r="J594" s="7">
        <f t="shared" si="57"/>
        <v>1900</v>
      </c>
      <c r="K594" s="7">
        <f t="shared" si="54"/>
        <v>1</v>
      </c>
      <c r="L594" s="7">
        <f t="shared" si="55"/>
        <v>45891</v>
      </c>
      <c r="M594" s="7" t="s">
        <v>537</v>
      </c>
      <c r="N594" s="7" t="s">
        <v>922</v>
      </c>
      <c r="O594" s="17" t="s">
        <v>682</v>
      </c>
      <c r="P594" s="7">
        <f t="shared" si="53"/>
        <v>8</v>
      </c>
      <c r="Q594" s="7">
        <f t="shared" si="56"/>
        <v>2025</v>
      </c>
    </row>
    <row r="595" spans="1:17" x14ac:dyDescent="0.25">
      <c r="A595" s="7">
        <v>2539</v>
      </c>
      <c r="B595" s="9" t="s">
        <v>533</v>
      </c>
      <c r="C595" s="9" t="s">
        <v>533</v>
      </c>
      <c r="D595" s="8">
        <v>45891</v>
      </c>
      <c r="E595" s="7" t="s">
        <v>60</v>
      </c>
      <c r="F595" s="7">
        <v>1</v>
      </c>
      <c r="G595" s="7" t="s">
        <v>14</v>
      </c>
      <c r="H595" s="7" t="s">
        <v>314</v>
      </c>
      <c r="J595" s="7">
        <f t="shared" si="57"/>
        <v>1900</v>
      </c>
      <c r="K595" s="7">
        <f t="shared" si="54"/>
        <v>1</v>
      </c>
      <c r="L595" s="7">
        <f t="shared" si="55"/>
        <v>45891</v>
      </c>
      <c r="M595" s="7" t="s">
        <v>537</v>
      </c>
      <c r="N595" s="7" t="s">
        <v>922</v>
      </c>
      <c r="O595" s="17" t="s">
        <v>682</v>
      </c>
      <c r="P595" s="7">
        <f t="shared" si="53"/>
        <v>8</v>
      </c>
      <c r="Q595" s="7">
        <f t="shared" si="56"/>
        <v>2025</v>
      </c>
    </row>
    <row r="596" spans="1:17" x14ac:dyDescent="0.25">
      <c r="A596" s="7">
        <v>2539</v>
      </c>
      <c r="B596" s="9" t="s">
        <v>533</v>
      </c>
      <c r="C596" s="9" t="s">
        <v>533</v>
      </c>
      <c r="D596" s="8">
        <v>45891</v>
      </c>
      <c r="E596" s="7" t="s">
        <v>60</v>
      </c>
      <c r="F596" s="7">
        <v>1</v>
      </c>
      <c r="G596" s="7" t="s">
        <v>14</v>
      </c>
      <c r="H596" s="7" t="s">
        <v>314</v>
      </c>
      <c r="J596" s="7">
        <f t="shared" si="57"/>
        <v>1900</v>
      </c>
      <c r="K596" s="7">
        <f t="shared" si="54"/>
        <v>1</v>
      </c>
      <c r="L596" s="7">
        <f t="shared" si="55"/>
        <v>45891</v>
      </c>
      <c r="M596" s="7" t="s">
        <v>537</v>
      </c>
      <c r="N596" s="7" t="s">
        <v>922</v>
      </c>
      <c r="O596" s="17" t="s">
        <v>682</v>
      </c>
      <c r="P596" s="7">
        <f t="shared" si="53"/>
        <v>8</v>
      </c>
      <c r="Q596" s="7">
        <f t="shared" si="56"/>
        <v>2025</v>
      </c>
    </row>
    <row r="597" spans="1:17" x14ac:dyDescent="0.25">
      <c r="A597" s="7">
        <v>2539</v>
      </c>
      <c r="B597" s="9" t="s">
        <v>533</v>
      </c>
      <c r="C597" s="9" t="s">
        <v>533</v>
      </c>
      <c r="D597" s="8">
        <v>45891</v>
      </c>
      <c r="E597" s="7" t="s">
        <v>60</v>
      </c>
      <c r="F597" s="7">
        <v>1</v>
      </c>
      <c r="G597" s="7" t="s">
        <v>14</v>
      </c>
      <c r="H597" s="7" t="s">
        <v>314</v>
      </c>
      <c r="J597" s="7">
        <f t="shared" si="57"/>
        <v>1900</v>
      </c>
      <c r="K597" s="7">
        <f t="shared" si="54"/>
        <v>1</v>
      </c>
      <c r="L597" s="7">
        <f t="shared" si="55"/>
        <v>45891</v>
      </c>
      <c r="M597" s="7" t="s">
        <v>537</v>
      </c>
      <c r="N597" s="7" t="s">
        <v>922</v>
      </c>
      <c r="O597" s="17" t="s">
        <v>682</v>
      </c>
      <c r="P597" s="7">
        <f t="shared" si="53"/>
        <v>8</v>
      </c>
      <c r="Q597" s="7">
        <f t="shared" si="56"/>
        <v>2025</v>
      </c>
    </row>
    <row r="598" spans="1:17" x14ac:dyDescent="0.25">
      <c r="A598" s="7">
        <v>2539</v>
      </c>
      <c r="B598" s="9" t="s">
        <v>533</v>
      </c>
      <c r="C598" s="9" t="s">
        <v>533</v>
      </c>
      <c r="D598" s="8">
        <v>45891</v>
      </c>
      <c r="E598" s="7" t="s">
        <v>60</v>
      </c>
      <c r="F598" s="7">
        <v>1</v>
      </c>
      <c r="G598" s="7" t="s">
        <v>14</v>
      </c>
      <c r="H598" s="7" t="s">
        <v>314</v>
      </c>
      <c r="J598" s="7">
        <f t="shared" si="57"/>
        <v>1900</v>
      </c>
      <c r="K598" s="7">
        <f t="shared" si="54"/>
        <v>1</v>
      </c>
      <c r="L598" s="7">
        <f t="shared" si="55"/>
        <v>45891</v>
      </c>
      <c r="M598" s="7" t="s">
        <v>537</v>
      </c>
      <c r="N598" s="7" t="s">
        <v>922</v>
      </c>
      <c r="O598" s="17" t="s">
        <v>682</v>
      </c>
      <c r="P598" s="7">
        <f t="shared" si="53"/>
        <v>8</v>
      </c>
      <c r="Q598" s="7">
        <f t="shared" si="56"/>
        <v>2025</v>
      </c>
    </row>
    <row r="599" spans="1:17" x14ac:dyDescent="0.25">
      <c r="A599" s="7">
        <v>2539</v>
      </c>
      <c r="B599" s="9" t="s">
        <v>533</v>
      </c>
      <c r="C599" s="9" t="s">
        <v>533</v>
      </c>
      <c r="D599" s="8">
        <v>45891</v>
      </c>
      <c r="E599" s="7" t="s">
        <v>60</v>
      </c>
      <c r="F599" s="7">
        <v>1</v>
      </c>
      <c r="G599" s="7" t="s">
        <v>14</v>
      </c>
      <c r="H599" s="7" t="s">
        <v>314</v>
      </c>
      <c r="J599" s="7">
        <f t="shared" si="57"/>
        <v>1900</v>
      </c>
      <c r="K599" s="7">
        <f t="shared" si="54"/>
        <v>1</v>
      </c>
      <c r="L599" s="7">
        <f t="shared" si="55"/>
        <v>45891</v>
      </c>
      <c r="M599" s="7" t="s">
        <v>537</v>
      </c>
      <c r="N599" s="7" t="s">
        <v>922</v>
      </c>
      <c r="O599" s="17" t="s">
        <v>682</v>
      </c>
      <c r="P599" s="7">
        <f t="shared" si="53"/>
        <v>8</v>
      </c>
      <c r="Q599" s="7">
        <f t="shared" si="56"/>
        <v>2025</v>
      </c>
    </row>
    <row r="600" spans="1:17" x14ac:dyDescent="0.25">
      <c r="A600" s="7">
        <v>2539</v>
      </c>
      <c r="B600" s="9" t="s">
        <v>533</v>
      </c>
      <c r="C600" s="9" t="s">
        <v>533</v>
      </c>
      <c r="D600" s="8">
        <v>45891</v>
      </c>
      <c r="E600" s="7" t="s">
        <v>60</v>
      </c>
      <c r="F600" s="7">
        <v>1</v>
      </c>
      <c r="G600" s="7" t="s">
        <v>14</v>
      </c>
      <c r="H600" s="7" t="s">
        <v>314</v>
      </c>
      <c r="J600" s="7">
        <f t="shared" si="57"/>
        <v>1900</v>
      </c>
      <c r="K600" s="7">
        <f t="shared" si="54"/>
        <v>1</v>
      </c>
      <c r="L600" s="7">
        <f t="shared" si="55"/>
        <v>45891</v>
      </c>
      <c r="M600" s="7" t="s">
        <v>537</v>
      </c>
      <c r="N600" s="7" t="s">
        <v>922</v>
      </c>
      <c r="O600" s="17" t="s">
        <v>682</v>
      </c>
      <c r="P600" s="7">
        <f t="shared" si="53"/>
        <v>8</v>
      </c>
      <c r="Q600" s="7">
        <f t="shared" si="56"/>
        <v>2025</v>
      </c>
    </row>
    <row r="601" spans="1:17" x14ac:dyDescent="0.25">
      <c r="A601" s="7">
        <v>2539</v>
      </c>
      <c r="B601" s="9" t="s">
        <v>533</v>
      </c>
      <c r="C601" s="9" t="s">
        <v>533</v>
      </c>
      <c r="D601" s="8">
        <v>45891</v>
      </c>
      <c r="E601" s="7" t="s">
        <v>60</v>
      </c>
      <c r="F601" s="7">
        <v>1</v>
      </c>
      <c r="G601" s="7" t="s">
        <v>14</v>
      </c>
      <c r="H601" s="7" t="s">
        <v>314</v>
      </c>
      <c r="J601" s="7">
        <f t="shared" si="57"/>
        <v>1900</v>
      </c>
      <c r="K601" s="7">
        <f t="shared" si="54"/>
        <v>1</v>
      </c>
      <c r="L601" s="7">
        <f t="shared" si="55"/>
        <v>45891</v>
      </c>
      <c r="M601" s="7" t="s">
        <v>537</v>
      </c>
      <c r="N601" s="7" t="s">
        <v>922</v>
      </c>
      <c r="O601" s="17" t="s">
        <v>682</v>
      </c>
      <c r="P601" s="7">
        <f t="shared" si="53"/>
        <v>8</v>
      </c>
      <c r="Q601" s="7">
        <f t="shared" si="56"/>
        <v>2025</v>
      </c>
    </row>
    <row r="602" spans="1:17" x14ac:dyDescent="0.25">
      <c r="A602" s="7">
        <v>2539</v>
      </c>
      <c r="B602" s="9" t="s">
        <v>533</v>
      </c>
      <c r="C602" s="9" t="s">
        <v>533</v>
      </c>
      <c r="D602" s="8">
        <v>45891</v>
      </c>
      <c r="E602" s="7" t="s">
        <v>60</v>
      </c>
      <c r="F602" s="7">
        <v>1</v>
      </c>
      <c r="G602" s="7" t="s">
        <v>14</v>
      </c>
      <c r="H602" s="7" t="s">
        <v>314</v>
      </c>
      <c r="J602" s="7">
        <f t="shared" si="57"/>
        <v>1900</v>
      </c>
      <c r="K602" s="7">
        <f t="shared" si="54"/>
        <v>1</v>
      </c>
      <c r="L602" s="7">
        <f t="shared" si="55"/>
        <v>45891</v>
      </c>
      <c r="M602" s="7" t="s">
        <v>537</v>
      </c>
      <c r="N602" s="7" t="s">
        <v>922</v>
      </c>
      <c r="O602" s="17" t="s">
        <v>682</v>
      </c>
      <c r="P602" s="7">
        <f t="shared" ref="P602:P665" si="58">MONTH(D602)</f>
        <v>8</v>
      </c>
      <c r="Q602" s="7">
        <f t="shared" si="56"/>
        <v>2025</v>
      </c>
    </row>
    <row r="603" spans="1:17" x14ac:dyDescent="0.25">
      <c r="A603" s="7">
        <v>2539</v>
      </c>
      <c r="B603" s="9" t="s">
        <v>533</v>
      </c>
      <c r="C603" s="9" t="s">
        <v>533</v>
      </c>
      <c r="D603" s="8">
        <v>45891</v>
      </c>
      <c r="E603" s="7" t="s">
        <v>60</v>
      </c>
      <c r="F603" s="7">
        <v>1</v>
      </c>
      <c r="G603" s="7" t="s">
        <v>14</v>
      </c>
      <c r="H603" s="7" t="s">
        <v>314</v>
      </c>
      <c r="J603" s="7">
        <f t="shared" si="57"/>
        <v>1900</v>
      </c>
      <c r="K603" s="7">
        <f t="shared" si="54"/>
        <v>1</v>
      </c>
      <c r="L603" s="7">
        <f t="shared" si="55"/>
        <v>45891</v>
      </c>
      <c r="M603" s="7" t="s">
        <v>537</v>
      </c>
      <c r="N603" s="7" t="s">
        <v>922</v>
      </c>
      <c r="O603" s="17" t="s">
        <v>682</v>
      </c>
      <c r="P603" s="7">
        <f t="shared" si="58"/>
        <v>8</v>
      </c>
      <c r="Q603" s="7">
        <f t="shared" si="56"/>
        <v>2025</v>
      </c>
    </row>
    <row r="604" spans="1:17" x14ac:dyDescent="0.25">
      <c r="A604" s="7">
        <v>2539</v>
      </c>
      <c r="B604" s="9" t="s">
        <v>533</v>
      </c>
      <c r="C604" s="9" t="s">
        <v>533</v>
      </c>
      <c r="D604" s="8">
        <v>45891</v>
      </c>
      <c r="E604" s="7" t="s">
        <v>60</v>
      </c>
      <c r="F604" s="7">
        <v>1</v>
      </c>
      <c r="G604" s="7" t="s">
        <v>14</v>
      </c>
      <c r="H604" s="7" t="s">
        <v>314</v>
      </c>
      <c r="J604" s="7">
        <f t="shared" si="57"/>
        <v>1900</v>
      </c>
      <c r="K604" s="7">
        <f t="shared" si="54"/>
        <v>1</v>
      </c>
      <c r="L604" s="7">
        <f t="shared" si="55"/>
        <v>45891</v>
      </c>
      <c r="M604" s="7" t="s">
        <v>537</v>
      </c>
      <c r="N604" s="7" t="s">
        <v>922</v>
      </c>
      <c r="O604" s="17" t="s">
        <v>682</v>
      </c>
      <c r="P604" s="7">
        <f t="shared" si="58"/>
        <v>8</v>
      </c>
      <c r="Q604" s="7">
        <f t="shared" si="56"/>
        <v>2025</v>
      </c>
    </row>
    <row r="605" spans="1:17" x14ac:dyDescent="0.25">
      <c r="A605" s="7">
        <v>2539</v>
      </c>
      <c r="B605" s="9" t="s">
        <v>533</v>
      </c>
      <c r="C605" s="9" t="s">
        <v>533</v>
      </c>
      <c r="D605" s="8">
        <v>45891</v>
      </c>
      <c r="E605" s="7" t="s">
        <v>60</v>
      </c>
      <c r="F605" s="7">
        <v>1</v>
      </c>
      <c r="G605" s="7" t="s">
        <v>14</v>
      </c>
      <c r="H605" s="7" t="s">
        <v>314</v>
      </c>
      <c r="J605" s="7">
        <f t="shared" si="57"/>
        <v>1900</v>
      </c>
      <c r="K605" s="7">
        <f t="shared" si="54"/>
        <v>1</v>
      </c>
      <c r="L605" s="7">
        <f t="shared" si="55"/>
        <v>45891</v>
      </c>
      <c r="M605" s="7" t="s">
        <v>537</v>
      </c>
      <c r="N605" s="7" t="s">
        <v>922</v>
      </c>
      <c r="O605" s="17" t="s">
        <v>682</v>
      </c>
      <c r="P605" s="7">
        <f t="shared" si="58"/>
        <v>8</v>
      </c>
      <c r="Q605" s="7">
        <f t="shared" si="56"/>
        <v>2025</v>
      </c>
    </row>
    <row r="606" spans="1:17" x14ac:dyDescent="0.25">
      <c r="A606" s="7">
        <v>2539</v>
      </c>
      <c r="B606" s="9" t="s">
        <v>533</v>
      </c>
      <c r="C606" s="9" t="s">
        <v>533</v>
      </c>
      <c r="D606" s="8">
        <v>45891</v>
      </c>
      <c r="E606" s="7" t="s">
        <v>60</v>
      </c>
      <c r="F606" s="7">
        <v>1</v>
      </c>
      <c r="G606" s="7" t="s">
        <v>14</v>
      </c>
      <c r="H606" s="7" t="s">
        <v>314</v>
      </c>
      <c r="J606" s="7">
        <f t="shared" si="57"/>
        <v>1900</v>
      </c>
      <c r="K606" s="7">
        <f t="shared" si="54"/>
        <v>1</v>
      </c>
      <c r="L606" s="7">
        <f t="shared" si="55"/>
        <v>45891</v>
      </c>
      <c r="M606" s="7" t="s">
        <v>537</v>
      </c>
      <c r="N606" s="7" t="s">
        <v>922</v>
      </c>
      <c r="O606" s="17" t="s">
        <v>682</v>
      </c>
      <c r="P606" s="7">
        <f t="shared" si="58"/>
        <v>8</v>
      </c>
      <c r="Q606" s="7">
        <f t="shared" si="56"/>
        <v>2025</v>
      </c>
    </row>
    <row r="607" spans="1:17" x14ac:dyDescent="0.25">
      <c r="A607" s="7">
        <v>2539</v>
      </c>
      <c r="B607" s="9" t="s">
        <v>533</v>
      </c>
      <c r="C607" s="9" t="s">
        <v>533</v>
      </c>
      <c r="D607" s="8">
        <v>45891</v>
      </c>
      <c r="E607" s="7" t="s">
        <v>60</v>
      </c>
      <c r="F607" s="7">
        <v>1</v>
      </c>
      <c r="G607" s="7" t="s">
        <v>14</v>
      </c>
      <c r="H607" s="7" t="s">
        <v>314</v>
      </c>
      <c r="J607" s="7">
        <f t="shared" si="57"/>
        <v>1900</v>
      </c>
      <c r="K607" s="7">
        <f t="shared" si="54"/>
        <v>1</v>
      </c>
      <c r="L607" s="7">
        <f t="shared" si="55"/>
        <v>45891</v>
      </c>
      <c r="M607" s="7" t="s">
        <v>537</v>
      </c>
      <c r="N607" s="7" t="s">
        <v>922</v>
      </c>
      <c r="O607" s="17" t="s">
        <v>682</v>
      </c>
      <c r="P607" s="7">
        <f t="shared" si="58"/>
        <v>8</v>
      </c>
      <c r="Q607" s="7">
        <f t="shared" si="56"/>
        <v>2025</v>
      </c>
    </row>
    <row r="608" spans="1:17" x14ac:dyDescent="0.25">
      <c r="A608" s="7">
        <v>2539</v>
      </c>
      <c r="B608" s="9" t="s">
        <v>533</v>
      </c>
      <c r="C608" s="9" t="s">
        <v>533</v>
      </c>
      <c r="D608" s="8">
        <v>45891</v>
      </c>
      <c r="E608" s="7" t="s">
        <v>60</v>
      </c>
      <c r="F608" s="7">
        <v>1</v>
      </c>
      <c r="G608" s="7" t="s">
        <v>14</v>
      </c>
      <c r="H608" s="7" t="s">
        <v>314</v>
      </c>
      <c r="J608" s="7">
        <f t="shared" si="57"/>
        <v>1900</v>
      </c>
      <c r="K608" s="7">
        <f t="shared" si="54"/>
        <v>1</v>
      </c>
      <c r="L608" s="7">
        <f t="shared" si="55"/>
        <v>45891</v>
      </c>
      <c r="M608" s="7" t="s">
        <v>537</v>
      </c>
      <c r="N608" s="7" t="s">
        <v>922</v>
      </c>
      <c r="O608" s="17" t="s">
        <v>682</v>
      </c>
      <c r="P608" s="7">
        <f t="shared" si="58"/>
        <v>8</v>
      </c>
      <c r="Q608" s="7">
        <f t="shared" si="56"/>
        <v>2025</v>
      </c>
    </row>
    <row r="609" spans="1:17" x14ac:dyDescent="0.25">
      <c r="A609" s="7">
        <v>2539</v>
      </c>
      <c r="B609" s="9" t="s">
        <v>533</v>
      </c>
      <c r="C609" s="9" t="s">
        <v>533</v>
      </c>
      <c r="D609" s="8">
        <v>45891</v>
      </c>
      <c r="E609" s="7" t="s">
        <v>60</v>
      </c>
      <c r="F609" s="7">
        <v>1</v>
      </c>
      <c r="G609" s="7" t="s">
        <v>14</v>
      </c>
      <c r="H609" s="7" t="s">
        <v>314</v>
      </c>
      <c r="J609" s="7">
        <f t="shared" si="57"/>
        <v>1900</v>
      </c>
      <c r="K609" s="7">
        <f t="shared" si="54"/>
        <v>1</v>
      </c>
      <c r="L609" s="7">
        <f t="shared" si="55"/>
        <v>45891</v>
      </c>
      <c r="M609" s="7" t="s">
        <v>537</v>
      </c>
      <c r="N609" s="7" t="s">
        <v>922</v>
      </c>
      <c r="O609" s="17" t="s">
        <v>682</v>
      </c>
      <c r="P609" s="7">
        <f t="shared" si="58"/>
        <v>8</v>
      </c>
      <c r="Q609" s="7">
        <f t="shared" si="56"/>
        <v>2025</v>
      </c>
    </row>
    <row r="610" spans="1:17" x14ac:dyDescent="0.25">
      <c r="A610" s="7">
        <v>2539</v>
      </c>
      <c r="B610" s="9" t="s">
        <v>533</v>
      </c>
      <c r="C610" s="9" t="s">
        <v>533</v>
      </c>
      <c r="D610" s="8">
        <v>45891</v>
      </c>
      <c r="E610" s="7" t="s">
        <v>60</v>
      </c>
      <c r="F610" s="7">
        <v>1</v>
      </c>
      <c r="G610" s="7" t="s">
        <v>14</v>
      </c>
      <c r="H610" s="7" t="s">
        <v>314</v>
      </c>
      <c r="J610" s="7">
        <f t="shared" si="57"/>
        <v>1900</v>
      </c>
      <c r="K610" s="7">
        <f t="shared" si="54"/>
        <v>1</v>
      </c>
      <c r="L610" s="7">
        <f t="shared" si="55"/>
        <v>45891</v>
      </c>
      <c r="M610" s="7" t="s">
        <v>537</v>
      </c>
      <c r="N610" s="7" t="s">
        <v>922</v>
      </c>
      <c r="O610" s="17" t="s">
        <v>682</v>
      </c>
      <c r="P610" s="7">
        <f t="shared" si="58"/>
        <v>8</v>
      </c>
      <c r="Q610" s="7">
        <f t="shared" si="56"/>
        <v>2025</v>
      </c>
    </row>
    <row r="611" spans="1:17" x14ac:dyDescent="0.25">
      <c r="A611" s="7">
        <v>2539</v>
      </c>
      <c r="B611" s="9" t="s">
        <v>533</v>
      </c>
      <c r="C611" s="9" t="s">
        <v>533</v>
      </c>
      <c r="D611" s="8">
        <v>45891</v>
      </c>
      <c r="E611" s="7" t="s">
        <v>60</v>
      </c>
      <c r="F611" s="7">
        <v>1</v>
      </c>
      <c r="G611" s="7" t="s">
        <v>14</v>
      </c>
      <c r="H611" s="7" t="s">
        <v>314</v>
      </c>
      <c r="J611" s="7">
        <f t="shared" si="57"/>
        <v>1900</v>
      </c>
      <c r="K611" s="7">
        <f t="shared" si="54"/>
        <v>1</v>
      </c>
      <c r="L611" s="7">
        <f t="shared" si="55"/>
        <v>45891</v>
      </c>
      <c r="M611" s="7" t="s">
        <v>537</v>
      </c>
      <c r="N611" s="7" t="s">
        <v>922</v>
      </c>
      <c r="O611" s="17" t="s">
        <v>682</v>
      </c>
      <c r="P611" s="7">
        <f t="shared" si="58"/>
        <v>8</v>
      </c>
      <c r="Q611" s="7">
        <f t="shared" si="56"/>
        <v>2025</v>
      </c>
    </row>
    <row r="612" spans="1:17" x14ac:dyDescent="0.25">
      <c r="A612" s="7">
        <v>2539</v>
      </c>
      <c r="B612" s="9" t="s">
        <v>533</v>
      </c>
      <c r="C612" s="9" t="s">
        <v>533</v>
      </c>
      <c r="D612" s="8">
        <v>45891</v>
      </c>
      <c r="E612" s="7" t="s">
        <v>60</v>
      </c>
      <c r="F612" s="7">
        <v>1</v>
      </c>
      <c r="G612" s="7" t="s">
        <v>14</v>
      </c>
      <c r="H612" s="7" t="s">
        <v>314</v>
      </c>
      <c r="J612" s="7">
        <f t="shared" si="57"/>
        <v>1900</v>
      </c>
      <c r="K612" s="7">
        <f t="shared" si="54"/>
        <v>1</v>
      </c>
      <c r="L612" s="7">
        <f t="shared" si="55"/>
        <v>45891</v>
      </c>
      <c r="M612" s="7" t="s">
        <v>537</v>
      </c>
      <c r="N612" s="7" t="s">
        <v>922</v>
      </c>
      <c r="O612" s="17" t="s">
        <v>682</v>
      </c>
      <c r="P612" s="7">
        <f t="shared" si="58"/>
        <v>8</v>
      </c>
      <c r="Q612" s="7">
        <f t="shared" si="56"/>
        <v>2025</v>
      </c>
    </row>
    <row r="613" spans="1:17" x14ac:dyDescent="0.25">
      <c r="A613" s="7">
        <v>2539</v>
      </c>
      <c r="B613" s="9" t="s">
        <v>533</v>
      </c>
      <c r="C613" s="9" t="s">
        <v>533</v>
      </c>
      <c r="D613" s="8">
        <v>45891</v>
      </c>
      <c r="E613" s="7" t="s">
        <v>60</v>
      </c>
      <c r="F613" s="7">
        <v>1</v>
      </c>
      <c r="G613" s="7" t="s">
        <v>14</v>
      </c>
      <c r="H613" s="7" t="s">
        <v>314</v>
      </c>
      <c r="J613" s="7">
        <f t="shared" si="57"/>
        <v>1900</v>
      </c>
      <c r="K613" s="7">
        <f t="shared" si="54"/>
        <v>1</v>
      </c>
      <c r="L613" s="7">
        <f t="shared" si="55"/>
        <v>45891</v>
      </c>
      <c r="M613" s="7" t="s">
        <v>537</v>
      </c>
      <c r="N613" s="7" t="s">
        <v>922</v>
      </c>
      <c r="O613" s="17" t="s">
        <v>682</v>
      </c>
      <c r="P613" s="7">
        <f t="shared" si="58"/>
        <v>8</v>
      </c>
      <c r="Q613" s="7">
        <f t="shared" si="56"/>
        <v>2025</v>
      </c>
    </row>
    <row r="614" spans="1:17" x14ac:dyDescent="0.25">
      <c r="A614" s="7">
        <v>2539</v>
      </c>
      <c r="B614" s="9" t="s">
        <v>533</v>
      </c>
      <c r="C614" s="9" t="s">
        <v>533</v>
      </c>
      <c r="D614" s="8">
        <v>45891</v>
      </c>
      <c r="E614" s="7" t="s">
        <v>60</v>
      </c>
      <c r="F614" s="7">
        <v>1</v>
      </c>
      <c r="G614" s="7" t="s">
        <v>14</v>
      </c>
      <c r="H614" s="7" t="s">
        <v>314</v>
      </c>
      <c r="J614" s="7">
        <f t="shared" si="57"/>
        <v>1900</v>
      </c>
      <c r="K614" s="7">
        <f t="shared" si="54"/>
        <v>1</v>
      </c>
      <c r="L614" s="7">
        <f t="shared" si="55"/>
        <v>45891</v>
      </c>
      <c r="M614" s="7" t="s">
        <v>537</v>
      </c>
      <c r="N614" s="7" t="s">
        <v>922</v>
      </c>
      <c r="O614" s="17" t="s">
        <v>682</v>
      </c>
      <c r="P614" s="7">
        <f t="shared" si="58"/>
        <v>8</v>
      </c>
      <c r="Q614" s="7">
        <f t="shared" si="56"/>
        <v>2025</v>
      </c>
    </row>
    <row r="615" spans="1:17" x14ac:dyDescent="0.25">
      <c r="A615" s="7">
        <v>2539</v>
      </c>
      <c r="B615" s="9" t="s">
        <v>533</v>
      </c>
      <c r="C615" s="9" t="s">
        <v>533</v>
      </c>
      <c r="D615" s="8">
        <v>45891</v>
      </c>
      <c r="E615" s="7" t="s">
        <v>60</v>
      </c>
      <c r="F615" s="7">
        <v>1</v>
      </c>
      <c r="G615" s="7" t="s">
        <v>14</v>
      </c>
      <c r="H615" s="7" t="s">
        <v>314</v>
      </c>
      <c r="J615" s="7">
        <f t="shared" si="57"/>
        <v>1900</v>
      </c>
      <c r="K615" s="7">
        <f t="shared" si="54"/>
        <v>1</v>
      </c>
      <c r="L615" s="7">
        <f t="shared" si="55"/>
        <v>45891</v>
      </c>
      <c r="M615" s="7" t="s">
        <v>537</v>
      </c>
      <c r="N615" s="7" t="s">
        <v>922</v>
      </c>
      <c r="O615" s="17" t="s">
        <v>682</v>
      </c>
      <c r="P615" s="7">
        <f t="shared" si="58"/>
        <v>8</v>
      </c>
      <c r="Q615" s="7">
        <f t="shared" si="56"/>
        <v>2025</v>
      </c>
    </row>
    <row r="616" spans="1:17" x14ac:dyDescent="0.25">
      <c r="A616" s="7">
        <v>2539</v>
      </c>
      <c r="B616" s="9" t="s">
        <v>533</v>
      </c>
      <c r="C616" s="9" t="s">
        <v>533</v>
      </c>
      <c r="D616" s="8">
        <v>45891</v>
      </c>
      <c r="E616" s="7" t="s">
        <v>60</v>
      </c>
      <c r="F616" s="7">
        <v>1</v>
      </c>
      <c r="G616" s="7" t="s">
        <v>14</v>
      </c>
      <c r="H616" s="7" t="s">
        <v>314</v>
      </c>
      <c r="J616" s="7">
        <f t="shared" si="57"/>
        <v>1900</v>
      </c>
      <c r="K616" s="7">
        <f t="shared" si="54"/>
        <v>1</v>
      </c>
      <c r="L616" s="7">
        <f t="shared" si="55"/>
        <v>45891</v>
      </c>
      <c r="M616" s="7" t="s">
        <v>537</v>
      </c>
      <c r="N616" s="7" t="s">
        <v>922</v>
      </c>
      <c r="O616" s="17" t="s">
        <v>682</v>
      </c>
      <c r="P616" s="7">
        <f t="shared" si="58"/>
        <v>8</v>
      </c>
      <c r="Q616" s="7">
        <f t="shared" si="56"/>
        <v>2025</v>
      </c>
    </row>
    <row r="617" spans="1:17" x14ac:dyDescent="0.25">
      <c r="A617" s="7">
        <v>2539</v>
      </c>
      <c r="B617" s="9" t="s">
        <v>533</v>
      </c>
      <c r="C617" s="9" t="s">
        <v>533</v>
      </c>
      <c r="D617" s="8">
        <v>45891</v>
      </c>
      <c r="E617" s="7" t="s">
        <v>60</v>
      </c>
      <c r="F617" s="7">
        <v>1</v>
      </c>
      <c r="G617" s="7" t="s">
        <v>14</v>
      </c>
      <c r="H617" s="7" t="s">
        <v>314</v>
      </c>
      <c r="J617" s="7">
        <f t="shared" si="57"/>
        <v>1900</v>
      </c>
      <c r="K617" s="7">
        <f t="shared" si="54"/>
        <v>1</v>
      </c>
      <c r="L617" s="7">
        <f t="shared" si="55"/>
        <v>45891</v>
      </c>
      <c r="M617" s="7" t="s">
        <v>537</v>
      </c>
      <c r="N617" s="7" t="s">
        <v>922</v>
      </c>
      <c r="O617" s="17" t="s">
        <v>682</v>
      </c>
      <c r="P617" s="7">
        <f t="shared" si="58"/>
        <v>8</v>
      </c>
      <c r="Q617" s="7">
        <f t="shared" si="56"/>
        <v>2025</v>
      </c>
    </row>
    <row r="618" spans="1:17" x14ac:dyDescent="0.25">
      <c r="A618" s="7">
        <v>2539</v>
      </c>
      <c r="B618" s="9" t="s">
        <v>533</v>
      </c>
      <c r="C618" s="9" t="s">
        <v>533</v>
      </c>
      <c r="D618" s="8">
        <v>45891</v>
      </c>
      <c r="E618" s="7" t="s">
        <v>60</v>
      </c>
      <c r="F618" s="7">
        <v>1</v>
      </c>
      <c r="G618" s="7" t="s">
        <v>14</v>
      </c>
      <c r="H618" s="7" t="s">
        <v>314</v>
      </c>
      <c r="J618" s="7">
        <f t="shared" si="57"/>
        <v>1900</v>
      </c>
      <c r="K618" s="7">
        <f t="shared" si="54"/>
        <v>1</v>
      </c>
      <c r="L618" s="7">
        <f t="shared" si="55"/>
        <v>45891</v>
      </c>
      <c r="M618" s="7" t="s">
        <v>537</v>
      </c>
      <c r="N618" s="7" t="s">
        <v>922</v>
      </c>
      <c r="O618" s="17" t="s">
        <v>682</v>
      </c>
      <c r="P618" s="7">
        <f t="shared" si="58"/>
        <v>8</v>
      </c>
      <c r="Q618" s="7">
        <f t="shared" si="56"/>
        <v>2025</v>
      </c>
    </row>
    <row r="619" spans="1:17" x14ac:dyDescent="0.25">
      <c r="A619" s="7">
        <v>2539</v>
      </c>
      <c r="B619" s="9" t="s">
        <v>533</v>
      </c>
      <c r="C619" s="9" t="s">
        <v>533</v>
      </c>
      <c r="D619" s="8">
        <v>45891</v>
      </c>
      <c r="E619" s="7" t="s">
        <v>60</v>
      </c>
      <c r="F619" s="7">
        <v>1</v>
      </c>
      <c r="G619" s="7" t="s">
        <v>14</v>
      </c>
      <c r="H619" s="7" t="s">
        <v>314</v>
      </c>
      <c r="J619" s="7">
        <f t="shared" si="57"/>
        <v>1900</v>
      </c>
      <c r="K619" s="7">
        <f t="shared" si="54"/>
        <v>1</v>
      </c>
      <c r="L619" s="7">
        <f t="shared" si="55"/>
        <v>45891</v>
      </c>
      <c r="M619" s="7" t="s">
        <v>537</v>
      </c>
      <c r="N619" s="7" t="s">
        <v>922</v>
      </c>
      <c r="O619" s="17" t="s">
        <v>682</v>
      </c>
      <c r="P619" s="7">
        <f t="shared" si="58"/>
        <v>8</v>
      </c>
      <c r="Q619" s="7">
        <f t="shared" si="56"/>
        <v>2025</v>
      </c>
    </row>
    <row r="620" spans="1:17" x14ac:dyDescent="0.25">
      <c r="A620" s="7">
        <v>2539</v>
      </c>
      <c r="B620" s="9" t="s">
        <v>533</v>
      </c>
      <c r="C620" s="9" t="s">
        <v>533</v>
      </c>
      <c r="D620" s="8">
        <v>45891</v>
      </c>
      <c r="E620" s="7" t="s">
        <v>60</v>
      </c>
      <c r="F620" s="7">
        <v>1</v>
      </c>
      <c r="G620" s="7" t="s">
        <v>14</v>
      </c>
      <c r="H620" s="7" t="s">
        <v>314</v>
      </c>
      <c r="J620" s="7">
        <f t="shared" si="57"/>
        <v>1900</v>
      </c>
      <c r="K620" s="7">
        <f t="shared" si="54"/>
        <v>1</v>
      </c>
      <c r="L620" s="7">
        <f t="shared" si="55"/>
        <v>45891</v>
      </c>
      <c r="M620" s="7" t="s">
        <v>537</v>
      </c>
      <c r="N620" s="7" t="s">
        <v>922</v>
      </c>
      <c r="O620" s="17" t="s">
        <v>682</v>
      </c>
      <c r="P620" s="7">
        <f t="shared" si="58"/>
        <v>8</v>
      </c>
      <c r="Q620" s="7">
        <f t="shared" si="56"/>
        <v>2025</v>
      </c>
    </row>
    <row r="621" spans="1:17" x14ac:dyDescent="0.25">
      <c r="A621" s="7">
        <v>2539</v>
      </c>
      <c r="B621" s="9" t="s">
        <v>533</v>
      </c>
      <c r="C621" s="9" t="s">
        <v>533</v>
      </c>
      <c r="D621" s="8">
        <v>45891</v>
      </c>
      <c r="E621" s="7" t="s">
        <v>60</v>
      </c>
      <c r="F621" s="7">
        <v>1</v>
      </c>
      <c r="G621" s="7" t="s">
        <v>14</v>
      </c>
      <c r="H621" s="7" t="s">
        <v>314</v>
      </c>
      <c r="J621" s="7">
        <f t="shared" si="57"/>
        <v>1900</v>
      </c>
      <c r="K621" s="7">
        <f t="shared" ref="K621:K684" si="59">MONTH(I621)</f>
        <v>1</v>
      </c>
      <c r="L621" s="7">
        <f t="shared" si="55"/>
        <v>45891</v>
      </c>
      <c r="M621" s="7" t="s">
        <v>537</v>
      </c>
      <c r="N621" s="7" t="s">
        <v>922</v>
      </c>
      <c r="O621" s="17" t="s">
        <v>682</v>
      </c>
      <c r="P621" s="7">
        <f t="shared" si="58"/>
        <v>8</v>
      </c>
      <c r="Q621" s="7">
        <f t="shared" si="56"/>
        <v>2025</v>
      </c>
    </row>
    <row r="622" spans="1:17" x14ac:dyDescent="0.25">
      <c r="A622" s="7">
        <v>2539</v>
      </c>
      <c r="B622" s="9" t="s">
        <v>533</v>
      </c>
      <c r="C622" s="9" t="s">
        <v>533</v>
      </c>
      <c r="D622" s="8">
        <v>45891</v>
      </c>
      <c r="E622" s="7" t="s">
        <v>60</v>
      </c>
      <c r="F622" s="7">
        <v>1</v>
      </c>
      <c r="G622" s="7" t="s">
        <v>14</v>
      </c>
      <c r="H622" s="7" t="s">
        <v>314</v>
      </c>
      <c r="J622" s="7">
        <f t="shared" si="57"/>
        <v>1900</v>
      </c>
      <c r="K622" s="7">
        <f t="shared" si="59"/>
        <v>1</v>
      </c>
      <c r="L622" s="7">
        <f t="shared" si="55"/>
        <v>45891</v>
      </c>
      <c r="M622" s="7" t="s">
        <v>537</v>
      </c>
      <c r="N622" s="7" t="s">
        <v>922</v>
      </c>
      <c r="O622" s="17" t="s">
        <v>682</v>
      </c>
      <c r="P622" s="7">
        <f t="shared" si="58"/>
        <v>8</v>
      </c>
      <c r="Q622" s="7">
        <f t="shared" si="56"/>
        <v>2025</v>
      </c>
    </row>
    <row r="623" spans="1:17" x14ac:dyDescent="0.25">
      <c r="A623" s="7">
        <v>2539</v>
      </c>
      <c r="B623" s="9" t="s">
        <v>533</v>
      </c>
      <c r="C623" s="9" t="s">
        <v>533</v>
      </c>
      <c r="D623" s="8">
        <v>45891</v>
      </c>
      <c r="E623" s="7" t="s">
        <v>60</v>
      </c>
      <c r="F623" s="7">
        <v>1</v>
      </c>
      <c r="G623" s="7" t="s">
        <v>14</v>
      </c>
      <c r="H623" s="7" t="s">
        <v>314</v>
      </c>
      <c r="J623" s="7">
        <f t="shared" si="57"/>
        <v>1900</v>
      </c>
      <c r="K623" s="7">
        <f t="shared" si="59"/>
        <v>1</v>
      </c>
      <c r="L623" s="7">
        <f t="shared" ref="L623:L686" si="60">D623-I623</f>
        <v>45891</v>
      </c>
      <c r="M623" s="7" t="s">
        <v>537</v>
      </c>
      <c r="N623" s="7" t="s">
        <v>922</v>
      </c>
      <c r="O623" s="17" t="s">
        <v>682</v>
      </c>
      <c r="P623" s="7">
        <f t="shared" si="58"/>
        <v>8</v>
      </c>
      <c r="Q623" s="7">
        <f t="shared" si="56"/>
        <v>2025</v>
      </c>
    </row>
    <row r="624" spans="1:17" x14ac:dyDescent="0.25">
      <c r="A624" s="7">
        <v>2539</v>
      </c>
      <c r="B624" s="9" t="s">
        <v>533</v>
      </c>
      <c r="C624" s="9" t="s">
        <v>533</v>
      </c>
      <c r="D624" s="8">
        <v>45891</v>
      </c>
      <c r="E624" s="7" t="s">
        <v>60</v>
      </c>
      <c r="F624" s="7">
        <v>1</v>
      </c>
      <c r="G624" s="7" t="s">
        <v>14</v>
      </c>
      <c r="H624" s="7" t="s">
        <v>314</v>
      </c>
      <c r="J624" s="7">
        <f t="shared" si="57"/>
        <v>1900</v>
      </c>
      <c r="K624" s="7">
        <f t="shared" si="59"/>
        <v>1</v>
      </c>
      <c r="L624" s="7">
        <f t="shared" si="60"/>
        <v>45891</v>
      </c>
      <c r="M624" s="7" t="s">
        <v>537</v>
      </c>
      <c r="N624" s="7" t="s">
        <v>922</v>
      </c>
      <c r="O624" s="17" t="s">
        <v>682</v>
      </c>
      <c r="P624" s="7">
        <f t="shared" si="58"/>
        <v>8</v>
      </c>
      <c r="Q624" s="7">
        <f t="shared" si="56"/>
        <v>2025</v>
      </c>
    </row>
    <row r="625" spans="1:17" x14ac:dyDescent="0.25">
      <c r="A625" s="7">
        <v>2539</v>
      </c>
      <c r="B625" s="9" t="s">
        <v>533</v>
      </c>
      <c r="C625" s="9" t="s">
        <v>533</v>
      </c>
      <c r="D625" s="8">
        <v>45891</v>
      </c>
      <c r="E625" s="7" t="s">
        <v>60</v>
      </c>
      <c r="F625" s="7">
        <v>1</v>
      </c>
      <c r="G625" s="7" t="s">
        <v>14</v>
      </c>
      <c r="H625" s="7" t="s">
        <v>314</v>
      </c>
      <c r="J625" s="7">
        <f t="shared" si="57"/>
        <v>1900</v>
      </c>
      <c r="K625" s="7">
        <f t="shared" si="59"/>
        <v>1</v>
      </c>
      <c r="L625" s="7">
        <f t="shared" si="60"/>
        <v>45891</v>
      </c>
      <c r="M625" s="7" t="s">
        <v>537</v>
      </c>
      <c r="N625" s="7" t="s">
        <v>922</v>
      </c>
      <c r="O625" s="17" t="s">
        <v>682</v>
      </c>
      <c r="P625" s="7">
        <f t="shared" si="58"/>
        <v>8</v>
      </c>
      <c r="Q625" s="7">
        <f t="shared" si="56"/>
        <v>2025</v>
      </c>
    </row>
    <row r="626" spans="1:17" x14ac:dyDescent="0.25">
      <c r="A626" s="7">
        <v>2539</v>
      </c>
      <c r="B626" s="9" t="s">
        <v>533</v>
      </c>
      <c r="C626" s="9" t="s">
        <v>533</v>
      </c>
      <c r="D626" s="8">
        <v>45891</v>
      </c>
      <c r="E626" s="7" t="s">
        <v>60</v>
      </c>
      <c r="F626" s="7">
        <v>1</v>
      </c>
      <c r="G626" s="7" t="s">
        <v>14</v>
      </c>
      <c r="H626" s="7" t="s">
        <v>314</v>
      </c>
      <c r="J626" s="7">
        <f t="shared" si="57"/>
        <v>1900</v>
      </c>
      <c r="K626" s="7">
        <f t="shared" si="59"/>
        <v>1</v>
      </c>
      <c r="L626" s="7">
        <f t="shared" si="60"/>
        <v>45891</v>
      </c>
      <c r="M626" s="7" t="s">
        <v>537</v>
      </c>
      <c r="N626" s="7" t="s">
        <v>922</v>
      </c>
      <c r="O626" s="17" t="s">
        <v>682</v>
      </c>
      <c r="P626" s="7">
        <f t="shared" si="58"/>
        <v>8</v>
      </c>
      <c r="Q626" s="7">
        <f t="shared" si="56"/>
        <v>2025</v>
      </c>
    </row>
    <row r="627" spans="1:17" x14ac:dyDescent="0.25">
      <c r="A627" s="7">
        <v>2539</v>
      </c>
      <c r="B627" s="9" t="s">
        <v>533</v>
      </c>
      <c r="C627" s="9" t="s">
        <v>533</v>
      </c>
      <c r="D627" s="8">
        <v>45891</v>
      </c>
      <c r="E627" s="7" t="s">
        <v>60</v>
      </c>
      <c r="F627" s="7">
        <v>1</v>
      </c>
      <c r="G627" s="7" t="s">
        <v>14</v>
      </c>
      <c r="H627" s="7" t="s">
        <v>314</v>
      </c>
      <c r="J627" s="7">
        <f t="shared" si="57"/>
        <v>1900</v>
      </c>
      <c r="K627" s="7">
        <f t="shared" si="59"/>
        <v>1</v>
      </c>
      <c r="L627" s="7">
        <f t="shared" si="60"/>
        <v>45891</v>
      </c>
      <c r="M627" s="7" t="s">
        <v>537</v>
      </c>
      <c r="N627" s="7" t="s">
        <v>922</v>
      </c>
      <c r="O627" s="17" t="s">
        <v>682</v>
      </c>
      <c r="P627" s="7">
        <f t="shared" si="58"/>
        <v>8</v>
      </c>
      <c r="Q627" s="7">
        <f t="shared" si="56"/>
        <v>2025</v>
      </c>
    </row>
    <row r="628" spans="1:17" x14ac:dyDescent="0.25">
      <c r="A628" s="7">
        <v>2539</v>
      </c>
      <c r="B628" s="9" t="s">
        <v>533</v>
      </c>
      <c r="C628" s="9" t="s">
        <v>533</v>
      </c>
      <c r="D628" s="8">
        <v>45891</v>
      </c>
      <c r="E628" s="7" t="s">
        <v>60</v>
      </c>
      <c r="F628" s="7">
        <v>1</v>
      </c>
      <c r="G628" s="7" t="s">
        <v>14</v>
      </c>
      <c r="H628" s="7" t="s">
        <v>314</v>
      </c>
      <c r="J628" s="7">
        <f t="shared" si="57"/>
        <v>1900</v>
      </c>
      <c r="K628" s="7">
        <f t="shared" si="59"/>
        <v>1</v>
      </c>
      <c r="L628" s="7">
        <f t="shared" si="60"/>
        <v>45891</v>
      </c>
      <c r="M628" s="7" t="s">
        <v>537</v>
      </c>
      <c r="N628" s="7" t="s">
        <v>922</v>
      </c>
      <c r="O628" s="17" t="s">
        <v>682</v>
      </c>
      <c r="P628" s="7">
        <f t="shared" si="58"/>
        <v>8</v>
      </c>
      <c r="Q628" s="7">
        <f t="shared" si="56"/>
        <v>2025</v>
      </c>
    </row>
    <row r="629" spans="1:17" x14ac:dyDescent="0.25">
      <c r="A629" s="7">
        <v>2539</v>
      </c>
      <c r="B629" s="9" t="s">
        <v>533</v>
      </c>
      <c r="C629" s="9" t="s">
        <v>533</v>
      </c>
      <c r="D629" s="8">
        <v>45891</v>
      </c>
      <c r="E629" s="7" t="s">
        <v>60</v>
      </c>
      <c r="F629" s="7">
        <v>1</v>
      </c>
      <c r="G629" s="7" t="s">
        <v>14</v>
      </c>
      <c r="H629" s="7" t="s">
        <v>314</v>
      </c>
      <c r="J629" s="7">
        <f t="shared" si="57"/>
        <v>1900</v>
      </c>
      <c r="K629" s="7">
        <f t="shared" si="59"/>
        <v>1</v>
      </c>
      <c r="L629" s="7">
        <f t="shared" si="60"/>
        <v>45891</v>
      </c>
      <c r="M629" s="7" t="s">
        <v>537</v>
      </c>
      <c r="N629" s="7" t="s">
        <v>922</v>
      </c>
      <c r="O629" s="17" t="s">
        <v>682</v>
      </c>
      <c r="P629" s="7">
        <f t="shared" si="58"/>
        <v>8</v>
      </c>
      <c r="Q629" s="7">
        <f t="shared" ref="Q629:Q692" si="61">YEAR(D629)</f>
        <v>2025</v>
      </c>
    </row>
    <row r="630" spans="1:17" x14ac:dyDescent="0.25">
      <c r="A630" s="7">
        <v>2539</v>
      </c>
      <c r="B630" s="9" t="s">
        <v>533</v>
      </c>
      <c r="C630" s="9" t="s">
        <v>533</v>
      </c>
      <c r="D630" s="8">
        <v>45891</v>
      </c>
      <c r="E630" s="7" t="s">
        <v>60</v>
      </c>
      <c r="F630" s="7">
        <v>1</v>
      </c>
      <c r="G630" s="7" t="s">
        <v>14</v>
      </c>
      <c r="H630" s="7" t="s">
        <v>314</v>
      </c>
      <c r="J630" s="7">
        <f t="shared" si="57"/>
        <v>1900</v>
      </c>
      <c r="K630" s="7">
        <f t="shared" si="59"/>
        <v>1</v>
      </c>
      <c r="L630" s="7">
        <f t="shared" si="60"/>
        <v>45891</v>
      </c>
      <c r="M630" s="7" t="s">
        <v>537</v>
      </c>
      <c r="N630" s="7" t="s">
        <v>922</v>
      </c>
      <c r="O630" s="17" t="s">
        <v>682</v>
      </c>
      <c r="P630" s="7">
        <f t="shared" si="58"/>
        <v>8</v>
      </c>
      <c r="Q630" s="7">
        <f t="shared" si="61"/>
        <v>2025</v>
      </c>
    </row>
    <row r="631" spans="1:17" x14ac:dyDescent="0.25">
      <c r="A631" s="7">
        <v>2539</v>
      </c>
      <c r="B631" s="9" t="s">
        <v>533</v>
      </c>
      <c r="C631" s="9" t="s">
        <v>533</v>
      </c>
      <c r="D631" s="8">
        <v>45891</v>
      </c>
      <c r="E631" s="7" t="s">
        <v>60</v>
      </c>
      <c r="F631" s="7">
        <v>1</v>
      </c>
      <c r="G631" s="7" t="s">
        <v>14</v>
      </c>
      <c r="H631" s="7" t="s">
        <v>314</v>
      </c>
      <c r="J631" s="7">
        <f t="shared" si="57"/>
        <v>1900</v>
      </c>
      <c r="K631" s="7">
        <f t="shared" si="59"/>
        <v>1</v>
      </c>
      <c r="L631" s="7">
        <f t="shared" si="60"/>
        <v>45891</v>
      </c>
      <c r="M631" s="7" t="s">
        <v>537</v>
      </c>
      <c r="N631" s="7" t="s">
        <v>922</v>
      </c>
      <c r="O631" s="17" t="s">
        <v>682</v>
      </c>
      <c r="P631" s="7">
        <f t="shared" si="58"/>
        <v>8</v>
      </c>
      <c r="Q631" s="7">
        <f t="shared" si="61"/>
        <v>2025</v>
      </c>
    </row>
    <row r="632" spans="1:17" x14ac:dyDescent="0.25">
      <c r="A632" s="7">
        <v>2539</v>
      </c>
      <c r="B632" s="9" t="s">
        <v>533</v>
      </c>
      <c r="C632" s="9" t="s">
        <v>533</v>
      </c>
      <c r="D632" s="8">
        <v>45891</v>
      </c>
      <c r="E632" s="7" t="s">
        <v>60</v>
      </c>
      <c r="F632" s="7">
        <v>1</v>
      </c>
      <c r="G632" s="7" t="s">
        <v>14</v>
      </c>
      <c r="H632" s="7" t="s">
        <v>314</v>
      </c>
      <c r="J632" s="7">
        <f t="shared" si="57"/>
        <v>1900</v>
      </c>
      <c r="K632" s="7">
        <f t="shared" si="59"/>
        <v>1</v>
      </c>
      <c r="L632" s="7">
        <f t="shared" si="60"/>
        <v>45891</v>
      </c>
      <c r="M632" s="7" t="s">
        <v>537</v>
      </c>
      <c r="N632" s="7" t="s">
        <v>922</v>
      </c>
      <c r="O632" s="17" t="s">
        <v>682</v>
      </c>
      <c r="P632" s="7">
        <f t="shared" si="58"/>
        <v>8</v>
      </c>
      <c r="Q632" s="7">
        <f t="shared" si="61"/>
        <v>2025</v>
      </c>
    </row>
    <row r="633" spans="1:17" x14ac:dyDescent="0.25">
      <c r="A633" s="7">
        <v>2539</v>
      </c>
      <c r="B633" s="9" t="s">
        <v>533</v>
      </c>
      <c r="C633" s="9" t="s">
        <v>533</v>
      </c>
      <c r="D633" s="8">
        <v>45891</v>
      </c>
      <c r="E633" s="7" t="s">
        <v>60</v>
      </c>
      <c r="F633" s="7">
        <v>1</v>
      </c>
      <c r="G633" s="7" t="s">
        <v>14</v>
      </c>
      <c r="H633" s="7" t="s">
        <v>314</v>
      </c>
      <c r="J633" s="7">
        <f t="shared" si="57"/>
        <v>1900</v>
      </c>
      <c r="K633" s="7">
        <f t="shared" si="59"/>
        <v>1</v>
      </c>
      <c r="L633" s="7">
        <f t="shared" si="60"/>
        <v>45891</v>
      </c>
      <c r="M633" s="7" t="s">
        <v>537</v>
      </c>
      <c r="N633" s="7" t="s">
        <v>922</v>
      </c>
      <c r="O633" s="17" t="s">
        <v>682</v>
      </c>
      <c r="P633" s="7">
        <f t="shared" si="58"/>
        <v>8</v>
      </c>
      <c r="Q633" s="7">
        <f t="shared" si="61"/>
        <v>2025</v>
      </c>
    </row>
    <row r="634" spans="1:17" x14ac:dyDescent="0.25">
      <c r="A634" s="7">
        <v>2539</v>
      </c>
      <c r="B634" s="9" t="s">
        <v>533</v>
      </c>
      <c r="C634" s="9" t="s">
        <v>533</v>
      </c>
      <c r="D634" s="8">
        <v>45891</v>
      </c>
      <c r="E634" s="7" t="s">
        <v>60</v>
      </c>
      <c r="F634" s="7">
        <v>1</v>
      </c>
      <c r="G634" s="7" t="s">
        <v>14</v>
      </c>
      <c r="H634" s="7" t="s">
        <v>314</v>
      </c>
      <c r="J634" s="7">
        <f t="shared" si="57"/>
        <v>1900</v>
      </c>
      <c r="K634" s="7">
        <f t="shared" si="59"/>
        <v>1</v>
      </c>
      <c r="L634" s="7">
        <f t="shared" si="60"/>
        <v>45891</v>
      </c>
      <c r="M634" s="7" t="s">
        <v>537</v>
      </c>
      <c r="N634" s="7" t="s">
        <v>922</v>
      </c>
      <c r="O634" s="17" t="s">
        <v>682</v>
      </c>
      <c r="P634" s="7">
        <f t="shared" si="58"/>
        <v>8</v>
      </c>
      <c r="Q634" s="7">
        <f t="shared" si="61"/>
        <v>2025</v>
      </c>
    </row>
    <row r="635" spans="1:17" x14ac:dyDescent="0.25">
      <c r="A635" s="7">
        <v>2539</v>
      </c>
      <c r="B635" s="9" t="s">
        <v>533</v>
      </c>
      <c r="C635" s="9" t="s">
        <v>533</v>
      </c>
      <c r="D635" s="8">
        <v>45891</v>
      </c>
      <c r="E635" s="7" t="s">
        <v>60</v>
      </c>
      <c r="F635" s="7">
        <v>1</v>
      </c>
      <c r="G635" s="7" t="s">
        <v>14</v>
      </c>
      <c r="H635" s="7" t="s">
        <v>314</v>
      </c>
      <c r="J635" s="7">
        <f t="shared" si="57"/>
        <v>1900</v>
      </c>
      <c r="K635" s="7">
        <f t="shared" si="59"/>
        <v>1</v>
      </c>
      <c r="L635" s="7">
        <f t="shared" si="60"/>
        <v>45891</v>
      </c>
      <c r="M635" s="7" t="s">
        <v>537</v>
      </c>
      <c r="N635" s="7" t="s">
        <v>922</v>
      </c>
      <c r="O635" s="17" t="s">
        <v>682</v>
      </c>
      <c r="P635" s="7">
        <f t="shared" si="58"/>
        <v>8</v>
      </c>
      <c r="Q635" s="7">
        <f t="shared" si="61"/>
        <v>2025</v>
      </c>
    </row>
    <row r="636" spans="1:17" x14ac:dyDescent="0.25">
      <c r="A636" s="7">
        <v>2539</v>
      </c>
      <c r="B636" s="9" t="s">
        <v>533</v>
      </c>
      <c r="C636" s="9" t="s">
        <v>533</v>
      </c>
      <c r="D636" s="8">
        <v>45891</v>
      </c>
      <c r="E636" s="7" t="s">
        <v>60</v>
      </c>
      <c r="F636" s="7">
        <v>1</v>
      </c>
      <c r="G636" s="7" t="s">
        <v>14</v>
      </c>
      <c r="H636" s="7" t="s">
        <v>314</v>
      </c>
      <c r="J636" s="7">
        <f t="shared" si="57"/>
        <v>1900</v>
      </c>
      <c r="K636" s="7">
        <f t="shared" si="59"/>
        <v>1</v>
      </c>
      <c r="L636" s="7">
        <f t="shared" si="60"/>
        <v>45891</v>
      </c>
      <c r="M636" s="7" t="s">
        <v>537</v>
      </c>
      <c r="N636" s="7" t="s">
        <v>922</v>
      </c>
      <c r="O636" s="17" t="s">
        <v>682</v>
      </c>
      <c r="P636" s="7">
        <f t="shared" si="58"/>
        <v>8</v>
      </c>
      <c r="Q636" s="7">
        <f t="shared" si="61"/>
        <v>2025</v>
      </c>
    </row>
    <row r="637" spans="1:17" x14ac:dyDescent="0.25">
      <c r="A637" s="7">
        <v>2539</v>
      </c>
      <c r="B637" s="9" t="s">
        <v>533</v>
      </c>
      <c r="C637" s="9" t="s">
        <v>533</v>
      </c>
      <c r="D637" s="8">
        <v>45891</v>
      </c>
      <c r="E637" s="7" t="s">
        <v>60</v>
      </c>
      <c r="F637" s="7">
        <v>1</v>
      </c>
      <c r="G637" s="7" t="s">
        <v>14</v>
      </c>
      <c r="H637" s="7" t="s">
        <v>314</v>
      </c>
      <c r="J637" s="7">
        <f t="shared" si="57"/>
        <v>1900</v>
      </c>
      <c r="K637" s="7">
        <f t="shared" si="59"/>
        <v>1</v>
      </c>
      <c r="L637" s="7">
        <f t="shared" si="60"/>
        <v>45891</v>
      </c>
      <c r="M637" s="7" t="s">
        <v>537</v>
      </c>
      <c r="N637" s="7" t="s">
        <v>922</v>
      </c>
      <c r="O637" s="17" t="s">
        <v>682</v>
      </c>
      <c r="P637" s="7">
        <f t="shared" si="58"/>
        <v>8</v>
      </c>
      <c r="Q637" s="7">
        <f t="shared" si="61"/>
        <v>2025</v>
      </c>
    </row>
    <row r="638" spans="1:17" x14ac:dyDescent="0.25">
      <c r="A638" s="7">
        <v>2539</v>
      </c>
      <c r="B638" s="9" t="s">
        <v>533</v>
      </c>
      <c r="C638" s="9" t="s">
        <v>533</v>
      </c>
      <c r="D638" s="8">
        <v>45891</v>
      </c>
      <c r="E638" s="7" t="s">
        <v>60</v>
      </c>
      <c r="F638" s="7">
        <v>1</v>
      </c>
      <c r="G638" s="7" t="s">
        <v>14</v>
      </c>
      <c r="H638" s="7" t="s">
        <v>314</v>
      </c>
      <c r="J638" s="7">
        <f t="shared" si="57"/>
        <v>1900</v>
      </c>
      <c r="K638" s="7">
        <f t="shared" si="59"/>
        <v>1</v>
      </c>
      <c r="L638" s="7">
        <f t="shared" si="60"/>
        <v>45891</v>
      </c>
      <c r="M638" s="7" t="s">
        <v>537</v>
      </c>
      <c r="N638" s="7" t="s">
        <v>922</v>
      </c>
      <c r="O638" s="17" t="s">
        <v>682</v>
      </c>
      <c r="P638" s="7">
        <f t="shared" si="58"/>
        <v>8</v>
      </c>
      <c r="Q638" s="7">
        <f t="shared" si="61"/>
        <v>2025</v>
      </c>
    </row>
    <row r="639" spans="1:17" x14ac:dyDescent="0.25">
      <c r="A639" s="7">
        <v>2539</v>
      </c>
      <c r="B639" s="9" t="s">
        <v>533</v>
      </c>
      <c r="C639" s="9" t="s">
        <v>533</v>
      </c>
      <c r="D639" s="8">
        <v>45891</v>
      </c>
      <c r="E639" s="7" t="s">
        <v>60</v>
      </c>
      <c r="F639" s="7">
        <v>1</v>
      </c>
      <c r="G639" s="7" t="s">
        <v>14</v>
      </c>
      <c r="H639" s="7" t="s">
        <v>314</v>
      </c>
      <c r="J639" s="7">
        <f t="shared" si="57"/>
        <v>1900</v>
      </c>
      <c r="K639" s="7">
        <f t="shared" si="59"/>
        <v>1</v>
      </c>
      <c r="L639" s="7">
        <f t="shared" si="60"/>
        <v>45891</v>
      </c>
      <c r="M639" s="7" t="s">
        <v>537</v>
      </c>
      <c r="N639" s="7" t="s">
        <v>922</v>
      </c>
      <c r="O639" s="17" t="s">
        <v>682</v>
      </c>
      <c r="P639" s="7">
        <f t="shared" si="58"/>
        <v>8</v>
      </c>
      <c r="Q639" s="7">
        <f t="shared" si="61"/>
        <v>2025</v>
      </c>
    </row>
    <row r="640" spans="1:17" x14ac:dyDescent="0.25">
      <c r="A640" s="7">
        <v>2539</v>
      </c>
      <c r="B640" s="9" t="s">
        <v>533</v>
      </c>
      <c r="C640" s="9" t="s">
        <v>533</v>
      </c>
      <c r="D640" s="8">
        <v>45891</v>
      </c>
      <c r="E640" s="7" t="s">
        <v>60</v>
      </c>
      <c r="F640" s="7">
        <v>1</v>
      </c>
      <c r="G640" s="7" t="s">
        <v>14</v>
      </c>
      <c r="H640" s="7" t="s">
        <v>314</v>
      </c>
      <c r="J640" s="7">
        <f t="shared" si="57"/>
        <v>1900</v>
      </c>
      <c r="K640" s="7">
        <f t="shared" si="59"/>
        <v>1</v>
      </c>
      <c r="L640" s="7">
        <f t="shared" si="60"/>
        <v>45891</v>
      </c>
      <c r="M640" s="7" t="s">
        <v>537</v>
      </c>
      <c r="N640" s="7" t="s">
        <v>922</v>
      </c>
      <c r="O640" s="17" t="s">
        <v>682</v>
      </c>
      <c r="P640" s="7">
        <f t="shared" si="58"/>
        <v>8</v>
      </c>
      <c r="Q640" s="7">
        <f t="shared" si="61"/>
        <v>2025</v>
      </c>
    </row>
    <row r="641" spans="1:17" x14ac:dyDescent="0.25">
      <c r="A641" s="7">
        <v>2539</v>
      </c>
      <c r="B641" s="9" t="s">
        <v>533</v>
      </c>
      <c r="C641" s="9" t="s">
        <v>533</v>
      </c>
      <c r="D641" s="8">
        <v>45891</v>
      </c>
      <c r="E641" s="7" t="s">
        <v>60</v>
      </c>
      <c r="F641" s="7">
        <v>1</v>
      </c>
      <c r="G641" s="7" t="s">
        <v>14</v>
      </c>
      <c r="H641" s="7" t="s">
        <v>314</v>
      </c>
      <c r="J641" s="7">
        <f t="shared" si="57"/>
        <v>1900</v>
      </c>
      <c r="K641" s="7">
        <f t="shared" si="59"/>
        <v>1</v>
      </c>
      <c r="L641" s="7">
        <f t="shared" si="60"/>
        <v>45891</v>
      </c>
      <c r="M641" s="7" t="s">
        <v>537</v>
      </c>
      <c r="N641" s="7" t="s">
        <v>922</v>
      </c>
      <c r="O641" s="17" t="s">
        <v>682</v>
      </c>
      <c r="P641" s="7">
        <f t="shared" si="58"/>
        <v>8</v>
      </c>
      <c r="Q641" s="7">
        <f t="shared" si="61"/>
        <v>2025</v>
      </c>
    </row>
    <row r="642" spans="1:17" x14ac:dyDescent="0.25">
      <c r="A642" s="7">
        <v>2539</v>
      </c>
      <c r="B642" s="9" t="s">
        <v>533</v>
      </c>
      <c r="C642" s="9" t="s">
        <v>533</v>
      </c>
      <c r="D642" s="8">
        <v>45891</v>
      </c>
      <c r="E642" s="7" t="s">
        <v>60</v>
      </c>
      <c r="F642" s="7">
        <v>1</v>
      </c>
      <c r="G642" s="7" t="s">
        <v>14</v>
      </c>
      <c r="H642" s="7" t="s">
        <v>314</v>
      </c>
      <c r="J642" s="7">
        <f t="shared" si="57"/>
        <v>1900</v>
      </c>
      <c r="K642" s="7">
        <f t="shared" si="59"/>
        <v>1</v>
      </c>
      <c r="L642" s="7">
        <f t="shared" si="60"/>
        <v>45891</v>
      </c>
      <c r="M642" s="7" t="s">
        <v>537</v>
      </c>
      <c r="N642" s="7" t="s">
        <v>922</v>
      </c>
      <c r="O642" s="17" t="s">
        <v>682</v>
      </c>
      <c r="P642" s="7">
        <f t="shared" si="58"/>
        <v>8</v>
      </c>
      <c r="Q642" s="7">
        <f t="shared" si="61"/>
        <v>2025</v>
      </c>
    </row>
    <row r="643" spans="1:17" x14ac:dyDescent="0.25">
      <c r="A643" s="7">
        <v>2539</v>
      </c>
      <c r="B643" s="9" t="s">
        <v>533</v>
      </c>
      <c r="C643" s="9" t="s">
        <v>533</v>
      </c>
      <c r="D643" s="8">
        <v>45891</v>
      </c>
      <c r="E643" s="7" t="s">
        <v>60</v>
      </c>
      <c r="F643" s="7">
        <v>1</v>
      </c>
      <c r="G643" s="7" t="s">
        <v>14</v>
      </c>
      <c r="H643" s="7" t="s">
        <v>314</v>
      </c>
      <c r="J643" s="7">
        <f t="shared" si="57"/>
        <v>1900</v>
      </c>
      <c r="K643" s="7">
        <f t="shared" si="59"/>
        <v>1</v>
      </c>
      <c r="L643" s="7">
        <f t="shared" si="60"/>
        <v>45891</v>
      </c>
      <c r="M643" s="7" t="s">
        <v>537</v>
      </c>
      <c r="N643" s="7" t="s">
        <v>922</v>
      </c>
      <c r="O643" s="17" t="s">
        <v>682</v>
      </c>
      <c r="P643" s="7">
        <f t="shared" si="58"/>
        <v>8</v>
      </c>
      <c r="Q643" s="7">
        <f t="shared" si="61"/>
        <v>2025</v>
      </c>
    </row>
    <row r="644" spans="1:17" x14ac:dyDescent="0.25">
      <c r="A644" s="7">
        <v>2539</v>
      </c>
      <c r="B644" s="9" t="s">
        <v>533</v>
      </c>
      <c r="C644" s="9" t="s">
        <v>533</v>
      </c>
      <c r="D644" s="8">
        <v>45891</v>
      </c>
      <c r="E644" s="7" t="s">
        <v>60</v>
      </c>
      <c r="F644" s="7">
        <v>1</v>
      </c>
      <c r="G644" s="7" t="s">
        <v>14</v>
      </c>
      <c r="H644" s="7" t="s">
        <v>314</v>
      </c>
      <c r="J644" s="7">
        <f t="shared" si="57"/>
        <v>1900</v>
      </c>
      <c r="K644" s="7">
        <f t="shared" si="59"/>
        <v>1</v>
      </c>
      <c r="L644" s="7">
        <f t="shared" si="60"/>
        <v>45891</v>
      </c>
      <c r="M644" s="7" t="s">
        <v>537</v>
      </c>
      <c r="N644" s="7" t="s">
        <v>922</v>
      </c>
      <c r="O644" s="17" t="s">
        <v>682</v>
      </c>
      <c r="P644" s="7">
        <f t="shared" si="58"/>
        <v>8</v>
      </c>
      <c r="Q644" s="7">
        <f t="shared" si="61"/>
        <v>2025</v>
      </c>
    </row>
    <row r="645" spans="1:17" x14ac:dyDescent="0.25">
      <c r="A645" s="7">
        <v>2539</v>
      </c>
      <c r="B645" s="9" t="s">
        <v>533</v>
      </c>
      <c r="C645" s="9" t="s">
        <v>533</v>
      </c>
      <c r="D645" s="8">
        <v>45891</v>
      </c>
      <c r="E645" s="7" t="s">
        <v>60</v>
      </c>
      <c r="F645" s="7">
        <v>1</v>
      </c>
      <c r="G645" s="7" t="s">
        <v>14</v>
      </c>
      <c r="H645" s="7" t="s">
        <v>314</v>
      </c>
      <c r="J645" s="7">
        <f t="shared" si="57"/>
        <v>1900</v>
      </c>
      <c r="K645" s="7">
        <f t="shared" si="59"/>
        <v>1</v>
      </c>
      <c r="L645" s="7">
        <f t="shared" si="60"/>
        <v>45891</v>
      </c>
      <c r="M645" s="7" t="s">
        <v>537</v>
      </c>
      <c r="N645" s="7" t="s">
        <v>922</v>
      </c>
      <c r="O645" s="17" t="s">
        <v>682</v>
      </c>
      <c r="P645" s="7">
        <f t="shared" si="58"/>
        <v>8</v>
      </c>
      <c r="Q645" s="7">
        <f t="shared" si="61"/>
        <v>2025</v>
      </c>
    </row>
    <row r="646" spans="1:17" x14ac:dyDescent="0.25">
      <c r="A646" s="7">
        <v>2539</v>
      </c>
      <c r="B646" s="9" t="s">
        <v>533</v>
      </c>
      <c r="C646" s="9" t="s">
        <v>533</v>
      </c>
      <c r="D646" s="8">
        <v>45891</v>
      </c>
      <c r="E646" s="7" t="s">
        <v>60</v>
      </c>
      <c r="F646" s="7">
        <v>1</v>
      </c>
      <c r="G646" s="7" t="s">
        <v>14</v>
      </c>
      <c r="H646" s="7" t="s">
        <v>314</v>
      </c>
      <c r="J646" s="7">
        <f t="shared" si="57"/>
        <v>1900</v>
      </c>
      <c r="K646" s="7">
        <f t="shared" si="59"/>
        <v>1</v>
      </c>
      <c r="L646" s="7">
        <f t="shared" si="60"/>
        <v>45891</v>
      </c>
      <c r="M646" s="7" t="s">
        <v>537</v>
      </c>
      <c r="N646" s="7" t="s">
        <v>922</v>
      </c>
      <c r="O646" s="17" t="s">
        <v>682</v>
      </c>
      <c r="P646" s="7">
        <f t="shared" si="58"/>
        <v>8</v>
      </c>
      <c r="Q646" s="7">
        <f t="shared" si="61"/>
        <v>2025</v>
      </c>
    </row>
    <row r="647" spans="1:17" x14ac:dyDescent="0.25">
      <c r="A647" s="7">
        <v>2539</v>
      </c>
      <c r="B647" s="9" t="s">
        <v>533</v>
      </c>
      <c r="C647" s="9" t="s">
        <v>533</v>
      </c>
      <c r="D647" s="8">
        <v>45891</v>
      </c>
      <c r="E647" s="7" t="s">
        <v>60</v>
      </c>
      <c r="F647" s="7">
        <v>1</v>
      </c>
      <c r="G647" s="7" t="s">
        <v>14</v>
      </c>
      <c r="H647" s="7" t="s">
        <v>314</v>
      </c>
      <c r="J647" s="7">
        <f t="shared" si="57"/>
        <v>1900</v>
      </c>
      <c r="K647" s="7">
        <f t="shared" si="59"/>
        <v>1</v>
      </c>
      <c r="L647" s="7">
        <f t="shared" si="60"/>
        <v>45891</v>
      </c>
      <c r="M647" s="7" t="s">
        <v>537</v>
      </c>
      <c r="N647" s="7" t="s">
        <v>922</v>
      </c>
      <c r="O647" s="17" t="s">
        <v>682</v>
      </c>
      <c r="P647" s="7">
        <f t="shared" si="58"/>
        <v>8</v>
      </c>
      <c r="Q647" s="7">
        <f t="shared" si="61"/>
        <v>2025</v>
      </c>
    </row>
    <row r="648" spans="1:17" x14ac:dyDescent="0.25">
      <c r="A648" s="7">
        <v>2539</v>
      </c>
      <c r="B648" s="9" t="s">
        <v>533</v>
      </c>
      <c r="C648" s="9" t="s">
        <v>533</v>
      </c>
      <c r="D648" s="8">
        <v>45891</v>
      </c>
      <c r="E648" s="7" t="s">
        <v>60</v>
      </c>
      <c r="F648" s="7">
        <v>1</v>
      </c>
      <c r="G648" s="7" t="s">
        <v>14</v>
      </c>
      <c r="H648" s="7" t="s">
        <v>314</v>
      </c>
      <c r="J648" s="7">
        <f t="shared" si="57"/>
        <v>1900</v>
      </c>
      <c r="K648" s="7">
        <f t="shared" si="59"/>
        <v>1</v>
      </c>
      <c r="L648" s="7">
        <f t="shared" si="60"/>
        <v>45891</v>
      </c>
      <c r="M648" s="7" t="s">
        <v>537</v>
      </c>
      <c r="N648" s="7" t="s">
        <v>922</v>
      </c>
      <c r="O648" s="17" t="s">
        <v>682</v>
      </c>
      <c r="P648" s="7">
        <f t="shared" si="58"/>
        <v>8</v>
      </c>
      <c r="Q648" s="7">
        <f t="shared" si="61"/>
        <v>2025</v>
      </c>
    </row>
    <row r="649" spans="1:17" x14ac:dyDescent="0.25">
      <c r="A649" s="7">
        <v>2539</v>
      </c>
      <c r="B649" s="9" t="s">
        <v>533</v>
      </c>
      <c r="C649" s="9" t="s">
        <v>533</v>
      </c>
      <c r="D649" s="8">
        <v>45891</v>
      </c>
      <c r="E649" s="7" t="s">
        <v>60</v>
      </c>
      <c r="F649" s="7">
        <v>1</v>
      </c>
      <c r="G649" s="7" t="s">
        <v>14</v>
      </c>
      <c r="H649" s="7" t="s">
        <v>314</v>
      </c>
      <c r="J649" s="7">
        <f t="shared" si="57"/>
        <v>1900</v>
      </c>
      <c r="K649" s="7">
        <f t="shared" si="59"/>
        <v>1</v>
      </c>
      <c r="L649" s="7">
        <f t="shared" si="60"/>
        <v>45891</v>
      </c>
      <c r="M649" s="7" t="s">
        <v>537</v>
      </c>
      <c r="N649" s="7" t="s">
        <v>922</v>
      </c>
      <c r="O649" s="17" t="s">
        <v>682</v>
      </c>
      <c r="P649" s="7">
        <f t="shared" si="58"/>
        <v>8</v>
      </c>
      <c r="Q649" s="7">
        <f t="shared" si="61"/>
        <v>2025</v>
      </c>
    </row>
    <row r="650" spans="1:17" x14ac:dyDescent="0.25">
      <c r="A650" s="7">
        <v>2539</v>
      </c>
      <c r="B650" s="9" t="s">
        <v>533</v>
      </c>
      <c r="C650" s="9" t="s">
        <v>533</v>
      </c>
      <c r="D650" s="8">
        <v>45891</v>
      </c>
      <c r="E650" s="7" t="s">
        <v>60</v>
      </c>
      <c r="F650" s="7">
        <v>1</v>
      </c>
      <c r="G650" s="7" t="s">
        <v>14</v>
      </c>
      <c r="H650" s="7" t="s">
        <v>314</v>
      </c>
      <c r="J650" s="7">
        <f t="shared" si="57"/>
        <v>1900</v>
      </c>
      <c r="K650" s="7">
        <f t="shared" si="59"/>
        <v>1</v>
      </c>
      <c r="L650" s="7">
        <f t="shared" si="60"/>
        <v>45891</v>
      </c>
      <c r="M650" s="7" t="s">
        <v>537</v>
      </c>
      <c r="N650" s="7" t="s">
        <v>922</v>
      </c>
      <c r="O650" s="17" t="s">
        <v>682</v>
      </c>
      <c r="P650" s="7">
        <f t="shared" si="58"/>
        <v>8</v>
      </c>
      <c r="Q650" s="7">
        <f t="shared" si="61"/>
        <v>2025</v>
      </c>
    </row>
    <row r="651" spans="1:17" x14ac:dyDescent="0.25">
      <c r="A651" s="7">
        <v>2539</v>
      </c>
      <c r="B651" s="9" t="s">
        <v>533</v>
      </c>
      <c r="C651" s="9" t="s">
        <v>533</v>
      </c>
      <c r="D651" s="8">
        <v>45891</v>
      </c>
      <c r="E651" s="7" t="s">
        <v>60</v>
      </c>
      <c r="F651" s="7">
        <v>1</v>
      </c>
      <c r="G651" s="7" t="s">
        <v>14</v>
      </c>
      <c r="H651" s="7" t="s">
        <v>314</v>
      </c>
      <c r="J651" s="7">
        <f t="shared" si="57"/>
        <v>1900</v>
      </c>
      <c r="K651" s="7">
        <f t="shared" si="59"/>
        <v>1</v>
      </c>
      <c r="L651" s="7">
        <f t="shared" si="60"/>
        <v>45891</v>
      </c>
      <c r="M651" s="7" t="s">
        <v>537</v>
      </c>
      <c r="N651" s="7" t="s">
        <v>922</v>
      </c>
      <c r="O651" s="17" t="s">
        <v>682</v>
      </c>
      <c r="P651" s="7">
        <f t="shared" si="58"/>
        <v>8</v>
      </c>
      <c r="Q651" s="7">
        <f t="shared" si="61"/>
        <v>2025</v>
      </c>
    </row>
    <row r="652" spans="1:17" x14ac:dyDescent="0.25">
      <c r="A652" s="7">
        <v>2539</v>
      </c>
      <c r="B652" s="9" t="s">
        <v>533</v>
      </c>
      <c r="C652" s="9" t="s">
        <v>533</v>
      </c>
      <c r="D652" s="8">
        <v>45891</v>
      </c>
      <c r="E652" s="7" t="s">
        <v>60</v>
      </c>
      <c r="F652" s="7">
        <v>1</v>
      </c>
      <c r="G652" s="7" t="s">
        <v>14</v>
      </c>
      <c r="H652" s="7" t="s">
        <v>314</v>
      </c>
      <c r="J652" s="7">
        <f t="shared" si="57"/>
        <v>1900</v>
      </c>
      <c r="K652" s="7">
        <f t="shared" si="59"/>
        <v>1</v>
      </c>
      <c r="L652" s="7">
        <f t="shared" si="60"/>
        <v>45891</v>
      </c>
      <c r="M652" s="7" t="s">
        <v>537</v>
      </c>
      <c r="N652" s="7" t="s">
        <v>922</v>
      </c>
      <c r="O652" s="17" t="s">
        <v>682</v>
      </c>
      <c r="P652" s="7">
        <f t="shared" si="58"/>
        <v>8</v>
      </c>
      <c r="Q652" s="7">
        <f t="shared" si="61"/>
        <v>2025</v>
      </c>
    </row>
    <row r="653" spans="1:17" x14ac:dyDescent="0.25">
      <c r="A653" s="7">
        <v>2539</v>
      </c>
      <c r="B653" s="9" t="s">
        <v>533</v>
      </c>
      <c r="C653" s="9" t="s">
        <v>533</v>
      </c>
      <c r="D653" s="8">
        <v>45891</v>
      </c>
      <c r="E653" s="7" t="s">
        <v>60</v>
      </c>
      <c r="F653" s="7">
        <v>1</v>
      </c>
      <c r="G653" s="7" t="s">
        <v>14</v>
      </c>
      <c r="H653" s="7" t="s">
        <v>314</v>
      </c>
      <c r="J653" s="7">
        <f t="shared" si="57"/>
        <v>1900</v>
      </c>
      <c r="K653" s="7">
        <f t="shared" si="59"/>
        <v>1</v>
      </c>
      <c r="L653" s="7">
        <f t="shared" si="60"/>
        <v>45891</v>
      </c>
      <c r="M653" s="7" t="s">
        <v>537</v>
      </c>
      <c r="N653" s="7" t="s">
        <v>922</v>
      </c>
      <c r="O653" s="17" t="s">
        <v>682</v>
      </c>
      <c r="P653" s="7">
        <f t="shared" si="58"/>
        <v>8</v>
      </c>
      <c r="Q653" s="7">
        <f t="shared" si="61"/>
        <v>2025</v>
      </c>
    </row>
    <row r="654" spans="1:17" x14ac:dyDescent="0.25">
      <c r="A654" s="7">
        <v>2539</v>
      </c>
      <c r="B654" s="9" t="s">
        <v>533</v>
      </c>
      <c r="C654" s="9" t="s">
        <v>533</v>
      </c>
      <c r="D654" s="8">
        <v>45891</v>
      </c>
      <c r="E654" s="7" t="s">
        <v>60</v>
      </c>
      <c r="F654" s="7">
        <v>1</v>
      </c>
      <c r="G654" s="7" t="s">
        <v>14</v>
      </c>
      <c r="H654" s="7" t="s">
        <v>314</v>
      </c>
      <c r="J654" s="7">
        <f t="shared" si="57"/>
        <v>1900</v>
      </c>
      <c r="K654" s="7">
        <f t="shared" si="59"/>
        <v>1</v>
      </c>
      <c r="L654" s="7">
        <f t="shared" si="60"/>
        <v>45891</v>
      </c>
      <c r="M654" s="7" t="s">
        <v>537</v>
      </c>
      <c r="N654" s="7" t="s">
        <v>922</v>
      </c>
      <c r="O654" s="17" t="s">
        <v>682</v>
      </c>
      <c r="P654" s="7">
        <f t="shared" si="58"/>
        <v>8</v>
      </c>
      <c r="Q654" s="7">
        <f t="shared" si="61"/>
        <v>2025</v>
      </c>
    </row>
    <row r="655" spans="1:17" x14ac:dyDescent="0.25">
      <c r="A655" s="7">
        <v>2539</v>
      </c>
      <c r="B655" s="9" t="s">
        <v>533</v>
      </c>
      <c r="C655" s="9" t="s">
        <v>533</v>
      </c>
      <c r="D655" s="8">
        <v>45891</v>
      </c>
      <c r="E655" s="7" t="s">
        <v>60</v>
      </c>
      <c r="F655" s="7">
        <v>1</v>
      </c>
      <c r="G655" s="7" t="s">
        <v>14</v>
      </c>
      <c r="H655" s="7" t="s">
        <v>314</v>
      </c>
      <c r="J655" s="7">
        <f t="shared" si="57"/>
        <v>1900</v>
      </c>
      <c r="K655" s="7">
        <f t="shared" si="59"/>
        <v>1</v>
      </c>
      <c r="L655" s="7">
        <f t="shared" si="60"/>
        <v>45891</v>
      </c>
      <c r="M655" s="7" t="s">
        <v>537</v>
      </c>
      <c r="N655" s="7" t="s">
        <v>922</v>
      </c>
      <c r="O655" s="17" t="s">
        <v>682</v>
      </c>
      <c r="P655" s="7">
        <f t="shared" si="58"/>
        <v>8</v>
      </c>
      <c r="Q655" s="7">
        <f t="shared" si="61"/>
        <v>2025</v>
      </c>
    </row>
    <row r="656" spans="1:17" x14ac:dyDescent="0.25">
      <c r="A656" s="7">
        <v>2539</v>
      </c>
      <c r="B656" s="9" t="s">
        <v>533</v>
      </c>
      <c r="C656" s="9" t="s">
        <v>533</v>
      </c>
      <c r="D656" s="8">
        <v>45891</v>
      </c>
      <c r="E656" s="7" t="s">
        <v>60</v>
      </c>
      <c r="F656" s="7">
        <v>1</v>
      </c>
      <c r="G656" s="7" t="s">
        <v>14</v>
      </c>
      <c r="H656" s="7" t="s">
        <v>314</v>
      </c>
      <c r="J656" s="7">
        <f t="shared" si="57"/>
        <v>1900</v>
      </c>
      <c r="K656" s="7">
        <f t="shared" si="59"/>
        <v>1</v>
      </c>
      <c r="L656" s="7">
        <f t="shared" si="60"/>
        <v>45891</v>
      </c>
      <c r="M656" s="7" t="s">
        <v>537</v>
      </c>
      <c r="N656" s="7" t="s">
        <v>922</v>
      </c>
      <c r="O656" s="17" t="s">
        <v>682</v>
      </c>
      <c r="P656" s="7">
        <f t="shared" si="58"/>
        <v>8</v>
      </c>
      <c r="Q656" s="7">
        <f t="shared" si="61"/>
        <v>2025</v>
      </c>
    </row>
    <row r="657" spans="1:17" x14ac:dyDescent="0.25">
      <c r="A657" s="7">
        <v>2539</v>
      </c>
      <c r="B657" s="9" t="s">
        <v>533</v>
      </c>
      <c r="C657" s="9" t="s">
        <v>533</v>
      </c>
      <c r="D657" s="8">
        <v>45891</v>
      </c>
      <c r="E657" s="7" t="s">
        <v>60</v>
      </c>
      <c r="F657" s="7">
        <v>1</v>
      </c>
      <c r="G657" s="7" t="s">
        <v>14</v>
      </c>
      <c r="H657" s="7" t="s">
        <v>314</v>
      </c>
      <c r="J657" s="7">
        <f t="shared" ref="J657:J720" si="62">YEAR(I657)</f>
        <v>1900</v>
      </c>
      <c r="K657" s="7">
        <f t="shared" si="59"/>
        <v>1</v>
      </c>
      <c r="L657" s="7">
        <f t="shared" si="60"/>
        <v>45891</v>
      </c>
      <c r="M657" s="7" t="s">
        <v>537</v>
      </c>
      <c r="N657" s="7" t="s">
        <v>922</v>
      </c>
      <c r="O657" s="17" t="s">
        <v>682</v>
      </c>
      <c r="P657" s="7">
        <f t="shared" si="58"/>
        <v>8</v>
      </c>
      <c r="Q657" s="7">
        <f t="shared" si="61"/>
        <v>2025</v>
      </c>
    </row>
    <row r="658" spans="1:17" x14ac:dyDescent="0.25">
      <c r="A658" s="7">
        <v>2539</v>
      </c>
      <c r="B658" s="9" t="s">
        <v>533</v>
      </c>
      <c r="C658" s="9" t="s">
        <v>533</v>
      </c>
      <c r="D658" s="8">
        <v>45891</v>
      </c>
      <c r="E658" s="7" t="s">
        <v>60</v>
      </c>
      <c r="F658" s="7">
        <v>1</v>
      </c>
      <c r="G658" s="7" t="s">
        <v>14</v>
      </c>
      <c r="H658" s="7" t="s">
        <v>314</v>
      </c>
      <c r="J658" s="7">
        <f t="shared" si="62"/>
        <v>1900</v>
      </c>
      <c r="K658" s="7">
        <f t="shared" si="59"/>
        <v>1</v>
      </c>
      <c r="L658" s="7">
        <f t="shared" si="60"/>
        <v>45891</v>
      </c>
      <c r="M658" s="7" t="s">
        <v>537</v>
      </c>
      <c r="N658" s="7" t="s">
        <v>922</v>
      </c>
      <c r="O658" s="17" t="s">
        <v>682</v>
      </c>
      <c r="P658" s="7">
        <f t="shared" si="58"/>
        <v>8</v>
      </c>
      <c r="Q658" s="7">
        <f t="shared" si="61"/>
        <v>2025</v>
      </c>
    </row>
    <row r="659" spans="1:17" x14ac:dyDescent="0.25">
      <c r="A659" s="7">
        <v>2539</v>
      </c>
      <c r="B659" s="9" t="s">
        <v>533</v>
      </c>
      <c r="C659" s="9" t="s">
        <v>533</v>
      </c>
      <c r="D659" s="8">
        <v>45891</v>
      </c>
      <c r="E659" s="7" t="s">
        <v>60</v>
      </c>
      <c r="F659" s="7">
        <v>1</v>
      </c>
      <c r="G659" s="7" t="s">
        <v>14</v>
      </c>
      <c r="H659" s="7" t="s">
        <v>314</v>
      </c>
      <c r="J659" s="7">
        <f t="shared" si="62"/>
        <v>1900</v>
      </c>
      <c r="K659" s="7">
        <f t="shared" si="59"/>
        <v>1</v>
      </c>
      <c r="L659" s="7">
        <f t="shared" si="60"/>
        <v>45891</v>
      </c>
      <c r="M659" s="7" t="s">
        <v>537</v>
      </c>
      <c r="N659" s="7" t="s">
        <v>922</v>
      </c>
      <c r="O659" s="17" t="s">
        <v>682</v>
      </c>
      <c r="P659" s="7">
        <f t="shared" si="58"/>
        <v>8</v>
      </c>
      <c r="Q659" s="7">
        <f t="shared" si="61"/>
        <v>2025</v>
      </c>
    </row>
    <row r="660" spans="1:17" x14ac:dyDescent="0.25">
      <c r="A660" s="7">
        <v>2539</v>
      </c>
      <c r="B660" s="9" t="s">
        <v>533</v>
      </c>
      <c r="C660" s="9" t="s">
        <v>533</v>
      </c>
      <c r="D660" s="8">
        <v>45891</v>
      </c>
      <c r="E660" s="7" t="s">
        <v>60</v>
      </c>
      <c r="F660" s="7">
        <v>1</v>
      </c>
      <c r="G660" s="7" t="s">
        <v>14</v>
      </c>
      <c r="H660" s="7" t="s">
        <v>314</v>
      </c>
      <c r="J660" s="7">
        <f t="shared" si="62"/>
        <v>1900</v>
      </c>
      <c r="K660" s="7">
        <f t="shared" si="59"/>
        <v>1</v>
      </c>
      <c r="L660" s="7">
        <f t="shared" si="60"/>
        <v>45891</v>
      </c>
      <c r="M660" s="7" t="s">
        <v>537</v>
      </c>
      <c r="N660" s="7" t="s">
        <v>922</v>
      </c>
      <c r="O660" s="17" t="s">
        <v>682</v>
      </c>
      <c r="P660" s="7">
        <f t="shared" si="58"/>
        <v>8</v>
      </c>
      <c r="Q660" s="7">
        <f t="shared" si="61"/>
        <v>2025</v>
      </c>
    </row>
    <row r="661" spans="1:17" x14ac:dyDescent="0.25">
      <c r="A661" s="7">
        <v>2539</v>
      </c>
      <c r="B661" s="9" t="s">
        <v>533</v>
      </c>
      <c r="C661" s="9" t="s">
        <v>533</v>
      </c>
      <c r="D661" s="8">
        <v>45891</v>
      </c>
      <c r="E661" s="7" t="s">
        <v>60</v>
      </c>
      <c r="F661" s="7">
        <v>1</v>
      </c>
      <c r="G661" s="7" t="s">
        <v>14</v>
      </c>
      <c r="H661" s="7" t="s">
        <v>314</v>
      </c>
      <c r="J661" s="7">
        <f t="shared" si="62"/>
        <v>1900</v>
      </c>
      <c r="K661" s="7">
        <f t="shared" si="59"/>
        <v>1</v>
      </c>
      <c r="L661" s="7">
        <f t="shared" si="60"/>
        <v>45891</v>
      </c>
      <c r="M661" s="7" t="s">
        <v>537</v>
      </c>
      <c r="N661" s="7" t="s">
        <v>922</v>
      </c>
      <c r="O661" s="17" t="s">
        <v>682</v>
      </c>
      <c r="P661" s="7">
        <f t="shared" si="58"/>
        <v>8</v>
      </c>
      <c r="Q661" s="7">
        <f t="shared" si="61"/>
        <v>2025</v>
      </c>
    </row>
    <row r="662" spans="1:17" x14ac:dyDescent="0.25">
      <c r="A662" s="7">
        <v>2539</v>
      </c>
      <c r="B662" s="9" t="s">
        <v>533</v>
      </c>
      <c r="C662" s="9" t="s">
        <v>533</v>
      </c>
      <c r="D662" s="8">
        <v>45891</v>
      </c>
      <c r="E662" s="7" t="s">
        <v>60</v>
      </c>
      <c r="F662" s="7">
        <v>1</v>
      </c>
      <c r="G662" s="7" t="s">
        <v>14</v>
      </c>
      <c r="H662" s="7" t="s">
        <v>314</v>
      </c>
      <c r="J662" s="7">
        <f t="shared" si="62"/>
        <v>1900</v>
      </c>
      <c r="K662" s="7">
        <f t="shared" si="59"/>
        <v>1</v>
      </c>
      <c r="L662" s="7">
        <f t="shared" si="60"/>
        <v>45891</v>
      </c>
      <c r="M662" s="7" t="s">
        <v>537</v>
      </c>
      <c r="N662" s="7" t="s">
        <v>922</v>
      </c>
      <c r="O662" s="17" t="s">
        <v>682</v>
      </c>
      <c r="P662" s="7">
        <f t="shared" si="58"/>
        <v>8</v>
      </c>
      <c r="Q662" s="7">
        <f t="shared" si="61"/>
        <v>2025</v>
      </c>
    </row>
    <row r="663" spans="1:17" x14ac:dyDescent="0.25">
      <c r="A663" s="7">
        <v>2539</v>
      </c>
      <c r="B663" s="9" t="s">
        <v>533</v>
      </c>
      <c r="C663" s="9" t="s">
        <v>533</v>
      </c>
      <c r="D663" s="8">
        <v>45891</v>
      </c>
      <c r="E663" s="7" t="s">
        <v>60</v>
      </c>
      <c r="F663" s="7">
        <v>1</v>
      </c>
      <c r="G663" s="7" t="s">
        <v>14</v>
      </c>
      <c r="H663" s="7" t="s">
        <v>314</v>
      </c>
      <c r="J663" s="7">
        <f t="shared" si="62"/>
        <v>1900</v>
      </c>
      <c r="K663" s="7">
        <f t="shared" si="59"/>
        <v>1</v>
      </c>
      <c r="L663" s="7">
        <f t="shared" si="60"/>
        <v>45891</v>
      </c>
      <c r="M663" s="7" t="s">
        <v>537</v>
      </c>
      <c r="N663" s="7" t="s">
        <v>922</v>
      </c>
      <c r="O663" s="17" t="s">
        <v>682</v>
      </c>
      <c r="P663" s="7">
        <f t="shared" si="58"/>
        <v>8</v>
      </c>
      <c r="Q663" s="7">
        <f t="shared" si="61"/>
        <v>2025</v>
      </c>
    </row>
    <row r="664" spans="1:17" x14ac:dyDescent="0.25">
      <c r="A664" s="7">
        <v>2539</v>
      </c>
      <c r="B664" s="9" t="s">
        <v>533</v>
      </c>
      <c r="C664" s="9" t="s">
        <v>533</v>
      </c>
      <c r="D664" s="8">
        <v>45891</v>
      </c>
      <c r="E664" s="7" t="s">
        <v>60</v>
      </c>
      <c r="F664" s="7">
        <v>1</v>
      </c>
      <c r="G664" s="7" t="s">
        <v>14</v>
      </c>
      <c r="H664" s="7" t="s">
        <v>314</v>
      </c>
      <c r="J664" s="7">
        <f t="shared" si="62"/>
        <v>1900</v>
      </c>
      <c r="K664" s="7">
        <f t="shared" si="59"/>
        <v>1</v>
      </c>
      <c r="L664" s="7">
        <f t="shared" si="60"/>
        <v>45891</v>
      </c>
      <c r="M664" s="7" t="s">
        <v>537</v>
      </c>
      <c r="N664" s="7" t="s">
        <v>922</v>
      </c>
      <c r="O664" s="17" t="s">
        <v>682</v>
      </c>
      <c r="P664" s="7">
        <f t="shared" si="58"/>
        <v>8</v>
      </c>
      <c r="Q664" s="7">
        <f t="shared" si="61"/>
        <v>2025</v>
      </c>
    </row>
    <row r="665" spans="1:17" x14ac:dyDescent="0.25">
      <c r="A665" s="7">
        <v>2539</v>
      </c>
      <c r="B665" s="9" t="s">
        <v>533</v>
      </c>
      <c r="C665" s="9" t="s">
        <v>533</v>
      </c>
      <c r="D665" s="8">
        <v>45891</v>
      </c>
      <c r="E665" s="7" t="s">
        <v>60</v>
      </c>
      <c r="F665" s="7">
        <v>1</v>
      </c>
      <c r="G665" s="7" t="s">
        <v>14</v>
      </c>
      <c r="H665" s="7" t="s">
        <v>314</v>
      </c>
      <c r="J665" s="7">
        <f t="shared" si="62"/>
        <v>1900</v>
      </c>
      <c r="K665" s="7">
        <f t="shared" si="59"/>
        <v>1</v>
      </c>
      <c r="L665" s="7">
        <f t="shared" si="60"/>
        <v>45891</v>
      </c>
      <c r="M665" s="7" t="s">
        <v>537</v>
      </c>
      <c r="N665" s="7" t="s">
        <v>922</v>
      </c>
      <c r="O665" s="17" t="s">
        <v>682</v>
      </c>
      <c r="P665" s="7">
        <f t="shared" si="58"/>
        <v>8</v>
      </c>
      <c r="Q665" s="7">
        <f t="shared" si="61"/>
        <v>2025</v>
      </c>
    </row>
    <row r="666" spans="1:17" x14ac:dyDescent="0.25">
      <c r="A666" s="7">
        <v>2539</v>
      </c>
      <c r="B666" s="9" t="s">
        <v>533</v>
      </c>
      <c r="C666" s="9" t="s">
        <v>533</v>
      </c>
      <c r="D666" s="8">
        <v>45891</v>
      </c>
      <c r="E666" s="7" t="s">
        <v>60</v>
      </c>
      <c r="F666" s="7">
        <v>1</v>
      </c>
      <c r="G666" s="7" t="s">
        <v>14</v>
      </c>
      <c r="H666" s="7" t="s">
        <v>314</v>
      </c>
      <c r="J666" s="7">
        <f t="shared" si="62"/>
        <v>1900</v>
      </c>
      <c r="K666" s="7">
        <f t="shared" si="59"/>
        <v>1</v>
      </c>
      <c r="L666" s="7">
        <f t="shared" si="60"/>
        <v>45891</v>
      </c>
      <c r="M666" s="7" t="s">
        <v>537</v>
      </c>
      <c r="N666" s="7" t="s">
        <v>922</v>
      </c>
      <c r="O666" s="17" t="s">
        <v>682</v>
      </c>
      <c r="P666" s="7">
        <f t="shared" ref="P666:P729" si="63">MONTH(D666)</f>
        <v>8</v>
      </c>
      <c r="Q666" s="7">
        <f t="shared" si="61"/>
        <v>2025</v>
      </c>
    </row>
    <row r="667" spans="1:17" x14ac:dyDescent="0.25">
      <c r="A667" s="7">
        <v>2539</v>
      </c>
      <c r="B667" s="9" t="s">
        <v>533</v>
      </c>
      <c r="C667" s="9" t="s">
        <v>533</v>
      </c>
      <c r="D667" s="8">
        <v>45891</v>
      </c>
      <c r="E667" s="7" t="s">
        <v>60</v>
      </c>
      <c r="F667" s="7">
        <v>1</v>
      </c>
      <c r="G667" s="7" t="s">
        <v>14</v>
      </c>
      <c r="H667" s="7" t="s">
        <v>314</v>
      </c>
      <c r="J667" s="7">
        <f t="shared" si="62"/>
        <v>1900</v>
      </c>
      <c r="K667" s="7">
        <f t="shared" si="59"/>
        <v>1</v>
      </c>
      <c r="L667" s="7">
        <f t="shared" si="60"/>
        <v>45891</v>
      </c>
      <c r="M667" s="7" t="s">
        <v>537</v>
      </c>
      <c r="N667" s="7" t="s">
        <v>922</v>
      </c>
      <c r="O667" s="17" t="s">
        <v>682</v>
      </c>
      <c r="P667" s="7">
        <f t="shared" si="63"/>
        <v>8</v>
      </c>
      <c r="Q667" s="7">
        <f t="shared" si="61"/>
        <v>2025</v>
      </c>
    </row>
    <row r="668" spans="1:17" x14ac:dyDescent="0.25">
      <c r="A668" s="7">
        <v>2539</v>
      </c>
      <c r="B668" s="9" t="s">
        <v>533</v>
      </c>
      <c r="C668" s="9" t="s">
        <v>533</v>
      </c>
      <c r="D668" s="8">
        <v>45891</v>
      </c>
      <c r="E668" s="7" t="s">
        <v>60</v>
      </c>
      <c r="F668" s="7">
        <v>1</v>
      </c>
      <c r="G668" s="7" t="s">
        <v>14</v>
      </c>
      <c r="H668" s="7" t="s">
        <v>314</v>
      </c>
      <c r="J668" s="7">
        <f t="shared" si="62"/>
        <v>1900</v>
      </c>
      <c r="K668" s="7">
        <f t="shared" si="59"/>
        <v>1</v>
      </c>
      <c r="L668" s="7">
        <f t="shared" si="60"/>
        <v>45891</v>
      </c>
      <c r="M668" s="7" t="s">
        <v>537</v>
      </c>
      <c r="N668" s="7" t="s">
        <v>922</v>
      </c>
      <c r="O668" s="17" t="s">
        <v>682</v>
      </c>
      <c r="P668" s="7">
        <f t="shared" si="63"/>
        <v>8</v>
      </c>
      <c r="Q668" s="7">
        <f t="shared" si="61"/>
        <v>2025</v>
      </c>
    </row>
    <row r="669" spans="1:17" x14ac:dyDescent="0.25">
      <c r="A669" s="7">
        <v>2539</v>
      </c>
      <c r="B669" s="9" t="s">
        <v>533</v>
      </c>
      <c r="C669" s="9" t="s">
        <v>533</v>
      </c>
      <c r="D669" s="8">
        <v>45891</v>
      </c>
      <c r="E669" s="7" t="s">
        <v>60</v>
      </c>
      <c r="F669" s="7">
        <v>1</v>
      </c>
      <c r="G669" s="7" t="s">
        <v>14</v>
      </c>
      <c r="H669" s="7" t="s">
        <v>314</v>
      </c>
      <c r="J669" s="7">
        <f t="shared" si="62"/>
        <v>1900</v>
      </c>
      <c r="K669" s="7">
        <f t="shared" si="59"/>
        <v>1</v>
      </c>
      <c r="L669" s="7">
        <f t="shared" si="60"/>
        <v>45891</v>
      </c>
      <c r="M669" s="7" t="s">
        <v>537</v>
      </c>
      <c r="N669" s="7" t="s">
        <v>922</v>
      </c>
      <c r="O669" s="17" t="s">
        <v>682</v>
      </c>
      <c r="P669" s="7">
        <f t="shared" si="63"/>
        <v>8</v>
      </c>
      <c r="Q669" s="7">
        <f t="shared" si="61"/>
        <v>2025</v>
      </c>
    </row>
    <row r="670" spans="1:17" x14ac:dyDescent="0.25">
      <c r="A670" s="7">
        <v>2539</v>
      </c>
      <c r="B670" s="9" t="s">
        <v>533</v>
      </c>
      <c r="C670" s="9" t="s">
        <v>533</v>
      </c>
      <c r="D670" s="8">
        <v>45891</v>
      </c>
      <c r="E670" s="7" t="s">
        <v>60</v>
      </c>
      <c r="F670" s="7">
        <v>1</v>
      </c>
      <c r="G670" s="7" t="s">
        <v>14</v>
      </c>
      <c r="H670" s="7" t="s">
        <v>314</v>
      </c>
      <c r="J670" s="7">
        <f t="shared" si="62"/>
        <v>1900</v>
      </c>
      <c r="K670" s="7">
        <f t="shared" si="59"/>
        <v>1</v>
      </c>
      <c r="L670" s="7">
        <f t="shared" si="60"/>
        <v>45891</v>
      </c>
      <c r="M670" s="7" t="s">
        <v>537</v>
      </c>
      <c r="N670" s="7" t="s">
        <v>922</v>
      </c>
      <c r="O670" s="17" t="s">
        <v>682</v>
      </c>
      <c r="P670" s="7">
        <f t="shared" si="63"/>
        <v>8</v>
      </c>
      <c r="Q670" s="7">
        <f t="shared" si="61"/>
        <v>2025</v>
      </c>
    </row>
    <row r="671" spans="1:17" x14ac:dyDescent="0.25">
      <c r="A671" s="7">
        <v>2539</v>
      </c>
      <c r="B671" s="9" t="s">
        <v>533</v>
      </c>
      <c r="C671" s="9" t="s">
        <v>533</v>
      </c>
      <c r="D671" s="8">
        <v>45891</v>
      </c>
      <c r="E671" s="7" t="s">
        <v>60</v>
      </c>
      <c r="F671" s="7">
        <v>1</v>
      </c>
      <c r="G671" s="7" t="s">
        <v>14</v>
      </c>
      <c r="H671" s="7" t="s">
        <v>314</v>
      </c>
      <c r="J671" s="7">
        <f t="shared" si="62"/>
        <v>1900</v>
      </c>
      <c r="K671" s="7">
        <f t="shared" si="59"/>
        <v>1</v>
      </c>
      <c r="L671" s="7">
        <f t="shared" si="60"/>
        <v>45891</v>
      </c>
      <c r="M671" s="7" t="s">
        <v>537</v>
      </c>
      <c r="N671" s="7" t="s">
        <v>922</v>
      </c>
      <c r="O671" s="17" t="s">
        <v>682</v>
      </c>
      <c r="P671" s="7">
        <f t="shared" si="63"/>
        <v>8</v>
      </c>
      <c r="Q671" s="7">
        <f t="shared" si="61"/>
        <v>2025</v>
      </c>
    </row>
    <row r="672" spans="1:17" x14ac:dyDescent="0.25">
      <c r="A672" s="7">
        <v>2539</v>
      </c>
      <c r="B672" s="9" t="s">
        <v>533</v>
      </c>
      <c r="C672" s="9" t="s">
        <v>533</v>
      </c>
      <c r="D672" s="8">
        <v>45891</v>
      </c>
      <c r="E672" s="7" t="s">
        <v>60</v>
      </c>
      <c r="F672" s="7">
        <v>1</v>
      </c>
      <c r="G672" s="7" t="s">
        <v>14</v>
      </c>
      <c r="H672" s="7" t="s">
        <v>314</v>
      </c>
      <c r="J672" s="7">
        <f t="shared" si="62"/>
        <v>1900</v>
      </c>
      <c r="K672" s="7">
        <f t="shared" si="59"/>
        <v>1</v>
      </c>
      <c r="L672" s="7">
        <f t="shared" si="60"/>
        <v>45891</v>
      </c>
      <c r="M672" s="7" t="s">
        <v>537</v>
      </c>
      <c r="N672" s="7" t="s">
        <v>922</v>
      </c>
      <c r="O672" s="17" t="s">
        <v>682</v>
      </c>
      <c r="P672" s="7">
        <f t="shared" si="63"/>
        <v>8</v>
      </c>
      <c r="Q672" s="7">
        <f t="shared" si="61"/>
        <v>2025</v>
      </c>
    </row>
    <row r="673" spans="1:17" x14ac:dyDescent="0.25">
      <c r="A673" s="7">
        <v>2539</v>
      </c>
      <c r="B673" s="9" t="s">
        <v>533</v>
      </c>
      <c r="C673" s="9" t="s">
        <v>533</v>
      </c>
      <c r="D673" s="8">
        <v>45891</v>
      </c>
      <c r="E673" s="7" t="s">
        <v>60</v>
      </c>
      <c r="F673" s="7">
        <v>1</v>
      </c>
      <c r="G673" s="7" t="s">
        <v>14</v>
      </c>
      <c r="H673" s="7" t="s">
        <v>314</v>
      </c>
      <c r="J673" s="7">
        <f t="shared" si="62"/>
        <v>1900</v>
      </c>
      <c r="K673" s="7">
        <f t="shared" si="59"/>
        <v>1</v>
      </c>
      <c r="L673" s="7">
        <f t="shared" si="60"/>
        <v>45891</v>
      </c>
      <c r="M673" s="7" t="s">
        <v>537</v>
      </c>
      <c r="N673" s="7" t="s">
        <v>922</v>
      </c>
      <c r="O673" s="17" t="s">
        <v>682</v>
      </c>
      <c r="P673" s="7">
        <f t="shared" si="63"/>
        <v>8</v>
      </c>
      <c r="Q673" s="7">
        <f t="shared" si="61"/>
        <v>2025</v>
      </c>
    </row>
    <row r="674" spans="1:17" x14ac:dyDescent="0.25">
      <c r="A674" s="7">
        <v>2539</v>
      </c>
      <c r="B674" s="9" t="s">
        <v>533</v>
      </c>
      <c r="C674" s="9" t="s">
        <v>533</v>
      </c>
      <c r="D674" s="8">
        <v>45891</v>
      </c>
      <c r="E674" s="7" t="s">
        <v>60</v>
      </c>
      <c r="F674" s="7">
        <v>1</v>
      </c>
      <c r="G674" s="7" t="s">
        <v>14</v>
      </c>
      <c r="H674" s="7" t="s">
        <v>314</v>
      </c>
      <c r="J674" s="7">
        <f t="shared" si="62"/>
        <v>1900</v>
      </c>
      <c r="K674" s="7">
        <f t="shared" si="59"/>
        <v>1</v>
      </c>
      <c r="L674" s="7">
        <f t="shared" si="60"/>
        <v>45891</v>
      </c>
      <c r="M674" s="7" t="s">
        <v>537</v>
      </c>
      <c r="N674" s="7" t="s">
        <v>922</v>
      </c>
      <c r="O674" s="17" t="s">
        <v>682</v>
      </c>
      <c r="P674" s="7">
        <f t="shared" si="63"/>
        <v>8</v>
      </c>
      <c r="Q674" s="7">
        <f t="shared" si="61"/>
        <v>2025</v>
      </c>
    </row>
    <row r="675" spans="1:17" x14ac:dyDescent="0.25">
      <c r="A675" s="7">
        <v>2539</v>
      </c>
      <c r="B675" s="9" t="s">
        <v>533</v>
      </c>
      <c r="C675" s="9" t="s">
        <v>533</v>
      </c>
      <c r="D675" s="8">
        <v>45891</v>
      </c>
      <c r="E675" s="7" t="s">
        <v>60</v>
      </c>
      <c r="F675" s="7">
        <v>1</v>
      </c>
      <c r="G675" s="7" t="s">
        <v>14</v>
      </c>
      <c r="H675" s="7" t="s">
        <v>314</v>
      </c>
      <c r="J675" s="7">
        <f t="shared" si="62"/>
        <v>1900</v>
      </c>
      <c r="K675" s="7">
        <f t="shared" si="59"/>
        <v>1</v>
      </c>
      <c r="L675" s="7">
        <f t="shared" si="60"/>
        <v>45891</v>
      </c>
      <c r="M675" s="7" t="s">
        <v>537</v>
      </c>
      <c r="N675" s="7" t="s">
        <v>922</v>
      </c>
      <c r="O675" s="17" t="s">
        <v>682</v>
      </c>
      <c r="P675" s="7">
        <f t="shared" si="63"/>
        <v>8</v>
      </c>
      <c r="Q675" s="7">
        <f t="shared" si="61"/>
        <v>2025</v>
      </c>
    </row>
    <row r="676" spans="1:17" x14ac:dyDescent="0.25">
      <c r="A676" s="7">
        <v>2539</v>
      </c>
      <c r="B676" s="9" t="s">
        <v>533</v>
      </c>
      <c r="C676" s="9" t="s">
        <v>533</v>
      </c>
      <c r="D676" s="8">
        <v>45891</v>
      </c>
      <c r="E676" s="7" t="s">
        <v>60</v>
      </c>
      <c r="F676" s="7">
        <v>1</v>
      </c>
      <c r="G676" s="7" t="s">
        <v>14</v>
      </c>
      <c r="H676" s="7" t="s">
        <v>314</v>
      </c>
      <c r="J676" s="7">
        <f t="shared" si="62"/>
        <v>1900</v>
      </c>
      <c r="K676" s="7">
        <f t="shared" si="59"/>
        <v>1</v>
      </c>
      <c r="L676" s="7">
        <f t="shared" si="60"/>
        <v>45891</v>
      </c>
      <c r="M676" s="7" t="s">
        <v>537</v>
      </c>
      <c r="N676" s="7" t="s">
        <v>922</v>
      </c>
      <c r="O676" s="17" t="s">
        <v>682</v>
      </c>
      <c r="P676" s="7">
        <f t="shared" si="63"/>
        <v>8</v>
      </c>
      <c r="Q676" s="7">
        <f t="shared" si="61"/>
        <v>2025</v>
      </c>
    </row>
    <row r="677" spans="1:17" x14ac:dyDescent="0.25">
      <c r="A677" s="7">
        <v>2539</v>
      </c>
      <c r="B677" s="9" t="s">
        <v>533</v>
      </c>
      <c r="C677" s="9" t="s">
        <v>533</v>
      </c>
      <c r="D677" s="8">
        <v>45891</v>
      </c>
      <c r="E677" s="7" t="s">
        <v>60</v>
      </c>
      <c r="F677" s="7">
        <v>1</v>
      </c>
      <c r="G677" s="7" t="s">
        <v>14</v>
      </c>
      <c r="H677" s="7" t="s">
        <v>314</v>
      </c>
      <c r="J677" s="7">
        <f t="shared" si="62"/>
        <v>1900</v>
      </c>
      <c r="K677" s="7">
        <f t="shared" si="59"/>
        <v>1</v>
      </c>
      <c r="L677" s="7">
        <f t="shared" si="60"/>
        <v>45891</v>
      </c>
      <c r="M677" s="7" t="s">
        <v>537</v>
      </c>
      <c r="N677" s="7" t="s">
        <v>922</v>
      </c>
      <c r="O677" s="17" t="s">
        <v>682</v>
      </c>
      <c r="P677" s="7">
        <f t="shared" si="63"/>
        <v>8</v>
      </c>
      <c r="Q677" s="7">
        <f t="shared" si="61"/>
        <v>2025</v>
      </c>
    </row>
    <row r="678" spans="1:17" x14ac:dyDescent="0.25">
      <c r="A678" s="7">
        <v>2539</v>
      </c>
      <c r="B678" s="9" t="s">
        <v>533</v>
      </c>
      <c r="C678" s="9" t="s">
        <v>533</v>
      </c>
      <c r="D678" s="8">
        <v>45891</v>
      </c>
      <c r="E678" s="7" t="s">
        <v>60</v>
      </c>
      <c r="F678" s="7">
        <v>1</v>
      </c>
      <c r="G678" s="7" t="s">
        <v>14</v>
      </c>
      <c r="H678" s="7" t="s">
        <v>314</v>
      </c>
      <c r="J678" s="7">
        <f t="shared" si="62"/>
        <v>1900</v>
      </c>
      <c r="K678" s="7">
        <f t="shared" si="59"/>
        <v>1</v>
      </c>
      <c r="L678" s="7">
        <f t="shared" si="60"/>
        <v>45891</v>
      </c>
      <c r="M678" s="7" t="s">
        <v>537</v>
      </c>
      <c r="N678" s="7" t="s">
        <v>922</v>
      </c>
      <c r="O678" s="17" t="s">
        <v>682</v>
      </c>
      <c r="P678" s="7">
        <f t="shared" si="63"/>
        <v>8</v>
      </c>
      <c r="Q678" s="7">
        <f t="shared" si="61"/>
        <v>2025</v>
      </c>
    </row>
    <row r="679" spans="1:17" x14ac:dyDescent="0.25">
      <c r="A679" s="7">
        <v>2539</v>
      </c>
      <c r="B679" s="9" t="s">
        <v>533</v>
      </c>
      <c r="C679" s="9" t="s">
        <v>533</v>
      </c>
      <c r="D679" s="8">
        <v>45891</v>
      </c>
      <c r="E679" s="7" t="s">
        <v>60</v>
      </c>
      <c r="F679" s="7">
        <v>1</v>
      </c>
      <c r="G679" s="7" t="s">
        <v>14</v>
      </c>
      <c r="H679" s="7" t="s">
        <v>314</v>
      </c>
      <c r="J679" s="7">
        <f t="shared" si="62"/>
        <v>1900</v>
      </c>
      <c r="K679" s="7">
        <f t="shared" si="59"/>
        <v>1</v>
      </c>
      <c r="L679" s="7">
        <f t="shared" si="60"/>
        <v>45891</v>
      </c>
      <c r="M679" s="7" t="s">
        <v>537</v>
      </c>
      <c r="N679" s="7" t="s">
        <v>922</v>
      </c>
      <c r="O679" s="17" t="s">
        <v>682</v>
      </c>
      <c r="P679" s="7">
        <f t="shared" si="63"/>
        <v>8</v>
      </c>
      <c r="Q679" s="7">
        <f t="shared" si="61"/>
        <v>2025</v>
      </c>
    </row>
    <row r="680" spans="1:17" x14ac:dyDescent="0.25">
      <c r="A680" s="7">
        <v>2539</v>
      </c>
      <c r="B680" s="9" t="s">
        <v>533</v>
      </c>
      <c r="C680" s="9" t="s">
        <v>533</v>
      </c>
      <c r="D680" s="8">
        <v>45891</v>
      </c>
      <c r="E680" s="7" t="s">
        <v>60</v>
      </c>
      <c r="F680" s="7">
        <v>1</v>
      </c>
      <c r="G680" s="7" t="s">
        <v>14</v>
      </c>
      <c r="H680" s="7" t="s">
        <v>314</v>
      </c>
      <c r="J680" s="7">
        <f t="shared" si="62"/>
        <v>1900</v>
      </c>
      <c r="K680" s="7">
        <f t="shared" si="59"/>
        <v>1</v>
      </c>
      <c r="L680" s="7">
        <f t="shared" si="60"/>
        <v>45891</v>
      </c>
      <c r="M680" s="7" t="s">
        <v>537</v>
      </c>
      <c r="N680" s="7" t="s">
        <v>922</v>
      </c>
      <c r="O680" s="17" t="s">
        <v>682</v>
      </c>
      <c r="P680" s="7">
        <f t="shared" si="63"/>
        <v>8</v>
      </c>
      <c r="Q680" s="7">
        <f t="shared" si="61"/>
        <v>2025</v>
      </c>
    </row>
    <row r="681" spans="1:17" x14ac:dyDescent="0.25">
      <c r="A681" s="7">
        <v>2539</v>
      </c>
      <c r="B681" s="9" t="s">
        <v>533</v>
      </c>
      <c r="C681" s="9" t="s">
        <v>533</v>
      </c>
      <c r="D681" s="8">
        <v>45891</v>
      </c>
      <c r="E681" s="7" t="s">
        <v>60</v>
      </c>
      <c r="F681" s="7">
        <v>1</v>
      </c>
      <c r="G681" s="7" t="s">
        <v>14</v>
      </c>
      <c r="H681" s="7" t="s">
        <v>314</v>
      </c>
      <c r="J681" s="7">
        <f t="shared" si="62"/>
        <v>1900</v>
      </c>
      <c r="K681" s="7">
        <f t="shared" si="59"/>
        <v>1</v>
      </c>
      <c r="L681" s="7">
        <f t="shared" si="60"/>
        <v>45891</v>
      </c>
      <c r="M681" s="7" t="s">
        <v>537</v>
      </c>
      <c r="N681" s="7" t="s">
        <v>922</v>
      </c>
      <c r="O681" s="17" t="s">
        <v>682</v>
      </c>
      <c r="P681" s="7">
        <f t="shared" si="63"/>
        <v>8</v>
      </c>
      <c r="Q681" s="7">
        <f t="shared" si="61"/>
        <v>2025</v>
      </c>
    </row>
    <row r="682" spans="1:17" x14ac:dyDescent="0.25">
      <c r="A682" s="7">
        <v>2539</v>
      </c>
      <c r="B682" s="9" t="s">
        <v>533</v>
      </c>
      <c r="C682" s="9" t="s">
        <v>533</v>
      </c>
      <c r="D682" s="8">
        <v>45891</v>
      </c>
      <c r="E682" s="7" t="s">
        <v>60</v>
      </c>
      <c r="F682" s="7">
        <v>1</v>
      </c>
      <c r="G682" s="7" t="s">
        <v>14</v>
      </c>
      <c r="H682" s="7" t="s">
        <v>314</v>
      </c>
      <c r="J682" s="7">
        <f t="shared" si="62"/>
        <v>1900</v>
      </c>
      <c r="K682" s="7">
        <f t="shared" si="59"/>
        <v>1</v>
      </c>
      <c r="L682" s="7">
        <f t="shared" si="60"/>
        <v>45891</v>
      </c>
      <c r="M682" s="7" t="s">
        <v>537</v>
      </c>
      <c r="N682" s="7" t="s">
        <v>922</v>
      </c>
      <c r="O682" s="17" t="s">
        <v>682</v>
      </c>
      <c r="P682" s="7">
        <f t="shared" si="63"/>
        <v>8</v>
      </c>
      <c r="Q682" s="7">
        <f t="shared" si="61"/>
        <v>2025</v>
      </c>
    </row>
    <row r="683" spans="1:17" x14ac:dyDescent="0.25">
      <c r="A683" s="7">
        <v>2539</v>
      </c>
      <c r="B683" s="9" t="s">
        <v>533</v>
      </c>
      <c r="C683" s="9" t="s">
        <v>533</v>
      </c>
      <c r="D683" s="8">
        <v>45891</v>
      </c>
      <c r="E683" s="7" t="s">
        <v>60</v>
      </c>
      <c r="F683" s="7">
        <v>1</v>
      </c>
      <c r="G683" s="7" t="s">
        <v>14</v>
      </c>
      <c r="H683" s="7" t="s">
        <v>314</v>
      </c>
      <c r="J683" s="7">
        <f t="shared" si="62"/>
        <v>1900</v>
      </c>
      <c r="K683" s="7">
        <f t="shared" si="59"/>
        <v>1</v>
      </c>
      <c r="L683" s="7">
        <f t="shared" si="60"/>
        <v>45891</v>
      </c>
      <c r="M683" s="7" t="s">
        <v>537</v>
      </c>
      <c r="N683" s="7" t="s">
        <v>922</v>
      </c>
      <c r="O683" s="17" t="s">
        <v>682</v>
      </c>
      <c r="P683" s="7">
        <f t="shared" si="63"/>
        <v>8</v>
      </c>
      <c r="Q683" s="7">
        <f t="shared" si="61"/>
        <v>2025</v>
      </c>
    </row>
    <row r="684" spans="1:17" x14ac:dyDescent="0.25">
      <c r="A684" s="7">
        <v>2539</v>
      </c>
      <c r="B684" s="9" t="s">
        <v>533</v>
      </c>
      <c r="C684" s="9" t="s">
        <v>533</v>
      </c>
      <c r="D684" s="8">
        <v>45891</v>
      </c>
      <c r="E684" s="7" t="s">
        <v>60</v>
      </c>
      <c r="F684" s="7">
        <v>1</v>
      </c>
      <c r="G684" s="7" t="s">
        <v>14</v>
      </c>
      <c r="H684" s="7" t="s">
        <v>314</v>
      </c>
      <c r="J684" s="7">
        <f t="shared" si="62"/>
        <v>1900</v>
      </c>
      <c r="K684" s="7">
        <f t="shared" si="59"/>
        <v>1</v>
      </c>
      <c r="L684" s="7">
        <f t="shared" si="60"/>
        <v>45891</v>
      </c>
      <c r="M684" s="7" t="s">
        <v>537</v>
      </c>
      <c r="N684" s="7" t="s">
        <v>922</v>
      </c>
      <c r="O684" s="17" t="s">
        <v>682</v>
      </c>
      <c r="P684" s="7">
        <f t="shared" si="63"/>
        <v>8</v>
      </c>
      <c r="Q684" s="7">
        <f t="shared" si="61"/>
        <v>2025</v>
      </c>
    </row>
    <row r="685" spans="1:17" x14ac:dyDescent="0.25">
      <c r="A685" s="7">
        <v>2539</v>
      </c>
      <c r="B685" s="9" t="s">
        <v>533</v>
      </c>
      <c r="C685" s="9" t="s">
        <v>533</v>
      </c>
      <c r="D685" s="8">
        <v>45891</v>
      </c>
      <c r="E685" s="7" t="s">
        <v>60</v>
      </c>
      <c r="F685" s="7">
        <v>1</v>
      </c>
      <c r="G685" s="7" t="s">
        <v>14</v>
      </c>
      <c r="H685" s="7" t="s">
        <v>314</v>
      </c>
      <c r="J685" s="7">
        <f t="shared" si="62"/>
        <v>1900</v>
      </c>
      <c r="K685" s="7">
        <f t="shared" ref="K685:K748" si="64">MONTH(I685)</f>
        <v>1</v>
      </c>
      <c r="L685" s="7">
        <f t="shared" si="60"/>
        <v>45891</v>
      </c>
      <c r="M685" s="7" t="s">
        <v>537</v>
      </c>
      <c r="N685" s="7" t="s">
        <v>922</v>
      </c>
      <c r="O685" s="17" t="s">
        <v>682</v>
      </c>
      <c r="P685" s="7">
        <f t="shared" si="63"/>
        <v>8</v>
      </c>
      <c r="Q685" s="7">
        <f t="shared" si="61"/>
        <v>2025</v>
      </c>
    </row>
    <row r="686" spans="1:17" x14ac:dyDescent="0.25">
      <c r="A686" s="7">
        <v>2539</v>
      </c>
      <c r="B686" s="9" t="s">
        <v>533</v>
      </c>
      <c r="C686" s="9" t="s">
        <v>533</v>
      </c>
      <c r="D686" s="8">
        <v>45891</v>
      </c>
      <c r="E686" s="7" t="s">
        <v>60</v>
      </c>
      <c r="F686" s="7">
        <v>1</v>
      </c>
      <c r="G686" s="7" t="s">
        <v>14</v>
      </c>
      <c r="H686" s="7" t="s">
        <v>314</v>
      </c>
      <c r="J686" s="7">
        <f t="shared" si="62"/>
        <v>1900</v>
      </c>
      <c r="K686" s="7">
        <f t="shared" si="64"/>
        <v>1</v>
      </c>
      <c r="L686" s="7">
        <f t="shared" si="60"/>
        <v>45891</v>
      </c>
      <c r="M686" s="7" t="s">
        <v>537</v>
      </c>
      <c r="N686" s="7" t="s">
        <v>922</v>
      </c>
      <c r="O686" s="17" t="s">
        <v>682</v>
      </c>
      <c r="P686" s="7">
        <f t="shared" si="63"/>
        <v>8</v>
      </c>
      <c r="Q686" s="7">
        <f t="shared" si="61"/>
        <v>2025</v>
      </c>
    </row>
    <row r="687" spans="1:17" x14ac:dyDescent="0.25">
      <c r="A687" s="7">
        <v>2539</v>
      </c>
      <c r="B687" s="9" t="s">
        <v>533</v>
      </c>
      <c r="C687" s="9" t="s">
        <v>533</v>
      </c>
      <c r="D687" s="8">
        <v>45891</v>
      </c>
      <c r="E687" s="7" t="s">
        <v>60</v>
      </c>
      <c r="F687" s="7">
        <v>1</v>
      </c>
      <c r="G687" s="7" t="s">
        <v>14</v>
      </c>
      <c r="H687" s="7" t="s">
        <v>314</v>
      </c>
      <c r="J687" s="7">
        <f t="shared" si="62"/>
        <v>1900</v>
      </c>
      <c r="K687" s="7">
        <f t="shared" si="64"/>
        <v>1</v>
      </c>
      <c r="L687" s="7">
        <f t="shared" ref="L687:L750" si="65">D687-I687</f>
        <v>45891</v>
      </c>
      <c r="M687" s="7" t="s">
        <v>537</v>
      </c>
      <c r="N687" s="7" t="s">
        <v>922</v>
      </c>
      <c r="O687" s="17" t="s">
        <v>682</v>
      </c>
      <c r="P687" s="7">
        <f t="shared" si="63"/>
        <v>8</v>
      </c>
      <c r="Q687" s="7">
        <f t="shared" si="61"/>
        <v>2025</v>
      </c>
    </row>
    <row r="688" spans="1:17" x14ac:dyDescent="0.25">
      <c r="A688" s="7">
        <v>2539</v>
      </c>
      <c r="B688" s="9" t="s">
        <v>533</v>
      </c>
      <c r="C688" s="9" t="s">
        <v>533</v>
      </c>
      <c r="D688" s="8">
        <v>45891</v>
      </c>
      <c r="E688" s="7" t="s">
        <v>60</v>
      </c>
      <c r="F688" s="7">
        <v>1</v>
      </c>
      <c r="G688" s="7" t="s">
        <v>14</v>
      </c>
      <c r="H688" s="7" t="s">
        <v>314</v>
      </c>
      <c r="J688" s="7">
        <f t="shared" si="62"/>
        <v>1900</v>
      </c>
      <c r="K688" s="7">
        <f t="shared" si="64"/>
        <v>1</v>
      </c>
      <c r="L688" s="7">
        <f t="shared" si="65"/>
        <v>45891</v>
      </c>
      <c r="M688" s="7" t="s">
        <v>537</v>
      </c>
      <c r="N688" s="7" t="s">
        <v>922</v>
      </c>
      <c r="O688" s="17" t="s">
        <v>682</v>
      </c>
      <c r="P688" s="7">
        <f t="shared" si="63"/>
        <v>8</v>
      </c>
      <c r="Q688" s="7">
        <f t="shared" si="61"/>
        <v>2025</v>
      </c>
    </row>
    <row r="689" spans="1:17" x14ac:dyDescent="0.25">
      <c r="A689" s="7">
        <v>2539</v>
      </c>
      <c r="B689" s="9" t="s">
        <v>533</v>
      </c>
      <c r="C689" s="9" t="s">
        <v>533</v>
      </c>
      <c r="D689" s="8">
        <v>45891</v>
      </c>
      <c r="E689" s="7" t="s">
        <v>60</v>
      </c>
      <c r="F689" s="7">
        <v>1</v>
      </c>
      <c r="G689" s="7" t="s">
        <v>14</v>
      </c>
      <c r="H689" s="7" t="s">
        <v>314</v>
      </c>
      <c r="J689" s="7">
        <f t="shared" si="62"/>
        <v>1900</v>
      </c>
      <c r="K689" s="7">
        <f t="shared" si="64"/>
        <v>1</v>
      </c>
      <c r="L689" s="7">
        <f t="shared" si="65"/>
        <v>45891</v>
      </c>
      <c r="M689" s="7" t="s">
        <v>537</v>
      </c>
      <c r="N689" s="7" t="s">
        <v>922</v>
      </c>
      <c r="O689" s="17" t="s">
        <v>682</v>
      </c>
      <c r="P689" s="7">
        <f t="shared" si="63"/>
        <v>8</v>
      </c>
      <c r="Q689" s="7">
        <f t="shared" si="61"/>
        <v>2025</v>
      </c>
    </row>
    <row r="690" spans="1:17" x14ac:dyDescent="0.25">
      <c r="A690" s="7">
        <v>2539</v>
      </c>
      <c r="B690" s="9" t="s">
        <v>533</v>
      </c>
      <c r="C690" s="9" t="s">
        <v>533</v>
      </c>
      <c r="D690" s="8">
        <v>45891</v>
      </c>
      <c r="E690" s="7" t="s">
        <v>60</v>
      </c>
      <c r="F690" s="7">
        <v>1</v>
      </c>
      <c r="G690" s="7" t="s">
        <v>14</v>
      </c>
      <c r="H690" s="7" t="s">
        <v>314</v>
      </c>
      <c r="J690" s="7">
        <f t="shared" si="62"/>
        <v>1900</v>
      </c>
      <c r="K690" s="7">
        <f t="shared" si="64"/>
        <v>1</v>
      </c>
      <c r="L690" s="7">
        <f t="shared" si="65"/>
        <v>45891</v>
      </c>
      <c r="M690" s="7" t="s">
        <v>537</v>
      </c>
      <c r="N690" s="7" t="s">
        <v>922</v>
      </c>
      <c r="O690" s="17" t="s">
        <v>682</v>
      </c>
      <c r="P690" s="7">
        <f t="shared" si="63"/>
        <v>8</v>
      </c>
      <c r="Q690" s="7">
        <f t="shared" si="61"/>
        <v>2025</v>
      </c>
    </row>
    <row r="691" spans="1:17" x14ac:dyDescent="0.25">
      <c r="A691" s="7">
        <v>2539</v>
      </c>
      <c r="B691" s="9" t="s">
        <v>533</v>
      </c>
      <c r="C691" s="9" t="s">
        <v>533</v>
      </c>
      <c r="D691" s="8">
        <v>45891</v>
      </c>
      <c r="E691" s="7" t="s">
        <v>60</v>
      </c>
      <c r="F691" s="7">
        <v>1</v>
      </c>
      <c r="G691" s="7" t="s">
        <v>14</v>
      </c>
      <c r="H691" s="7" t="s">
        <v>314</v>
      </c>
      <c r="J691" s="7">
        <f t="shared" si="62"/>
        <v>1900</v>
      </c>
      <c r="K691" s="7">
        <f t="shared" si="64"/>
        <v>1</v>
      </c>
      <c r="L691" s="7">
        <f t="shared" si="65"/>
        <v>45891</v>
      </c>
      <c r="M691" s="7" t="s">
        <v>537</v>
      </c>
      <c r="N691" s="7" t="s">
        <v>922</v>
      </c>
      <c r="O691" s="17" t="s">
        <v>682</v>
      </c>
      <c r="P691" s="7">
        <f t="shared" si="63"/>
        <v>8</v>
      </c>
      <c r="Q691" s="7">
        <f t="shared" si="61"/>
        <v>2025</v>
      </c>
    </row>
    <row r="692" spans="1:17" x14ac:dyDescent="0.25">
      <c r="A692" s="7">
        <v>2539</v>
      </c>
      <c r="B692" s="9" t="s">
        <v>533</v>
      </c>
      <c r="C692" s="9" t="s">
        <v>533</v>
      </c>
      <c r="D692" s="8">
        <v>45891</v>
      </c>
      <c r="E692" s="7" t="s">
        <v>60</v>
      </c>
      <c r="F692" s="7">
        <v>1</v>
      </c>
      <c r="G692" s="7" t="s">
        <v>14</v>
      </c>
      <c r="H692" s="7" t="s">
        <v>314</v>
      </c>
      <c r="J692" s="7">
        <f t="shared" si="62"/>
        <v>1900</v>
      </c>
      <c r="K692" s="7">
        <f t="shared" si="64"/>
        <v>1</v>
      </c>
      <c r="L692" s="7">
        <f t="shared" si="65"/>
        <v>45891</v>
      </c>
      <c r="M692" s="7" t="s">
        <v>537</v>
      </c>
      <c r="N692" s="7" t="s">
        <v>922</v>
      </c>
      <c r="O692" s="17" t="s">
        <v>682</v>
      </c>
      <c r="P692" s="7">
        <f t="shared" si="63"/>
        <v>8</v>
      </c>
      <c r="Q692" s="7">
        <f t="shared" si="61"/>
        <v>2025</v>
      </c>
    </row>
    <row r="693" spans="1:17" x14ac:dyDescent="0.25">
      <c r="A693" s="7">
        <v>2539</v>
      </c>
      <c r="B693" s="9" t="s">
        <v>533</v>
      </c>
      <c r="C693" s="9" t="s">
        <v>533</v>
      </c>
      <c r="D693" s="8">
        <v>45891</v>
      </c>
      <c r="E693" s="7" t="s">
        <v>60</v>
      </c>
      <c r="F693" s="7">
        <v>1</v>
      </c>
      <c r="G693" s="7" t="s">
        <v>14</v>
      </c>
      <c r="H693" s="7" t="s">
        <v>314</v>
      </c>
      <c r="J693" s="7">
        <f t="shared" si="62"/>
        <v>1900</v>
      </c>
      <c r="K693" s="7">
        <f t="shared" si="64"/>
        <v>1</v>
      </c>
      <c r="L693" s="7">
        <f t="shared" si="65"/>
        <v>45891</v>
      </c>
      <c r="M693" s="7" t="s">
        <v>537</v>
      </c>
      <c r="N693" s="7" t="s">
        <v>922</v>
      </c>
      <c r="O693" s="17" t="s">
        <v>682</v>
      </c>
      <c r="P693" s="7">
        <f t="shared" si="63"/>
        <v>8</v>
      </c>
      <c r="Q693" s="7">
        <f t="shared" ref="Q693:Q756" si="66">YEAR(D693)</f>
        <v>2025</v>
      </c>
    </row>
    <row r="694" spans="1:17" x14ac:dyDescent="0.25">
      <c r="A694" s="7">
        <v>2539</v>
      </c>
      <c r="B694" s="9" t="s">
        <v>533</v>
      </c>
      <c r="C694" s="9" t="s">
        <v>533</v>
      </c>
      <c r="D694" s="8">
        <v>45891</v>
      </c>
      <c r="E694" s="7" t="s">
        <v>60</v>
      </c>
      <c r="F694" s="7">
        <v>1</v>
      </c>
      <c r="G694" s="7" t="s">
        <v>14</v>
      </c>
      <c r="H694" s="7" t="s">
        <v>314</v>
      </c>
      <c r="J694" s="7">
        <f t="shared" si="62"/>
        <v>1900</v>
      </c>
      <c r="K694" s="7">
        <f t="shared" si="64"/>
        <v>1</v>
      </c>
      <c r="L694" s="7">
        <f t="shared" si="65"/>
        <v>45891</v>
      </c>
      <c r="M694" s="7" t="s">
        <v>537</v>
      </c>
      <c r="N694" s="7" t="s">
        <v>922</v>
      </c>
      <c r="O694" s="17" t="s">
        <v>682</v>
      </c>
      <c r="P694" s="7">
        <f t="shared" si="63"/>
        <v>8</v>
      </c>
      <c r="Q694" s="7">
        <f t="shared" si="66"/>
        <v>2025</v>
      </c>
    </row>
    <row r="695" spans="1:17" x14ac:dyDescent="0.25">
      <c r="A695" s="7">
        <v>2539</v>
      </c>
      <c r="B695" s="9" t="s">
        <v>533</v>
      </c>
      <c r="C695" s="9" t="s">
        <v>533</v>
      </c>
      <c r="D695" s="8">
        <v>45891</v>
      </c>
      <c r="E695" s="7" t="s">
        <v>60</v>
      </c>
      <c r="F695" s="7">
        <v>1</v>
      </c>
      <c r="G695" s="7" t="s">
        <v>14</v>
      </c>
      <c r="H695" s="7" t="s">
        <v>314</v>
      </c>
      <c r="J695" s="7">
        <f t="shared" si="62"/>
        <v>1900</v>
      </c>
      <c r="K695" s="7">
        <f t="shared" si="64"/>
        <v>1</v>
      </c>
      <c r="L695" s="7">
        <f t="shared" si="65"/>
        <v>45891</v>
      </c>
      <c r="M695" s="7" t="s">
        <v>537</v>
      </c>
      <c r="N695" s="7" t="s">
        <v>922</v>
      </c>
      <c r="O695" s="17" t="s">
        <v>682</v>
      </c>
      <c r="P695" s="7">
        <f t="shared" si="63"/>
        <v>8</v>
      </c>
      <c r="Q695" s="7">
        <f t="shared" si="66"/>
        <v>2025</v>
      </c>
    </row>
    <row r="696" spans="1:17" x14ac:dyDescent="0.25">
      <c r="A696" s="7">
        <v>2539</v>
      </c>
      <c r="B696" s="9" t="s">
        <v>533</v>
      </c>
      <c r="C696" s="9" t="s">
        <v>533</v>
      </c>
      <c r="D696" s="8">
        <v>45891</v>
      </c>
      <c r="E696" s="7" t="s">
        <v>60</v>
      </c>
      <c r="F696" s="7">
        <v>1</v>
      </c>
      <c r="G696" s="7" t="s">
        <v>14</v>
      </c>
      <c r="H696" s="7" t="s">
        <v>314</v>
      </c>
      <c r="J696" s="7">
        <f t="shared" si="62"/>
        <v>1900</v>
      </c>
      <c r="K696" s="7">
        <f t="shared" si="64"/>
        <v>1</v>
      </c>
      <c r="L696" s="7">
        <f t="shared" si="65"/>
        <v>45891</v>
      </c>
      <c r="M696" s="7" t="s">
        <v>537</v>
      </c>
      <c r="N696" s="7" t="s">
        <v>922</v>
      </c>
      <c r="O696" s="17" t="s">
        <v>682</v>
      </c>
      <c r="P696" s="7">
        <f t="shared" si="63"/>
        <v>8</v>
      </c>
      <c r="Q696" s="7">
        <f t="shared" si="66"/>
        <v>2025</v>
      </c>
    </row>
    <row r="697" spans="1:17" x14ac:dyDescent="0.25">
      <c r="A697" s="7">
        <v>2539</v>
      </c>
      <c r="B697" s="9" t="s">
        <v>533</v>
      </c>
      <c r="C697" s="9" t="s">
        <v>533</v>
      </c>
      <c r="D697" s="8">
        <v>45891</v>
      </c>
      <c r="E697" s="7" t="s">
        <v>60</v>
      </c>
      <c r="F697" s="7">
        <v>1</v>
      </c>
      <c r="G697" s="7" t="s">
        <v>14</v>
      </c>
      <c r="H697" s="7" t="s">
        <v>314</v>
      </c>
      <c r="J697" s="7">
        <f t="shared" si="62"/>
        <v>1900</v>
      </c>
      <c r="K697" s="7">
        <f t="shared" si="64"/>
        <v>1</v>
      </c>
      <c r="L697" s="7">
        <f t="shared" si="65"/>
        <v>45891</v>
      </c>
      <c r="M697" s="7" t="s">
        <v>537</v>
      </c>
      <c r="N697" s="7" t="s">
        <v>922</v>
      </c>
      <c r="O697" s="17" t="s">
        <v>682</v>
      </c>
      <c r="P697" s="7">
        <f t="shared" si="63"/>
        <v>8</v>
      </c>
      <c r="Q697" s="7">
        <f t="shared" si="66"/>
        <v>2025</v>
      </c>
    </row>
    <row r="698" spans="1:17" x14ac:dyDescent="0.25">
      <c r="A698" s="7">
        <v>2539</v>
      </c>
      <c r="B698" s="9" t="s">
        <v>533</v>
      </c>
      <c r="C698" s="9" t="s">
        <v>533</v>
      </c>
      <c r="D698" s="8">
        <v>45891</v>
      </c>
      <c r="E698" s="7" t="s">
        <v>60</v>
      </c>
      <c r="F698" s="7">
        <v>1</v>
      </c>
      <c r="G698" s="7" t="s">
        <v>14</v>
      </c>
      <c r="H698" s="7" t="s">
        <v>314</v>
      </c>
      <c r="J698" s="7">
        <f t="shared" si="62"/>
        <v>1900</v>
      </c>
      <c r="K698" s="7">
        <f t="shared" si="64"/>
        <v>1</v>
      </c>
      <c r="L698" s="7">
        <f t="shared" si="65"/>
        <v>45891</v>
      </c>
      <c r="M698" s="7" t="s">
        <v>537</v>
      </c>
      <c r="N698" s="7" t="s">
        <v>922</v>
      </c>
      <c r="O698" s="17" t="s">
        <v>682</v>
      </c>
      <c r="P698" s="7">
        <f t="shared" si="63"/>
        <v>8</v>
      </c>
      <c r="Q698" s="7">
        <f t="shared" si="66"/>
        <v>2025</v>
      </c>
    </row>
    <row r="699" spans="1:17" x14ac:dyDescent="0.25">
      <c r="A699" s="7">
        <v>2539</v>
      </c>
      <c r="B699" s="9" t="s">
        <v>533</v>
      </c>
      <c r="C699" s="9" t="s">
        <v>533</v>
      </c>
      <c r="D699" s="8">
        <v>45891</v>
      </c>
      <c r="E699" s="7" t="s">
        <v>60</v>
      </c>
      <c r="F699" s="7">
        <v>1</v>
      </c>
      <c r="G699" s="7" t="s">
        <v>14</v>
      </c>
      <c r="H699" s="7" t="s">
        <v>314</v>
      </c>
      <c r="J699" s="7">
        <f t="shared" si="62"/>
        <v>1900</v>
      </c>
      <c r="K699" s="7">
        <f t="shared" si="64"/>
        <v>1</v>
      </c>
      <c r="L699" s="7">
        <f t="shared" si="65"/>
        <v>45891</v>
      </c>
      <c r="M699" s="7" t="s">
        <v>537</v>
      </c>
      <c r="N699" s="7" t="s">
        <v>922</v>
      </c>
      <c r="O699" s="17" t="s">
        <v>682</v>
      </c>
      <c r="P699" s="7">
        <f t="shared" si="63"/>
        <v>8</v>
      </c>
      <c r="Q699" s="7">
        <f t="shared" si="66"/>
        <v>2025</v>
      </c>
    </row>
    <row r="700" spans="1:17" x14ac:dyDescent="0.25">
      <c r="A700" s="7">
        <v>2539</v>
      </c>
      <c r="B700" s="9" t="s">
        <v>533</v>
      </c>
      <c r="C700" s="9" t="s">
        <v>533</v>
      </c>
      <c r="D700" s="8">
        <v>45891</v>
      </c>
      <c r="E700" s="7" t="s">
        <v>60</v>
      </c>
      <c r="F700" s="7">
        <v>1</v>
      </c>
      <c r="G700" s="7" t="s">
        <v>14</v>
      </c>
      <c r="H700" s="7" t="s">
        <v>314</v>
      </c>
      <c r="J700" s="7">
        <f t="shared" si="62"/>
        <v>1900</v>
      </c>
      <c r="K700" s="7">
        <f t="shared" si="64"/>
        <v>1</v>
      </c>
      <c r="L700" s="7">
        <f t="shared" si="65"/>
        <v>45891</v>
      </c>
      <c r="M700" s="7" t="s">
        <v>537</v>
      </c>
      <c r="N700" s="7" t="s">
        <v>922</v>
      </c>
      <c r="O700" s="17" t="s">
        <v>682</v>
      </c>
      <c r="P700" s="7">
        <f t="shared" si="63"/>
        <v>8</v>
      </c>
      <c r="Q700" s="7">
        <f t="shared" si="66"/>
        <v>2025</v>
      </c>
    </row>
    <row r="701" spans="1:17" x14ac:dyDescent="0.25">
      <c r="A701" s="7">
        <v>2539</v>
      </c>
      <c r="B701" s="9" t="s">
        <v>533</v>
      </c>
      <c r="C701" s="9" t="s">
        <v>533</v>
      </c>
      <c r="D701" s="8">
        <v>45891</v>
      </c>
      <c r="E701" s="7" t="s">
        <v>60</v>
      </c>
      <c r="F701" s="7">
        <v>1</v>
      </c>
      <c r="G701" s="7" t="s">
        <v>14</v>
      </c>
      <c r="H701" s="7" t="s">
        <v>314</v>
      </c>
      <c r="J701" s="7">
        <f t="shared" si="62"/>
        <v>1900</v>
      </c>
      <c r="K701" s="7">
        <f t="shared" si="64"/>
        <v>1</v>
      </c>
      <c r="L701" s="7">
        <f t="shared" si="65"/>
        <v>45891</v>
      </c>
      <c r="M701" s="7" t="s">
        <v>537</v>
      </c>
      <c r="N701" s="7" t="s">
        <v>922</v>
      </c>
      <c r="O701" s="17" t="s">
        <v>682</v>
      </c>
      <c r="P701" s="7">
        <f t="shared" si="63"/>
        <v>8</v>
      </c>
      <c r="Q701" s="7">
        <f t="shared" si="66"/>
        <v>2025</v>
      </c>
    </row>
    <row r="702" spans="1:17" x14ac:dyDescent="0.25">
      <c r="A702" s="7">
        <v>2539</v>
      </c>
      <c r="B702" s="9" t="s">
        <v>533</v>
      </c>
      <c r="C702" s="9" t="s">
        <v>533</v>
      </c>
      <c r="D702" s="8">
        <v>45891</v>
      </c>
      <c r="E702" s="7" t="s">
        <v>60</v>
      </c>
      <c r="F702" s="7">
        <v>1</v>
      </c>
      <c r="G702" s="7" t="s">
        <v>14</v>
      </c>
      <c r="H702" s="7" t="s">
        <v>314</v>
      </c>
      <c r="J702" s="7">
        <f t="shared" si="62"/>
        <v>1900</v>
      </c>
      <c r="K702" s="7">
        <f t="shared" si="64"/>
        <v>1</v>
      </c>
      <c r="L702" s="7">
        <f t="shared" si="65"/>
        <v>45891</v>
      </c>
      <c r="M702" s="7" t="s">
        <v>537</v>
      </c>
      <c r="N702" s="7" t="s">
        <v>922</v>
      </c>
      <c r="O702" s="17" t="s">
        <v>682</v>
      </c>
      <c r="P702" s="7">
        <f t="shared" si="63"/>
        <v>8</v>
      </c>
      <c r="Q702" s="7">
        <f t="shared" si="66"/>
        <v>2025</v>
      </c>
    </row>
    <row r="703" spans="1:17" x14ac:dyDescent="0.25">
      <c r="A703" s="7">
        <v>2539</v>
      </c>
      <c r="B703" s="9" t="s">
        <v>533</v>
      </c>
      <c r="C703" s="9" t="s">
        <v>533</v>
      </c>
      <c r="D703" s="8">
        <v>45891</v>
      </c>
      <c r="E703" s="7" t="s">
        <v>60</v>
      </c>
      <c r="F703" s="7">
        <v>1</v>
      </c>
      <c r="G703" s="7" t="s">
        <v>14</v>
      </c>
      <c r="H703" s="7" t="s">
        <v>314</v>
      </c>
      <c r="J703" s="7">
        <f t="shared" si="62"/>
        <v>1900</v>
      </c>
      <c r="K703" s="7">
        <f t="shared" si="64"/>
        <v>1</v>
      </c>
      <c r="L703" s="7">
        <f t="shared" si="65"/>
        <v>45891</v>
      </c>
      <c r="M703" s="7" t="s">
        <v>537</v>
      </c>
      <c r="N703" s="7" t="s">
        <v>922</v>
      </c>
      <c r="O703" s="17" t="s">
        <v>682</v>
      </c>
      <c r="P703" s="7">
        <f t="shared" si="63"/>
        <v>8</v>
      </c>
      <c r="Q703" s="7">
        <f t="shared" si="66"/>
        <v>2025</v>
      </c>
    </row>
    <row r="704" spans="1:17" x14ac:dyDescent="0.25">
      <c r="A704" s="7">
        <v>2539</v>
      </c>
      <c r="B704" s="9" t="s">
        <v>533</v>
      </c>
      <c r="C704" s="9" t="s">
        <v>533</v>
      </c>
      <c r="D704" s="8">
        <v>45891</v>
      </c>
      <c r="E704" s="7" t="s">
        <v>60</v>
      </c>
      <c r="F704" s="7">
        <v>1</v>
      </c>
      <c r="G704" s="7" t="s">
        <v>14</v>
      </c>
      <c r="H704" s="7" t="s">
        <v>314</v>
      </c>
      <c r="J704" s="7">
        <f t="shared" si="62"/>
        <v>1900</v>
      </c>
      <c r="K704" s="7">
        <f t="shared" si="64"/>
        <v>1</v>
      </c>
      <c r="L704" s="7">
        <f t="shared" si="65"/>
        <v>45891</v>
      </c>
      <c r="M704" s="7" t="s">
        <v>537</v>
      </c>
      <c r="N704" s="7" t="s">
        <v>922</v>
      </c>
      <c r="O704" s="17" t="s">
        <v>682</v>
      </c>
      <c r="P704" s="7">
        <f t="shared" si="63"/>
        <v>8</v>
      </c>
      <c r="Q704" s="7">
        <f t="shared" si="66"/>
        <v>2025</v>
      </c>
    </row>
    <row r="705" spans="1:17" x14ac:dyDescent="0.25">
      <c r="A705" s="7">
        <v>2539</v>
      </c>
      <c r="B705" s="9" t="s">
        <v>533</v>
      </c>
      <c r="C705" s="9" t="s">
        <v>533</v>
      </c>
      <c r="D705" s="8">
        <v>45891</v>
      </c>
      <c r="E705" s="7" t="s">
        <v>60</v>
      </c>
      <c r="F705" s="7">
        <v>1</v>
      </c>
      <c r="G705" s="7" t="s">
        <v>14</v>
      </c>
      <c r="H705" s="7" t="s">
        <v>314</v>
      </c>
      <c r="J705" s="7">
        <f t="shared" si="62"/>
        <v>1900</v>
      </c>
      <c r="K705" s="7">
        <f t="shared" si="64"/>
        <v>1</v>
      </c>
      <c r="L705" s="7">
        <f t="shared" si="65"/>
        <v>45891</v>
      </c>
      <c r="M705" s="7" t="s">
        <v>537</v>
      </c>
      <c r="N705" s="7" t="s">
        <v>922</v>
      </c>
      <c r="O705" s="17" t="s">
        <v>682</v>
      </c>
      <c r="P705" s="7">
        <f t="shared" si="63"/>
        <v>8</v>
      </c>
      <c r="Q705" s="7">
        <f t="shared" si="66"/>
        <v>2025</v>
      </c>
    </row>
    <row r="706" spans="1:17" x14ac:dyDescent="0.25">
      <c r="A706" s="7">
        <v>2539</v>
      </c>
      <c r="B706" s="9" t="s">
        <v>533</v>
      </c>
      <c r="C706" s="9" t="s">
        <v>533</v>
      </c>
      <c r="D706" s="8">
        <v>45891</v>
      </c>
      <c r="E706" s="7" t="s">
        <v>60</v>
      </c>
      <c r="F706" s="7">
        <v>1</v>
      </c>
      <c r="G706" s="7" t="s">
        <v>14</v>
      </c>
      <c r="H706" s="7" t="s">
        <v>314</v>
      </c>
      <c r="J706" s="7">
        <f t="shared" si="62"/>
        <v>1900</v>
      </c>
      <c r="K706" s="7">
        <f t="shared" si="64"/>
        <v>1</v>
      </c>
      <c r="L706" s="7">
        <f t="shared" si="65"/>
        <v>45891</v>
      </c>
      <c r="M706" s="7" t="s">
        <v>537</v>
      </c>
      <c r="N706" s="7" t="s">
        <v>922</v>
      </c>
      <c r="O706" s="17" t="s">
        <v>682</v>
      </c>
      <c r="P706" s="7">
        <f t="shared" si="63"/>
        <v>8</v>
      </c>
      <c r="Q706" s="7">
        <f t="shared" si="66"/>
        <v>2025</v>
      </c>
    </row>
    <row r="707" spans="1:17" x14ac:dyDescent="0.25">
      <c r="A707" s="7">
        <v>2539</v>
      </c>
      <c r="B707" s="9" t="s">
        <v>533</v>
      </c>
      <c r="C707" s="9" t="s">
        <v>533</v>
      </c>
      <c r="D707" s="8">
        <v>45891</v>
      </c>
      <c r="E707" s="7" t="s">
        <v>60</v>
      </c>
      <c r="F707" s="7">
        <v>1</v>
      </c>
      <c r="G707" s="7" t="s">
        <v>14</v>
      </c>
      <c r="H707" s="7" t="s">
        <v>314</v>
      </c>
      <c r="J707" s="7">
        <f t="shared" si="62"/>
        <v>1900</v>
      </c>
      <c r="K707" s="7">
        <f t="shared" si="64"/>
        <v>1</v>
      </c>
      <c r="L707" s="7">
        <f t="shared" si="65"/>
        <v>45891</v>
      </c>
      <c r="M707" s="7" t="s">
        <v>537</v>
      </c>
      <c r="N707" s="7" t="s">
        <v>922</v>
      </c>
      <c r="O707" s="17" t="s">
        <v>682</v>
      </c>
      <c r="P707" s="7">
        <f t="shared" si="63"/>
        <v>8</v>
      </c>
      <c r="Q707" s="7">
        <f t="shared" si="66"/>
        <v>2025</v>
      </c>
    </row>
    <row r="708" spans="1:17" x14ac:dyDescent="0.25">
      <c r="A708" s="7">
        <v>2539</v>
      </c>
      <c r="B708" s="9" t="s">
        <v>533</v>
      </c>
      <c r="C708" s="9" t="s">
        <v>533</v>
      </c>
      <c r="D708" s="8">
        <v>45891</v>
      </c>
      <c r="E708" s="7" t="s">
        <v>60</v>
      </c>
      <c r="F708" s="7">
        <v>1</v>
      </c>
      <c r="G708" s="7" t="s">
        <v>14</v>
      </c>
      <c r="H708" s="7" t="s">
        <v>314</v>
      </c>
      <c r="J708" s="7">
        <f t="shared" si="62"/>
        <v>1900</v>
      </c>
      <c r="K708" s="7">
        <f t="shared" si="64"/>
        <v>1</v>
      </c>
      <c r="L708" s="7">
        <f t="shared" si="65"/>
        <v>45891</v>
      </c>
      <c r="M708" s="7" t="s">
        <v>537</v>
      </c>
      <c r="N708" s="7" t="s">
        <v>922</v>
      </c>
      <c r="O708" s="17" t="s">
        <v>682</v>
      </c>
      <c r="P708" s="7">
        <f t="shared" si="63"/>
        <v>8</v>
      </c>
      <c r="Q708" s="7">
        <f t="shared" si="66"/>
        <v>2025</v>
      </c>
    </row>
    <row r="709" spans="1:17" x14ac:dyDescent="0.25">
      <c r="A709" s="7">
        <v>2539</v>
      </c>
      <c r="B709" s="9" t="s">
        <v>533</v>
      </c>
      <c r="C709" s="9" t="s">
        <v>533</v>
      </c>
      <c r="D709" s="8">
        <v>45891</v>
      </c>
      <c r="E709" s="7" t="s">
        <v>60</v>
      </c>
      <c r="F709" s="7">
        <v>1</v>
      </c>
      <c r="G709" s="7" t="s">
        <v>14</v>
      </c>
      <c r="H709" s="7" t="s">
        <v>314</v>
      </c>
      <c r="J709" s="7">
        <f t="shared" si="62"/>
        <v>1900</v>
      </c>
      <c r="K709" s="7">
        <f t="shared" si="64"/>
        <v>1</v>
      </c>
      <c r="L709" s="7">
        <f t="shared" si="65"/>
        <v>45891</v>
      </c>
      <c r="M709" s="7" t="s">
        <v>537</v>
      </c>
      <c r="N709" s="7" t="s">
        <v>922</v>
      </c>
      <c r="O709" s="17" t="s">
        <v>682</v>
      </c>
      <c r="P709" s="7">
        <f t="shared" si="63"/>
        <v>8</v>
      </c>
      <c r="Q709" s="7">
        <f t="shared" si="66"/>
        <v>2025</v>
      </c>
    </row>
    <row r="710" spans="1:17" x14ac:dyDescent="0.25">
      <c r="A710" s="7">
        <v>2539</v>
      </c>
      <c r="B710" s="9" t="s">
        <v>533</v>
      </c>
      <c r="C710" s="9" t="s">
        <v>533</v>
      </c>
      <c r="D710" s="8">
        <v>45891</v>
      </c>
      <c r="E710" s="7" t="s">
        <v>60</v>
      </c>
      <c r="F710" s="7">
        <v>1</v>
      </c>
      <c r="G710" s="7" t="s">
        <v>14</v>
      </c>
      <c r="H710" s="7" t="s">
        <v>314</v>
      </c>
      <c r="J710" s="7">
        <f t="shared" si="62"/>
        <v>1900</v>
      </c>
      <c r="K710" s="7">
        <f t="shared" si="64"/>
        <v>1</v>
      </c>
      <c r="L710" s="7">
        <f t="shared" si="65"/>
        <v>45891</v>
      </c>
      <c r="M710" s="7" t="s">
        <v>537</v>
      </c>
      <c r="N710" s="7" t="s">
        <v>922</v>
      </c>
      <c r="O710" s="17" t="s">
        <v>682</v>
      </c>
      <c r="P710" s="7">
        <f t="shared" si="63"/>
        <v>8</v>
      </c>
      <c r="Q710" s="7">
        <f t="shared" si="66"/>
        <v>2025</v>
      </c>
    </row>
    <row r="711" spans="1:17" x14ac:dyDescent="0.25">
      <c r="A711" s="7">
        <v>2539</v>
      </c>
      <c r="B711" s="9" t="s">
        <v>533</v>
      </c>
      <c r="C711" s="9" t="s">
        <v>533</v>
      </c>
      <c r="D711" s="8">
        <v>45891</v>
      </c>
      <c r="E711" s="7" t="s">
        <v>60</v>
      </c>
      <c r="F711" s="7">
        <v>1</v>
      </c>
      <c r="G711" s="7" t="s">
        <v>14</v>
      </c>
      <c r="H711" s="7" t="s">
        <v>314</v>
      </c>
      <c r="J711" s="7">
        <f t="shared" si="62"/>
        <v>1900</v>
      </c>
      <c r="K711" s="7">
        <f t="shared" si="64"/>
        <v>1</v>
      </c>
      <c r="L711" s="7">
        <f t="shared" si="65"/>
        <v>45891</v>
      </c>
      <c r="M711" s="7" t="s">
        <v>537</v>
      </c>
      <c r="N711" s="7" t="s">
        <v>922</v>
      </c>
      <c r="O711" s="17" t="s">
        <v>682</v>
      </c>
      <c r="P711" s="7">
        <f t="shared" si="63"/>
        <v>8</v>
      </c>
      <c r="Q711" s="7">
        <f t="shared" si="66"/>
        <v>2025</v>
      </c>
    </row>
    <row r="712" spans="1:17" x14ac:dyDescent="0.25">
      <c r="A712" s="7">
        <v>2539</v>
      </c>
      <c r="B712" s="9" t="s">
        <v>533</v>
      </c>
      <c r="C712" s="9" t="s">
        <v>533</v>
      </c>
      <c r="D712" s="8">
        <v>45891</v>
      </c>
      <c r="E712" s="7" t="s">
        <v>60</v>
      </c>
      <c r="F712" s="7">
        <v>1</v>
      </c>
      <c r="G712" s="7" t="s">
        <v>14</v>
      </c>
      <c r="H712" s="7" t="s">
        <v>314</v>
      </c>
      <c r="J712" s="7">
        <f t="shared" si="62"/>
        <v>1900</v>
      </c>
      <c r="K712" s="7">
        <f t="shared" si="64"/>
        <v>1</v>
      </c>
      <c r="L712" s="7">
        <f t="shared" si="65"/>
        <v>45891</v>
      </c>
      <c r="M712" s="7" t="s">
        <v>537</v>
      </c>
      <c r="N712" s="7" t="s">
        <v>922</v>
      </c>
      <c r="O712" s="17" t="s">
        <v>682</v>
      </c>
      <c r="P712" s="7">
        <f t="shared" si="63"/>
        <v>8</v>
      </c>
      <c r="Q712" s="7">
        <f t="shared" si="66"/>
        <v>2025</v>
      </c>
    </row>
    <row r="713" spans="1:17" x14ac:dyDescent="0.25">
      <c r="A713" s="7">
        <v>2539</v>
      </c>
      <c r="B713" s="9" t="s">
        <v>533</v>
      </c>
      <c r="C713" s="9" t="s">
        <v>533</v>
      </c>
      <c r="D713" s="8">
        <v>45891</v>
      </c>
      <c r="E713" s="7" t="s">
        <v>60</v>
      </c>
      <c r="F713" s="7">
        <v>1</v>
      </c>
      <c r="G713" s="7" t="s">
        <v>14</v>
      </c>
      <c r="H713" s="7" t="s">
        <v>314</v>
      </c>
      <c r="J713" s="7">
        <f t="shared" si="62"/>
        <v>1900</v>
      </c>
      <c r="K713" s="7">
        <f t="shared" si="64"/>
        <v>1</v>
      </c>
      <c r="L713" s="7">
        <f t="shared" si="65"/>
        <v>45891</v>
      </c>
      <c r="M713" s="7" t="s">
        <v>537</v>
      </c>
      <c r="N713" s="7" t="s">
        <v>922</v>
      </c>
      <c r="O713" s="17" t="s">
        <v>682</v>
      </c>
      <c r="P713" s="7">
        <f t="shared" si="63"/>
        <v>8</v>
      </c>
      <c r="Q713" s="7">
        <f t="shared" si="66"/>
        <v>2025</v>
      </c>
    </row>
    <row r="714" spans="1:17" x14ac:dyDescent="0.25">
      <c r="A714" s="7">
        <v>2539</v>
      </c>
      <c r="B714" s="9" t="s">
        <v>533</v>
      </c>
      <c r="C714" s="9" t="s">
        <v>533</v>
      </c>
      <c r="D714" s="8">
        <v>45891</v>
      </c>
      <c r="E714" s="7" t="s">
        <v>60</v>
      </c>
      <c r="F714" s="7">
        <v>1</v>
      </c>
      <c r="G714" s="7" t="s">
        <v>14</v>
      </c>
      <c r="H714" s="7" t="s">
        <v>314</v>
      </c>
      <c r="J714" s="7">
        <f t="shared" si="62"/>
        <v>1900</v>
      </c>
      <c r="K714" s="7">
        <f t="shared" si="64"/>
        <v>1</v>
      </c>
      <c r="L714" s="7">
        <f t="shared" si="65"/>
        <v>45891</v>
      </c>
      <c r="M714" s="7" t="s">
        <v>537</v>
      </c>
      <c r="N714" s="7" t="s">
        <v>922</v>
      </c>
      <c r="O714" s="17" t="s">
        <v>682</v>
      </c>
      <c r="P714" s="7">
        <f t="shared" si="63"/>
        <v>8</v>
      </c>
      <c r="Q714" s="7">
        <f t="shared" si="66"/>
        <v>2025</v>
      </c>
    </row>
    <row r="715" spans="1:17" x14ac:dyDescent="0.25">
      <c r="A715" s="7">
        <v>2539</v>
      </c>
      <c r="B715" s="9" t="s">
        <v>533</v>
      </c>
      <c r="C715" s="9" t="s">
        <v>533</v>
      </c>
      <c r="D715" s="8">
        <v>45891</v>
      </c>
      <c r="E715" s="7" t="s">
        <v>60</v>
      </c>
      <c r="F715" s="7">
        <v>1</v>
      </c>
      <c r="G715" s="7" t="s">
        <v>14</v>
      </c>
      <c r="H715" s="7" t="s">
        <v>314</v>
      </c>
      <c r="J715" s="7">
        <f t="shared" si="62"/>
        <v>1900</v>
      </c>
      <c r="K715" s="7">
        <f t="shared" si="64"/>
        <v>1</v>
      </c>
      <c r="L715" s="7">
        <f t="shared" si="65"/>
        <v>45891</v>
      </c>
      <c r="M715" s="7" t="s">
        <v>537</v>
      </c>
      <c r="N715" s="7" t="s">
        <v>922</v>
      </c>
      <c r="O715" s="17" t="s">
        <v>682</v>
      </c>
      <c r="P715" s="7">
        <f t="shared" si="63"/>
        <v>8</v>
      </c>
      <c r="Q715" s="7">
        <f t="shared" si="66"/>
        <v>2025</v>
      </c>
    </row>
    <row r="716" spans="1:17" x14ac:dyDescent="0.25">
      <c r="A716" s="7">
        <v>2539</v>
      </c>
      <c r="B716" s="9" t="s">
        <v>533</v>
      </c>
      <c r="C716" s="9" t="s">
        <v>533</v>
      </c>
      <c r="D716" s="8">
        <v>45891</v>
      </c>
      <c r="E716" s="7" t="s">
        <v>60</v>
      </c>
      <c r="F716" s="7">
        <v>1</v>
      </c>
      <c r="G716" s="7" t="s">
        <v>14</v>
      </c>
      <c r="H716" s="7" t="s">
        <v>314</v>
      </c>
      <c r="J716" s="7">
        <f t="shared" si="62"/>
        <v>1900</v>
      </c>
      <c r="K716" s="7">
        <f t="shared" si="64"/>
        <v>1</v>
      </c>
      <c r="L716" s="7">
        <f t="shared" si="65"/>
        <v>45891</v>
      </c>
      <c r="M716" s="7" t="s">
        <v>537</v>
      </c>
      <c r="N716" s="7" t="s">
        <v>922</v>
      </c>
      <c r="O716" s="17" t="s">
        <v>682</v>
      </c>
      <c r="P716" s="7">
        <f t="shared" si="63"/>
        <v>8</v>
      </c>
      <c r="Q716" s="7">
        <f t="shared" si="66"/>
        <v>2025</v>
      </c>
    </row>
    <row r="717" spans="1:17" x14ac:dyDescent="0.25">
      <c r="A717" s="7">
        <v>2539</v>
      </c>
      <c r="B717" s="9" t="s">
        <v>533</v>
      </c>
      <c r="C717" s="9" t="s">
        <v>533</v>
      </c>
      <c r="D717" s="8">
        <v>45891</v>
      </c>
      <c r="E717" s="7" t="s">
        <v>60</v>
      </c>
      <c r="F717" s="7">
        <v>1</v>
      </c>
      <c r="G717" s="7" t="s">
        <v>14</v>
      </c>
      <c r="H717" s="7" t="s">
        <v>314</v>
      </c>
      <c r="J717" s="7">
        <f t="shared" si="62"/>
        <v>1900</v>
      </c>
      <c r="K717" s="7">
        <f t="shared" si="64"/>
        <v>1</v>
      </c>
      <c r="L717" s="7">
        <f t="shared" si="65"/>
        <v>45891</v>
      </c>
      <c r="M717" s="7" t="s">
        <v>537</v>
      </c>
      <c r="N717" s="7" t="s">
        <v>922</v>
      </c>
      <c r="O717" s="17" t="s">
        <v>682</v>
      </c>
      <c r="P717" s="7">
        <f t="shared" si="63"/>
        <v>8</v>
      </c>
      <c r="Q717" s="7">
        <f t="shared" si="66"/>
        <v>2025</v>
      </c>
    </row>
    <row r="718" spans="1:17" x14ac:dyDescent="0.25">
      <c r="A718" s="7">
        <v>2539</v>
      </c>
      <c r="B718" s="9" t="s">
        <v>533</v>
      </c>
      <c r="C718" s="9" t="s">
        <v>533</v>
      </c>
      <c r="D718" s="8">
        <v>45891</v>
      </c>
      <c r="E718" s="7" t="s">
        <v>60</v>
      </c>
      <c r="F718" s="7">
        <v>1</v>
      </c>
      <c r="G718" s="7" t="s">
        <v>14</v>
      </c>
      <c r="H718" s="7" t="s">
        <v>314</v>
      </c>
      <c r="J718" s="7">
        <f t="shared" si="62"/>
        <v>1900</v>
      </c>
      <c r="K718" s="7">
        <f t="shared" si="64"/>
        <v>1</v>
      </c>
      <c r="L718" s="7">
        <f t="shared" si="65"/>
        <v>45891</v>
      </c>
      <c r="M718" s="7" t="s">
        <v>537</v>
      </c>
      <c r="N718" s="7" t="s">
        <v>922</v>
      </c>
      <c r="O718" s="17" t="s">
        <v>682</v>
      </c>
      <c r="P718" s="7">
        <f t="shared" si="63"/>
        <v>8</v>
      </c>
      <c r="Q718" s="7">
        <f t="shared" si="66"/>
        <v>2025</v>
      </c>
    </row>
    <row r="719" spans="1:17" x14ac:dyDescent="0.25">
      <c r="A719" s="7">
        <v>2539</v>
      </c>
      <c r="B719" s="9" t="s">
        <v>533</v>
      </c>
      <c r="C719" s="9" t="s">
        <v>533</v>
      </c>
      <c r="D719" s="8">
        <v>45891</v>
      </c>
      <c r="E719" s="7" t="s">
        <v>60</v>
      </c>
      <c r="F719" s="7">
        <v>1</v>
      </c>
      <c r="G719" s="7" t="s">
        <v>14</v>
      </c>
      <c r="H719" s="7" t="s">
        <v>314</v>
      </c>
      <c r="J719" s="7">
        <f t="shared" si="62"/>
        <v>1900</v>
      </c>
      <c r="K719" s="7">
        <f t="shared" si="64"/>
        <v>1</v>
      </c>
      <c r="L719" s="7">
        <f t="shared" si="65"/>
        <v>45891</v>
      </c>
      <c r="M719" s="7" t="s">
        <v>537</v>
      </c>
      <c r="N719" s="7" t="s">
        <v>922</v>
      </c>
      <c r="O719" s="17" t="s">
        <v>682</v>
      </c>
      <c r="P719" s="7">
        <f t="shared" si="63"/>
        <v>8</v>
      </c>
      <c r="Q719" s="7">
        <f t="shared" si="66"/>
        <v>2025</v>
      </c>
    </row>
    <row r="720" spans="1:17" x14ac:dyDescent="0.25">
      <c r="A720" s="7">
        <v>2539</v>
      </c>
      <c r="B720" s="9" t="s">
        <v>533</v>
      </c>
      <c r="C720" s="9" t="s">
        <v>533</v>
      </c>
      <c r="D720" s="8">
        <v>45891</v>
      </c>
      <c r="E720" s="7" t="s">
        <v>60</v>
      </c>
      <c r="F720" s="7">
        <v>1</v>
      </c>
      <c r="G720" s="7" t="s">
        <v>14</v>
      </c>
      <c r="H720" s="7" t="s">
        <v>314</v>
      </c>
      <c r="J720" s="7">
        <f t="shared" si="62"/>
        <v>1900</v>
      </c>
      <c r="K720" s="7">
        <f t="shared" si="64"/>
        <v>1</v>
      </c>
      <c r="L720" s="7">
        <f t="shared" si="65"/>
        <v>45891</v>
      </c>
      <c r="M720" s="7" t="s">
        <v>537</v>
      </c>
      <c r="N720" s="7" t="s">
        <v>922</v>
      </c>
      <c r="O720" s="17" t="s">
        <v>682</v>
      </c>
      <c r="P720" s="7">
        <f t="shared" si="63"/>
        <v>8</v>
      </c>
      <c r="Q720" s="7">
        <f t="shared" si="66"/>
        <v>2025</v>
      </c>
    </row>
    <row r="721" spans="1:17" x14ac:dyDescent="0.25">
      <c r="A721" s="7">
        <v>2539</v>
      </c>
      <c r="B721" s="9" t="s">
        <v>533</v>
      </c>
      <c r="C721" s="9" t="s">
        <v>533</v>
      </c>
      <c r="D721" s="8">
        <v>45891</v>
      </c>
      <c r="E721" s="7" t="s">
        <v>60</v>
      </c>
      <c r="F721" s="7">
        <v>1</v>
      </c>
      <c r="G721" s="7" t="s">
        <v>14</v>
      </c>
      <c r="H721" s="7" t="s">
        <v>314</v>
      </c>
      <c r="J721" s="7">
        <f t="shared" ref="J721:J784" si="67">YEAR(I721)</f>
        <v>1900</v>
      </c>
      <c r="K721" s="7">
        <f t="shared" si="64"/>
        <v>1</v>
      </c>
      <c r="L721" s="7">
        <f t="shared" si="65"/>
        <v>45891</v>
      </c>
      <c r="M721" s="7" t="s">
        <v>537</v>
      </c>
      <c r="N721" s="7" t="s">
        <v>922</v>
      </c>
      <c r="O721" s="17" t="s">
        <v>682</v>
      </c>
      <c r="P721" s="7">
        <f t="shared" si="63"/>
        <v>8</v>
      </c>
      <c r="Q721" s="7">
        <f t="shared" si="66"/>
        <v>2025</v>
      </c>
    </row>
    <row r="722" spans="1:17" x14ac:dyDescent="0.25">
      <c r="A722" s="7">
        <v>2539</v>
      </c>
      <c r="B722" s="9" t="s">
        <v>533</v>
      </c>
      <c r="C722" s="9" t="s">
        <v>533</v>
      </c>
      <c r="D722" s="8">
        <v>45891</v>
      </c>
      <c r="E722" s="7" t="s">
        <v>60</v>
      </c>
      <c r="F722" s="7">
        <v>1</v>
      </c>
      <c r="G722" s="7" t="s">
        <v>14</v>
      </c>
      <c r="H722" s="7" t="s">
        <v>314</v>
      </c>
      <c r="J722" s="7">
        <f t="shared" si="67"/>
        <v>1900</v>
      </c>
      <c r="K722" s="7">
        <f t="shared" si="64"/>
        <v>1</v>
      </c>
      <c r="L722" s="7">
        <f t="shared" si="65"/>
        <v>45891</v>
      </c>
      <c r="M722" s="7" t="s">
        <v>537</v>
      </c>
      <c r="N722" s="7" t="s">
        <v>922</v>
      </c>
      <c r="O722" s="17" t="s">
        <v>682</v>
      </c>
      <c r="P722" s="7">
        <f t="shared" si="63"/>
        <v>8</v>
      </c>
      <c r="Q722" s="7">
        <f t="shared" si="66"/>
        <v>2025</v>
      </c>
    </row>
    <row r="723" spans="1:17" x14ac:dyDescent="0.25">
      <c r="A723" s="7">
        <v>2539</v>
      </c>
      <c r="B723" s="9" t="s">
        <v>533</v>
      </c>
      <c r="C723" s="9" t="s">
        <v>533</v>
      </c>
      <c r="D723" s="8">
        <v>45891</v>
      </c>
      <c r="E723" s="7" t="s">
        <v>60</v>
      </c>
      <c r="F723" s="7">
        <v>1</v>
      </c>
      <c r="G723" s="7" t="s">
        <v>14</v>
      </c>
      <c r="H723" s="7" t="s">
        <v>314</v>
      </c>
      <c r="J723" s="7">
        <f t="shared" si="67"/>
        <v>1900</v>
      </c>
      <c r="K723" s="7">
        <f t="shared" si="64"/>
        <v>1</v>
      </c>
      <c r="L723" s="7">
        <f t="shared" si="65"/>
        <v>45891</v>
      </c>
      <c r="M723" s="7" t="s">
        <v>537</v>
      </c>
      <c r="N723" s="7" t="s">
        <v>922</v>
      </c>
      <c r="O723" s="17" t="s">
        <v>682</v>
      </c>
      <c r="P723" s="7">
        <f t="shared" si="63"/>
        <v>8</v>
      </c>
      <c r="Q723" s="7">
        <f t="shared" si="66"/>
        <v>2025</v>
      </c>
    </row>
    <row r="724" spans="1:17" x14ac:dyDescent="0.25">
      <c r="A724" s="7">
        <v>2539</v>
      </c>
      <c r="B724" s="9" t="s">
        <v>533</v>
      </c>
      <c r="C724" s="9" t="s">
        <v>533</v>
      </c>
      <c r="D724" s="8">
        <v>45891</v>
      </c>
      <c r="E724" s="7" t="s">
        <v>60</v>
      </c>
      <c r="F724" s="7">
        <v>1</v>
      </c>
      <c r="G724" s="7" t="s">
        <v>14</v>
      </c>
      <c r="H724" s="7" t="s">
        <v>314</v>
      </c>
      <c r="J724" s="7">
        <f t="shared" si="67"/>
        <v>1900</v>
      </c>
      <c r="K724" s="7">
        <f t="shared" si="64"/>
        <v>1</v>
      </c>
      <c r="L724" s="7">
        <f t="shared" si="65"/>
        <v>45891</v>
      </c>
      <c r="M724" s="7" t="s">
        <v>537</v>
      </c>
      <c r="N724" s="7" t="s">
        <v>922</v>
      </c>
      <c r="O724" s="17" t="s">
        <v>682</v>
      </c>
      <c r="P724" s="7">
        <f t="shared" si="63"/>
        <v>8</v>
      </c>
      <c r="Q724" s="7">
        <f t="shared" si="66"/>
        <v>2025</v>
      </c>
    </row>
    <row r="725" spans="1:17" x14ac:dyDescent="0.25">
      <c r="A725" s="7">
        <v>2539</v>
      </c>
      <c r="B725" s="9" t="s">
        <v>533</v>
      </c>
      <c r="C725" s="9" t="s">
        <v>533</v>
      </c>
      <c r="D725" s="8">
        <v>45891</v>
      </c>
      <c r="E725" s="7" t="s">
        <v>60</v>
      </c>
      <c r="F725" s="7">
        <v>1</v>
      </c>
      <c r="G725" s="7" t="s">
        <v>14</v>
      </c>
      <c r="H725" s="7" t="s">
        <v>314</v>
      </c>
      <c r="J725" s="7">
        <f t="shared" si="67"/>
        <v>1900</v>
      </c>
      <c r="K725" s="7">
        <f t="shared" si="64"/>
        <v>1</v>
      </c>
      <c r="L725" s="7">
        <f t="shared" si="65"/>
        <v>45891</v>
      </c>
      <c r="M725" s="7" t="s">
        <v>537</v>
      </c>
      <c r="N725" s="7" t="s">
        <v>922</v>
      </c>
      <c r="O725" s="17" t="s">
        <v>682</v>
      </c>
      <c r="P725" s="7">
        <f t="shared" si="63"/>
        <v>8</v>
      </c>
      <c r="Q725" s="7">
        <f t="shared" si="66"/>
        <v>2025</v>
      </c>
    </row>
    <row r="726" spans="1:17" x14ac:dyDescent="0.25">
      <c r="A726" s="7">
        <v>2539</v>
      </c>
      <c r="B726" s="9" t="s">
        <v>533</v>
      </c>
      <c r="C726" s="9" t="s">
        <v>533</v>
      </c>
      <c r="D726" s="8">
        <v>45891</v>
      </c>
      <c r="E726" s="7" t="s">
        <v>60</v>
      </c>
      <c r="F726" s="7">
        <v>1</v>
      </c>
      <c r="G726" s="7" t="s">
        <v>14</v>
      </c>
      <c r="H726" s="7" t="s">
        <v>314</v>
      </c>
      <c r="J726" s="7">
        <f t="shared" si="67"/>
        <v>1900</v>
      </c>
      <c r="K726" s="7">
        <f t="shared" si="64"/>
        <v>1</v>
      </c>
      <c r="L726" s="7">
        <f t="shared" si="65"/>
        <v>45891</v>
      </c>
      <c r="M726" s="7" t="s">
        <v>537</v>
      </c>
      <c r="N726" s="7" t="s">
        <v>922</v>
      </c>
      <c r="O726" s="17" t="s">
        <v>682</v>
      </c>
      <c r="P726" s="7">
        <f t="shared" si="63"/>
        <v>8</v>
      </c>
      <c r="Q726" s="7">
        <f t="shared" si="66"/>
        <v>2025</v>
      </c>
    </row>
    <row r="727" spans="1:17" x14ac:dyDescent="0.25">
      <c r="A727" s="7">
        <v>2539</v>
      </c>
      <c r="B727" s="9" t="s">
        <v>533</v>
      </c>
      <c r="C727" s="9" t="s">
        <v>533</v>
      </c>
      <c r="D727" s="8">
        <v>45891</v>
      </c>
      <c r="E727" s="7" t="s">
        <v>60</v>
      </c>
      <c r="F727" s="7">
        <v>1</v>
      </c>
      <c r="G727" s="7" t="s">
        <v>14</v>
      </c>
      <c r="H727" s="7" t="s">
        <v>314</v>
      </c>
      <c r="J727" s="7">
        <f t="shared" si="67"/>
        <v>1900</v>
      </c>
      <c r="K727" s="7">
        <f t="shared" si="64"/>
        <v>1</v>
      </c>
      <c r="L727" s="7">
        <f t="shared" si="65"/>
        <v>45891</v>
      </c>
      <c r="M727" s="7" t="s">
        <v>537</v>
      </c>
      <c r="N727" s="7" t="s">
        <v>922</v>
      </c>
      <c r="O727" s="17" t="s">
        <v>682</v>
      </c>
      <c r="P727" s="7">
        <f t="shared" si="63"/>
        <v>8</v>
      </c>
      <c r="Q727" s="7">
        <f t="shared" si="66"/>
        <v>2025</v>
      </c>
    </row>
    <row r="728" spans="1:17" x14ac:dyDescent="0.25">
      <c r="A728" s="7">
        <v>2539</v>
      </c>
      <c r="B728" s="9" t="s">
        <v>533</v>
      </c>
      <c r="C728" s="9" t="s">
        <v>533</v>
      </c>
      <c r="D728" s="8">
        <v>45891</v>
      </c>
      <c r="E728" s="7" t="s">
        <v>60</v>
      </c>
      <c r="F728" s="7">
        <v>1</v>
      </c>
      <c r="G728" s="7" t="s">
        <v>14</v>
      </c>
      <c r="H728" s="7" t="s">
        <v>314</v>
      </c>
      <c r="J728" s="7">
        <f t="shared" si="67"/>
        <v>1900</v>
      </c>
      <c r="K728" s="7">
        <f t="shared" si="64"/>
        <v>1</v>
      </c>
      <c r="L728" s="7">
        <f t="shared" si="65"/>
        <v>45891</v>
      </c>
      <c r="M728" s="7" t="s">
        <v>537</v>
      </c>
      <c r="N728" s="7" t="s">
        <v>922</v>
      </c>
      <c r="O728" s="17" t="s">
        <v>682</v>
      </c>
      <c r="P728" s="7">
        <f t="shared" si="63"/>
        <v>8</v>
      </c>
      <c r="Q728" s="7">
        <f t="shared" si="66"/>
        <v>2025</v>
      </c>
    </row>
    <row r="729" spans="1:17" x14ac:dyDescent="0.25">
      <c r="A729" s="7">
        <v>2539</v>
      </c>
      <c r="B729" s="9" t="s">
        <v>533</v>
      </c>
      <c r="C729" s="9" t="s">
        <v>533</v>
      </c>
      <c r="D729" s="8">
        <v>45891</v>
      </c>
      <c r="E729" s="7" t="s">
        <v>60</v>
      </c>
      <c r="F729" s="7">
        <v>1</v>
      </c>
      <c r="G729" s="7" t="s">
        <v>14</v>
      </c>
      <c r="H729" s="7" t="s">
        <v>314</v>
      </c>
      <c r="J729" s="7">
        <f t="shared" si="67"/>
        <v>1900</v>
      </c>
      <c r="K729" s="7">
        <f t="shared" si="64"/>
        <v>1</v>
      </c>
      <c r="L729" s="7">
        <f t="shared" si="65"/>
        <v>45891</v>
      </c>
      <c r="M729" s="7" t="s">
        <v>537</v>
      </c>
      <c r="N729" s="7" t="s">
        <v>922</v>
      </c>
      <c r="O729" s="17" t="s">
        <v>682</v>
      </c>
      <c r="P729" s="7">
        <f t="shared" si="63"/>
        <v>8</v>
      </c>
      <c r="Q729" s="7">
        <f t="shared" si="66"/>
        <v>2025</v>
      </c>
    </row>
    <row r="730" spans="1:17" x14ac:dyDescent="0.25">
      <c r="A730" s="7">
        <v>2539</v>
      </c>
      <c r="B730" s="9" t="s">
        <v>533</v>
      </c>
      <c r="C730" s="9" t="s">
        <v>533</v>
      </c>
      <c r="D730" s="8">
        <v>45891</v>
      </c>
      <c r="E730" s="7" t="s">
        <v>60</v>
      </c>
      <c r="F730" s="7">
        <v>1</v>
      </c>
      <c r="G730" s="7" t="s">
        <v>14</v>
      </c>
      <c r="H730" s="7" t="s">
        <v>314</v>
      </c>
      <c r="J730" s="7">
        <f t="shared" si="67"/>
        <v>1900</v>
      </c>
      <c r="K730" s="7">
        <f t="shared" si="64"/>
        <v>1</v>
      </c>
      <c r="L730" s="7">
        <f t="shared" si="65"/>
        <v>45891</v>
      </c>
      <c r="M730" s="7" t="s">
        <v>537</v>
      </c>
      <c r="N730" s="7" t="s">
        <v>922</v>
      </c>
      <c r="O730" s="17" t="s">
        <v>682</v>
      </c>
      <c r="P730" s="7">
        <f t="shared" ref="P730:P793" si="68">MONTH(D730)</f>
        <v>8</v>
      </c>
      <c r="Q730" s="7">
        <f t="shared" si="66"/>
        <v>2025</v>
      </c>
    </row>
    <row r="731" spans="1:17" x14ac:dyDescent="0.25">
      <c r="A731" s="7">
        <v>2539</v>
      </c>
      <c r="B731" s="9" t="s">
        <v>533</v>
      </c>
      <c r="C731" s="9" t="s">
        <v>533</v>
      </c>
      <c r="D731" s="8">
        <v>45891</v>
      </c>
      <c r="E731" s="7" t="s">
        <v>60</v>
      </c>
      <c r="F731" s="7">
        <v>1</v>
      </c>
      <c r="G731" s="7" t="s">
        <v>14</v>
      </c>
      <c r="H731" s="7" t="s">
        <v>314</v>
      </c>
      <c r="J731" s="7">
        <f t="shared" si="67"/>
        <v>1900</v>
      </c>
      <c r="K731" s="7">
        <f t="shared" si="64"/>
        <v>1</v>
      </c>
      <c r="L731" s="7">
        <f t="shared" si="65"/>
        <v>45891</v>
      </c>
      <c r="M731" s="7" t="s">
        <v>537</v>
      </c>
      <c r="N731" s="7" t="s">
        <v>922</v>
      </c>
      <c r="O731" s="17" t="s">
        <v>682</v>
      </c>
      <c r="P731" s="7">
        <f t="shared" si="68"/>
        <v>8</v>
      </c>
      <c r="Q731" s="7">
        <f t="shared" si="66"/>
        <v>2025</v>
      </c>
    </row>
    <row r="732" spans="1:17" x14ac:dyDescent="0.25">
      <c r="A732" s="7">
        <v>2539</v>
      </c>
      <c r="B732" s="9" t="s">
        <v>533</v>
      </c>
      <c r="C732" s="9" t="s">
        <v>533</v>
      </c>
      <c r="D732" s="8">
        <v>45891</v>
      </c>
      <c r="E732" s="7" t="s">
        <v>60</v>
      </c>
      <c r="F732" s="7">
        <v>1</v>
      </c>
      <c r="G732" s="7" t="s">
        <v>14</v>
      </c>
      <c r="H732" s="7" t="s">
        <v>314</v>
      </c>
      <c r="J732" s="7">
        <f t="shared" si="67"/>
        <v>1900</v>
      </c>
      <c r="K732" s="7">
        <f t="shared" si="64"/>
        <v>1</v>
      </c>
      <c r="L732" s="7">
        <f t="shared" si="65"/>
        <v>45891</v>
      </c>
      <c r="M732" s="7" t="s">
        <v>537</v>
      </c>
      <c r="N732" s="7" t="s">
        <v>922</v>
      </c>
      <c r="O732" s="17" t="s">
        <v>682</v>
      </c>
      <c r="P732" s="7">
        <f t="shared" si="68"/>
        <v>8</v>
      </c>
      <c r="Q732" s="7">
        <f t="shared" si="66"/>
        <v>2025</v>
      </c>
    </row>
    <row r="733" spans="1:17" x14ac:dyDescent="0.25">
      <c r="A733" s="7">
        <v>2539</v>
      </c>
      <c r="B733" s="9" t="s">
        <v>533</v>
      </c>
      <c r="C733" s="9" t="s">
        <v>533</v>
      </c>
      <c r="D733" s="8">
        <v>45891</v>
      </c>
      <c r="E733" s="7" t="s">
        <v>60</v>
      </c>
      <c r="F733" s="7">
        <v>1</v>
      </c>
      <c r="G733" s="7" t="s">
        <v>14</v>
      </c>
      <c r="H733" s="7" t="s">
        <v>314</v>
      </c>
      <c r="J733" s="7">
        <f t="shared" si="67"/>
        <v>1900</v>
      </c>
      <c r="K733" s="7">
        <f t="shared" si="64"/>
        <v>1</v>
      </c>
      <c r="L733" s="7">
        <f t="shared" si="65"/>
        <v>45891</v>
      </c>
      <c r="M733" s="7" t="s">
        <v>537</v>
      </c>
      <c r="N733" s="7" t="s">
        <v>922</v>
      </c>
      <c r="O733" s="17" t="s">
        <v>682</v>
      </c>
      <c r="P733" s="7">
        <f t="shared" si="68"/>
        <v>8</v>
      </c>
      <c r="Q733" s="7">
        <f t="shared" si="66"/>
        <v>2025</v>
      </c>
    </row>
    <row r="734" spans="1:17" x14ac:dyDescent="0.25">
      <c r="A734" s="7">
        <v>2539</v>
      </c>
      <c r="B734" s="9" t="s">
        <v>533</v>
      </c>
      <c r="C734" s="9" t="s">
        <v>533</v>
      </c>
      <c r="D734" s="8">
        <v>45891</v>
      </c>
      <c r="E734" s="7" t="s">
        <v>60</v>
      </c>
      <c r="F734" s="7">
        <v>1</v>
      </c>
      <c r="G734" s="7" t="s">
        <v>14</v>
      </c>
      <c r="H734" s="7" t="s">
        <v>314</v>
      </c>
      <c r="J734" s="7">
        <f t="shared" si="67"/>
        <v>1900</v>
      </c>
      <c r="K734" s="7">
        <f t="shared" si="64"/>
        <v>1</v>
      </c>
      <c r="L734" s="7">
        <f t="shared" si="65"/>
        <v>45891</v>
      </c>
      <c r="M734" s="7" t="s">
        <v>537</v>
      </c>
      <c r="N734" s="7" t="s">
        <v>922</v>
      </c>
      <c r="O734" s="17" t="s">
        <v>682</v>
      </c>
      <c r="P734" s="7">
        <f t="shared" si="68"/>
        <v>8</v>
      </c>
      <c r="Q734" s="7">
        <f t="shared" si="66"/>
        <v>2025</v>
      </c>
    </row>
    <row r="735" spans="1:17" x14ac:dyDescent="0.25">
      <c r="A735" s="7">
        <v>2539</v>
      </c>
      <c r="B735" s="9" t="s">
        <v>533</v>
      </c>
      <c r="C735" s="9" t="s">
        <v>533</v>
      </c>
      <c r="D735" s="8">
        <v>45891</v>
      </c>
      <c r="E735" s="7" t="s">
        <v>60</v>
      </c>
      <c r="F735" s="7">
        <v>1</v>
      </c>
      <c r="G735" s="7" t="s">
        <v>14</v>
      </c>
      <c r="H735" s="7" t="s">
        <v>314</v>
      </c>
      <c r="J735" s="7">
        <f t="shared" si="67"/>
        <v>1900</v>
      </c>
      <c r="K735" s="7">
        <f t="shared" si="64"/>
        <v>1</v>
      </c>
      <c r="L735" s="7">
        <f t="shared" si="65"/>
        <v>45891</v>
      </c>
      <c r="M735" s="7" t="s">
        <v>537</v>
      </c>
      <c r="N735" s="7" t="s">
        <v>922</v>
      </c>
      <c r="O735" s="17" t="s">
        <v>682</v>
      </c>
      <c r="P735" s="7">
        <f t="shared" si="68"/>
        <v>8</v>
      </c>
      <c r="Q735" s="7">
        <f t="shared" si="66"/>
        <v>2025</v>
      </c>
    </row>
    <row r="736" spans="1:17" x14ac:dyDescent="0.25">
      <c r="A736" s="7">
        <v>2539</v>
      </c>
      <c r="B736" s="9" t="s">
        <v>533</v>
      </c>
      <c r="C736" s="9" t="s">
        <v>533</v>
      </c>
      <c r="D736" s="8">
        <v>45891</v>
      </c>
      <c r="E736" s="7" t="s">
        <v>60</v>
      </c>
      <c r="F736" s="7">
        <v>1</v>
      </c>
      <c r="G736" s="7" t="s">
        <v>14</v>
      </c>
      <c r="H736" s="7" t="s">
        <v>314</v>
      </c>
      <c r="J736" s="7">
        <f t="shared" si="67"/>
        <v>1900</v>
      </c>
      <c r="K736" s="7">
        <f t="shared" si="64"/>
        <v>1</v>
      </c>
      <c r="L736" s="7">
        <f t="shared" si="65"/>
        <v>45891</v>
      </c>
      <c r="M736" s="7" t="s">
        <v>537</v>
      </c>
      <c r="N736" s="7" t="s">
        <v>922</v>
      </c>
      <c r="O736" s="17" t="s">
        <v>682</v>
      </c>
      <c r="P736" s="7">
        <f t="shared" si="68"/>
        <v>8</v>
      </c>
      <c r="Q736" s="7">
        <f t="shared" si="66"/>
        <v>2025</v>
      </c>
    </row>
    <row r="737" spans="1:17" x14ac:dyDescent="0.25">
      <c r="A737" s="7">
        <v>2539</v>
      </c>
      <c r="B737" s="9" t="s">
        <v>533</v>
      </c>
      <c r="C737" s="9" t="s">
        <v>533</v>
      </c>
      <c r="D737" s="8">
        <v>45891</v>
      </c>
      <c r="E737" s="7" t="s">
        <v>60</v>
      </c>
      <c r="F737" s="7">
        <v>1</v>
      </c>
      <c r="G737" s="7" t="s">
        <v>14</v>
      </c>
      <c r="H737" s="7" t="s">
        <v>314</v>
      </c>
      <c r="J737" s="7">
        <f t="shared" si="67"/>
        <v>1900</v>
      </c>
      <c r="K737" s="7">
        <f t="shared" si="64"/>
        <v>1</v>
      </c>
      <c r="L737" s="7">
        <f t="shared" si="65"/>
        <v>45891</v>
      </c>
      <c r="M737" s="7" t="s">
        <v>537</v>
      </c>
      <c r="N737" s="7" t="s">
        <v>922</v>
      </c>
      <c r="O737" s="17" t="s">
        <v>682</v>
      </c>
      <c r="P737" s="7">
        <f t="shared" si="68"/>
        <v>8</v>
      </c>
      <c r="Q737" s="7">
        <f t="shared" si="66"/>
        <v>2025</v>
      </c>
    </row>
    <row r="738" spans="1:17" x14ac:dyDescent="0.25">
      <c r="A738" s="7">
        <v>2539</v>
      </c>
      <c r="B738" s="9" t="s">
        <v>533</v>
      </c>
      <c r="C738" s="9" t="s">
        <v>533</v>
      </c>
      <c r="D738" s="8">
        <v>45891</v>
      </c>
      <c r="E738" s="7" t="s">
        <v>60</v>
      </c>
      <c r="F738" s="7">
        <v>1</v>
      </c>
      <c r="G738" s="7" t="s">
        <v>14</v>
      </c>
      <c r="H738" s="7" t="s">
        <v>314</v>
      </c>
      <c r="J738" s="7">
        <f t="shared" si="67"/>
        <v>1900</v>
      </c>
      <c r="K738" s="7">
        <f t="shared" si="64"/>
        <v>1</v>
      </c>
      <c r="L738" s="7">
        <f t="shared" si="65"/>
        <v>45891</v>
      </c>
      <c r="M738" s="7" t="s">
        <v>537</v>
      </c>
      <c r="N738" s="7" t="s">
        <v>922</v>
      </c>
      <c r="O738" s="17" t="s">
        <v>682</v>
      </c>
      <c r="P738" s="7">
        <f t="shared" si="68"/>
        <v>8</v>
      </c>
      <c r="Q738" s="7">
        <f t="shared" si="66"/>
        <v>2025</v>
      </c>
    </row>
    <row r="739" spans="1:17" x14ac:dyDescent="0.25">
      <c r="A739" s="7">
        <v>2539</v>
      </c>
      <c r="B739" s="9" t="s">
        <v>533</v>
      </c>
      <c r="C739" s="9" t="s">
        <v>533</v>
      </c>
      <c r="D739" s="8">
        <v>45891</v>
      </c>
      <c r="E739" s="7" t="s">
        <v>60</v>
      </c>
      <c r="F739" s="7">
        <v>1</v>
      </c>
      <c r="G739" s="7" t="s">
        <v>14</v>
      </c>
      <c r="H739" s="7" t="s">
        <v>314</v>
      </c>
      <c r="J739" s="7">
        <f t="shared" si="67"/>
        <v>1900</v>
      </c>
      <c r="K739" s="7">
        <f t="shared" si="64"/>
        <v>1</v>
      </c>
      <c r="L739" s="7">
        <f t="shared" si="65"/>
        <v>45891</v>
      </c>
      <c r="M739" s="7" t="s">
        <v>537</v>
      </c>
      <c r="N739" s="7" t="s">
        <v>922</v>
      </c>
      <c r="O739" s="17" t="s">
        <v>682</v>
      </c>
      <c r="P739" s="7">
        <f t="shared" si="68"/>
        <v>8</v>
      </c>
      <c r="Q739" s="7">
        <f t="shared" si="66"/>
        <v>2025</v>
      </c>
    </row>
    <row r="740" spans="1:17" x14ac:dyDescent="0.25">
      <c r="A740" s="7">
        <v>2539</v>
      </c>
      <c r="B740" s="9" t="s">
        <v>533</v>
      </c>
      <c r="C740" s="9" t="s">
        <v>533</v>
      </c>
      <c r="D740" s="8">
        <v>45891</v>
      </c>
      <c r="E740" s="7" t="s">
        <v>60</v>
      </c>
      <c r="F740" s="7">
        <v>1</v>
      </c>
      <c r="G740" s="7" t="s">
        <v>14</v>
      </c>
      <c r="H740" s="7" t="s">
        <v>314</v>
      </c>
      <c r="J740" s="7">
        <f t="shared" si="67"/>
        <v>1900</v>
      </c>
      <c r="K740" s="7">
        <f t="shared" si="64"/>
        <v>1</v>
      </c>
      <c r="L740" s="7">
        <f t="shared" si="65"/>
        <v>45891</v>
      </c>
      <c r="M740" s="7" t="s">
        <v>537</v>
      </c>
      <c r="N740" s="7" t="s">
        <v>922</v>
      </c>
      <c r="O740" s="17" t="s">
        <v>682</v>
      </c>
      <c r="P740" s="7">
        <f t="shared" si="68"/>
        <v>8</v>
      </c>
      <c r="Q740" s="7">
        <f t="shared" si="66"/>
        <v>2025</v>
      </c>
    </row>
    <row r="741" spans="1:17" x14ac:dyDescent="0.25">
      <c r="A741" s="7">
        <v>2539</v>
      </c>
      <c r="B741" s="9" t="s">
        <v>533</v>
      </c>
      <c r="C741" s="9" t="s">
        <v>533</v>
      </c>
      <c r="D741" s="8">
        <v>45891</v>
      </c>
      <c r="E741" s="7" t="s">
        <v>60</v>
      </c>
      <c r="F741" s="7">
        <v>1</v>
      </c>
      <c r="G741" s="7" t="s">
        <v>14</v>
      </c>
      <c r="H741" s="7" t="s">
        <v>314</v>
      </c>
      <c r="J741" s="7">
        <f t="shared" si="67"/>
        <v>1900</v>
      </c>
      <c r="K741" s="7">
        <f t="shared" si="64"/>
        <v>1</v>
      </c>
      <c r="L741" s="7">
        <f t="shared" si="65"/>
        <v>45891</v>
      </c>
      <c r="M741" s="7" t="s">
        <v>537</v>
      </c>
      <c r="N741" s="7" t="s">
        <v>922</v>
      </c>
      <c r="O741" s="17" t="s">
        <v>682</v>
      </c>
      <c r="P741" s="7">
        <f t="shared" si="68"/>
        <v>8</v>
      </c>
      <c r="Q741" s="7">
        <f t="shared" si="66"/>
        <v>2025</v>
      </c>
    </row>
    <row r="742" spans="1:17" x14ac:dyDescent="0.25">
      <c r="A742" s="7">
        <v>2539</v>
      </c>
      <c r="B742" s="9" t="s">
        <v>533</v>
      </c>
      <c r="C742" s="9" t="s">
        <v>533</v>
      </c>
      <c r="D742" s="8">
        <v>45891</v>
      </c>
      <c r="E742" s="7" t="s">
        <v>60</v>
      </c>
      <c r="F742" s="7">
        <v>1</v>
      </c>
      <c r="G742" s="7" t="s">
        <v>14</v>
      </c>
      <c r="H742" s="7" t="s">
        <v>314</v>
      </c>
      <c r="J742" s="7">
        <f t="shared" si="67"/>
        <v>1900</v>
      </c>
      <c r="K742" s="7">
        <f t="shared" si="64"/>
        <v>1</v>
      </c>
      <c r="L742" s="7">
        <f t="shared" si="65"/>
        <v>45891</v>
      </c>
      <c r="M742" s="7" t="s">
        <v>537</v>
      </c>
      <c r="N742" s="7" t="s">
        <v>922</v>
      </c>
      <c r="O742" s="17" t="s">
        <v>682</v>
      </c>
      <c r="P742" s="7">
        <f t="shared" si="68"/>
        <v>8</v>
      </c>
      <c r="Q742" s="7">
        <f t="shared" si="66"/>
        <v>2025</v>
      </c>
    </row>
    <row r="743" spans="1:17" x14ac:dyDescent="0.25">
      <c r="A743" s="7">
        <v>2539</v>
      </c>
      <c r="B743" s="9" t="s">
        <v>533</v>
      </c>
      <c r="C743" s="9" t="s">
        <v>533</v>
      </c>
      <c r="D743" s="8">
        <v>45891</v>
      </c>
      <c r="E743" s="7" t="s">
        <v>60</v>
      </c>
      <c r="F743" s="7">
        <v>1</v>
      </c>
      <c r="G743" s="7" t="s">
        <v>14</v>
      </c>
      <c r="H743" s="7" t="s">
        <v>314</v>
      </c>
      <c r="J743" s="7">
        <f t="shared" si="67"/>
        <v>1900</v>
      </c>
      <c r="K743" s="7">
        <f t="shared" si="64"/>
        <v>1</v>
      </c>
      <c r="L743" s="7">
        <f t="shared" si="65"/>
        <v>45891</v>
      </c>
      <c r="M743" s="7" t="s">
        <v>537</v>
      </c>
      <c r="N743" s="7" t="s">
        <v>922</v>
      </c>
      <c r="O743" s="17" t="s">
        <v>682</v>
      </c>
      <c r="P743" s="7">
        <f t="shared" si="68"/>
        <v>8</v>
      </c>
      <c r="Q743" s="7">
        <f t="shared" si="66"/>
        <v>2025</v>
      </c>
    </row>
    <row r="744" spans="1:17" x14ac:dyDescent="0.25">
      <c r="A744" s="7">
        <v>2539</v>
      </c>
      <c r="B744" s="9" t="s">
        <v>533</v>
      </c>
      <c r="C744" s="9" t="s">
        <v>533</v>
      </c>
      <c r="D744" s="8">
        <v>45891</v>
      </c>
      <c r="E744" s="7" t="s">
        <v>60</v>
      </c>
      <c r="F744" s="7">
        <v>1</v>
      </c>
      <c r="G744" s="7" t="s">
        <v>14</v>
      </c>
      <c r="H744" s="7" t="s">
        <v>314</v>
      </c>
      <c r="J744" s="7">
        <f t="shared" si="67"/>
        <v>1900</v>
      </c>
      <c r="K744" s="7">
        <f t="shared" si="64"/>
        <v>1</v>
      </c>
      <c r="L744" s="7">
        <f t="shared" si="65"/>
        <v>45891</v>
      </c>
      <c r="M744" s="7" t="s">
        <v>537</v>
      </c>
      <c r="N744" s="7" t="s">
        <v>922</v>
      </c>
      <c r="O744" s="17" t="s">
        <v>682</v>
      </c>
      <c r="P744" s="7">
        <f t="shared" si="68"/>
        <v>8</v>
      </c>
      <c r="Q744" s="7">
        <f t="shared" si="66"/>
        <v>2025</v>
      </c>
    </row>
    <row r="745" spans="1:17" x14ac:dyDescent="0.25">
      <c r="A745" s="7">
        <v>2539</v>
      </c>
      <c r="B745" s="9" t="s">
        <v>533</v>
      </c>
      <c r="C745" s="9" t="s">
        <v>533</v>
      </c>
      <c r="D745" s="8">
        <v>45891</v>
      </c>
      <c r="E745" s="7" t="s">
        <v>60</v>
      </c>
      <c r="F745" s="7">
        <v>1</v>
      </c>
      <c r="G745" s="7" t="s">
        <v>14</v>
      </c>
      <c r="H745" s="7" t="s">
        <v>314</v>
      </c>
      <c r="J745" s="7">
        <f t="shared" si="67"/>
        <v>1900</v>
      </c>
      <c r="K745" s="7">
        <f t="shared" si="64"/>
        <v>1</v>
      </c>
      <c r="L745" s="7">
        <f t="shared" si="65"/>
        <v>45891</v>
      </c>
      <c r="M745" s="7" t="s">
        <v>537</v>
      </c>
      <c r="N745" s="7" t="s">
        <v>922</v>
      </c>
      <c r="O745" s="17" t="s">
        <v>682</v>
      </c>
      <c r="P745" s="7">
        <f t="shared" si="68"/>
        <v>8</v>
      </c>
      <c r="Q745" s="7">
        <f t="shared" si="66"/>
        <v>2025</v>
      </c>
    </row>
    <row r="746" spans="1:17" x14ac:dyDescent="0.25">
      <c r="A746" s="7">
        <v>2539</v>
      </c>
      <c r="B746" s="9" t="s">
        <v>533</v>
      </c>
      <c r="C746" s="9" t="s">
        <v>533</v>
      </c>
      <c r="D746" s="8">
        <v>45891</v>
      </c>
      <c r="E746" s="7" t="s">
        <v>60</v>
      </c>
      <c r="F746" s="7">
        <v>1</v>
      </c>
      <c r="G746" s="7" t="s">
        <v>14</v>
      </c>
      <c r="H746" s="7" t="s">
        <v>314</v>
      </c>
      <c r="J746" s="7">
        <f t="shared" si="67"/>
        <v>1900</v>
      </c>
      <c r="K746" s="7">
        <f t="shared" si="64"/>
        <v>1</v>
      </c>
      <c r="L746" s="7">
        <f t="shared" si="65"/>
        <v>45891</v>
      </c>
      <c r="M746" s="7" t="s">
        <v>537</v>
      </c>
      <c r="N746" s="7" t="s">
        <v>922</v>
      </c>
      <c r="O746" s="17" t="s">
        <v>682</v>
      </c>
      <c r="P746" s="7">
        <f t="shared" si="68"/>
        <v>8</v>
      </c>
      <c r="Q746" s="7">
        <f t="shared" si="66"/>
        <v>2025</v>
      </c>
    </row>
    <row r="747" spans="1:17" x14ac:dyDescent="0.25">
      <c r="A747" s="7">
        <v>2539</v>
      </c>
      <c r="B747" s="9" t="s">
        <v>533</v>
      </c>
      <c r="C747" s="9" t="s">
        <v>533</v>
      </c>
      <c r="D747" s="8">
        <v>45891</v>
      </c>
      <c r="E747" s="7" t="s">
        <v>60</v>
      </c>
      <c r="F747" s="7">
        <v>1</v>
      </c>
      <c r="G747" s="7" t="s">
        <v>14</v>
      </c>
      <c r="H747" s="7" t="s">
        <v>314</v>
      </c>
      <c r="J747" s="7">
        <f t="shared" si="67"/>
        <v>1900</v>
      </c>
      <c r="K747" s="7">
        <f t="shared" si="64"/>
        <v>1</v>
      </c>
      <c r="L747" s="7">
        <f t="shared" si="65"/>
        <v>45891</v>
      </c>
      <c r="M747" s="7" t="s">
        <v>537</v>
      </c>
      <c r="N747" s="7" t="s">
        <v>922</v>
      </c>
      <c r="O747" s="17" t="s">
        <v>682</v>
      </c>
      <c r="P747" s="7">
        <f t="shared" si="68"/>
        <v>8</v>
      </c>
      <c r="Q747" s="7">
        <f t="shared" si="66"/>
        <v>2025</v>
      </c>
    </row>
    <row r="748" spans="1:17" x14ac:dyDescent="0.25">
      <c r="A748" s="7">
        <v>2539</v>
      </c>
      <c r="B748" s="9" t="s">
        <v>533</v>
      </c>
      <c r="C748" s="9" t="s">
        <v>533</v>
      </c>
      <c r="D748" s="8">
        <v>45891</v>
      </c>
      <c r="E748" s="7" t="s">
        <v>60</v>
      </c>
      <c r="F748" s="7">
        <v>1</v>
      </c>
      <c r="G748" s="7" t="s">
        <v>14</v>
      </c>
      <c r="H748" s="7" t="s">
        <v>314</v>
      </c>
      <c r="J748" s="7">
        <f t="shared" si="67"/>
        <v>1900</v>
      </c>
      <c r="K748" s="7">
        <f t="shared" si="64"/>
        <v>1</v>
      </c>
      <c r="L748" s="7">
        <f t="shared" si="65"/>
        <v>45891</v>
      </c>
      <c r="M748" s="7" t="s">
        <v>537</v>
      </c>
      <c r="N748" s="7" t="s">
        <v>922</v>
      </c>
      <c r="O748" s="17" t="s">
        <v>682</v>
      </c>
      <c r="P748" s="7">
        <f t="shared" si="68"/>
        <v>8</v>
      </c>
      <c r="Q748" s="7">
        <f t="shared" si="66"/>
        <v>2025</v>
      </c>
    </row>
    <row r="749" spans="1:17" x14ac:dyDescent="0.25">
      <c r="A749" s="7">
        <v>2539</v>
      </c>
      <c r="B749" s="9" t="s">
        <v>533</v>
      </c>
      <c r="C749" s="9" t="s">
        <v>533</v>
      </c>
      <c r="D749" s="8">
        <v>45891</v>
      </c>
      <c r="E749" s="7" t="s">
        <v>60</v>
      </c>
      <c r="F749" s="7">
        <v>1</v>
      </c>
      <c r="G749" s="7" t="s">
        <v>14</v>
      </c>
      <c r="H749" s="7" t="s">
        <v>314</v>
      </c>
      <c r="J749" s="7">
        <f t="shared" si="67"/>
        <v>1900</v>
      </c>
      <c r="K749" s="7">
        <f t="shared" ref="K749:K812" si="69">MONTH(I749)</f>
        <v>1</v>
      </c>
      <c r="L749" s="7">
        <f t="shared" si="65"/>
        <v>45891</v>
      </c>
      <c r="M749" s="7" t="s">
        <v>537</v>
      </c>
      <c r="N749" s="7" t="s">
        <v>922</v>
      </c>
      <c r="O749" s="17" t="s">
        <v>682</v>
      </c>
      <c r="P749" s="7">
        <f t="shared" si="68"/>
        <v>8</v>
      </c>
      <c r="Q749" s="7">
        <f t="shared" si="66"/>
        <v>2025</v>
      </c>
    </row>
    <row r="750" spans="1:17" x14ac:dyDescent="0.25">
      <c r="A750" s="7">
        <v>2539</v>
      </c>
      <c r="B750" s="9" t="s">
        <v>533</v>
      </c>
      <c r="C750" s="9" t="s">
        <v>533</v>
      </c>
      <c r="D750" s="8">
        <v>45891</v>
      </c>
      <c r="E750" s="7" t="s">
        <v>60</v>
      </c>
      <c r="F750" s="7">
        <v>1</v>
      </c>
      <c r="G750" s="7" t="s">
        <v>14</v>
      </c>
      <c r="H750" s="7" t="s">
        <v>314</v>
      </c>
      <c r="J750" s="7">
        <f t="shared" si="67"/>
        <v>1900</v>
      </c>
      <c r="K750" s="7">
        <f t="shared" si="69"/>
        <v>1</v>
      </c>
      <c r="L750" s="7">
        <f t="shared" si="65"/>
        <v>45891</v>
      </c>
      <c r="M750" s="7" t="s">
        <v>537</v>
      </c>
      <c r="N750" s="7" t="s">
        <v>922</v>
      </c>
      <c r="O750" s="17" t="s">
        <v>682</v>
      </c>
      <c r="P750" s="7">
        <f t="shared" si="68"/>
        <v>8</v>
      </c>
      <c r="Q750" s="7">
        <f t="shared" si="66"/>
        <v>2025</v>
      </c>
    </row>
    <row r="751" spans="1:17" x14ac:dyDescent="0.25">
      <c r="A751" s="7">
        <v>2539</v>
      </c>
      <c r="B751" s="9" t="s">
        <v>533</v>
      </c>
      <c r="C751" s="9" t="s">
        <v>533</v>
      </c>
      <c r="D751" s="8">
        <v>45891</v>
      </c>
      <c r="E751" s="7" t="s">
        <v>60</v>
      </c>
      <c r="F751" s="7">
        <v>1</v>
      </c>
      <c r="G751" s="7" t="s">
        <v>14</v>
      </c>
      <c r="H751" s="7" t="s">
        <v>314</v>
      </c>
      <c r="J751" s="7">
        <f t="shared" si="67"/>
        <v>1900</v>
      </c>
      <c r="K751" s="7">
        <f t="shared" si="69"/>
        <v>1</v>
      </c>
      <c r="L751" s="7">
        <f t="shared" ref="L751:L814" si="70">D751-I751</f>
        <v>45891</v>
      </c>
      <c r="M751" s="7" t="s">
        <v>537</v>
      </c>
      <c r="N751" s="7" t="s">
        <v>922</v>
      </c>
      <c r="O751" s="17" t="s">
        <v>682</v>
      </c>
      <c r="P751" s="7">
        <f t="shared" si="68"/>
        <v>8</v>
      </c>
      <c r="Q751" s="7">
        <f t="shared" si="66"/>
        <v>2025</v>
      </c>
    </row>
    <row r="752" spans="1:17" x14ac:dyDescent="0.25">
      <c r="A752" s="7">
        <v>2539</v>
      </c>
      <c r="B752" s="9" t="s">
        <v>533</v>
      </c>
      <c r="C752" s="9" t="s">
        <v>533</v>
      </c>
      <c r="D752" s="8">
        <v>45891</v>
      </c>
      <c r="E752" s="7" t="s">
        <v>60</v>
      </c>
      <c r="F752" s="7">
        <v>1</v>
      </c>
      <c r="G752" s="7" t="s">
        <v>14</v>
      </c>
      <c r="H752" s="7" t="s">
        <v>314</v>
      </c>
      <c r="J752" s="7">
        <f t="shared" si="67"/>
        <v>1900</v>
      </c>
      <c r="K752" s="7">
        <f t="shared" si="69"/>
        <v>1</v>
      </c>
      <c r="L752" s="7">
        <f t="shared" si="70"/>
        <v>45891</v>
      </c>
      <c r="M752" s="7" t="s">
        <v>537</v>
      </c>
      <c r="N752" s="7" t="s">
        <v>922</v>
      </c>
      <c r="O752" s="17" t="s">
        <v>682</v>
      </c>
      <c r="P752" s="7">
        <f t="shared" si="68"/>
        <v>8</v>
      </c>
      <c r="Q752" s="7">
        <f t="shared" si="66"/>
        <v>2025</v>
      </c>
    </row>
    <row r="753" spans="1:17" x14ac:dyDescent="0.25">
      <c r="A753" s="7">
        <v>2539</v>
      </c>
      <c r="B753" s="9" t="s">
        <v>533</v>
      </c>
      <c r="C753" s="9" t="s">
        <v>533</v>
      </c>
      <c r="D753" s="8">
        <v>45891</v>
      </c>
      <c r="E753" s="7" t="s">
        <v>60</v>
      </c>
      <c r="F753" s="7">
        <v>1</v>
      </c>
      <c r="G753" s="7" t="s">
        <v>14</v>
      </c>
      <c r="H753" s="7" t="s">
        <v>314</v>
      </c>
      <c r="J753" s="7">
        <f t="shared" si="67"/>
        <v>1900</v>
      </c>
      <c r="K753" s="7">
        <f t="shared" si="69"/>
        <v>1</v>
      </c>
      <c r="L753" s="7">
        <f t="shared" si="70"/>
        <v>45891</v>
      </c>
      <c r="M753" s="7" t="s">
        <v>537</v>
      </c>
      <c r="N753" s="7" t="s">
        <v>922</v>
      </c>
      <c r="O753" s="17" t="s">
        <v>682</v>
      </c>
      <c r="P753" s="7">
        <f t="shared" si="68"/>
        <v>8</v>
      </c>
      <c r="Q753" s="7">
        <f t="shared" si="66"/>
        <v>2025</v>
      </c>
    </row>
    <row r="754" spans="1:17" x14ac:dyDescent="0.25">
      <c r="A754" s="7">
        <v>2539</v>
      </c>
      <c r="B754" s="9" t="s">
        <v>533</v>
      </c>
      <c r="C754" s="9" t="s">
        <v>533</v>
      </c>
      <c r="D754" s="8">
        <v>45891</v>
      </c>
      <c r="E754" s="7" t="s">
        <v>60</v>
      </c>
      <c r="F754" s="7">
        <v>1</v>
      </c>
      <c r="G754" s="7" t="s">
        <v>14</v>
      </c>
      <c r="H754" s="7" t="s">
        <v>314</v>
      </c>
      <c r="J754" s="7">
        <f t="shared" si="67"/>
        <v>1900</v>
      </c>
      <c r="K754" s="7">
        <f t="shared" si="69"/>
        <v>1</v>
      </c>
      <c r="L754" s="7">
        <f t="shared" si="70"/>
        <v>45891</v>
      </c>
      <c r="M754" s="7" t="s">
        <v>537</v>
      </c>
      <c r="N754" s="7" t="s">
        <v>922</v>
      </c>
      <c r="O754" s="17" t="s">
        <v>682</v>
      </c>
      <c r="P754" s="7">
        <f t="shared" si="68"/>
        <v>8</v>
      </c>
      <c r="Q754" s="7">
        <f t="shared" si="66"/>
        <v>2025</v>
      </c>
    </row>
    <row r="755" spans="1:17" x14ac:dyDescent="0.25">
      <c r="A755" s="7">
        <v>2539</v>
      </c>
      <c r="B755" s="9" t="s">
        <v>533</v>
      </c>
      <c r="C755" s="9" t="s">
        <v>533</v>
      </c>
      <c r="D755" s="8">
        <v>45891</v>
      </c>
      <c r="E755" s="7" t="s">
        <v>60</v>
      </c>
      <c r="F755" s="7">
        <v>1</v>
      </c>
      <c r="G755" s="7" t="s">
        <v>14</v>
      </c>
      <c r="H755" s="7" t="s">
        <v>314</v>
      </c>
      <c r="J755" s="7">
        <f t="shared" si="67"/>
        <v>1900</v>
      </c>
      <c r="K755" s="7">
        <f t="shared" si="69"/>
        <v>1</v>
      </c>
      <c r="L755" s="7">
        <f t="shared" si="70"/>
        <v>45891</v>
      </c>
      <c r="M755" s="7" t="s">
        <v>537</v>
      </c>
      <c r="N755" s="7" t="s">
        <v>922</v>
      </c>
      <c r="O755" s="17" t="s">
        <v>682</v>
      </c>
      <c r="P755" s="7">
        <f t="shared" si="68"/>
        <v>8</v>
      </c>
      <c r="Q755" s="7">
        <f t="shared" si="66"/>
        <v>2025</v>
      </c>
    </row>
    <row r="756" spans="1:17" x14ac:dyDescent="0.25">
      <c r="A756" s="7">
        <v>2539</v>
      </c>
      <c r="B756" s="9" t="s">
        <v>533</v>
      </c>
      <c r="C756" s="9" t="s">
        <v>533</v>
      </c>
      <c r="D756" s="8">
        <v>45891</v>
      </c>
      <c r="E756" s="7" t="s">
        <v>60</v>
      </c>
      <c r="F756" s="7">
        <v>1</v>
      </c>
      <c r="G756" s="7" t="s">
        <v>14</v>
      </c>
      <c r="H756" s="7" t="s">
        <v>314</v>
      </c>
      <c r="J756" s="7">
        <f t="shared" si="67"/>
        <v>1900</v>
      </c>
      <c r="K756" s="7">
        <f t="shared" si="69"/>
        <v>1</v>
      </c>
      <c r="L756" s="7">
        <f t="shared" si="70"/>
        <v>45891</v>
      </c>
      <c r="M756" s="7" t="s">
        <v>537</v>
      </c>
      <c r="N756" s="7" t="s">
        <v>922</v>
      </c>
      <c r="O756" s="17" t="s">
        <v>682</v>
      </c>
      <c r="P756" s="7">
        <f t="shared" si="68"/>
        <v>8</v>
      </c>
      <c r="Q756" s="7">
        <f t="shared" si="66"/>
        <v>2025</v>
      </c>
    </row>
    <row r="757" spans="1:17" x14ac:dyDescent="0.25">
      <c r="A757" s="7">
        <v>2539</v>
      </c>
      <c r="B757" s="9" t="s">
        <v>533</v>
      </c>
      <c r="C757" s="9" t="s">
        <v>533</v>
      </c>
      <c r="D757" s="8">
        <v>45891</v>
      </c>
      <c r="E757" s="7" t="s">
        <v>60</v>
      </c>
      <c r="F757" s="7">
        <v>1</v>
      </c>
      <c r="G757" s="7" t="s">
        <v>14</v>
      </c>
      <c r="H757" s="7" t="s">
        <v>314</v>
      </c>
      <c r="J757" s="7">
        <f t="shared" si="67"/>
        <v>1900</v>
      </c>
      <c r="K757" s="7">
        <f t="shared" si="69"/>
        <v>1</v>
      </c>
      <c r="L757" s="7">
        <f t="shared" si="70"/>
        <v>45891</v>
      </c>
      <c r="M757" s="7" t="s">
        <v>537</v>
      </c>
      <c r="N757" s="7" t="s">
        <v>922</v>
      </c>
      <c r="O757" s="17" t="s">
        <v>682</v>
      </c>
      <c r="P757" s="7">
        <f t="shared" si="68"/>
        <v>8</v>
      </c>
      <c r="Q757" s="7">
        <f t="shared" ref="Q757:Q820" si="71">YEAR(D757)</f>
        <v>2025</v>
      </c>
    </row>
    <row r="758" spans="1:17" x14ac:dyDescent="0.25">
      <c r="A758" s="7">
        <v>2539</v>
      </c>
      <c r="B758" s="9" t="s">
        <v>533</v>
      </c>
      <c r="C758" s="9" t="s">
        <v>533</v>
      </c>
      <c r="D758" s="8">
        <v>45891</v>
      </c>
      <c r="E758" s="7" t="s">
        <v>60</v>
      </c>
      <c r="F758" s="7">
        <v>1</v>
      </c>
      <c r="G758" s="7" t="s">
        <v>14</v>
      </c>
      <c r="H758" s="7" t="s">
        <v>314</v>
      </c>
      <c r="J758" s="7">
        <f t="shared" si="67"/>
        <v>1900</v>
      </c>
      <c r="K758" s="7">
        <f t="shared" si="69"/>
        <v>1</v>
      </c>
      <c r="L758" s="7">
        <f t="shared" si="70"/>
        <v>45891</v>
      </c>
      <c r="M758" s="7" t="s">
        <v>537</v>
      </c>
      <c r="N758" s="7" t="s">
        <v>922</v>
      </c>
      <c r="O758" s="17" t="s">
        <v>682</v>
      </c>
      <c r="P758" s="7">
        <f t="shared" si="68"/>
        <v>8</v>
      </c>
      <c r="Q758" s="7">
        <f t="shared" si="71"/>
        <v>2025</v>
      </c>
    </row>
    <row r="759" spans="1:17" x14ac:dyDescent="0.25">
      <c r="A759" s="7">
        <v>2539</v>
      </c>
      <c r="B759" s="9" t="s">
        <v>533</v>
      </c>
      <c r="C759" s="9" t="s">
        <v>533</v>
      </c>
      <c r="D759" s="8">
        <v>45891</v>
      </c>
      <c r="E759" s="7" t="s">
        <v>60</v>
      </c>
      <c r="F759" s="7">
        <v>1</v>
      </c>
      <c r="G759" s="7" t="s">
        <v>14</v>
      </c>
      <c r="H759" s="7" t="s">
        <v>314</v>
      </c>
      <c r="J759" s="7">
        <f t="shared" si="67"/>
        <v>1900</v>
      </c>
      <c r="K759" s="7">
        <f t="shared" si="69"/>
        <v>1</v>
      </c>
      <c r="L759" s="7">
        <f t="shared" si="70"/>
        <v>45891</v>
      </c>
      <c r="M759" s="7" t="s">
        <v>537</v>
      </c>
      <c r="N759" s="7" t="s">
        <v>922</v>
      </c>
      <c r="O759" s="17" t="s">
        <v>682</v>
      </c>
      <c r="P759" s="7">
        <f t="shared" si="68"/>
        <v>8</v>
      </c>
      <c r="Q759" s="7">
        <f t="shared" si="71"/>
        <v>2025</v>
      </c>
    </row>
    <row r="760" spans="1:17" x14ac:dyDescent="0.25">
      <c r="A760" s="7">
        <v>2539</v>
      </c>
      <c r="B760" s="9" t="s">
        <v>533</v>
      </c>
      <c r="C760" s="9" t="s">
        <v>533</v>
      </c>
      <c r="D760" s="8">
        <v>45891</v>
      </c>
      <c r="E760" s="7" t="s">
        <v>60</v>
      </c>
      <c r="F760" s="7">
        <v>1</v>
      </c>
      <c r="G760" s="7" t="s">
        <v>14</v>
      </c>
      <c r="H760" s="7" t="s">
        <v>314</v>
      </c>
      <c r="J760" s="7">
        <f t="shared" si="67"/>
        <v>1900</v>
      </c>
      <c r="K760" s="7">
        <f t="shared" si="69"/>
        <v>1</v>
      </c>
      <c r="L760" s="7">
        <f t="shared" si="70"/>
        <v>45891</v>
      </c>
      <c r="M760" s="7" t="s">
        <v>537</v>
      </c>
      <c r="N760" s="7" t="s">
        <v>922</v>
      </c>
      <c r="O760" s="17" t="s">
        <v>682</v>
      </c>
      <c r="P760" s="7">
        <f t="shared" si="68"/>
        <v>8</v>
      </c>
      <c r="Q760" s="7">
        <f t="shared" si="71"/>
        <v>2025</v>
      </c>
    </row>
    <row r="761" spans="1:17" x14ac:dyDescent="0.25">
      <c r="A761" s="7">
        <v>2539</v>
      </c>
      <c r="B761" s="9" t="s">
        <v>533</v>
      </c>
      <c r="C761" s="9" t="s">
        <v>533</v>
      </c>
      <c r="D761" s="8">
        <v>45891</v>
      </c>
      <c r="E761" s="7" t="s">
        <v>60</v>
      </c>
      <c r="F761" s="7">
        <v>1</v>
      </c>
      <c r="G761" s="7" t="s">
        <v>14</v>
      </c>
      <c r="H761" s="7" t="s">
        <v>314</v>
      </c>
      <c r="J761" s="7">
        <f t="shared" si="67"/>
        <v>1900</v>
      </c>
      <c r="K761" s="7">
        <f t="shared" si="69"/>
        <v>1</v>
      </c>
      <c r="L761" s="7">
        <f t="shared" si="70"/>
        <v>45891</v>
      </c>
      <c r="M761" s="7" t="s">
        <v>537</v>
      </c>
      <c r="N761" s="7" t="s">
        <v>922</v>
      </c>
      <c r="O761" s="17" t="s">
        <v>682</v>
      </c>
      <c r="P761" s="7">
        <f t="shared" si="68"/>
        <v>8</v>
      </c>
      <c r="Q761" s="7">
        <f t="shared" si="71"/>
        <v>2025</v>
      </c>
    </row>
    <row r="762" spans="1:17" x14ac:dyDescent="0.25">
      <c r="A762" s="7">
        <v>2539</v>
      </c>
      <c r="B762" s="9" t="s">
        <v>533</v>
      </c>
      <c r="C762" s="9" t="s">
        <v>533</v>
      </c>
      <c r="D762" s="8">
        <v>45891</v>
      </c>
      <c r="E762" s="7" t="s">
        <v>60</v>
      </c>
      <c r="F762" s="7">
        <v>1</v>
      </c>
      <c r="G762" s="7" t="s">
        <v>14</v>
      </c>
      <c r="H762" s="7" t="s">
        <v>314</v>
      </c>
      <c r="J762" s="7">
        <f t="shared" si="67"/>
        <v>1900</v>
      </c>
      <c r="K762" s="7">
        <f t="shared" si="69"/>
        <v>1</v>
      </c>
      <c r="L762" s="7">
        <f t="shared" si="70"/>
        <v>45891</v>
      </c>
      <c r="M762" s="7" t="s">
        <v>537</v>
      </c>
      <c r="N762" s="7" t="s">
        <v>922</v>
      </c>
      <c r="O762" s="17" t="s">
        <v>682</v>
      </c>
      <c r="P762" s="7">
        <f t="shared" si="68"/>
        <v>8</v>
      </c>
      <c r="Q762" s="7">
        <f t="shared" si="71"/>
        <v>2025</v>
      </c>
    </row>
    <row r="763" spans="1:17" x14ac:dyDescent="0.25">
      <c r="A763" s="7">
        <v>2539</v>
      </c>
      <c r="B763" s="9" t="s">
        <v>533</v>
      </c>
      <c r="C763" s="9" t="s">
        <v>533</v>
      </c>
      <c r="D763" s="8">
        <v>45891</v>
      </c>
      <c r="E763" s="7" t="s">
        <v>60</v>
      </c>
      <c r="F763" s="7">
        <v>1</v>
      </c>
      <c r="G763" s="7" t="s">
        <v>14</v>
      </c>
      <c r="H763" s="7" t="s">
        <v>314</v>
      </c>
      <c r="J763" s="7">
        <f t="shared" si="67"/>
        <v>1900</v>
      </c>
      <c r="K763" s="7">
        <f t="shared" si="69"/>
        <v>1</v>
      </c>
      <c r="L763" s="7">
        <f t="shared" si="70"/>
        <v>45891</v>
      </c>
      <c r="M763" s="7" t="s">
        <v>537</v>
      </c>
      <c r="N763" s="7" t="s">
        <v>922</v>
      </c>
      <c r="O763" s="17" t="s">
        <v>682</v>
      </c>
      <c r="P763" s="7">
        <f t="shared" si="68"/>
        <v>8</v>
      </c>
      <c r="Q763" s="7">
        <f t="shared" si="71"/>
        <v>2025</v>
      </c>
    </row>
    <row r="764" spans="1:17" x14ac:dyDescent="0.25">
      <c r="A764" s="7">
        <v>2539</v>
      </c>
      <c r="B764" s="9" t="s">
        <v>533</v>
      </c>
      <c r="C764" s="9" t="s">
        <v>533</v>
      </c>
      <c r="D764" s="8">
        <v>45891</v>
      </c>
      <c r="E764" s="7" t="s">
        <v>60</v>
      </c>
      <c r="F764" s="7">
        <v>1</v>
      </c>
      <c r="G764" s="7" t="s">
        <v>14</v>
      </c>
      <c r="H764" s="7" t="s">
        <v>314</v>
      </c>
      <c r="J764" s="7">
        <f t="shared" si="67"/>
        <v>1900</v>
      </c>
      <c r="K764" s="7">
        <f t="shared" si="69"/>
        <v>1</v>
      </c>
      <c r="L764" s="7">
        <f t="shared" si="70"/>
        <v>45891</v>
      </c>
      <c r="M764" s="7" t="s">
        <v>537</v>
      </c>
      <c r="N764" s="7" t="s">
        <v>922</v>
      </c>
      <c r="O764" s="17" t="s">
        <v>682</v>
      </c>
      <c r="P764" s="7">
        <f t="shared" si="68"/>
        <v>8</v>
      </c>
      <c r="Q764" s="7">
        <f t="shared" si="71"/>
        <v>2025</v>
      </c>
    </row>
    <row r="765" spans="1:17" x14ac:dyDescent="0.25">
      <c r="A765" s="7">
        <v>2539</v>
      </c>
      <c r="B765" s="9" t="s">
        <v>533</v>
      </c>
      <c r="C765" s="9" t="s">
        <v>533</v>
      </c>
      <c r="D765" s="8">
        <v>45891</v>
      </c>
      <c r="E765" s="7" t="s">
        <v>60</v>
      </c>
      <c r="F765" s="7">
        <v>1</v>
      </c>
      <c r="G765" s="7" t="s">
        <v>14</v>
      </c>
      <c r="H765" s="7" t="s">
        <v>314</v>
      </c>
      <c r="J765" s="7">
        <f t="shared" si="67"/>
        <v>1900</v>
      </c>
      <c r="K765" s="7">
        <f t="shared" si="69"/>
        <v>1</v>
      </c>
      <c r="L765" s="7">
        <f t="shared" si="70"/>
        <v>45891</v>
      </c>
      <c r="M765" s="7" t="s">
        <v>537</v>
      </c>
      <c r="N765" s="7" t="s">
        <v>922</v>
      </c>
      <c r="O765" s="17" t="s">
        <v>682</v>
      </c>
      <c r="P765" s="7">
        <f t="shared" si="68"/>
        <v>8</v>
      </c>
      <c r="Q765" s="7">
        <f t="shared" si="71"/>
        <v>2025</v>
      </c>
    </row>
    <row r="766" spans="1:17" x14ac:dyDescent="0.25">
      <c r="A766" s="7">
        <v>2539</v>
      </c>
      <c r="B766" s="9" t="s">
        <v>533</v>
      </c>
      <c r="C766" s="9" t="s">
        <v>533</v>
      </c>
      <c r="D766" s="8">
        <v>45891</v>
      </c>
      <c r="E766" s="7" t="s">
        <v>60</v>
      </c>
      <c r="F766" s="7">
        <v>1</v>
      </c>
      <c r="G766" s="7" t="s">
        <v>14</v>
      </c>
      <c r="H766" s="7" t="s">
        <v>314</v>
      </c>
      <c r="J766" s="7">
        <f t="shared" si="67"/>
        <v>1900</v>
      </c>
      <c r="K766" s="7">
        <f t="shared" si="69"/>
        <v>1</v>
      </c>
      <c r="L766" s="7">
        <f t="shared" si="70"/>
        <v>45891</v>
      </c>
      <c r="M766" s="7" t="s">
        <v>537</v>
      </c>
      <c r="N766" s="7" t="s">
        <v>922</v>
      </c>
      <c r="O766" s="17" t="s">
        <v>682</v>
      </c>
      <c r="P766" s="7">
        <f t="shared" si="68"/>
        <v>8</v>
      </c>
      <c r="Q766" s="7">
        <f t="shared" si="71"/>
        <v>2025</v>
      </c>
    </row>
    <row r="767" spans="1:17" x14ac:dyDescent="0.25">
      <c r="A767" s="7">
        <v>2539</v>
      </c>
      <c r="B767" s="9" t="s">
        <v>533</v>
      </c>
      <c r="C767" s="9" t="s">
        <v>533</v>
      </c>
      <c r="D767" s="8">
        <v>45891</v>
      </c>
      <c r="E767" s="7" t="s">
        <v>60</v>
      </c>
      <c r="F767" s="7">
        <v>1</v>
      </c>
      <c r="G767" s="7" t="s">
        <v>14</v>
      </c>
      <c r="H767" s="7" t="s">
        <v>314</v>
      </c>
      <c r="J767" s="7">
        <f t="shared" si="67"/>
        <v>1900</v>
      </c>
      <c r="K767" s="7">
        <f t="shared" si="69"/>
        <v>1</v>
      </c>
      <c r="L767" s="7">
        <f t="shared" si="70"/>
        <v>45891</v>
      </c>
      <c r="M767" s="7" t="s">
        <v>537</v>
      </c>
      <c r="N767" s="7" t="s">
        <v>922</v>
      </c>
      <c r="O767" s="17" t="s">
        <v>682</v>
      </c>
      <c r="P767" s="7">
        <f t="shared" si="68"/>
        <v>8</v>
      </c>
      <c r="Q767" s="7">
        <f t="shared" si="71"/>
        <v>2025</v>
      </c>
    </row>
    <row r="768" spans="1:17" x14ac:dyDescent="0.25">
      <c r="A768" s="7">
        <v>2539</v>
      </c>
      <c r="B768" s="9" t="s">
        <v>533</v>
      </c>
      <c r="C768" s="9" t="s">
        <v>533</v>
      </c>
      <c r="D768" s="8">
        <v>45891</v>
      </c>
      <c r="E768" s="7" t="s">
        <v>60</v>
      </c>
      <c r="F768" s="7">
        <v>1</v>
      </c>
      <c r="G768" s="7" t="s">
        <v>14</v>
      </c>
      <c r="H768" s="7" t="s">
        <v>314</v>
      </c>
      <c r="J768" s="7">
        <f t="shared" si="67"/>
        <v>1900</v>
      </c>
      <c r="K768" s="7">
        <f t="shared" si="69"/>
        <v>1</v>
      </c>
      <c r="L768" s="7">
        <f t="shared" si="70"/>
        <v>45891</v>
      </c>
      <c r="M768" s="7" t="s">
        <v>537</v>
      </c>
      <c r="N768" s="7" t="s">
        <v>922</v>
      </c>
      <c r="O768" s="17" t="s">
        <v>682</v>
      </c>
      <c r="P768" s="7">
        <f t="shared" si="68"/>
        <v>8</v>
      </c>
      <c r="Q768" s="7">
        <f t="shared" si="71"/>
        <v>2025</v>
      </c>
    </row>
    <row r="769" spans="1:17" x14ac:dyDescent="0.25">
      <c r="A769" s="7">
        <v>2539</v>
      </c>
      <c r="B769" s="9" t="s">
        <v>533</v>
      </c>
      <c r="C769" s="9" t="s">
        <v>533</v>
      </c>
      <c r="D769" s="8">
        <v>45891</v>
      </c>
      <c r="E769" s="7" t="s">
        <v>60</v>
      </c>
      <c r="F769" s="7">
        <v>1</v>
      </c>
      <c r="G769" s="7" t="s">
        <v>14</v>
      </c>
      <c r="H769" s="7" t="s">
        <v>314</v>
      </c>
      <c r="J769" s="7">
        <f t="shared" si="67"/>
        <v>1900</v>
      </c>
      <c r="K769" s="7">
        <f t="shared" si="69"/>
        <v>1</v>
      </c>
      <c r="L769" s="7">
        <f t="shared" si="70"/>
        <v>45891</v>
      </c>
      <c r="M769" s="7" t="s">
        <v>537</v>
      </c>
      <c r="N769" s="7" t="s">
        <v>922</v>
      </c>
      <c r="O769" s="17" t="s">
        <v>682</v>
      </c>
      <c r="P769" s="7">
        <f t="shared" si="68"/>
        <v>8</v>
      </c>
      <c r="Q769" s="7">
        <f t="shared" si="71"/>
        <v>2025</v>
      </c>
    </row>
    <row r="770" spans="1:17" x14ac:dyDescent="0.25">
      <c r="A770" s="7">
        <v>2539</v>
      </c>
      <c r="B770" s="9" t="s">
        <v>533</v>
      </c>
      <c r="C770" s="9" t="s">
        <v>533</v>
      </c>
      <c r="D770" s="8">
        <v>45891</v>
      </c>
      <c r="E770" s="7" t="s">
        <v>60</v>
      </c>
      <c r="F770" s="7">
        <v>1</v>
      </c>
      <c r="G770" s="7" t="s">
        <v>14</v>
      </c>
      <c r="H770" s="7" t="s">
        <v>314</v>
      </c>
      <c r="J770" s="7">
        <f t="shared" si="67"/>
        <v>1900</v>
      </c>
      <c r="K770" s="7">
        <f t="shared" si="69"/>
        <v>1</v>
      </c>
      <c r="L770" s="7">
        <f t="shared" si="70"/>
        <v>45891</v>
      </c>
      <c r="M770" s="7" t="s">
        <v>537</v>
      </c>
      <c r="N770" s="7" t="s">
        <v>922</v>
      </c>
      <c r="O770" s="17" t="s">
        <v>682</v>
      </c>
      <c r="P770" s="7">
        <f t="shared" si="68"/>
        <v>8</v>
      </c>
      <c r="Q770" s="7">
        <f t="shared" si="71"/>
        <v>2025</v>
      </c>
    </row>
    <row r="771" spans="1:17" x14ac:dyDescent="0.25">
      <c r="A771" s="7">
        <v>2539</v>
      </c>
      <c r="B771" s="9" t="s">
        <v>533</v>
      </c>
      <c r="C771" s="9" t="s">
        <v>533</v>
      </c>
      <c r="D771" s="8">
        <v>45891</v>
      </c>
      <c r="E771" s="7" t="s">
        <v>60</v>
      </c>
      <c r="F771" s="7">
        <v>1</v>
      </c>
      <c r="G771" s="7" t="s">
        <v>14</v>
      </c>
      <c r="H771" s="7" t="s">
        <v>314</v>
      </c>
      <c r="J771" s="7">
        <f t="shared" si="67"/>
        <v>1900</v>
      </c>
      <c r="K771" s="7">
        <f t="shared" si="69"/>
        <v>1</v>
      </c>
      <c r="L771" s="7">
        <f t="shared" si="70"/>
        <v>45891</v>
      </c>
      <c r="M771" s="7" t="s">
        <v>537</v>
      </c>
      <c r="N771" s="7" t="s">
        <v>922</v>
      </c>
      <c r="O771" s="17" t="s">
        <v>682</v>
      </c>
      <c r="P771" s="7">
        <f t="shared" si="68"/>
        <v>8</v>
      </c>
      <c r="Q771" s="7">
        <f t="shared" si="71"/>
        <v>2025</v>
      </c>
    </row>
    <row r="772" spans="1:17" x14ac:dyDescent="0.25">
      <c r="A772" s="7">
        <v>2539</v>
      </c>
      <c r="B772" s="9" t="s">
        <v>533</v>
      </c>
      <c r="C772" s="9" t="s">
        <v>533</v>
      </c>
      <c r="D772" s="8">
        <v>45891</v>
      </c>
      <c r="E772" s="7" t="s">
        <v>60</v>
      </c>
      <c r="F772" s="7">
        <v>1</v>
      </c>
      <c r="G772" s="7" t="s">
        <v>14</v>
      </c>
      <c r="H772" s="7" t="s">
        <v>314</v>
      </c>
      <c r="J772" s="7">
        <f t="shared" si="67"/>
        <v>1900</v>
      </c>
      <c r="K772" s="7">
        <f t="shared" si="69"/>
        <v>1</v>
      </c>
      <c r="L772" s="7">
        <f t="shared" si="70"/>
        <v>45891</v>
      </c>
      <c r="M772" s="7" t="s">
        <v>537</v>
      </c>
      <c r="N772" s="7" t="s">
        <v>922</v>
      </c>
      <c r="O772" s="17" t="s">
        <v>682</v>
      </c>
      <c r="P772" s="7">
        <f t="shared" si="68"/>
        <v>8</v>
      </c>
      <c r="Q772" s="7">
        <f t="shared" si="71"/>
        <v>2025</v>
      </c>
    </row>
    <row r="773" spans="1:17" x14ac:dyDescent="0.25">
      <c r="A773" s="7">
        <v>2539</v>
      </c>
      <c r="B773" s="9" t="s">
        <v>533</v>
      </c>
      <c r="C773" s="9" t="s">
        <v>533</v>
      </c>
      <c r="D773" s="8">
        <v>45891</v>
      </c>
      <c r="E773" s="7" t="s">
        <v>60</v>
      </c>
      <c r="F773" s="7">
        <v>1</v>
      </c>
      <c r="G773" s="7" t="s">
        <v>14</v>
      </c>
      <c r="H773" s="7" t="s">
        <v>314</v>
      </c>
      <c r="J773" s="7">
        <f t="shared" si="67"/>
        <v>1900</v>
      </c>
      <c r="K773" s="7">
        <f t="shared" si="69"/>
        <v>1</v>
      </c>
      <c r="L773" s="7">
        <f t="shared" si="70"/>
        <v>45891</v>
      </c>
      <c r="M773" s="7" t="s">
        <v>537</v>
      </c>
      <c r="N773" s="7" t="s">
        <v>922</v>
      </c>
      <c r="O773" s="17" t="s">
        <v>682</v>
      </c>
      <c r="P773" s="7">
        <f t="shared" si="68"/>
        <v>8</v>
      </c>
      <c r="Q773" s="7">
        <f t="shared" si="71"/>
        <v>2025</v>
      </c>
    </row>
    <row r="774" spans="1:17" x14ac:dyDescent="0.25">
      <c r="A774" s="7">
        <v>2539</v>
      </c>
      <c r="B774" s="9" t="s">
        <v>533</v>
      </c>
      <c r="C774" s="9" t="s">
        <v>533</v>
      </c>
      <c r="D774" s="8">
        <v>45891</v>
      </c>
      <c r="E774" s="7" t="s">
        <v>60</v>
      </c>
      <c r="F774" s="7">
        <v>1</v>
      </c>
      <c r="G774" s="7" t="s">
        <v>14</v>
      </c>
      <c r="H774" s="7" t="s">
        <v>314</v>
      </c>
      <c r="J774" s="7">
        <f t="shared" si="67"/>
        <v>1900</v>
      </c>
      <c r="K774" s="7">
        <f t="shared" si="69"/>
        <v>1</v>
      </c>
      <c r="L774" s="7">
        <f t="shared" si="70"/>
        <v>45891</v>
      </c>
      <c r="M774" s="7" t="s">
        <v>537</v>
      </c>
      <c r="N774" s="7" t="s">
        <v>922</v>
      </c>
      <c r="O774" s="17" t="s">
        <v>682</v>
      </c>
      <c r="P774" s="7">
        <f t="shared" si="68"/>
        <v>8</v>
      </c>
      <c r="Q774" s="7">
        <f t="shared" si="71"/>
        <v>2025</v>
      </c>
    </row>
    <row r="775" spans="1:17" x14ac:dyDescent="0.25">
      <c r="A775" s="7">
        <v>2539</v>
      </c>
      <c r="B775" s="9" t="s">
        <v>533</v>
      </c>
      <c r="C775" s="9" t="s">
        <v>533</v>
      </c>
      <c r="D775" s="8">
        <v>45891</v>
      </c>
      <c r="E775" s="7" t="s">
        <v>60</v>
      </c>
      <c r="F775" s="7">
        <v>1</v>
      </c>
      <c r="G775" s="7" t="s">
        <v>14</v>
      </c>
      <c r="H775" s="7" t="s">
        <v>314</v>
      </c>
      <c r="J775" s="7">
        <f t="shared" si="67"/>
        <v>1900</v>
      </c>
      <c r="K775" s="7">
        <f t="shared" si="69"/>
        <v>1</v>
      </c>
      <c r="L775" s="7">
        <f t="shared" si="70"/>
        <v>45891</v>
      </c>
      <c r="M775" s="7" t="s">
        <v>537</v>
      </c>
      <c r="N775" s="7" t="s">
        <v>922</v>
      </c>
      <c r="O775" s="17" t="s">
        <v>682</v>
      </c>
      <c r="P775" s="7">
        <f t="shared" si="68"/>
        <v>8</v>
      </c>
      <c r="Q775" s="7">
        <f t="shared" si="71"/>
        <v>2025</v>
      </c>
    </row>
    <row r="776" spans="1:17" x14ac:dyDescent="0.25">
      <c r="A776" s="7">
        <v>2539</v>
      </c>
      <c r="B776" s="9" t="s">
        <v>533</v>
      </c>
      <c r="C776" s="9" t="s">
        <v>533</v>
      </c>
      <c r="D776" s="8">
        <v>45891</v>
      </c>
      <c r="E776" s="7" t="s">
        <v>60</v>
      </c>
      <c r="F776" s="7">
        <v>1</v>
      </c>
      <c r="G776" s="7" t="s">
        <v>14</v>
      </c>
      <c r="H776" s="7" t="s">
        <v>314</v>
      </c>
      <c r="J776" s="7">
        <f t="shared" si="67"/>
        <v>1900</v>
      </c>
      <c r="K776" s="7">
        <f t="shared" si="69"/>
        <v>1</v>
      </c>
      <c r="L776" s="7">
        <f t="shared" si="70"/>
        <v>45891</v>
      </c>
      <c r="M776" s="7" t="s">
        <v>537</v>
      </c>
      <c r="N776" s="7" t="s">
        <v>922</v>
      </c>
      <c r="O776" s="17" t="s">
        <v>682</v>
      </c>
      <c r="P776" s="7">
        <f t="shared" si="68"/>
        <v>8</v>
      </c>
      <c r="Q776" s="7">
        <f t="shared" si="71"/>
        <v>2025</v>
      </c>
    </row>
    <row r="777" spans="1:17" x14ac:dyDescent="0.25">
      <c r="A777" s="7">
        <v>2539</v>
      </c>
      <c r="B777" s="9" t="s">
        <v>533</v>
      </c>
      <c r="C777" s="9" t="s">
        <v>533</v>
      </c>
      <c r="D777" s="8">
        <v>45891</v>
      </c>
      <c r="E777" s="7" t="s">
        <v>60</v>
      </c>
      <c r="F777" s="7">
        <v>1</v>
      </c>
      <c r="G777" s="7" t="s">
        <v>14</v>
      </c>
      <c r="H777" s="7" t="s">
        <v>314</v>
      </c>
      <c r="J777" s="7">
        <f t="shared" si="67"/>
        <v>1900</v>
      </c>
      <c r="K777" s="7">
        <f t="shared" si="69"/>
        <v>1</v>
      </c>
      <c r="L777" s="7">
        <f t="shared" si="70"/>
        <v>45891</v>
      </c>
      <c r="M777" s="7" t="s">
        <v>537</v>
      </c>
      <c r="N777" s="7" t="s">
        <v>922</v>
      </c>
      <c r="O777" s="17" t="s">
        <v>682</v>
      </c>
      <c r="P777" s="7">
        <f t="shared" si="68"/>
        <v>8</v>
      </c>
      <c r="Q777" s="7">
        <f t="shared" si="71"/>
        <v>2025</v>
      </c>
    </row>
    <row r="778" spans="1:17" x14ac:dyDescent="0.25">
      <c r="A778" s="7">
        <v>2539</v>
      </c>
      <c r="B778" s="9" t="s">
        <v>533</v>
      </c>
      <c r="C778" s="9" t="s">
        <v>533</v>
      </c>
      <c r="D778" s="8">
        <v>45891</v>
      </c>
      <c r="E778" s="7" t="s">
        <v>60</v>
      </c>
      <c r="F778" s="7">
        <v>1</v>
      </c>
      <c r="G778" s="7" t="s">
        <v>14</v>
      </c>
      <c r="H778" s="7" t="s">
        <v>314</v>
      </c>
      <c r="J778" s="7">
        <f t="shared" si="67"/>
        <v>1900</v>
      </c>
      <c r="K778" s="7">
        <f t="shared" si="69"/>
        <v>1</v>
      </c>
      <c r="L778" s="7">
        <f t="shared" si="70"/>
        <v>45891</v>
      </c>
      <c r="M778" s="7" t="s">
        <v>537</v>
      </c>
      <c r="N778" s="7" t="s">
        <v>922</v>
      </c>
      <c r="O778" s="17" t="s">
        <v>682</v>
      </c>
      <c r="P778" s="7">
        <f t="shared" si="68"/>
        <v>8</v>
      </c>
      <c r="Q778" s="7">
        <f t="shared" si="71"/>
        <v>2025</v>
      </c>
    </row>
    <row r="779" spans="1:17" x14ac:dyDescent="0.25">
      <c r="A779" s="7">
        <v>2539</v>
      </c>
      <c r="B779" s="9" t="s">
        <v>533</v>
      </c>
      <c r="C779" s="9" t="s">
        <v>533</v>
      </c>
      <c r="D779" s="8">
        <v>45891</v>
      </c>
      <c r="E779" s="7" t="s">
        <v>60</v>
      </c>
      <c r="F779" s="7">
        <v>1</v>
      </c>
      <c r="G779" s="7" t="s">
        <v>14</v>
      </c>
      <c r="H779" s="7" t="s">
        <v>314</v>
      </c>
      <c r="J779" s="7">
        <f t="shared" si="67"/>
        <v>1900</v>
      </c>
      <c r="K779" s="7">
        <f t="shared" si="69"/>
        <v>1</v>
      </c>
      <c r="L779" s="7">
        <f t="shared" si="70"/>
        <v>45891</v>
      </c>
      <c r="M779" s="7" t="s">
        <v>537</v>
      </c>
      <c r="N779" s="7" t="s">
        <v>922</v>
      </c>
      <c r="O779" s="17" t="s">
        <v>682</v>
      </c>
      <c r="P779" s="7">
        <f t="shared" si="68"/>
        <v>8</v>
      </c>
      <c r="Q779" s="7">
        <f t="shared" si="71"/>
        <v>2025</v>
      </c>
    </row>
    <row r="780" spans="1:17" x14ac:dyDescent="0.25">
      <c r="A780" s="7">
        <v>2539</v>
      </c>
      <c r="B780" s="9" t="s">
        <v>533</v>
      </c>
      <c r="C780" s="9" t="s">
        <v>533</v>
      </c>
      <c r="D780" s="8">
        <v>45891</v>
      </c>
      <c r="E780" s="7" t="s">
        <v>60</v>
      </c>
      <c r="F780" s="7">
        <v>1</v>
      </c>
      <c r="G780" s="7" t="s">
        <v>14</v>
      </c>
      <c r="H780" s="7" t="s">
        <v>314</v>
      </c>
      <c r="J780" s="7">
        <f t="shared" si="67"/>
        <v>1900</v>
      </c>
      <c r="K780" s="7">
        <f t="shared" si="69"/>
        <v>1</v>
      </c>
      <c r="L780" s="7">
        <f t="shared" si="70"/>
        <v>45891</v>
      </c>
      <c r="M780" s="7" t="s">
        <v>537</v>
      </c>
      <c r="N780" s="7" t="s">
        <v>922</v>
      </c>
      <c r="O780" s="17" t="s">
        <v>682</v>
      </c>
      <c r="P780" s="7">
        <f t="shared" si="68"/>
        <v>8</v>
      </c>
      <c r="Q780" s="7">
        <f t="shared" si="71"/>
        <v>2025</v>
      </c>
    </row>
    <row r="781" spans="1:17" x14ac:dyDescent="0.25">
      <c r="A781" s="7">
        <v>2539</v>
      </c>
      <c r="B781" s="9" t="s">
        <v>533</v>
      </c>
      <c r="C781" s="9" t="s">
        <v>533</v>
      </c>
      <c r="D781" s="8">
        <v>45891</v>
      </c>
      <c r="E781" s="7" t="s">
        <v>60</v>
      </c>
      <c r="F781" s="7">
        <v>1</v>
      </c>
      <c r="G781" s="7" t="s">
        <v>14</v>
      </c>
      <c r="H781" s="7" t="s">
        <v>314</v>
      </c>
      <c r="J781" s="7">
        <f t="shared" si="67"/>
        <v>1900</v>
      </c>
      <c r="K781" s="7">
        <f t="shared" si="69"/>
        <v>1</v>
      </c>
      <c r="L781" s="7">
        <f t="shared" si="70"/>
        <v>45891</v>
      </c>
      <c r="M781" s="7" t="s">
        <v>537</v>
      </c>
      <c r="N781" s="7" t="s">
        <v>922</v>
      </c>
      <c r="O781" s="17" t="s">
        <v>682</v>
      </c>
      <c r="P781" s="7">
        <f t="shared" si="68"/>
        <v>8</v>
      </c>
      <c r="Q781" s="7">
        <f t="shared" si="71"/>
        <v>2025</v>
      </c>
    </row>
    <row r="782" spans="1:17" x14ac:dyDescent="0.25">
      <c r="A782" s="7">
        <v>2539</v>
      </c>
      <c r="B782" s="9" t="s">
        <v>533</v>
      </c>
      <c r="C782" s="9" t="s">
        <v>533</v>
      </c>
      <c r="D782" s="8">
        <v>45891</v>
      </c>
      <c r="E782" s="7" t="s">
        <v>60</v>
      </c>
      <c r="F782" s="7">
        <v>1</v>
      </c>
      <c r="G782" s="7" t="s">
        <v>14</v>
      </c>
      <c r="H782" s="7" t="s">
        <v>314</v>
      </c>
      <c r="J782" s="7">
        <f t="shared" si="67"/>
        <v>1900</v>
      </c>
      <c r="K782" s="7">
        <f t="shared" si="69"/>
        <v>1</v>
      </c>
      <c r="L782" s="7">
        <f t="shared" si="70"/>
        <v>45891</v>
      </c>
      <c r="M782" s="7" t="s">
        <v>537</v>
      </c>
      <c r="N782" s="7" t="s">
        <v>922</v>
      </c>
      <c r="O782" s="17" t="s">
        <v>682</v>
      </c>
      <c r="P782" s="7">
        <f t="shared" si="68"/>
        <v>8</v>
      </c>
      <c r="Q782" s="7">
        <f t="shared" si="71"/>
        <v>2025</v>
      </c>
    </row>
    <row r="783" spans="1:17" x14ac:dyDescent="0.25">
      <c r="A783" s="7">
        <v>2539</v>
      </c>
      <c r="B783" s="9" t="s">
        <v>533</v>
      </c>
      <c r="C783" s="9" t="s">
        <v>533</v>
      </c>
      <c r="D783" s="8">
        <v>45891</v>
      </c>
      <c r="E783" s="7" t="s">
        <v>60</v>
      </c>
      <c r="F783" s="7">
        <v>1</v>
      </c>
      <c r="G783" s="7" t="s">
        <v>14</v>
      </c>
      <c r="H783" s="7" t="s">
        <v>314</v>
      </c>
      <c r="J783" s="7">
        <f t="shared" si="67"/>
        <v>1900</v>
      </c>
      <c r="K783" s="7">
        <f t="shared" si="69"/>
        <v>1</v>
      </c>
      <c r="L783" s="7">
        <f t="shared" si="70"/>
        <v>45891</v>
      </c>
      <c r="M783" s="7" t="s">
        <v>537</v>
      </c>
      <c r="N783" s="7" t="s">
        <v>922</v>
      </c>
      <c r="O783" s="17" t="s">
        <v>682</v>
      </c>
      <c r="P783" s="7">
        <f t="shared" si="68"/>
        <v>8</v>
      </c>
      <c r="Q783" s="7">
        <f t="shared" si="71"/>
        <v>2025</v>
      </c>
    </row>
    <row r="784" spans="1:17" x14ac:dyDescent="0.25">
      <c r="A784" s="7">
        <v>2539</v>
      </c>
      <c r="B784" s="9" t="s">
        <v>533</v>
      </c>
      <c r="C784" s="9" t="s">
        <v>533</v>
      </c>
      <c r="D784" s="8">
        <v>45891</v>
      </c>
      <c r="E784" s="7" t="s">
        <v>60</v>
      </c>
      <c r="F784" s="7">
        <v>1</v>
      </c>
      <c r="G784" s="7" t="s">
        <v>14</v>
      </c>
      <c r="H784" s="7" t="s">
        <v>314</v>
      </c>
      <c r="J784" s="7">
        <f t="shared" si="67"/>
        <v>1900</v>
      </c>
      <c r="K784" s="7">
        <f t="shared" si="69"/>
        <v>1</v>
      </c>
      <c r="L784" s="7">
        <f t="shared" si="70"/>
        <v>45891</v>
      </c>
      <c r="M784" s="7" t="s">
        <v>537</v>
      </c>
      <c r="N784" s="7" t="s">
        <v>922</v>
      </c>
      <c r="O784" s="17" t="s">
        <v>682</v>
      </c>
      <c r="P784" s="7">
        <f t="shared" si="68"/>
        <v>8</v>
      </c>
      <c r="Q784" s="7">
        <f t="shared" si="71"/>
        <v>2025</v>
      </c>
    </row>
    <row r="785" spans="1:17" x14ac:dyDescent="0.25">
      <c r="A785" s="7">
        <v>2539</v>
      </c>
      <c r="B785" s="9" t="s">
        <v>533</v>
      </c>
      <c r="C785" s="9" t="s">
        <v>533</v>
      </c>
      <c r="D785" s="8">
        <v>45891</v>
      </c>
      <c r="E785" s="7" t="s">
        <v>60</v>
      </c>
      <c r="F785" s="7">
        <v>1</v>
      </c>
      <c r="G785" s="7" t="s">
        <v>14</v>
      </c>
      <c r="H785" s="7" t="s">
        <v>314</v>
      </c>
      <c r="J785" s="7">
        <f t="shared" ref="J785:J848" si="72">YEAR(I785)</f>
        <v>1900</v>
      </c>
      <c r="K785" s="7">
        <f t="shared" si="69"/>
        <v>1</v>
      </c>
      <c r="L785" s="7">
        <f t="shared" si="70"/>
        <v>45891</v>
      </c>
      <c r="M785" s="7" t="s">
        <v>537</v>
      </c>
      <c r="N785" s="7" t="s">
        <v>922</v>
      </c>
      <c r="O785" s="17" t="s">
        <v>682</v>
      </c>
      <c r="P785" s="7">
        <f t="shared" si="68"/>
        <v>8</v>
      </c>
      <c r="Q785" s="7">
        <f t="shared" si="71"/>
        <v>2025</v>
      </c>
    </row>
    <row r="786" spans="1:17" x14ac:dyDescent="0.25">
      <c r="A786" s="7">
        <v>2539</v>
      </c>
      <c r="B786" s="9" t="s">
        <v>533</v>
      </c>
      <c r="C786" s="9" t="s">
        <v>533</v>
      </c>
      <c r="D786" s="8">
        <v>45891</v>
      </c>
      <c r="E786" s="7" t="s">
        <v>60</v>
      </c>
      <c r="F786" s="7">
        <v>1</v>
      </c>
      <c r="G786" s="7" t="s">
        <v>14</v>
      </c>
      <c r="H786" s="7" t="s">
        <v>314</v>
      </c>
      <c r="J786" s="7">
        <f t="shared" si="72"/>
        <v>1900</v>
      </c>
      <c r="K786" s="7">
        <f t="shared" si="69"/>
        <v>1</v>
      </c>
      <c r="L786" s="7">
        <f t="shared" si="70"/>
        <v>45891</v>
      </c>
      <c r="M786" s="7" t="s">
        <v>537</v>
      </c>
      <c r="N786" s="7" t="s">
        <v>922</v>
      </c>
      <c r="O786" s="17" t="s">
        <v>682</v>
      </c>
      <c r="P786" s="7">
        <f t="shared" si="68"/>
        <v>8</v>
      </c>
      <c r="Q786" s="7">
        <f t="shared" si="71"/>
        <v>2025</v>
      </c>
    </row>
    <row r="787" spans="1:17" x14ac:dyDescent="0.25">
      <c r="A787" s="7">
        <v>2539</v>
      </c>
      <c r="B787" s="9" t="s">
        <v>533</v>
      </c>
      <c r="C787" s="9" t="s">
        <v>533</v>
      </c>
      <c r="D787" s="8">
        <v>45891</v>
      </c>
      <c r="E787" s="7" t="s">
        <v>60</v>
      </c>
      <c r="F787" s="7">
        <v>1</v>
      </c>
      <c r="G787" s="7" t="s">
        <v>14</v>
      </c>
      <c r="H787" s="7" t="s">
        <v>314</v>
      </c>
      <c r="J787" s="7">
        <f t="shared" si="72"/>
        <v>1900</v>
      </c>
      <c r="K787" s="7">
        <f t="shared" si="69"/>
        <v>1</v>
      </c>
      <c r="L787" s="7">
        <f t="shared" si="70"/>
        <v>45891</v>
      </c>
      <c r="M787" s="7" t="s">
        <v>537</v>
      </c>
      <c r="N787" s="7" t="s">
        <v>922</v>
      </c>
      <c r="O787" s="17" t="s">
        <v>682</v>
      </c>
      <c r="P787" s="7">
        <f t="shared" si="68"/>
        <v>8</v>
      </c>
      <c r="Q787" s="7">
        <f t="shared" si="71"/>
        <v>2025</v>
      </c>
    </row>
    <row r="788" spans="1:17" x14ac:dyDescent="0.25">
      <c r="A788" s="7">
        <v>2539</v>
      </c>
      <c r="B788" s="9" t="s">
        <v>533</v>
      </c>
      <c r="C788" s="9" t="s">
        <v>533</v>
      </c>
      <c r="D788" s="8">
        <v>45891</v>
      </c>
      <c r="E788" s="7" t="s">
        <v>60</v>
      </c>
      <c r="F788" s="7">
        <v>1</v>
      </c>
      <c r="G788" s="7" t="s">
        <v>14</v>
      </c>
      <c r="H788" s="7" t="s">
        <v>314</v>
      </c>
      <c r="J788" s="7">
        <f t="shared" si="72"/>
        <v>1900</v>
      </c>
      <c r="K788" s="7">
        <f t="shared" si="69"/>
        <v>1</v>
      </c>
      <c r="L788" s="7">
        <f t="shared" si="70"/>
        <v>45891</v>
      </c>
      <c r="M788" s="7" t="s">
        <v>537</v>
      </c>
      <c r="N788" s="7" t="s">
        <v>922</v>
      </c>
      <c r="O788" s="17" t="s">
        <v>682</v>
      </c>
      <c r="P788" s="7">
        <f t="shared" si="68"/>
        <v>8</v>
      </c>
      <c r="Q788" s="7">
        <f t="shared" si="71"/>
        <v>2025</v>
      </c>
    </row>
    <row r="789" spans="1:17" x14ac:dyDescent="0.25">
      <c r="A789" s="7">
        <v>2539</v>
      </c>
      <c r="B789" s="9" t="s">
        <v>533</v>
      </c>
      <c r="C789" s="9" t="s">
        <v>533</v>
      </c>
      <c r="D789" s="8">
        <v>45891</v>
      </c>
      <c r="E789" s="7" t="s">
        <v>60</v>
      </c>
      <c r="F789" s="7">
        <v>1</v>
      </c>
      <c r="G789" s="7" t="s">
        <v>14</v>
      </c>
      <c r="H789" s="7" t="s">
        <v>314</v>
      </c>
      <c r="J789" s="7">
        <f t="shared" si="72"/>
        <v>1900</v>
      </c>
      <c r="K789" s="7">
        <f t="shared" si="69"/>
        <v>1</v>
      </c>
      <c r="L789" s="7">
        <f t="shared" si="70"/>
        <v>45891</v>
      </c>
      <c r="M789" s="7" t="s">
        <v>537</v>
      </c>
      <c r="N789" s="7" t="s">
        <v>922</v>
      </c>
      <c r="O789" s="17" t="s">
        <v>682</v>
      </c>
      <c r="P789" s="7">
        <f t="shared" si="68"/>
        <v>8</v>
      </c>
      <c r="Q789" s="7">
        <f t="shared" si="71"/>
        <v>2025</v>
      </c>
    </row>
    <row r="790" spans="1:17" x14ac:dyDescent="0.25">
      <c r="A790" s="7">
        <v>2539</v>
      </c>
      <c r="B790" s="9" t="s">
        <v>533</v>
      </c>
      <c r="C790" s="9" t="s">
        <v>533</v>
      </c>
      <c r="D790" s="8">
        <v>45891</v>
      </c>
      <c r="E790" s="7" t="s">
        <v>60</v>
      </c>
      <c r="F790" s="7">
        <v>1</v>
      </c>
      <c r="G790" s="7" t="s">
        <v>14</v>
      </c>
      <c r="H790" s="7" t="s">
        <v>314</v>
      </c>
      <c r="J790" s="7">
        <f t="shared" si="72"/>
        <v>1900</v>
      </c>
      <c r="K790" s="7">
        <f t="shared" si="69"/>
        <v>1</v>
      </c>
      <c r="L790" s="7">
        <f t="shared" si="70"/>
        <v>45891</v>
      </c>
      <c r="M790" s="7" t="s">
        <v>537</v>
      </c>
      <c r="N790" s="7" t="s">
        <v>922</v>
      </c>
      <c r="O790" s="17" t="s">
        <v>682</v>
      </c>
      <c r="P790" s="7">
        <f t="shared" si="68"/>
        <v>8</v>
      </c>
      <c r="Q790" s="7">
        <f t="shared" si="71"/>
        <v>2025</v>
      </c>
    </row>
    <row r="791" spans="1:17" x14ac:dyDescent="0.25">
      <c r="A791" s="7">
        <v>2539</v>
      </c>
      <c r="B791" s="9" t="s">
        <v>533</v>
      </c>
      <c r="C791" s="9" t="s">
        <v>533</v>
      </c>
      <c r="D791" s="8">
        <v>45891</v>
      </c>
      <c r="E791" s="7" t="s">
        <v>60</v>
      </c>
      <c r="F791" s="7">
        <v>1</v>
      </c>
      <c r="G791" s="7" t="s">
        <v>14</v>
      </c>
      <c r="H791" s="7" t="s">
        <v>314</v>
      </c>
      <c r="J791" s="7">
        <f t="shared" si="72"/>
        <v>1900</v>
      </c>
      <c r="K791" s="7">
        <f t="shared" si="69"/>
        <v>1</v>
      </c>
      <c r="L791" s="7">
        <f t="shared" si="70"/>
        <v>45891</v>
      </c>
      <c r="M791" s="7" t="s">
        <v>537</v>
      </c>
      <c r="N791" s="7" t="s">
        <v>922</v>
      </c>
      <c r="O791" s="17" t="s">
        <v>682</v>
      </c>
      <c r="P791" s="7">
        <f t="shared" si="68"/>
        <v>8</v>
      </c>
      <c r="Q791" s="7">
        <f t="shared" si="71"/>
        <v>2025</v>
      </c>
    </row>
    <row r="792" spans="1:17" x14ac:dyDescent="0.25">
      <c r="A792" s="7">
        <v>2539</v>
      </c>
      <c r="B792" s="9" t="s">
        <v>533</v>
      </c>
      <c r="C792" s="9" t="s">
        <v>533</v>
      </c>
      <c r="D792" s="8">
        <v>45891</v>
      </c>
      <c r="E792" s="7" t="s">
        <v>60</v>
      </c>
      <c r="F792" s="7">
        <v>1</v>
      </c>
      <c r="G792" s="7" t="s">
        <v>14</v>
      </c>
      <c r="H792" s="7" t="s">
        <v>314</v>
      </c>
      <c r="J792" s="7">
        <f t="shared" si="72"/>
        <v>1900</v>
      </c>
      <c r="K792" s="7">
        <f t="shared" si="69"/>
        <v>1</v>
      </c>
      <c r="L792" s="7">
        <f t="shared" si="70"/>
        <v>45891</v>
      </c>
      <c r="M792" s="7" t="s">
        <v>537</v>
      </c>
      <c r="N792" s="7" t="s">
        <v>922</v>
      </c>
      <c r="O792" s="17" t="s">
        <v>682</v>
      </c>
      <c r="P792" s="7">
        <f t="shared" si="68"/>
        <v>8</v>
      </c>
      <c r="Q792" s="7">
        <f t="shared" si="71"/>
        <v>2025</v>
      </c>
    </row>
    <row r="793" spans="1:17" x14ac:dyDescent="0.25">
      <c r="A793" s="7">
        <v>2539</v>
      </c>
      <c r="B793" s="9" t="s">
        <v>533</v>
      </c>
      <c r="C793" s="9" t="s">
        <v>533</v>
      </c>
      <c r="D793" s="8">
        <v>45891</v>
      </c>
      <c r="E793" s="7" t="s">
        <v>60</v>
      </c>
      <c r="F793" s="7">
        <v>1</v>
      </c>
      <c r="G793" s="7" t="s">
        <v>14</v>
      </c>
      <c r="H793" s="7" t="s">
        <v>314</v>
      </c>
      <c r="J793" s="7">
        <f t="shared" si="72"/>
        <v>1900</v>
      </c>
      <c r="K793" s="7">
        <f t="shared" si="69"/>
        <v>1</v>
      </c>
      <c r="L793" s="7">
        <f t="shared" si="70"/>
        <v>45891</v>
      </c>
      <c r="M793" s="7" t="s">
        <v>537</v>
      </c>
      <c r="N793" s="7" t="s">
        <v>922</v>
      </c>
      <c r="O793" s="17" t="s">
        <v>682</v>
      </c>
      <c r="P793" s="7">
        <f t="shared" si="68"/>
        <v>8</v>
      </c>
      <c r="Q793" s="7">
        <f t="shared" si="71"/>
        <v>2025</v>
      </c>
    </row>
    <row r="794" spans="1:17" x14ac:dyDescent="0.25">
      <c r="A794" s="7">
        <v>2539</v>
      </c>
      <c r="B794" s="9" t="s">
        <v>533</v>
      </c>
      <c r="C794" s="9" t="s">
        <v>533</v>
      </c>
      <c r="D794" s="8">
        <v>45891</v>
      </c>
      <c r="E794" s="7" t="s">
        <v>60</v>
      </c>
      <c r="F794" s="7">
        <v>1</v>
      </c>
      <c r="G794" s="7" t="s">
        <v>14</v>
      </c>
      <c r="H794" s="7" t="s">
        <v>314</v>
      </c>
      <c r="J794" s="7">
        <f t="shared" si="72"/>
        <v>1900</v>
      </c>
      <c r="K794" s="7">
        <f t="shared" si="69"/>
        <v>1</v>
      </c>
      <c r="L794" s="7">
        <f t="shared" si="70"/>
        <v>45891</v>
      </c>
      <c r="M794" s="7" t="s">
        <v>537</v>
      </c>
      <c r="N794" s="7" t="s">
        <v>922</v>
      </c>
      <c r="O794" s="17" t="s">
        <v>682</v>
      </c>
      <c r="P794" s="7">
        <f t="shared" ref="P794:P857" si="73">MONTH(D794)</f>
        <v>8</v>
      </c>
      <c r="Q794" s="7">
        <f t="shared" si="71"/>
        <v>2025</v>
      </c>
    </row>
    <row r="795" spans="1:17" x14ac:dyDescent="0.25">
      <c r="A795" s="7">
        <v>2539</v>
      </c>
      <c r="B795" s="9" t="s">
        <v>533</v>
      </c>
      <c r="C795" s="9" t="s">
        <v>533</v>
      </c>
      <c r="D795" s="8">
        <v>45891</v>
      </c>
      <c r="E795" s="7" t="s">
        <v>60</v>
      </c>
      <c r="F795" s="7">
        <v>1</v>
      </c>
      <c r="G795" s="7" t="s">
        <v>14</v>
      </c>
      <c r="H795" s="7" t="s">
        <v>314</v>
      </c>
      <c r="J795" s="7">
        <f t="shared" si="72"/>
        <v>1900</v>
      </c>
      <c r="K795" s="7">
        <f t="shared" si="69"/>
        <v>1</v>
      </c>
      <c r="L795" s="7">
        <f t="shared" si="70"/>
        <v>45891</v>
      </c>
      <c r="M795" s="7" t="s">
        <v>537</v>
      </c>
      <c r="N795" s="7" t="s">
        <v>922</v>
      </c>
      <c r="O795" s="17" t="s">
        <v>682</v>
      </c>
      <c r="P795" s="7">
        <f t="shared" si="73"/>
        <v>8</v>
      </c>
      <c r="Q795" s="7">
        <f t="shared" si="71"/>
        <v>2025</v>
      </c>
    </row>
    <row r="796" spans="1:17" x14ac:dyDescent="0.25">
      <c r="A796" s="7">
        <v>2539</v>
      </c>
      <c r="B796" s="9" t="s">
        <v>533</v>
      </c>
      <c r="C796" s="9" t="s">
        <v>533</v>
      </c>
      <c r="D796" s="8">
        <v>45891</v>
      </c>
      <c r="E796" s="7" t="s">
        <v>60</v>
      </c>
      <c r="F796" s="7">
        <v>1</v>
      </c>
      <c r="G796" s="7" t="s">
        <v>14</v>
      </c>
      <c r="H796" s="7" t="s">
        <v>314</v>
      </c>
      <c r="J796" s="7">
        <f t="shared" si="72"/>
        <v>1900</v>
      </c>
      <c r="K796" s="7">
        <f t="shared" si="69"/>
        <v>1</v>
      </c>
      <c r="L796" s="7">
        <f t="shared" si="70"/>
        <v>45891</v>
      </c>
      <c r="M796" s="7" t="s">
        <v>537</v>
      </c>
      <c r="N796" s="7" t="s">
        <v>922</v>
      </c>
      <c r="O796" s="17" t="s">
        <v>682</v>
      </c>
      <c r="P796" s="7">
        <f t="shared" si="73"/>
        <v>8</v>
      </c>
      <c r="Q796" s="7">
        <f t="shared" si="71"/>
        <v>2025</v>
      </c>
    </row>
    <row r="797" spans="1:17" x14ac:dyDescent="0.25">
      <c r="A797" s="7">
        <v>2539</v>
      </c>
      <c r="B797" s="9" t="s">
        <v>533</v>
      </c>
      <c r="C797" s="9" t="s">
        <v>533</v>
      </c>
      <c r="D797" s="8">
        <v>45891</v>
      </c>
      <c r="E797" s="7" t="s">
        <v>60</v>
      </c>
      <c r="F797" s="7">
        <v>1</v>
      </c>
      <c r="G797" s="7" t="s">
        <v>14</v>
      </c>
      <c r="H797" s="7" t="s">
        <v>314</v>
      </c>
      <c r="J797" s="7">
        <f t="shared" si="72"/>
        <v>1900</v>
      </c>
      <c r="K797" s="7">
        <f t="shared" si="69"/>
        <v>1</v>
      </c>
      <c r="L797" s="7">
        <f t="shared" si="70"/>
        <v>45891</v>
      </c>
      <c r="M797" s="7" t="s">
        <v>537</v>
      </c>
      <c r="N797" s="7" t="s">
        <v>922</v>
      </c>
      <c r="O797" s="17" t="s">
        <v>682</v>
      </c>
      <c r="P797" s="7">
        <f t="shared" si="73"/>
        <v>8</v>
      </c>
      <c r="Q797" s="7">
        <f t="shared" si="71"/>
        <v>2025</v>
      </c>
    </row>
    <row r="798" spans="1:17" x14ac:dyDescent="0.25">
      <c r="A798" s="7">
        <v>2539</v>
      </c>
      <c r="B798" s="9" t="s">
        <v>533</v>
      </c>
      <c r="C798" s="9" t="s">
        <v>533</v>
      </c>
      <c r="D798" s="8">
        <v>45891</v>
      </c>
      <c r="E798" s="7" t="s">
        <v>60</v>
      </c>
      <c r="F798" s="7">
        <v>1</v>
      </c>
      <c r="G798" s="7" t="s">
        <v>14</v>
      </c>
      <c r="H798" s="7" t="s">
        <v>314</v>
      </c>
      <c r="J798" s="7">
        <f t="shared" si="72"/>
        <v>1900</v>
      </c>
      <c r="K798" s="7">
        <f t="shared" si="69"/>
        <v>1</v>
      </c>
      <c r="L798" s="7">
        <f t="shared" si="70"/>
        <v>45891</v>
      </c>
      <c r="M798" s="7" t="s">
        <v>537</v>
      </c>
      <c r="N798" s="7" t="s">
        <v>922</v>
      </c>
      <c r="O798" s="17" t="s">
        <v>682</v>
      </c>
      <c r="P798" s="7">
        <f t="shared" si="73"/>
        <v>8</v>
      </c>
      <c r="Q798" s="7">
        <f t="shared" si="71"/>
        <v>2025</v>
      </c>
    </row>
    <row r="799" spans="1:17" x14ac:dyDescent="0.25">
      <c r="A799" s="7">
        <v>2539</v>
      </c>
      <c r="B799" s="9" t="s">
        <v>533</v>
      </c>
      <c r="C799" s="9" t="s">
        <v>533</v>
      </c>
      <c r="D799" s="8">
        <v>45891</v>
      </c>
      <c r="E799" s="7" t="s">
        <v>60</v>
      </c>
      <c r="F799" s="7">
        <v>1</v>
      </c>
      <c r="G799" s="7" t="s">
        <v>14</v>
      </c>
      <c r="H799" s="7" t="s">
        <v>314</v>
      </c>
      <c r="J799" s="7">
        <f t="shared" si="72"/>
        <v>1900</v>
      </c>
      <c r="K799" s="7">
        <f t="shared" si="69"/>
        <v>1</v>
      </c>
      <c r="L799" s="7">
        <f t="shared" si="70"/>
        <v>45891</v>
      </c>
      <c r="M799" s="7" t="s">
        <v>537</v>
      </c>
      <c r="N799" s="7" t="s">
        <v>922</v>
      </c>
      <c r="O799" s="17" t="s">
        <v>682</v>
      </c>
      <c r="P799" s="7">
        <f t="shared" si="73"/>
        <v>8</v>
      </c>
      <c r="Q799" s="7">
        <f t="shared" si="71"/>
        <v>2025</v>
      </c>
    </row>
    <row r="800" spans="1:17" x14ac:dyDescent="0.25">
      <c r="A800" s="7">
        <v>2539</v>
      </c>
      <c r="B800" s="9" t="s">
        <v>533</v>
      </c>
      <c r="C800" s="9" t="s">
        <v>533</v>
      </c>
      <c r="D800" s="8">
        <v>45891</v>
      </c>
      <c r="E800" s="7" t="s">
        <v>60</v>
      </c>
      <c r="F800" s="7">
        <v>1</v>
      </c>
      <c r="G800" s="7" t="s">
        <v>14</v>
      </c>
      <c r="H800" s="7" t="s">
        <v>314</v>
      </c>
      <c r="J800" s="7">
        <f t="shared" si="72"/>
        <v>1900</v>
      </c>
      <c r="K800" s="7">
        <f t="shared" si="69"/>
        <v>1</v>
      </c>
      <c r="L800" s="7">
        <f t="shared" si="70"/>
        <v>45891</v>
      </c>
      <c r="M800" s="7" t="s">
        <v>537</v>
      </c>
      <c r="N800" s="7" t="s">
        <v>922</v>
      </c>
      <c r="O800" s="17" t="s">
        <v>682</v>
      </c>
      <c r="P800" s="7">
        <f t="shared" si="73"/>
        <v>8</v>
      </c>
      <c r="Q800" s="7">
        <f t="shared" si="71"/>
        <v>2025</v>
      </c>
    </row>
    <row r="801" spans="1:17" x14ac:dyDescent="0.25">
      <c r="A801" s="7">
        <v>2539</v>
      </c>
      <c r="B801" s="9" t="s">
        <v>533</v>
      </c>
      <c r="C801" s="9" t="s">
        <v>533</v>
      </c>
      <c r="D801" s="8">
        <v>45891</v>
      </c>
      <c r="E801" s="7" t="s">
        <v>60</v>
      </c>
      <c r="F801" s="7">
        <v>1</v>
      </c>
      <c r="G801" s="7" t="s">
        <v>14</v>
      </c>
      <c r="H801" s="7" t="s">
        <v>314</v>
      </c>
      <c r="J801" s="7">
        <f t="shared" si="72"/>
        <v>1900</v>
      </c>
      <c r="K801" s="7">
        <f t="shared" si="69"/>
        <v>1</v>
      </c>
      <c r="L801" s="7">
        <f t="shared" si="70"/>
        <v>45891</v>
      </c>
      <c r="M801" s="7" t="s">
        <v>537</v>
      </c>
      <c r="N801" s="7" t="s">
        <v>922</v>
      </c>
      <c r="O801" s="17" t="s">
        <v>682</v>
      </c>
      <c r="P801" s="7">
        <f t="shared" si="73"/>
        <v>8</v>
      </c>
      <c r="Q801" s="7">
        <f t="shared" si="71"/>
        <v>2025</v>
      </c>
    </row>
    <row r="802" spans="1:17" x14ac:dyDescent="0.25">
      <c r="A802" s="7">
        <v>2539</v>
      </c>
      <c r="B802" s="9" t="s">
        <v>533</v>
      </c>
      <c r="C802" s="9" t="s">
        <v>533</v>
      </c>
      <c r="D802" s="8">
        <v>45891</v>
      </c>
      <c r="E802" s="7" t="s">
        <v>60</v>
      </c>
      <c r="F802" s="7">
        <v>1</v>
      </c>
      <c r="G802" s="7" t="s">
        <v>14</v>
      </c>
      <c r="H802" s="7" t="s">
        <v>314</v>
      </c>
      <c r="J802" s="7">
        <f t="shared" si="72"/>
        <v>1900</v>
      </c>
      <c r="K802" s="7">
        <f t="shared" si="69"/>
        <v>1</v>
      </c>
      <c r="L802" s="7">
        <f t="shared" si="70"/>
        <v>45891</v>
      </c>
      <c r="M802" s="7" t="s">
        <v>537</v>
      </c>
      <c r="N802" s="7" t="s">
        <v>922</v>
      </c>
      <c r="O802" s="17" t="s">
        <v>682</v>
      </c>
      <c r="P802" s="7">
        <f t="shared" si="73"/>
        <v>8</v>
      </c>
      <c r="Q802" s="7">
        <f t="shared" si="71"/>
        <v>2025</v>
      </c>
    </row>
    <row r="803" spans="1:17" x14ac:dyDescent="0.25">
      <c r="A803" s="7">
        <v>2539</v>
      </c>
      <c r="B803" s="9" t="s">
        <v>533</v>
      </c>
      <c r="C803" s="9" t="s">
        <v>533</v>
      </c>
      <c r="D803" s="8">
        <v>45891</v>
      </c>
      <c r="E803" s="7" t="s">
        <v>60</v>
      </c>
      <c r="F803" s="7">
        <v>1</v>
      </c>
      <c r="G803" s="7" t="s">
        <v>14</v>
      </c>
      <c r="H803" s="7" t="s">
        <v>314</v>
      </c>
      <c r="J803" s="7">
        <f t="shared" si="72"/>
        <v>1900</v>
      </c>
      <c r="K803" s="7">
        <f t="shared" si="69"/>
        <v>1</v>
      </c>
      <c r="L803" s="7">
        <f t="shared" si="70"/>
        <v>45891</v>
      </c>
      <c r="M803" s="7" t="s">
        <v>537</v>
      </c>
      <c r="N803" s="7" t="s">
        <v>922</v>
      </c>
      <c r="O803" s="17" t="s">
        <v>682</v>
      </c>
      <c r="P803" s="7">
        <f t="shared" si="73"/>
        <v>8</v>
      </c>
      <c r="Q803" s="7">
        <f t="shared" si="71"/>
        <v>2025</v>
      </c>
    </row>
    <row r="804" spans="1:17" x14ac:dyDescent="0.25">
      <c r="A804" s="7">
        <v>2539</v>
      </c>
      <c r="B804" s="9" t="s">
        <v>533</v>
      </c>
      <c r="C804" s="9" t="s">
        <v>533</v>
      </c>
      <c r="D804" s="8">
        <v>45891</v>
      </c>
      <c r="E804" s="7" t="s">
        <v>60</v>
      </c>
      <c r="F804" s="7">
        <v>1</v>
      </c>
      <c r="G804" s="7" t="s">
        <v>14</v>
      </c>
      <c r="H804" s="7" t="s">
        <v>314</v>
      </c>
      <c r="J804" s="7">
        <f t="shared" si="72"/>
        <v>1900</v>
      </c>
      <c r="K804" s="7">
        <f t="shared" si="69"/>
        <v>1</v>
      </c>
      <c r="L804" s="7">
        <f t="shared" si="70"/>
        <v>45891</v>
      </c>
      <c r="M804" s="7" t="s">
        <v>537</v>
      </c>
      <c r="N804" s="7" t="s">
        <v>922</v>
      </c>
      <c r="O804" s="17" t="s">
        <v>682</v>
      </c>
      <c r="P804" s="7">
        <f t="shared" si="73"/>
        <v>8</v>
      </c>
      <c r="Q804" s="7">
        <f t="shared" si="71"/>
        <v>2025</v>
      </c>
    </row>
    <row r="805" spans="1:17" x14ac:dyDescent="0.25">
      <c r="A805" s="7">
        <v>2539</v>
      </c>
      <c r="B805" s="9" t="s">
        <v>533</v>
      </c>
      <c r="C805" s="9" t="s">
        <v>533</v>
      </c>
      <c r="D805" s="8">
        <v>45891</v>
      </c>
      <c r="E805" s="7" t="s">
        <v>60</v>
      </c>
      <c r="F805" s="7">
        <v>1</v>
      </c>
      <c r="G805" s="7" t="s">
        <v>14</v>
      </c>
      <c r="H805" s="7" t="s">
        <v>314</v>
      </c>
      <c r="J805" s="7">
        <f t="shared" si="72"/>
        <v>1900</v>
      </c>
      <c r="K805" s="7">
        <f t="shared" si="69"/>
        <v>1</v>
      </c>
      <c r="L805" s="7">
        <f t="shared" si="70"/>
        <v>45891</v>
      </c>
      <c r="M805" s="7" t="s">
        <v>537</v>
      </c>
      <c r="N805" s="7" t="s">
        <v>922</v>
      </c>
      <c r="O805" s="17" t="s">
        <v>682</v>
      </c>
      <c r="P805" s="7">
        <f t="shared" si="73"/>
        <v>8</v>
      </c>
      <c r="Q805" s="7">
        <f t="shared" si="71"/>
        <v>2025</v>
      </c>
    </row>
    <row r="806" spans="1:17" x14ac:dyDescent="0.25">
      <c r="A806" s="7">
        <v>2539</v>
      </c>
      <c r="B806" s="9" t="s">
        <v>533</v>
      </c>
      <c r="C806" s="9" t="s">
        <v>533</v>
      </c>
      <c r="D806" s="8">
        <v>45891</v>
      </c>
      <c r="E806" s="7" t="s">
        <v>60</v>
      </c>
      <c r="F806" s="7">
        <v>1</v>
      </c>
      <c r="G806" s="7" t="s">
        <v>14</v>
      </c>
      <c r="H806" s="7" t="s">
        <v>314</v>
      </c>
      <c r="J806" s="7">
        <f t="shared" si="72"/>
        <v>1900</v>
      </c>
      <c r="K806" s="7">
        <f t="shared" si="69"/>
        <v>1</v>
      </c>
      <c r="L806" s="7">
        <f t="shared" si="70"/>
        <v>45891</v>
      </c>
      <c r="M806" s="7" t="s">
        <v>537</v>
      </c>
      <c r="N806" s="7" t="s">
        <v>922</v>
      </c>
      <c r="O806" s="17" t="s">
        <v>682</v>
      </c>
      <c r="P806" s="7">
        <f t="shared" si="73"/>
        <v>8</v>
      </c>
      <c r="Q806" s="7">
        <f t="shared" si="71"/>
        <v>2025</v>
      </c>
    </row>
    <row r="807" spans="1:17" x14ac:dyDescent="0.25">
      <c r="A807" s="7">
        <v>2539</v>
      </c>
      <c r="B807" s="9" t="s">
        <v>533</v>
      </c>
      <c r="C807" s="9" t="s">
        <v>533</v>
      </c>
      <c r="D807" s="8">
        <v>45891</v>
      </c>
      <c r="E807" s="7" t="s">
        <v>60</v>
      </c>
      <c r="F807" s="7">
        <v>1</v>
      </c>
      <c r="G807" s="7" t="s">
        <v>14</v>
      </c>
      <c r="H807" s="7" t="s">
        <v>314</v>
      </c>
      <c r="J807" s="7">
        <f t="shared" si="72"/>
        <v>1900</v>
      </c>
      <c r="K807" s="7">
        <f t="shared" si="69"/>
        <v>1</v>
      </c>
      <c r="L807" s="7">
        <f t="shared" si="70"/>
        <v>45891</v>
      </c>
      <c r="M807" s="7" t="s">
        <v>537</v>
      </c>
      <c r="N807" s="7" t="s">
        <v>922</v>
      </c>
      <c r="O807" s="17" t="s">
        <v>682</v>
      </c>
      <c r="P807" s="7">
        <f t="shared" si="73"/>
        <v>8</v>
      </c>
      <c r="Q807" s="7">
        <f t="shared" si="71"/>
        <v>2025</v>
      </c>
    </row>
    <row r="808" spans="1:17" x14ac:dyDescent="0.25">
      <c r="A808" s="7">
        <v>2539</v>
      </c>
      <c r="B808" s="9" t="s">
        <v>533</v>
      </c>
      <c r="C808" s="9" t="s">
        <v>533</v>
      </c>
      <c r="D808" s="8">
        <v>45891</v>
      </c>
      <c r="E808" s="7" t="s">
        <v>60</v>
      </c>
      <c r="F808" s="7">
        <v>1</v>
      </c>
      <c r="G808" s="7" t="s">
        <v>14</v>
      </c>
      <c r="H808" s="7" t="s">
        <v>314</v>
      </c>
      <c r="J808" s="7">
        <f t="shared" si="72"/>
        <v>1900</v>
      </c>
      <c r="K808" s="7">
        <f t="shared" si="69"/>
        <v>1</v>
      </c>
      <c r="L808" s="7">
        <f t="shared" si="70"/>
        <v>45891</v>
      </c>
      <c r="M808" s="7" t="s">
        <v>537</v>
      </c>
      <c r="N808" s="7" t="s">
        <v>922</v>
      </c>
      <c r="O808" s="17" t="s">
        <v>682</v>
      </c>
      <c r="P808" s="7">
        <f t="shared" si="73"/>
        <v>8</v>
      </c>
      <c r="Q808" s="7">
        <f t="shared" si="71"/>
        <v>2025</v>
      </c>
    </row>
    <row r="809" spans="1:17" x14ac:dyDescent="0.25">
      <c r="A809" s="7">
        <v>2539</v>
      </c>
      <c r="B809" s="9" t="s">
        <v>533</v>
      </c>
      <c r="C809" s="9" t="s">
        <v>533</v>
      </c>
      <c r="D809" s="8">
        <v>45891</v>
      </c>
      <c r="E809" s="7" t="s">
        <v>60</v>
      </c>
      <c r="F809" s="7">
        <v>1</v>
      </c>
      <c r="G809" s="7" t="s">
        <v>14</v>
      </c>
      <c r="H809" s="7" t="s">
        <v>314</v>
      </c>
      <c r="J809" s="7">
        <f t="shared" si="72"/>
        <v>1900</v>
      </c>
      <c r="K809" s="7">
        <f t="shared" si="69"/>
        <v>1</v>
      </c>
      <c r="L809" s="7">
        <f t="shared" si="70"/>
        <v>45891</v>
      </c>
      <c r="M809" s="7" t="s">
        <v>537</v>
      </c>
      <c r="N809" s="7" t="s">
        <v>922</v>
      </c>
      <c r="O809" s="17" t="s">
        <v>682</v>
      </c>
      <c r="P809" s="7">
        <f t="shared" si="73"/>
        <v>8</v>
      </c>
      <c r="Q809" s="7">
        <f t="shared" si="71"/>
        <v>2025</v>
      </c>
    </row>
    <row r="810" spans="1:17" x14ac:dyDescent="0.25">
      <c r="A810" s="7">
        <v>2539</v>
      </c>
      <c r="B810" s="9" t="s">
        <v>533</v>
      </c>
      <c r="C810" s="9" t="s">
        <v>533</v>
      </c>
      <c r="D810" s="8">
        <v>45891</v>
      </c>
      <c r="E810" s="7" t="s">
        <v>60</v>
      </c>
      <c r="F810" s="7">
        <v>1</v>
      </c>
      <c r="G810" s="7" t="s">
        <v>14</v>
      </c>
      <c r="H810" s="7" t="s">
        <v>314</v>
      </c>
      <c r="J810" s="7">
        <f t="shared" si="72"/>
        <v>1900</v>
      </c>
      <c r="K810" s="7">
        <f t="shared" si="69"/>
        <v>1</v>
      </c>
      <c r="L810" s="7">
        <f t="shared" si="70"/>
        <v>45891</v>
      </c>
      <c r="M810" s="7" t="s">
        <v>537</v>
      </c>
      <c r="N810" s="7" t="s">
        <v>922</v>
      </c>
      <c r="O810" s="17" t="s">
        <v>682</v>
      </c>
      <c r="P810" s="7">
        <f t="shared" si="73"/>
        <v>8</v>
      </c>
      <c r="Q810" s="7">
        <f t="shared" si="71"/>
        <v>2025</v>
      </c>
    </row>
    <row r="811" spans="1:17" x14ac:dyDescent="0.25">
      <c r="A811" s="7">
        <v>2539</v>
      </c>
      <c r="B811" s="9" t="s">
        <v>533</v>
      </c>
      <c r="C811" s="9" t="s">
        <v>533</v>
      </c>
      <c r="D811" s="8">
        <v>45891</v>
      </c>
      <c r="E811" s="7" t="s">
        <v>60</v>
      </c>
      <c r="F811" s="7">
        <v>1</v>
      </c>
      <c r="G811" s="7" t="s">
        <v>14</v>
      </c>
      <c r="H811" s="7" t="s">
        <v>314</v>
      </c>
      <c r="J811" s="7">
        <f t="shared" si="72"/>
        <v>1900</v>
      </c>
      <c r="K811" s="7">
        <f t="shared" si="69"/>
        <v>1</v>
      </c>
      <c r="L811" s="7">
        <f t="shared" si="70"/>
        <v>45891</v>
      </c>
      <c r="M811" s="7" t="s">
        <v>537</v>
      </c>
      <c r="N811" s="7" t="s">
        <v>922</v>
      </c>
      <c r="O811" s="17" t="s">
        <v>682</v>
      </c>
      <c r="P811" s="7">
        <f t="shared" si="73"/>
        <v>8</v>
      </c>
      <c r="Q811" s="7">
        <f t="shared" si="71"/>
        <v>2025</v>
      </c>
    </row>
    <row r="812" spans="1:17" x14ac:dyDescent="0.25">
      <c r="A812" s="7">
        <v>2539</v>
      </c>
      <c r="B812" s="9" t="s">
        <v>533</v>
      </c>
      <c r="C812" s="9" t="s">
        <v>533</v>
      </c>
      <c r="D812" s="8">
        <v>45891</v>
      </c>
      <c r="E812" s="7" t="s">
        <v>60</v>
      </c>
      <c r="F812" s="7">
        <v>1</v>
      </c>
      <c r="G812" s="7" t="s">
        <v>14</v>
      </c>
      <c r="H812" s="7" t="s">
        <v>314</v>
      </c>
      <c r="J812" s="7">
        <f t="shared" si="72"/>
        <v>1900</v>
      </c>
      <c r="K812" s="7">
        <f t="shared" si="69"/>
        <v>1</v>
      </c>
      <c r="L812" s="7">
        <f t="shared" si="70"/>
        <v>45891</v>
      </c>
      <c r="M812" s="7" t="s">
        <v>537</v>
      </c>
      <c r="N812" s="7" t="s">
        <v>922</v>
      </c>
      <c r="O812" s="17" t="s">
        <v>682</v>
      </c>
      <c r="P812" s="7">
        <f t="shared" si="73"/>
        <v>8</v>
      </c>
      <c r="Q812" s="7">
        <f t="shared" si="71"/>
        <v>2025</v>
      </c>
    </row>
    <row r="813" spans="1:17" x14ac:dyDescent="0.25">
      <c r="A813" s="7">
        <v>2539</v>
      </c>
      <c r="B813" s="9" t="s">
        <v>533</v>
      </c>
      <c r="C813" s="9" t="s">
        <v>533</v>
      </c>
      <c r="D813" s="8">
        <v>45891</v>
      </c>
      <c r="E813" s="7" t="s">
        <v>60</v>
      </c>
      <c r="F813" s="7">
        <v>1</v>
      </c>
      <c r="G813" s="7" t="s">
        <v>14</v>
      </c>
      <c r="H813" s="7" t="s">
        <v>314</v>
      </c>
      <c r="J813" s="7">
        <f t="shared" si="72"/>
        <v>1900</v>
      </c>
      <c r="K813" s="7">
        <f t="shared" ref="K813:K876" si="74">MONTH(I813)</f>
        <v>1</v>
      </c>
      <c r="L813" s="7">
        <f t="shared" si="70"/>
        <v>45891</v>
      </c>
      <c r="M813" s="7" t="s">
        <v>537</v>
      </c>
      <c r="N813" s="7" t="s">
        <v>922</v>
      </c>
      <c r="O813" s="17" t="s">
        <v>682</v>
      </c>
      <c r="P813" s="7">
        <f t="shared" si="73"/>
        <v>8</v>
      </c>
      <c r="Q813" s="7">
        <f t="shared" si="71"/>
        <v>2025</v>
      </c>
    </row>
    <row r="814" spans="1:17" x14ac:dyDescent="0.25">
      <c r="A814" s="7">
        <v>2539</v>
      </c>
      <c r="B814" s="9" t="s">
        <v>533</v>
      </c>
      <c r="C814" s="9" t="s">
        <v>533</v>
      </c>
      <c r="D814" s="8">
        <v>45891</v>
      </c>
      <c r="E814" s="7" t="s">
        <v>60</v>
      </c>
      <c r="F814" s="7">
        <v>1</v>
      </c>
      <c r="G814" s="7" t="s">
        <v>14</v>
      </c>
      <c r="H814" s="7" t="s">
        <v>314</v>
      </c>
      <c r="J814" s="7">
        <f t="shared" si="72"/>
        <v>1900</v>
      </c>
      <c r="K814" s="7">
        <f t="shared" si="74"/>
        <v>1</v>
      </c>
      <c r="L814" s="7">
        <f t="shared" si="70"/>
        <v>45891</v>
      </c>
      <c r="M814" s="7" t="s">
        <v>537</v>
      </c>
      <c r="N814" s="7" t="s">
        <v>922</v>
      </c>
      <c r="O814" s="17" t="s">
        <v>682</v>
      </c>
      <c r="P814" s="7">
        <f t="shared" si="73"/>
        <v>8</v>
      </c>
      <c r="Q814" s="7">
        <f t="shared" si="71"/>
        <v>2025</v>
      </c>
    </row>
    <row r="815" spans="1:17" x14ac:dyDescent="0.25">
      <c r="A815" s="7">
        <v>2539</v>
      </c>
      <c r="B815" s="9" t="s">
        <v>533</v>
      </c>
      <c r="C815" s="9" t="s">
        <v>533</v>
      </c>
      <c r="D815" s="8">
        <v>45891</v>
      </c>
      <c r="E815" s="7" t="s">
        <v>60</v>
      </c>
      <c r="F815" s="7">
        <v>1</v>
      </c>
      <c r="G815" s="7" t="s">
        <v>14</v>
      </c>
      <c r="H815" s="7" t="s">
        <v>314</v>
      </c>
      <c r="J815" s="7">
        <f t="shared" si="72"/>
        <v>1900</v>
      </c>
      <c r="K815" s="7">
        <f t="shared" si="74"/>
        <v>1</v>
      </c>
      <c r="L815" s="7">
        <f t="shared" ref="L815:L878" si="75">D815-I815</f>
        <v>45891</v>
      </c>
      <c r="M815" s="7" t="s">
        <v>537</v>
      </c>
      <c r="N815" s="7" t="s">
        <v>922</v>
      </c>
      <c r="O815" s="17" t="s">
        <v>682</v>
      </c>
      <c r="P815" s="7">
        <f t="shared" si="73"/>
        <v>8</v>
      </c>
      <c r="Q815" s="7">
        <f t="shared" si="71"/>
        <v>2025</v>
      </c>
    </row>
    <row r="816" spans="1:17" x14ac:dyDescent="0.25">
      <c r="A816" s="7">
        <v>2539</v>
      </c>
      <c r="B816" s="9" t="s">
        <v>533</v>
      </c>
      <c r="C816" s="9" t="s">
        <v>533</v>
      </c>
      <c r="D816" s="8">
        <v>45891</v>
      </c>
      <c r="E816" s="7" t="s">
        <v>60</v>
      </c>
      <c r="F816" s="7">
        <v>1</v>
      </c>
      <c r="G816" s="7" t="s">
        <v>14</v>
      </c>
      <c r="H816" s="7" t="s">
        <v>314</v>
      </c>
      <c r="J816" s="7">
        <f t="shared" si="72"/>
        <v>1900</v>
      </c>
      <c r="K816" s="7">
        <f t="shared" si="74"/>
        <v>1</v>
      </c>
      <c r="L816" s="7">
        <f t="shared" si="75"/>
        <v>45891</v>
      </c>
      <c r="M816" s="7" t="s">
        <v>537</v>
      </c>
      <c r="N816" s="7" t="s">
        <v>922</v>
      </c>
      <c r="O816" s="17" t="s">
        <v>682</v>
      </c>
      <c r="P816" s="7">
        <f t="shared" si="73"/>
        <v>8</v>
      </c>
      <c r="Q816" s="7">
        <f t="shared" si="71"/>
        <v>2025</v>
      </c>
    </row>
    <row r="817" spans="1:17" x14ac:dyDescent="0.25">
      <c r="A817" s="7">
        <v>2539</v>
      </c>
      <c r="B817" s="9" t="s">
        <v>533</v>
      </c>
      <c r="C817" s="9" t="s">
        <v>533</v>
      </c>
      <c r="D817" s="8">
        <v>45891</v>
      </c>
      <c r="E817" s="7" t="s">
        <v>60</v>
      </c>
      <c r="F817" s="7">
        <v>1</v>
      </c>
      <c r="G817" s="7" t="s">
        <v>14</v>
      </c>
      <c r="H817" s="7" t="s">
        <v>314</v>
      </c>
      <c r="J817" s="7">
        <f t="shared" si="72"/>
        <v>1900</v>
      </c>
      <c r="K817" s="7">
        <f t="shared" si="74"/>
        <v>1</v>
      </c>
      <c r="L817" s="7">
        <f t="shared" si="75"/>
        <v>45891</v>
      </c>
      <c r="M817" s="7" t="s">
        <v>537</v>
      </c>
      <c r="N817" s="7" t="s">
        <v>922</v>
      </c>
      <c r="O817" s="17" t="s">
        <v>682</v>
      </c>
      <c r="P817" s="7">
        <f t="shared" si="73"/>
        <v>8</v>
      </c>
      <c r="Q817" s="7">
        <f t="shared" si="71"/>
        <v>2025</v>
      </c>
    </row>
    <row r="818" spans="1:17" x14ac:dyDescent="0.25">
      <c r="A818" s="7">
        <v>2539</v>
      </c>
      <c r="B818" s="9" t="s">
        <v>533</v>
      </c>
      <c r="C818" s="9" t="s">
        <v>533</v>
      </c>
      <c r="D818" s="8">
        <v>45891</v>
      </c>
      <c r="E818" s="7" t="s">
        <v>60</v>
      </c>
      <c r="F818" s="7">
        <v>1</v>
      </c>
      <c r="G818" s="7" t="s">
        <v>14</v>
      </c>
      <c r="H818" s="7" t="s">
        <v>314</v>
      </c>
      <c r="J818" s="7">
        <f t="shared" si="72"/>
        <v>1900</v>
      </c>
      <c r="K818" s="7">
        <f t="shared" si="74"/>
        <v>1</v>
      </c>
      <c r="L818" s="7">
        <f t="shared" si="75"/>
        <v>45891</v>
      </c>
      <c r="M818" s="7" t="s">
        <v>537</v>
      </c>
      <c r="N818" s="7" t="s">
        <v>922</v>
      </c>
      <c r="O818" s="17" t="s">
        <v>682</v>
      </c>
      <c r="P818" s="7">
        <f t="shared" si="73"/>
        <v>8</v>
      </c>
      <c r="Q818" s="7">
        <f t="shared" si="71"/>
        <v>2025</v>
      </c>
    </row>
    <row r="819" spans="1:17" x14ac:dyDescent="0.25">
      <c r="A819" s="7">
        <v>2539</v>
      </c>
      <c r="B819" s="9" t="s">
        <v>533</v>
      </c>
      <c r="C819" s="9" t="s">
        <v>533</v>
      </c>
      <c r="D819" s="8">
        <v>45891</v>
      </c>
      <c r="E819" s="7" t="s">
        <v>60</v>
      </c>
      <c r="F819" s="7">
        <v>1</v>
      </c>
      <c r="G819" s="7" t="s">
        <v>14</v>
      </c>
      <c r="H819" s="7" t="s">
        <v>314</v>
      </c>
      <c r="J819" s="7">
        <f t="shared" si="72"/>
        <v>1900</v>
      </c>
      <c r="K819" s="7">
        <f t="shared" si="74"/>
        <v>1</v>
      </c>
      <c r="L819" s="7">
        <f t="shared" si="75"/>
        <v>45891</v>
      </c>
      <c r="M819" s="7" t="s">
        <v>537</v>
      </c>
      <c r="N819" s="7" t="s">
        <v>922</v>
      </c>
      <c r="O819" s="17" t="s">
        <v>682</v>
      </c>
      <c r="P819" s="7">
        <f t="shared" si="73"/>
        <v>8</v>
      </c>
      <c r="Q819" s="7">
        <f t="shared" si="71"/>
        <v>2025</v>
      </c>
    </row>
    <row r="820" spans="1:17" x14ac:dyDescent="0.25">
      <c r="A820" s="7">
        <v>2539</v>
      </c>
      <c r="B820" s="9" t="s">
        <v>533</v>
      </c>
      <c r="C820" s="9" t="s">
        <v>533</v>
      </c>
      <c r="D820" s="8">
        <v>45891</v>
      </c>
      <c r="E820" s="7" t="s">
        <v>60</v>
      </c>
      <c r="F820" s="7">
        <v>1</v>
      </c>
      <c r="G820" s="7" t="s">
        <v>14</v>
      </c>
      <c r="H820" s="7" t="s">
        <v>314</v>
      </c>
      <c r="J820" s="7">
        <f t="shared" si="72"/>
        <v>1900</v>
      </c>
      <c r="K820" s="7">
        <f t="shared" si="74"/>
        <v>1</v>
      </c>
      <c r="L820" s="7">
        <f t="shared" si="75"/>
        <v>45891</v>
      </c>
      <c r="M820" s="7" t="s">
        <v>537</v>
      </c>
      <c r="N820" s="7" t="s">
        <v>922</v>
      </c>
      <c r="O820" s="17" t="s">
        <v>682</v>
      </c>
      <c r="P820" s="7">
        <f t="shared" si="73"/>
        <v>8</v>
      </c>
      <c r="Q820" s="7">
        <f t="shared" si="71"/>
        <v>2025</v>
      </c>
    </row>
    <row r="821" spans="1:17" x14ac:dyDescent="0.25">
      <c r="A821" s="7">
        <v>2539</v>
      </c>
      <c r="B821" s="9" t="s">
        <v>533</v>
      </c>
      <c r="C821" s="9" t="s">
        <v>533</v>
      </c>
      <c r="D821" s="8">
        <v>45891</v>
      </c>
      <c r="E821" s="7" t="s">
        <v>60</v>
      </c>
      <c r="F821" s="7">
        <v>1</v>
      </c>
      <c r="G821" s="7" t="s">
        <v>14</v>
      </c>
      <c r="H821" s="7" t="s">
        <v>314</v>
      </c>
      <c r="J821" s="7">
        <f t="shared" si="72"/>
        <v>1900</v>
      </c>
      <c r="K821" s="7">
        <f t="shared" si="74"/>
        <v>1</v>
      </c>
      <c r="L821" s="7">
        <f t="shared" si="75"/>
        <v>45891</v>
      </c>
      <c r="M821" s="7" t="s">
        <v>537</v>
      </c>
      <c r="N821" s="7" t="s">
        <v>922</v>
      </c>
      <c r="O821" s="17" t="s">
        <v>682</v>
      </c>
      <c r="P821" s="7">
        <f t="shared" si="73"/>
        <v>8</v>
      </c>
      <c r="Q821" s="7">
        <f t="shared" ref="Q821:Q884" si="76">YEAR(D821)</f>
        <v>2025</v>
      </c>
    </row>
    <row r="822" spans="1:17" x14ac:dyDescent="0.25">
      <c r="A822" s="7">
        <v>2539</v>
      </c>
      <c r="B822" s="9" t="s">
        <v>533</v>
      </c>
      <c r="C822" s="9" t="s">
        <v>533</v>
      </c>
      <c r="D822" s="8">
        <v>45891</v>
      </c>
      <c r="E822" s="7" t="s">
        <v>60</v>
      </c>
      <c r="F822" s="7">
        <v>1</v>
      </c>
      <c r="G822" s="7" t="s">
        <v>14</v>
      </c>
      <c r="H822" s="7" t="s">
        <v>314</v>
      </c>
      <c r="J822" s="7">
        <f t="shared" si="72"/>
        <v>1900</v>
      </c>
      <c r="K822" s="7">
        <f t="shared" si="74"/>
        <v>1</v>
      </c>
      <c r="L822" s="7">
        <f t="shared" si="75"/>
        <v>45891</v>
      </c>
      <c r="M822" s="7" t="s">
        <v>537</v>
      </c>
      <c r="N822" s="7" t="s">
        <v>922</v>
      </c>
      <c r="O822" s="17" t="s">
        <v>682</v>
      </c>
      <c r="P822" s="7">
        <f t="shared" si="73"/>
        <v>8</v>
      </c>
      <c r="Q822" s="7">
        <f t="shared" si="76"/>
        <v>2025</v>
      </c>
    </row>
    <row r="823" spans="1:17" x14ac:dyDescent="0.25">
      <c r="A823" s="7">
        <v>2539</v>
      </c>
      <c r="B823" s="9" t="s">
        <v>533</v>
      </c>
      <c r="C823" s="9" t="s">
        <v>533</v>
      </c>
      <c r="D823" s="8">
        <v>45891</v>
      </c>
      <c r="E823" s="7" t="s">
        <v>60</v>
      </c>
      <c r="F823" s="7">
        <v>1</v>
      </c>
      <c r="G823" s="7" t="s">
        <v>14</v>
      </c>
      <c r="H823" s="7" t="s">
        <v>314</v>
      </c>
      <c r="J823" s="7">
        <f t="shared" si="72"/>
        <v>1900</v>
      </c>
      <c r="K823" s="7">
        <f t="shared" si="74"/>
        <v>1</v>
      </c>
      <c r="L823" s="7">
        <f t="shared" si="75"/>
        <v>45891</v>
      </c>
      <c r="M823" s="7" t="s">
        <v>537</v>
      </c>
      <c r="N823" s="7" t="s">
        <v>922</v>
      </c>
      <c r="O823" s="17" t="s">
        <v>682</v>
      </c>
      <c r="P823" s="7">
        <f t="shared" si="73"/>
        <v>8</v>
      </c>
      <c r="Q823" s="7">
        <f t="shared" si="76"/>
        <v>2025</v>
      </c>
    </row>
    <row r="824" spans="1:17" x14ac:dyDescent="0.25">
      <c r="A824" s="7">
        <v>2539</v>
      </c>
      <c r="B824" s="9" t="s">
        <v>533</v>
      </c>
      <c r="C824" s="9" t="s">
        <v>533</v>
      </c>
      <c r="D824" s="8">
        <v>45891</v>
      </c>
      <c r="E824" s="7" t="s">
        <v>60</v>
      </c>
      <c r="F824" s="7">
        <v>1</v>
      </c>
      <c r="G824" s="7" t="s">
        <v>14</v>
      </c>
      <c r="H824" s="7" t="s">
        <v>314</v>
      </c>
      <c r="J824" s="7">
        <f t="shared" si="72"/>
        <v>1900</v>
      </c>
      <c r="K824" s="7">
        <f t="shared" si="74"/>
        <v>1</v>
      </c>
      <c r="L824" s="7">
        <f t="shared" si="75"/>
        <v>45891</v>
      </c>
      <c r="M824" s="7" t="s">
        <v>537</v>
      </c>
      <c r="N824" s="7" t="s">
        <v>922</v>
      </c>
      <c r="O824" s="17" t="s">
        <v>682</v>
      </c>
      <c r="P824" s="7">
        <f t="shared" si="73"/>
        <v>8</v>
      </c>
      <c r="Q824" s="7">
        <f t="shared" si="76"/>
        <v>2025</v>
      </c>
    </row>
    <row r="825" spans="1:17" x14ac:dyDescent="0.25">
      <c r="A825" s="7">
        <v>2539</v>
      </c>
      <c r="B825" s="9" t="s">
        <v>533</v>
      </c>
      <c r="C825" s="9" t="s">
        <v>533</v>
      </c>
      <c r="D825" s="8">
        <v>45891</v>
      </c>
      <c r="E825" s="7" t="s">
        <v>60</v>
      </c>
      <c r="F825" s="7">
        <v>1</v>
      </c>
      <c r="G825" s="7" t="s">
        <v>14</v>
      </c>
      <c r="H825" s="7" t="s">
        <v>314</v>
      </c>
      <c r="J825" s="7">
        <f t="shared" si="72"/>
        <v>1900</v>
      </c>
      <c r="K825" s="7">
        <f t="shared" si="74"/>
        <v>1</v>
      </c>
      <c r="L825" s="7">
        <f t="shared" si="75"/>
        <v>45891</v>
      </c>
      <c r="M825" s="7" t="s">
        <v>537</v>
      </c>
      <c r="N825" s="7" t="s">
        <v>922</v>
      </c>
      <c r="O825" s="17" t="s">
        <v>682</v>
      </c>
      <c r="P825" s="7">
        <f t="shared" si="73"/>
        <v>8</v>
      </c>
      <c r="Q825" s="7">
        <f t="shared" si="76"/>
        <v>2025</v>
      </c>
    </row>
    <row r="826" spans="1:17" x14ac:dyDescent="0.25">
      <c r="A826" s="7">
        <v>2539</v>
      </c>
      <c r="B826" s="9" t="s">
        <v>533</v>
      </c>
      <c r="C826" s="9" t="s">
        <v>533</v>
      </c>
      <c r="D826" s="8">
        <v>45891</v>
      </c>
      <c r="E826" s="7" t="s">
        <v>60</v>
      </c>
      <c r="F826" s="7">
        <v>1</v>
      </c>
      <c r="G826" s="7" t="s">
        <v>14</v>
      </c>
      <c r="H826" s="7" t="s">
        <v>314</v>
      </c>
      <c r="J826" s="7">
        <f t="shared" si="72"/>
        <v>1900</v>
      </c>
      <c r="K826" s="7">
        <f t="shared" si="74"/>
        <v>1</v>
      </c>
      <c r="L826" s="7">
        <f t="shared" si="75"/>
        <v>45891</v>
      </c>
      <c r="M826" s="7" t="s">
        <v>537</v>
      </c>
      <c r="N826" s="7" t="s">
        <v>922</v>
      </c>
      <c r="O826" s="17" t="s">
        <v>682</v>
      </c>
      <c r="P826" s="7">
        <f t="shared" si="73"/>
        <v>8</v>
      </c>
      <c r="Q826" s="7">
        <f t="shared" si="76"/>
        <v>2025</v>
      </c>
    </row>
    <row r="827" spans="1:17" x14ac:dyDescent="0.25">
      <c r="A827" s="7">
        <v>2539</v>
      </c>
      <c r="B827" s="9" t="s">
        <v>533</v>
      </c>
      <c r="C827" s="9" t="s">
        <v>533</v>
      </c>
      <c r="D827" s="8">
        <v>45891</v>
      </c>
      <c r="E827" s="7" t="s">
        <v>60</v>
      </c>
      <c r="F827" s="7">
        <v>1</v>
      </c>
      <c r="G827" s="7" t="s">
        <v>14</v>
      </c>
      <c r="H827" s="7" t="s">
        <v>314</v>
      </c>
      <c r="J827" s="7">
        <f t="shared" si="72"/>
        <v>1900</v>
      </c>
      <c r="K827" s="7">
        <f t="shared" si="74"/>
        <v>1</v>
      </c>
      <c r="L827" s="7">
        <f t="shared" si="75"/>
        <v>45891</v>
      </c>
      <c r="M827" s="7" t="s">
        <v>537</v>
      </c>
      <c r="N827" s="7" t="s">
        <v>922</v>
      </c>
      <c r="O827" s="17" t="s">
        <v>682</v>
      </c>
      <c r="P827" s="7">
        <f t="shared" si="73"/>
        <v>8</v>
      </c>
      <c r="Q827" s="7">
        <f t="shared" si="76"/>
        <v>2025</v>
      </c>
    </row>
    <row r="828" spans="1:17" x14ac:dyDescent="0.25">
      <c r="A828" s="7">
        <v>2539</v>
      </c>
      <c r="B828" s="9" t="s">
        <v>533</v>
      </c>
      <c r="C828" s="9" t="s">
        <v>533</v>
      </c>
      <c r="D828" s="8">
        <v>45891</v>
      </c>
      <c r="E828" s="7" t="s">
        <v>60</v>
      </c>
      <c r="F828" s="7">
        <v>1</v>
      </c>
      <c r="G828" s="7" t="s">
        <v>14</v>
      </c>
      <c r="H828" s="7" t="s">
        <v>314</v>
      </c>
      <c r="J828" s="7">
        <f t="shared" si="72"/>
        <v>1900</v>
      </c>
      <c r="K828" s="7">
        <f t="shared" si="74"/>
        <v>1</v>
      </c>
      <c r="L828" s="7">
        <f t="shared" si="75"/>
        <v>45891</v>
      </c>
      <c r="M828" s="7" t="s">
        <v>537</v>
      </c>
      <c r="N828" s="7" t="s">
        <v>922</v>
      </c>
      <c r="O828" s="17" t="s">
        <v>682</v>
      </c>
      <c r="P828" s="7">
        <f t="shared" si="73"/>
        <v>8</v>
      </c>
      <c r="Q828" s="7">
        <f t="shared" si="76"/>
        <v>2025</v>
      </c>
    </row>
    <row r="829" spans="1:17" x14ac:dyDescent="0.25">
      <c r="A829" s="7">
        <v>2539</v>
      </c>
      <c r="B829" s="9" t="s">
        <v>533</v>
      </c>
      <c r="C829" s="9" t="s">
        <v>533</v>
      </c>
      <c r="D829" s="8">
        <v>45891</v>
      </c>
      <c r="E829" s="7" t="s">
        <v>60</v>
      </c>
      <c r="F829" s="7">
        <v>1</v>
      </c>
      <c r="G829" s="7" t="s">
        <v>14</v>
      </c>
      <c r="H829" s="7" t="s">
        <v>314</v>
      </c>
      <c r="J829" s="7">
        <f t="shared" si="72"/>
        <v>1900</v>
      </c>
      <c r="K829" s="7">
        <f t="shared" si="74"/>
        <v>1</v>
      </c>
      <c r="L829" s="7">
        <f t="shared" si="75"/>
        <v>45891</v>
      </c>
      <c r="M829" s="7" t="s">
        <v>537</v>
      </c>
      <c r="N829" s="7" t="s">
        <v>922</v>
      </c>
      <c r="O829" s="17" t="s">
        <v>682</v>
      </c>
      <c r="P829" s="7">
        <f t="shared" si="73"/>
        <v>8</v>
      </c>
      <c r="Q829" s="7">
        <f t="shared" si="76"/>
        <v>2025</v>
      </c>
    </row>
    <row r="830" spans="1:17" x14ac:dyDescent="0.25">
      <c r="A830" s="7">
        <v>2539</v>
      </c>
      <c r="B830" s="9" t="s">
        <v>533</v>
      </c>
      <c r="C830" s="9" t="s">
        <v>533</v>
      </c>
      <c r="D830" s="8">
        <v>45891</v>
      </c>
      <c r="E830" s="7" t="s">
        <v>60</v>
      </c>
      <c r="F830" s="7">
        <v>1</v>
      </c>
      <c r="G830" s="7" t="s">
        <v>14</v>
      </c>
      <c r="H830" s="7" t="s">
        <v>314</v>
      </c>
      <c r="J830" s="7">
        <f t="shared" si="72"/>
        <v>1900</v>
      </c>
      <c r="K830" s="7">
        <f t="shared" si="74"/>
        <v>1</v>
      </c>
      <c r="L830" s="7">
        <f t="shared" si="75"/>
        <v>45891</v>
      </c>
      <c r="M830" s="7" t="s">
        <v>537</v>
      </c>
      <c r="N830" s="7" t="s">
        <v>922</v>
      </c>
      <c r="O830" s="17" t="s">
        <v>682</v>
      </c>
      <c r="P830" s="7">
        <f t="shared" si="73"/>
        <v>8</v>
      </c>
      <c r="Q830" s="7">
        <f t="shared" si="76"/>
        <v>2025</v>
      </c>
    </row>
    <row r="831" spans="1:17" x14ac:dyDescent="0.25">
      <c r="A831" s="7">
        <v>2539</v>
      </c>
      <c r="B831" s="9" t="s">
        <v>533</v>
      </c>
      <c r="C831" s="9" t="s">
        <v>533</v>
      </c>
      <c r="D831" s="8">
        <v>45891</v>
      </c>
      <c r="E831" s="7" t="s">
        <v>60</v>
      </c>
      <c r="F831" s="7">
        <v>1</v>
      </c>
      <c r="G831" s="7" t="s">
        <v>14</v>
      </c>
      <c r="H831" s="7" t="s">
        <v>314</v>
      </c>
      <c r="J831" s="7">
        <f t="shared" si="72"/>
        <v>1900</v>
      </c>
      <c r="K831" s="7">
        <f t="shared" si="74"/>
        <v>1</v>
      </c>
      <c r="L831" s="7">
        <f t="shared" si="75"/>
        <v>45891</v>
      </c>
      <c r="M831" s="7" t="s">
        <v>537</v>
      </c>
      <c r="N831" s="7" t="s">
        <v>922</v>
      </c>
      <c r="O831" s="17" t="s">
        <v>682</v>
      </c>
      <c r="P831" s="7">
        <f t="shared" si="73"/>
        <v>8</v>
      </c>
      <c r="Q831" s="7">
        <f t="shared" si="76"/>
        <v>2025</v>
      </c>
    </row>
    <row r="832" spans="1:17" x14ac:dyDescent="0.25">
      <c r="A832" s="7">
        <v>2539</v>
      </c>
      <c r="B832" s="9" t="s">
        <v>533</v>
      </c>
      <c r="C832" s="9" t="s">
        <v>533</v>
      </c>
      <c r="D832" s="8">
        <v>45891</v>
      </c>
      <c r="E832" s="7" t="s">
        <v>60</v>
      </c>
      <c r="F832" s="7">
        <v>1</v>
      </c>
      <c r="G832" s="7" t="s">
        <v>14</v>
      </c>
      <c r="H832" s="7" t="s">
        <v>314</v>
      </c>
      <c r="J832" s="7">
        <f t="shared" si="72"/>
        <v>1900</v>
      </c>
      <c r="K832" s="7">
        <f t="shared" si="74"/>
        <v>1</v>
      </c>
      <c r="L832" s="7">
        <f t="shared" si="75"/>
        <v>45891</v>
      </c>
      <c r="M832" s="7" t="s">
        <v>537</v>
      </c>
      <c r="N832" s="7" t="s">
        <v>922</v>
      </c>
      <c r="O832" s="17" t="s">
        <v>682</v>
      </c>
      <c r="P832" s="7">
        <f t="shared" si="73"/>
        <v>8</v>
      </c>
      <c r="Q832" s="7">
        <f t="shared" si="76"/>
        <v>2025</v>
      </c>
    </row>
    <row r="833" spans="1:17" x14ac:dyDescent="0.25">
      <c r="A833" s="7">
        <v>2539</v>
      </c>
      <c r="B833" s="9" t="s">
        <v>533</v>
      </c>
      <c r="C833" s="9" t="s">
        <v>533</v>
      </c>
      <c r="D833" s="8">
        <v>45891</v>
      </c>
      <c r="E833" s="7" t="s">
        <v>60</v>
      </c>
      <c r="F833" s="7">
        <v>1</v>
      </c>
      <c r="G833" s="7" t="s">
        <v>14</v>
      </c>
      <c r="H833" s="7" t="s">
        <v>314</v>
      </c>
      <c r="J833" s="7">
        <f t="shared" si="72"/>
        <v>1900</v>
      </c>
      <c r="K833" s="7">
        <f t="shared" si="74"/>
        <v>1</v>
      </c>
      <c r="L833" s="7">
        <f t="shared" si="75"/>
        <v>45891</v>
      </c>
      <c r="M833" s="7" t="s">
        <v>537</v>
      </c>
      <c r="N833" s="7" t="s">
        <v>922</v>
      </c>
      <c r="O833" s="17" t="s">
        <v>682</v>
      </c>
      <c r="P833" s="7">
        <f t="shared" si="73"/>
        <v>8</v>
      </c>
      <c r="Q833" s="7">
        <f t="shared" si="76"/>
        <v>2025</v>
      </c>
    </row>
    <row r="834" spans="1:17" x14ac:dyDescent="0.25">
      <c r="A834" s="7">
        <v>2539</v>
      </c>
      <c r="B834" s="9" t="s">
        <v>533</v>
      </c>
      <c r="C834" s="9" t="s">
        <v>533</v>
      </c>
      <c r="D834" s="8">
        <v>45891</v>
      </c>
      <c r="E834" s="7" t="s">
        <v>60</v>
      </c>
      <c r="F834" s="7">
        <v>1</v>
      </c>
      <c r="G834" s="7" t="s">
        <v>14</v>
      </c>
      <c r="H834" s="7" t="s">
        <v>314</v>
      </c>
      <c r="J834" s="7">
        <f t="shared" si="72"/>
        <v>1900</v>
      </c>
      <c r="K834" s="7">
        <f t="shared" si="74"/>
        <v>1</v>
      </c>
      <c r="L834" s="7">
        <f t="shared" si="75"/>
        <v>45891</v>
      </c>
      <c r="M834" s="7" t="s">
        <v>537</v>
      </c>
      <c r="N834" s="7" t="s">
        <v>922</v>
      </c>
      <c r="O834" s="17" t="s">
        <v>682</v>
      </c>
      <c r="P834" s="7">
        <f t="shared" si="73"/>
        <v>8</v>
      </c>
      <c r="Q834" s="7">
        <f t="shared" si="76"/>
        <v>2025</v>
      </c>
    </row>
    <row r="835" spans="1:17" x14ac:dyDescent="0.25">
      <c r="A835" s="7">
        <v>2539</v>
      </c>
      <c r="B835" s="9" t="s">
        <v>533</v>
      </c>
      <c r="C835" s="9" t="s">
        <v>533</v>
      </c>
      <c r="D835" s="8">
        <v>45891</v>
      </c>
      <c r="E835" s="7" t="s">
        <v>60</v>
      </c>
      <c r="F835" s="7">
        <v>1</v>
      </c>
      <c r="G835" s="7" t="s">
        <v>14</v>
      </c>
      <c r="H835" s="7" t="s">
        <v>314</v>
      </c>
      <c r="J835" s="7">
        <f t="shared" si="72"/>
        <v>1900</v>
      </c>
      <c r="K835" s="7">
        <f t="shared" si="74"/>
        <v>1</v>
      </c>
      <c r="L835" s="7">
        <f t="shared" si="75"/>
        <v>45891</v>
      </c>
      <c r="M835" s="7" t="s">
        <v>537</v>
      </c>
      <c r="N835" s="7" t="s">
        <v>922</v>
      </c>
      <c r="O835" s="17" t="s">
        <v>682</v>
      </c>
      <c r="P835" s="7">
        <f t="shared" si="73"/>
        <v>8</v>
      </c>
      <c r="Q835" s="7">
        <f t="shared" si="76"/>
        <v>2025</v>
      </c>
    </row>
    <row r="836" spans="1:17" x14ac:dyDescent="0.25">
      <c r="A836" s="7">
        <v>2539</v>
      </c>
      <c r="B836" s="9" t="s">
        <v>533</v>
      </c>
      <c r="C836" s="9" t="s">
        <v>533</v>
      </c>
      <c r="D836" s="8">
        <v>45891</v>
      </c>
      <c r="E836" s="7" t="s">
        <v>60</v>
      </c>
      <c r="F836" s="7">
        <v>1</v>
      </c>
      <c r="G836" s="7" t="s">
        <v>14</v>
      </c>
      <c r="H836" s="7" t="s">
        <v>314</v>
      </c>
      <c r="J836" s="7">
        <f t="shared" si="72"/>
        <v>1900</v>
      </c>
      <c r="K836" s="7">
        <f t="shared" si="74"/>
        <v>1</v>
      </c>
      <c r="L836" s="7">
        <f t="shared" si="75"/>
        <v>45891</v>
      </c>
      <c r="M836" s="7" t="s">
        <v>537</v>
      </c>
      <c r="N836" s="7" t="s">
        <v>922</v>
      </c>
      <c r="O836" s="17" t="s">
        <v>682</v>
      </c>
      <c r="P836" s="7">
        <f t="shared" si="73"/>
        <v>8</v>
      </c>
      <c r="Q836" s="7">
        <f t="shared" si="76"/>
        <v>2025</v>
      </c>
    </row>
    <row r="837" spans="1:17" x14ac:dyDescent="0.25">
      <c r="A837" s="7">
        <v>2539</v>
      </c>
      <c r="B837" s="9" t="s">
        <v>533</v>
      </c>
      <c r="C837" s="9" t="s">
        <v>533</v>
      </c>
      <c r="D837" s="8">
        <v>45891</v>
      </c>
      <c r="E837" s="7" t="s">
        <v>60</v>
      </c>
      <c r="F837" s="7">
        <v>1</v>
      </c>
      <c r="G837" s="7" t="s">
        <v>14</v>
      </c>
      <c r="H837" s="7" t="s">
        <v>314</v>
      </c>
      <c r="J837" s="7">
        <f t="shared" si="72"/>
        <v>1900</v>
      </c>
      <c r="K837" s="7">
        <f t="shared" si="74"/>
        <v>1</v>
      </c>
      <c r="L837" s="7">
        <f t="shared" si="75"/>
        <v>45891</v>
      </c>
      <c r="M837" s="7" t="s">
        <v>537</v>
      </c>
      <c r="N837" s="7" t="s">
        <v>922</v>
      </c>
      <c r="O837" s="17" t="s">
        <v>682</v>
      </c>
      <c r="P837" s="7">
        <f t="shared" si="73"/>
        <v>8</v>
      </c>
      <c r="Q837" s="7">
        <f t="shared" si="76"/>
        <v>2025</v>
      </c>
    </row>
    <row r="838" spans="1:17" x14ac:dyDescent="0.25">
      <c r="A838" s="7">
        <v>2539</v>
      </c>
      <c r="B838" s="9" t="s">
        <v>533</v>
      </c>
      <c r="C838" s="9" t="s">
        <v>533</v>
      </c>
      <c r="D838" s="8">
        <v>45891</v>
      </c>
      <c r="E838" s="7" t="s">
        <v>60</v>
      </c>
      <c r="F838" s="7">
        <v>1</v>
      </c>
      <c r="G838" s="7" t="s">
        <v>14</v>
      </c>
      <c r="H838" s="7" t="s">
        <v>314</v>
      </c>
      <c r="J838" s="7">
        <f t="shared" si="72"/>
        <v>1900</v>
      </c>
      <c r="K838" s="7">
        <f t="shared" si="74"/>
        <v>1</v>
      </c>
      <c r="L838" s="7">
        <f t="shared" si="75"/>
        <v>45891</v>
      </c>
      <c r="M838" s="7" t="s">
        <v>537</v>
      </c>
      <c r="N838" s="7" t="s">
        <v>922</v>
      </c>
      <c r="O838" s="17" t="s">
        <v>682</v>
      </c>
      <c r="P838" s="7">
        <f t="shared" si="73"/>
        <v>8</v>
      </c>
      <c r="Q838" s="7">
        <f t="shared" si="76"/>
        <v>2025</v>
      </c>
    </row>
    <row r="839" spans="1:17" x14ac:dyDescent="0.25">
      <c r="A839" s="7">
        <v>2539</v>
      </c>
      <c r="B839" s="9" t="s">
        <v>533</v>
      </c>
      <c r="C839" s="9" t="s">
        <v>533</v>
      </c>
      <c r="D839" s="8">
        <v>45891</v>
      </c>
      <c r="E839" s="7" t="s">
        <v>60</v>
      </c>
      <c r="F839" s="7">
        <v>1</v>
      </c>
      <c r="G839" s="7" t="s">
        <v>14</v>
      </c>
      <c r="H839" s="7" t="s">
        <v>314</v>
      </c>
      <c r="J839" s="7">
        <f t="shared" si="72"/>
        <v>1900</v>
      </c>
      <c r="K839" s="7">
        <f t="shared" si="74"/>
        <v>1</v>
      </c>
      <c r="L839" s="7">
        <f t="shared" si="75"/>
        <v>45891</v>
      </c>
      <c r="M839" s="7" t="s">
        <v>537</v>
      </c>
      <c r="N839" s="7" t="s">
        <v>922</v>
      </c>
      <c r="O839" s="17" t="s">
        <v>682</v>
      </c>
      <c r="P839" s="7">
        <f t="shared" si="73"/>
        <v>8</v>
      </c>
      <c r="Q839" s="7">
        <f t="shared" si="76"/>
        <v>2025</v>
      </c>
    </row>
    <row r="840" spans="1:17" x14ac:dyDescent="0.25">
      <c r="A840" s="7">
        <v>2539</v>
      </c>
      <c r="B840" s="9" t="s">
        <v>533</v>
      </c>
      <c r="C840" s="9" t="s">
        <v>533</v>
      </c>
      <c r="D840" s="8">
        <v>45891</v>
      </c>
      <c r="E840" s="7" t="s">
        <v>60</v>
      </c>
      <c r="F840" s="7">
        <v>1</v>
      </c>
      <c r="G840" s="7" t="s">
        <v>14</v>
      </c>
      <c r="H840" s="7" t="s">
        <v>314</v>
      </c>
      <c r="J840" s="7">
        <f t="shared" si="72"/>
        <v>1900</v>
      </c>
      <c r="K840" s="7">
        <f t="shared" si="74"/>
        <v>1</v>
      </c>
      <c r="L840" s="7">
        <f t="shared" si="75"/>
        <v>45891</v>
      </c>
      <c r="M840" s="7" t="s">
        <v>537</v>
      </c>
      <c r="N840" s="7" t="s">
        <v>922</v>
      </c>
      <c r="O840" s="17" t="s">
        <v>682</v>
      </c>
      <c r="P840" s="7">
        <f t="shared" si="73"/>
        <v>8</v>
      </c>
      <c r="Q840" s="7">
        <f t="shared" si="76"/>
        <v>2025</v>
      </c>
    </row>
    <row r="841" spans="1:17" x14ac:dyDescent="0.25">
      <c r="A841" s="7">
        <v>2539</v>
      </c>
      <c r="B841" s="9" t="s">
        <v>533</v>
      </c>
      <c r="C841" s="9" t="s">
        <v>533</v>
      </c>
      <c r="D841" s="8">
        <v>45891</v>
      </c>
      <c r="E841" s="7" t="s">
        <v>60</v>
      </c>
      <c r="F841" s="7">
        <v>1</v>
      </c>
      <c r="G841" s="7" t="s">
        <v>14</v>
      </c>
      <c r="H841" s="7" t="s">
        <v>314</v>
      </c>
      <c r="J841" s="7">
        <f t="shared" si="72"/>
        <v>1900</v>
      </c>
      <c r="K841" s="7">
        <f t="shared" si="74"/>
        <v>1</v>
      </c>
      <c r="L841" s="7">
        <f t="shared" si="75"/>
        <v>45891</v>
      </c>
      <c r="M841" s="7" t="s">
        <v>537</v>
      </c>
      <c r="N841" s="7" t="s">
        <v>922</v>
      </c>
      <c r="O841" s="17" t="s">
        <v>682</v>
      </c>
      <c r="P841" s="7">
        <f t="shared" si="73"/>
        <v>8</v>
      </c>
      <c r="Q841" s="7">
        <f t="shared" si="76"/>
        <v>2025</v>
      </c>
    </row>
    <row r="842" spans="1:17" x14ac:dyDescent="0.25">
      <c r="A842" s="7">
        <v>2539</v>
      </c>
      <c r="B842" s="9" t="s">
        <v>533</v>
      </c>
      <c r="C842" s="9" t="s">
        <v>533</v>
      </c>
      <c r="D842" s="8">
        <v>45891</v>
      </c>
      <c r="E842" s="7" t="s">
        <v>60</v>
      </c>
      <c r="F842" s="7">
        <v>1</v>
      </c>
      <c r="G842" s="7" t="s">
        <v>14</v>
      </c>
      <c r="H842" s="7" t="s">
        <v>314</v>
      </c>
      <c r="J842" s="7">
        <f t="shared" si="72"/>
        <v>1900</v>
      </c>
      <c r="K842" s="7">
        <f t="shared" si="74"/>
        <v>1</v>
      </c>
      <c r="L842" s="7">
        <f t="shared" si="75"/>
        <v>45891</v>
      </c>
      <c r="M842" s="7" t="s">
        <v>537</v>
      </c>
      <c r="N842" s="7" t="s">
        <v>922</v>
      </c>
      <c r="O842" s="17" t="s">
        <v>682</v>
      </c>
      <c r="P842" s="7">
        <f t="shared" si="73"/>
        <v>8</v>
      </c>
      <c r="Q842" s="7">
        <f t="shared" si="76"/>
        <v>2025</v>
      </c>
    </row>
    <row r="843" spans="1:17" x14ac:dyDescent="0.25">
      <c r="A843" s="7">
        <v>2539</v>
      </c>
      <c r="B843" s="9" t="s">
        <v>533</v>
      </c>
      <c r="C843" s="9" t="s">
        <v>533</v>
      </c>
      <c r="D843" s="8">
        <v>45891</v>
      </c>
      <c r="E843" s="7" t="s">
        <v>60</v>
      </c>
      <c r="F843" s="7">
        <v>1</v>
      </c>
      <c r="G843" s="7" t="s">
        <v>14</v>
      </c>
      <c r="H843" s="7" t="s">
        <v>314</v>
      </c>
      <c r="J843" s="7">
        <f t="shared" si="72"/>
        <v>1900</v>
      </c>
      <c r="K843" s="7">
        <f t="shared" si="74"/>
        <v>1</v>
      </c>
      <c r="L843" s="7">
        <f t="shared" si="75"/>
        <v>45891</v>
      </c>
      <c r="M843" s="7" t="s">
        <v>537</v>
      </c>
      <c r="N843" s="7" t="s">
        <v>922</v>
      </c>
      <c r="O843" s="17" t="s">
        <v>682</v>
      </c>
      <c r="P843" s="7">
        <f t="shared" si="73"/>
        <v>8</v>
      </c>
      <c r="Q843" s="7">
        <f t="shared" si="76"/>
        <v>2025</v>
      </c>
    </row>
    <row r="844" spans="1:17" x14ac:dyDescent="0.25">
      <c r="A844" s="7">
        <v>2539</v>
      </c>
      <c r="B844" s="9" t="s">
        <v>533</v>
      </c>
      <c r="C844" s="9" t="s">
        <v>533</v>
      </c>
      <c r="D844" s="8">
        <v>45891</v>
      </c>
      <c r="E844" s="7" t="s">
        <v>60</v>
      </c>
      <c r="F844" s="7">
        <v>1</v>
      </c>
      <c r="G844" s="7" t="s">
        <v>14</v>
      </c>
      <c r="H844" s="7" t="s">
        <v>314</v>
      </c>
      <c r="J844" s="7">
        <f t="shared" si="72"/>
        <v>1900</v>
      </c>
      <c r="K844" s="7">
        <f t="shared" si="74"/>
        <v>1</v>
      </c>
      <c r="L844" s="7">
        <f t="shared" si="75"/>
        <v>45891</v>
      </c>
      <c r="M844" s="7" t="s">
        <v>537</v>
      </c>
      <c r="N844" s="7" t="s">
        <v>922</v>
      </c>
      <c r="O844" s="17" t="s">
        <v>682</v>
      </c>
      <c r="P844" s="7">
        <f t="shared" si="73"/>
        <v>8</v>
      </c>
      <c r="Q844" s="7">
        <f t="shared" si="76"/>
        <v>2025</v>
      </c>
    </row>
    <row r="845" spans="1:17" x14ac:dyDescent="0.25">
      <c r="A845" s="7">
        <v>2539</v>
      </c>
      <c r="B845" s="9" t="s">
        <v>533</v>
      </c>
      <c r="C845" s="9" t="s">
        <v>533</v>
      </c>
      <c r="D845" s="8">
        <v>45891</v>
      </c>
      <c r="E845" s="7" t="s">
        <v>60</v>
      </c>
      <c r="F845" s="7">
        <v>1</v>
      </c>
      <c r="G845" s="7" t="s">
        <v>14</v>
      </c>
      <c r="H845" s="7" t="s">
        <v>314</v>
      </c>
      <c r="J845" s="7">
        <f t="shared" si="72"/>
        <v>1900</v>
      </c>
      <c r="K845" s="7">
        <f t="shared" si="74"/>
        <v>1</v>
      </c>
      <c r="L845" s="7">
        <f t="shared" si="75"/>
        <v>45891</v>
      </c>
      <c r="M845" s="7" t="s">
        <v>537</v>
      </c>
      <c r="N845" s="7" t="s">
        <v>922</v>
      </c>
      <c r="O845" s="17" t="s">
        <v>682</v>
      </c>
      <c r="P845" s="7">
        <f t="shared" si="73"/>
        <v>8</v>
      </c>
      <c r="Q845" s="7">
        <f t="shared" si="76"/>
        <v>2025</v>
      </c>
    </row>
    <row r="846" spans="1:17" x14ac:dyDescent="0.25">
      <c r="A846" s="7">
        <v>2539</v>
      </c>
      <c r="B846" s="9" t="s">
        <v>533</v>
      </c>
      <c r="C846" s="9" t="s">
        <v>533</v>
      </c>
      <c r="D846" s="8">
        <v>45891</v>
      </c>
      <c r="E846" s="7" t="s">
        <v>60</v>
      </c>
      <c r="F846" s="7">
        <v>1</v>
      </c>
      <c r="G846" s="7" t="s">
        <v>14</v>
      </c>
      <c r="H846" s="7" t="s">
        <v>314</v>
      </c>
      <c r="J846" s="7">
        <f t="shared" si="72"/>
        <v>1900</v>
      </c>
      <c r="K846" s="7">
        <f t="shared" si="74"/>
        <v>1</v>
      </c>
      <c r="L846" s="7">
        <f t="shared" si="75"/>
        <v>45891</v>
      </c>
      <c r="M846" s="7" t="s">
        <v>537</v>
      </c>
      <c r="N846" s="7" t="s">
        <v>922</v>
      </c>
      <c r="O846" s="17" t="s">
        <v>682</v>
      </c>
      <c r="P846" s="7">
        <f t="shared" si="73"/>
        <v>8</v>
      </c>
      <c r="Q846" s="7">
        <f t="shared" si="76"/>
        <v>2025</v>
      </c>
    </row>
    <row r="847" spans="1:17" x14ac:dyDescent="0.25">
      <c r="A847" s="7">
        <v>2539</v>
      </c>
      <c r="B847" s="9" t="s">
        <v>533</v>
      </c>
      <c r="C847" s="9" t="s">
        <v>533</v>
      </c>
      <c r="D847" s="8">
        <v>45891</v>
      </c>
      <c r="E847" s="7" t="s">
        <v>60</v>
      </c>
      <c r="F847" s="7">
        <v>1</v>
      </c>
      <c r="G847" s="7" t="s">
        <v>14</v>
      </c>
      <c r="H847" s="7" t="s">
        <v>314</v>
      </c>
      <c r="J847" s="7">
        <f t="shared" si="72"/>
        <v>1900</v>
      </c>
      <c r="K847" s="7">
        <f t="shared" si="74"/>
        <v>1</v>
      </c>
      <c r="L847" s="7">
        <f t="shared" si="75"/>
        <v>45891</v>
      </c>
      <c r="M847" s="7" t="s">
        <v>537</v>
      </c>
      <c r="N847" s="7" t="s">
        <v>922</v>
      </c>
      <c r="O847" s="17" t="s">
        <v>682</v>
      </c>
      <c r="P847" s="7">
        <f t="shared" si="73"/>
        <v>8</v>
      </c>
      <c r="Q847" s="7">
        <f t="shared" si="76"/>
        <v>2025</v>
      </c>
    </row>
    <row r="848" spans="1:17" x14ac:dyDescent="0.25">
      <c r="A848" s="7">
        <v>2539</v>
      </c>
      <c r="B848" s="9" t="s">
        <v>533</v>
      </c>
      <c r="C848" s="9" t="s">
        <v>533</v>
      </c>
      <c r="D848" s="8">
        <v>45891</v>
      </c>
      <c r="E848" s="7" t="s">
        <v>60</v>
      </c>
      <c r="F848" s="7">
        <v>1</v>
      </c>
      <c r="G848" s="7" t="s">
        <v>14</v>
      </c>
      <c r="H848" s="7" t="s">
        <v>314</v>
      </c>
      <c r="J848" s="7">
        <f t="shared" si="72"/>
        <v>1900</v>
      </c>
      <c r="K848" s="7">
        <f t="shared" si="74"/>
        <v>1</v>
      </c>
      <c r="L848" s="7">
        <f t="shared" si="75"/>
        <v>45891</v>
      </c>
      <c r="M848" s="7" t="s">
        <v>537</v>
      </c>
      <c r="N848" s="7" t="s">
        <v>922</v>
      </c>
      <c r="O848" s="17" t="s">
        <v>682</v>
      </c>
      <c r="P848" s="7">
        <f t="shared" si="73"/>
        <v>8</v>
      </c>
      <c r="Q848" s="7">
        <f t="shared" si="76"/>
        <v>2025</v>
      </c>
    </row>
    <row r="849" spans="1:17" x14ac:dyDescent="0.25">
      <c r="A849" s="7">
        <v>2539</v>
      </c>
      <c r="B849" s="9" t="s">
        <v>533</v>
      </c>
      <c r="C849" s="9" t="s">
        <v>533</v>
      </c>
      <c r="D849" s="8">
        <v>45891</v>
      </c>
      <c r="E849" s="7" t="s">
        <v>60</v>
      </c>
      <c r="F849" s="7">
        <v>1</v>
      </c>
      <c r="G849" s="7" t="s">
        <v>14</v>
      </c>
      <c r="H849" s="7" t="s">
        <v>314</v>
      </c>
      <c r="J849" s="7">
        <f t="shared" ref="J849:J912" si="77">YEAR(I849)</f>
        <v>1900</v>
      </c>
      <c r="K849" s="7">
        <f t="shared" si="74"/>
        <v>1</v>
      </c>
      <c r="L849" s="7">
        <f t="shared" si="75"/>
        <v>45891</v>
      </c>
      <c r="M849" s="7" t="s">
        <v>537</v>
      </c>
      <c r="N849" s="7" t="s">
        <v>922</v>
      </c>
      <c r="O849" s="17" t="s">
        <v>682</v>
      </c>
      <c r="P849" s="7">
        <f t="shared" si="73"/>
        <v>8</v>
      </c>
      <c r="Q849" s="7">
        <f t="shared" si="76"/>
        <v>2025</v>
      </c>
    </row>
    <row r="850" spans="1:17" x14ac:dyDescent="0.25">
      <c r="A850" s="7">
        <v>2539</v>
      </c>
      <c r="B850" s="9" t="s">
        <v>533</v>
      </c>
      <c r="C850" s="9" t="s">
        <v>533</v>
      </c>
      <c r="D850" s="8">
        <v>45891</v>
      </c>
      <c r="E850" s="7" t="s">
        <v>60</v>
      </c>
      <c r="F850" s="7">
        <v>1</v>
      </c>
      <c r="G850" s="7" t="s">
        <v>14</v>
      </c>
      <c r="H850" s="7" t="s">
        <v>314</v>
      </c>
      <c r="J850" s="7">
        <f t="shared" si="77"/>
        <v>1900</v>
      </c>
      <c r="K850" s="7">
        <f t="shared" si="74"/>
        <v>1</v>
      </c>
      <c r="L850" s="7">
        <f t="shared" si="75"/>
        <v>45891</v>
      </c>
      <c r="M850" s="7" t="s">
        <v>537</v>
      </c>
      <c r="N850" s="7" t="s">
        <v>922</v>
      </c>
      <c r="O850" s="17" t="s">
        <v>682</v>
      </c>
      <c r="P850" s="7">
        <f t="shared" si="73"/>
        <v>8</v>
      </c>
      <c r="Q850" s="7">
        <f t="shared" si="76"/>
        <v>2025</v>
      </c>
    </row>
    <row r="851" spans="1:17" x14ac:dyDescent="0.25">
      <c r="A851" s="7">
        <v>2539</v>
      </c>
      <c r="B851" s="9" t="s">
        <v>533</v>
      </c>
      <c r="C851" s="9" t="s">
        <v>533</v>
      </c>
      <c r="D851" s="8">
        <v>45891</v>
      </c>
      <c r="E851" s="7" t="s">
        <v>60</v>
      </c>
      <c r="F851" s="7">
        <v>1</v>
      </c>
      <c r="G851" s="7" t="s">
        <v>14</v>
      </c>
      <c r="H851" s="7" t="s">
        <v>314</v>
      </c>
      <c r="J851" s="7">
        <f t="shared" si="77"/>
        <v>1900</v>
      </c>
      <c r="K851" s="7">
        <f t="shared" si="74"/>
        <v>1</v>
      </c>
      <c r="L851" s="7">
        <f t="shared" si="75"/>
        <v>45891</v>
      </c>
      <c r="M851" s="7" t="s">
        <v>537</v>
      </c>
      <c r="N851" s="7" t="s">
        <v>922</v>
      </c>
      <c r="O851" s="17" t="s">
        <v>682</v>
      </c>
      <c r="P851" s="7">
        <f t="shared" si="73"/>
        <v>8</v>
      </c>
      <c r="Q851" s="7">
        <f t="shared" si="76"/>
        <v>2025</v>
      </c>
    </row>
    <row r="852" spans="1:17" x14ac:dyDescent="0.25">
      <c r="A852" s="7">
        <v>2539</v>
      </c>
      <c r="B852" s="9" t="s">
        <v>533</v>
      </c>
      <c r="C852" s="9" t="s">
        <v>533</v>
      </c>
      <c r="D852" s="8">
        <v>45891</v>
      </c>
      <c r="E852" s="7" t="s">
        <v>60</v>
      </c>
      <c r="F852" s="7">
        <v>1</v>
      </c>
      <c r="G852" s="7" t="s">
        <v>14</v>
      </c>
      <c r="H852" s="7" t="s">
        <v>314</v>
      </c>
      <c r="J852" s="7">
        <f t="shared" si="77"/>
        <v>1900</v>
      </c>
      <c r="K852" s="7">
        <f t="shared" si="74"/>
        <v>1</v>
      </c>
      <c r="L852" s="7">
        <f t="shared" si="75"/>
        <v>45891</v>
      </c>
      <c r="M852" s="7" t="s">
        <v>537</v>
      </c>
      <c r="N852" s="7" t="s">
        <v>922</v>
      </c>
      <c r="O852" s="17" t="s">
        <v>682</v>
      </c>
      <c r="P852" s="7">
        <f t="shared" si="73"/>
        <v>8</v>
      </c>
      <c r="Q852" s="7">
        <f t="shared" si="76"/>
        <v>2025</v>
      </c>
    </row>
    <row r="853" spans="1:17" x14ac:dyDescent="0.25">
      <c r="A853" s="7">
        <v>2539</v>
      </c>
      <c r="B853" s="9" t="s">
        <v>533</v>
      </c>
      <c r="C853" s="9" t="s">
        <v>533</v>
      </c>
      <c r="D853" s="8">
        <v>45891</v>
      </c>
      <c r="E853" s="7" t="s">
        <v>60</v>
      </c>
      <c r="F853" s="7">
        <v>1</v>
      </c>
      <c r="G853" s="7" t="s">
        <v>14</v>
      </c>
      <c r="H853" s="7" t="s">
        <v>314</v>
      </c>
      <c r="J853" s="7">
        <f t="shared" si="77"/>
        <v>1900</v>
      </c>
      <c r="K853" s="7">
        <f t="shared" si="74"/>
        <v>1</v>
      </c>
      <c r="L853" s="7">
        <f t="shared" si="75"/>
        <v>45891</v>
      </c>
      <c r="M853" s="7" t="s">
        <v>537</v>
      </c>
      <c r="N853" s="7" t="s">
        <v>922</v>
      </c>
      <c r="O853" s="17" t="s">
        <v>682</v>
      </c>
      <c r="P853" s="7">
        <f t="shared" si="73"/>
        <v>8</v>
      </c>
      <c r="Q853" s="7">
        <f t="shared" si="76"/>
        <v>2025</v>
      </c>
    </row>
    <row r="854" spans="1:17" x14ac:dyDescent="0.25">
      <c r="A854" s="7">
        <v>2539</v>
      </c>
      <c r="B854" s="9" t="s">
        <v>533</v>
      </c>
      <c r="C854" s="9" t="s">
        <v>533</v>
      </c>
      <c r="D854" s="8">
        <v>45891</v>
      </c>
      <c r="E854" s="7" t="s">
        <v>60</v>
      </c>
      <c r="F854" s="7">
        <v>1</v>
      </c>
      <c r="G854" s="7" t="s">
        <v>14</v>
      </c>
      <c r="H854" s="7" t="s">
        <v>314</v>
      </c>
      <c r="J854" s="7">
        <f t="shared" si="77"/>
        <v>1900</v>
      </c>
      <c r="K854" s="7">
        <f t="shared" si="74"/>
        <v>1</v>
      </c>
      <c r="L854" s="7">
        <f t="shared" si="75"/>
        <v>45891</v>
      </c>
      <c r="M854" s="7" t="s">
        <v>537</v>
      </c>
      <c r="N854" s="7" t="s">
        <v>922</v>
      </c>
      <c r="O854" s="17" t="s">
        <v>682</v>
      </c>
      <c r="P854" s="7">
        <f t="shared" si="73"/>
        <v>8</v>
      </c>
      <c r="Q854" s="7">
        <f t="shared" si="76"/>
        <v>2025</v>
      </c>
    </row>
    <row r="855" spans="1:17" x14ac:dyDescent="0.25">
      <c r="A855" s="7">
        <v>2539</v>
      </c>
      <c r="B855" s="9" t="s">
        <v>533</v>
      </c>
      <c r="C855" s="9" t="s">
        <v>533</v>
      </c>
      <c r="D855" s="8">
        <v>45891</v>
      </c>
      <c r="E855" s="7" t="s">
        <v>60</v>
      </c>
      <c r="F855" s="7">
        <v>1</v>
      </c>
      <c r="G855" s="7" t="s">
        <v>14</v>
      </c>
      <c r="H855" s="7" t="s">
        <v>314</v>
      </c>
      <c r="J855" s="7">
        <f t="shared" si="77"/>
        <v>1900</v>
      </c>
      <c r="K855" s="7">
        <f t="shared" si="74"/>
        <v>1</v>
      </c>
      <c r="L855" s="7">
        <f t="shared" si="75"/>
        <v>45891</v>
      </c>
      <c r="M855" s="7" t="s">
        <v>537</v>
      </c>
      <c r="N855" s="7" t="s">
        <v>922</v>
      </c>
      <c r="O855" s="17" t="s">
        <v>682</v>
      </c>
      <c r="P855" s="7">
        <f t="shared" si="73"/>
        <v>8</v>
      </c>
      <c r="Q855" s="7">
        <f t="shared" si="76"/>
        <v>2025</v>
      </c>
    </row>
    <row r="856" spans="1:17" x14ac:dyDescent="0.25">
      <c r="A856" s="7">
        <v>2539</v>
      </c>
      <c r="B856" s="9" t="s">
        <v>533</v>
      </c>
      <c r="C856" s="9" t="s">
        <v>533</v>
      </c>
      <c r="D856" s="8">
        <v>45891</v>
      </c>
      <c r="E856" s="7" t="s">
        <v>60</v>
      </c>
      <c r="F856" s="7">
        <v>1</v>
      </c>
      <c r="G856" s="7" t="s">
        <v>14</v>
      </c>
      <c r="H856" s="7" t="s">
        <v>314</v>
      </c>
      <c r="J856" s="7">
        <f t="shared" si="77"/>
        <v>1900</v>
      </c>
      <c r="K856" s="7">
        <f t="shared" si="74"/>
        <v>1</v>
      </c>
      <c r="L856" s="7">
        <f t="shared" si="75"/>
        <v>45891</v>
      </c>
      <c r="M856" s="7" t="s">
        <v>537</v>
      </c>
      <c r="N856" s="7" t="s">
        <v>922</v>
      </c>
      <c r="O856" s="17" t="s">
        <v>682</v>
      </c>
      <c r="P856" s="7">
        <f t="shared" si="73"/>
        <v>8</v>
      </c>
      <c r="Q856" s="7">
        <f t="shared" si="76"/>
        <v>2025</v>
      </c>
    </row>
    <row r="857" spans="1:17" x14ac:dyDescent="0.25">
      <c r="A857" s="7">
        <v>2539</v>
      </c>
      <c r="B857" s="9" t="s">
        <v>533</v>
      </c>
      <c r="C857" s="9" t="s">
        <v>533</v>
      </c>
      <c r="D857" s="8">
        <v>45891</v>
      </c>
      <c r="E857" s="7" t="s">
        <v>60</v>
      </c>
      <c r="F857" s="7">
        <v>1</v>
      </c>
      <c r="G857" s="7" t="s">
        <v>14</v>
      </c>
      <c r="H857" s="7" t="s">
        <v>314</v>
      </c>
      <c r="J857" s="7">
        <f t="shared" si="77"/>
        <v>1900</v>
      </c>
      <c r="K857" s="7">
        <f t="shared" si="74"/>
        <v>1</v>
      </c>
      <c r="L857" s="7">
        <f t="shared" si="75"/>
        <v>45891</v>
      </c>
      <c r="M857" s="7" t="s">
        <v>537</v>
      </c>
      <c r="N857" s="7" t="s">
        <v>922</v>
      </c>
      <c r="O857" s="17" t="s">
        <v>682</v>
      </c>
      <c r="P857" s="7">
        <f t="shared" si="73"/>
        <v>8</v>
      </c>
      <c r="Q857" s="7">
        <f t="shared" si="76"/>
        <v>2025</v>
      </c>
    </row>
    <row r="858" spans="1:17" x14ac:dyDescent="0.25">
      <c r="A858" s="7">
        <v>2539</v>
      </c>
      <c r="B858" s="9" t="s">
        <v>533</v>
      </c>
      <c r="C858" s="9" t="s">
        <v>533</v>
      </c>
      <c r="D858" s="8">
        <v>45891</v>
      </c>
      <c r="E858" s="7" t="s">
        <v>60</v>
      </c>
      <c r="F858" s="7">
        <v>1</v>
      </c>
      <c r="G858" s="7" t="s">
        <v>14</v>
      </c>
      <c r="H858" s="7" t="s">
        <v>314</v>
      </c>
      <c r="J858" s="7">
        <f t="shared" si="77"/>
        <v>1900</v>
      </c>
      <c r="K858" s="7">
        <f t="shared" si="74"/>
        <v>1</v>
      </c>
      <c r="L858" s="7">
        <f t="shared" si="75"/>
        <v>45891</v>
      </c>
      <c r="M858" s="7" t="s">
        <v>537</v>
      </c>
      <c r="N858" s="7" t="s">
        <v>922</v>
      </c>
      <c r="O858" s="17" t="s">
        <v>682</v>
      </c>
      <c r="P858" s="7">
        <f t="shared" ref="P858:P921" si="78">MONTH(D858)</f>
        <v>8</v>
      </c>
      <c r="Q858" s="7">
        <f t="shared" si="76"/>
        <v>2025</v>
      </c>
    </row>
    <row r="859" spans="1:17" x14ac:dyDescent="0.25">
      <c r="A859" s="7">
        <v>2539</v>
      </c>
      <c r="B859" s="9" t="s">
        <v>533</v>
      </c>
      <c r="C859" s="9" t="s">
        <v>533</v>
      </c>
      <c r="D859" s="8">
        <v>45891</v>
      </c>
      <c r="E859" s="7" t="s">
        <v>60</v>
      </c>
      <c r="F859" s="7">
        <v>1</v>
      </c>
      <c r="G859" s="7" t="s">
        <v>14</v>
      </c>
      <c r="H859" s="7" t="s">
        <v>314</v>
      </c>
      <c r="J859" s="7">
        <f t="shared" si="77"/>
        <v>1900</v>
      </c>
      <c r="K859" s="7">
        <f t="shared" si="74"/>
        <v>1</v>
      </c>
      <c r="L859" s="7">
        <f t="shared" si="75"/>
        <v>45891</v>
      </c>
      <c r="M859" s="7" t="s">
        <v>537</v>
      </c>
      <c r="N859" s="7" t="s">
        <v>922</v>
      </c>
      <c r="O859" s="17" t="s">
        <v>682</v>
      </c>
      <c r="P859" s="7">
        <f t="shared" si="78"/>
        <v>8</v>
      </c>
      <c r="Q859" s="7">
        <f t="shared" si="76"/>
        <v>2025</v>
      </c>
    </row>
    <row r="860" spans="1:17" x14ac:dyDescent="0.25">
      <c r="A860" s="7">
        <v>2539</v>
      </c>
      <c r="B860" s="9" t="s">
        <v>533</v>
      </c>
      <c r="C860" s="9" t="s">
        <v>533</v>
      </c>
      <c r="D860" s="8">
        <v>45891</v>
      </c>
      <c r="E860" s="7" t="s">
        <v>60</v>
      </c>
      <c r="F860" s="7">
        <v>1</v>
      </c>
      <c r="G860" s="7" t="s">
        <v>14</v>
      </c>
      <c r="H860" s="7" t="s">
        <v>314</v>
      </c>
      <c r="J860" s="7">
        <f t="shared" si="77"/>
        <v>1900</v>
      </c>
      <c r="K860" s="7">
        <f t="shared" si="74"/>
        <v>1</v>
      </c>
      <c r="L860" s="7">
        <f t="shared" si="75"/>
        <v>45891</v>
      </c>
      <c r="M860" s="7" t="s">
        <v>537</v>
      </c>
      <c r="N860" s="7" t="s">
        <v>922</v>
      </c>
      <c r="O860" s="17" t="s">
        <v>682</v>
      </c>
      <c r="P860" s="7">
        <f t="shared" si="78"/>
        <v>8</v>
      </c>
      <c r="Q860" s="7">
        <f t="shared" si="76"/>
        <v>2025</v>
      </c>
    </row>
    <row r="861" spans="1:17" x14ac:dyDescent="0.25">
      <c r="A861" s="7">
        <v>2539</v>
      </c>
      <c r="B861" s="9" t="s">
        <v>533</v>
      </c>
      <c r="C861" s="9" t="s">
        <v>533</v>
      </c>
      <c r="D861" s="8">
        <v>45891</v>
      </c>
      <c r="E861" s="7" t="s">
        <v>60</v>
      </c>
      <c r="F861" s="7">
        <v>1</v>
      </c>
      <c r="G861" s="7" t="s">
        <v>14</v>
      </c>
      <c r="H861" s="7" t="s">
        <v>314</v>
      </c>
      <c r="J861" s="7">
        <f t="shared" si="77"/>
        <v>1900</v>
      </c>
      <c r="K861" s="7">
        <f t="shared" si="74"/>
        <v>1</v>
      </c>
      <c r="L861" s="7">
        <f t="shared" si="75"/>
        <v>45891</v>
      </c>
      <c r="M861" s="7" t="s">
        <v>537</v>
      </c>
      <c r="N861" s="7" t="s">
        <v>922</v>
      </c>
      <c r="O861" s="17" t="s">
        <v>682</v>
      </c>
      <c r="P861" s="7">
        <f t="shared" si="78"/>
        <v>8</v>
      </c>
      <c r="Q861" s="7">
        <f t="shared" si="76"/>
        <v>2025</v>
      </c>
    </row>
    <row r="862" spans="1:17" x14ac:dyDescent="0.25">
      <c r="A862" s="7">
        <v>2539</v>
      </c>
      <c r="B862" s="9" t="s">
        <v>533</v>
      </c>
      <c r="C862" s="9" t="s">
        <v>533</v>
      </c>
      <c r="D862" s="8">
        <v>45891</v>
      </c>
      <c r="E862" s="7" t="s">
        <v>60</v>
      </c>
      <c r="F862" s="7">
        <v>1</v>
      </c>
      <c r="G862" s="7" t="s">
        <v>14</v>
      </c>
      <c r="H862" s="7" t="s">
        <v>314</v>
      </c>
      <c r="J862" s="7">
        <f t="shared" si="77"/>
        <v>1900</v>
      </c>
      <c r="K862" s="7">
        <f t="shared" si="74"/>
        <v>1</v>
      </c>
      <c r="L862" s="7">
        <f t="shared" si="75"/>
        <v>45891</v>
      </c>
      <c r="M862" s="7" t="s">
        <v>537</v>
      </c>
      <c r="N862" s="7" t="s">
        <v>922</v>
      </c>
      <c r="O862" s="17" t="s">
        <v>682</v>
      </c>
      <c r="P862" s="7">
        <f t="shared" si="78"/>
        <v>8</v>
      </c>
      <c r="Q862" s="7">
        <f t="shared" si="76"/>
        <v>2025</v>
      </c>
    </row>
    <row r="863" spans="1:17" x14ac:dyDescent="0.25">
      <c r="A863" s="7">
        <v>2539</v>
      </c>
      <c r="B863" s="9" t="s">
        <v>533</v>
      </c>
      <c r="C863" s="9" t="s">
        <v>533</v>
      </c>
      <c r="D863" s="8">
        <v>45891</v>
      </c>
      <c r="E863" s="7" t="s">
        <v>60</v>
      </c>
      <c r="F863" s="7">
        <v>1</v>
      </c>
      <c r="G863" s="7" t="s">
        <v>14</v>
      </c>
      <c r="H863" s="7" t="s">
        <v>314</v>
      </c>
      <c r="J863" s="7">
        <f t="shared" si="77"/>
        <v>1900</v>
      </c>
      <c r="K863" s="7">
        <f t="shared" si="74"/>
        <v>1</v>
      </c>
      <c r="L863" s="7">
        <f t="shared" si="75"/>
        <v>45891</v>
      </c>
      <c r="M863" s="7" t="s">
        <v>537</v>
      </c>
      <c r="N863" s="7" t="s">
        <v>922</v>
      </c>
      <c r="O863" s="17" t="s">
        <v>682</v>
      </c>
      <c r="P863" s="7">
        <f t="shared" si="78"/>
        <v>8</v>
      </c>
      <c r="Q863" s="7">
        <f t="shared" si="76"/>
        <v>2025</v>
      </c>
    </row>
    <row r="864" spans="1:17" x14ac:dyDescent="0.25">
      <c r="A864" s="7">
        <v>2539</v>
      </c>
      <c r="B864" s="9" t="s">
        <v>533</v>
      </c>
      <c r="C864" s="9" t="s">
        <v>533</v>
      </c>
      <c r="D864" s="8">
        <v>45891</v>
      </c>
      <c r="E864" s="7" t="s">
        <v>60</v>
      </c>
      <c r="F864" s="7">
        <v>1</v>
      </c>
      <c r="G864" s="7" t="s">
        <v>14</v>
      </c>
      <c r="H864" s="7" t="s">
        <v>314</v>
      </c>
      <c r="J864" s="7">
        <f t="shared" si="77"/>
        <v>1900</v>
      </c>
      <c r="K864" s="7">
        <f t="shared" si="74"/>
        <v>1</v>
      </c>
      <c r="L864" s="7">
        <f t="shared" si="75"/>
        <v>45891</v>
      </c>
      <c r="M864" s="7" t="s">
        <v>537</v>
      </c>
      <c r="N864" s="7" t="s">
        <v>922</v>
      </c>
      <c r="O864" s="17" t="s">
        <v>682</v>
      </c>
      <c r="P864" s="7">
        <f t="shared" si="78"/>
        <v>8</v>
      </c>
      <c r="Q864" s="7">
        <f t="shared" si="76"/>
        <v>2025</v>
      </c>
    </row>
    <row r="865" spans="1:17" x14ac:dyDescent="0.25">
      <c r="A865" s="7">
        <v>2539</v>
      </c>
      <c r="B865" s="9" t="s">
        <v>533</v>
      </c>
      <c r="C865" s="9" t="s">
        <v>533</v>
      </c>
      <c r="D865" s="8">
        <v>45891</v>
      </c>
      <c r="E865" s="7" t="s">
        <v>60</v>
      </c>
      <c r="F865" s="7">
        <v>1</v>
      </c>
      <c r="G865" s="7" t="s">
        <v>14</v>
      </c>
      <c r="H865" s="7" t="s">
        <v>314</v>
      </c>
      <c r="J865" s="7">
        <f t="shared" si="77"/>
        <v>1900</v>
      </c>
      <c r="K865" s="7">
        <f t="shared" si="74"/>
        <v>1</v>
      </c>
      <c r="L865" s="7">
        <f t="shared" si="75"/>
        <v>45891</v>
      </c>
      <c r="M865" s="7" t="s">
        <v>537</v>
      </c>
      <c r="N865" s="7" t="s">
        <v>922</v>
      </c>
      <c r="O865" s="17" t="s">
        <v>682</v>
      </c>
      <c r="P865" s="7">
        <f t="shared" si="78"/>
        <v>8</v>
      </c>
      <c r="Q865" s="7">
        <f t="shared" si="76"/>
        <v>2025</v>
      </c>
    </row>
    <row r="866" spans="1:17" x14ac:dyDescent="0.25">
      <c r="A866" s="7">
        <v>2539</v>
      </c>
      <c r="B866" s="9" t="s">
        <v>533</v>
      </c>
      <c r="C866" s="9" t="s">
        <v>533</v>
      </c>
      <c r="D866" s="8">
        <v>45891</v>
      </c>
      <c r="E866" s="7" t="s">
        <v>60</v>
      </c>
      <c r="F866" s="7">
        <v>1</v>
      </c>
      <c r="G866" s="7" t="s">
        <v>14</v>
      </c>
      <c r="H866" s="7" t="s">
        <v>314</v>
      </c>
      <c r="J866" s="7">
        <f t="shared" si="77"/>
        <v>1900</v>
      </c>
      <c r="K866" s="7">
        <f t="shared" si="74"/>
        <v>1</v>
      </c>
      <c r="L866" s="7">
        <f t="shared" si="75"/>
        <v>45891</v>
      </c>
      <c r="M866" s="7" t="s">
        <v>537</v>
      </c>
      <c r="N866" s="7" t="s">
        <v>922</v>
      </c>
      <c r="O866" s="17" t="s">
        <v>682</v>
      </c>
      <c r="P866" s="7">
        <f t="shared" si="78"/>
        <v>8</v>
      </c>
      <c r="Q866" s="7">
        <f t="shared" si="76"/>
        <v>2025</v>
      </c>
    </row>
    <row r="867" spans="1:17" x14ac:dyDescent="0.25">
      <c r="A867" s="7">
        <v>2539</v>
      </c>
      <c r="B867" s="9" t="s">
        <v>533</v>
      </c>
      <c r="C867" s="9" t="s">
        <v>533</v>
      </c>
      <c r="D867" s="8">
        <v>45891</v>
      </c>
      <c r="E867" s="7" t="s">
        <v>60</v>
      </c>
      <c r="F867" s="7">
        <v>1</v>
      </c>
      <c r="G867" s="7" t="s">
        <v>14</v>
      </c>
      <c r="H867" s="7" t="s">
        <v>314</v>
      </c>
      <c r="J867" s="7">
        <f t="shared" si="77"/>
        <v>1900</v>
      </c>
      <c r="K867" s="7">
        <f t="shared" si="74"/>
        <v>1</v>
      </c>
      <c r="L867" s="7">
        <f t="shared" si="75"/>
        <v>45891</v>
      </c>
      <c r="M867" s="7" t="s">
        <v>537</v>
      </c>
      <c r="N867" s="7" t="s">
        <v>922</v>
      </c>
      <c r="O867" s="17" t="s">
        <v>682</v>
      </c>
      <c r="P867" s="7">
        <f t="shared" si="78"/>
        <v>8</v>
      </c>
      <c r="Q867" s="7">
        <f t="shared" si="76"/>
        <v>2025</v>
      </c>
    </row>
    <row r="868" spans="1:17" x14ac:dyDescent="0.25">
      <c r="A868" s="7">
        <v>2539</v>
      </c>
      <c r="B868" s="9" t="s">
        <v>533</v>
      </c>
      <c r="C868" s="9" t="s">
        <v>533</v>
      </c>
      <c r="D868" s="8">
        <v>45891</v>
      </c>
      <c r="E868" s="7" t="s">
        <v>60</v>
      </c>
      <c r="F868" s="7">
        <v>1</v>
      </c>
      <c r="G868" s="7" t="s">
        <v>14</v>
      </c>
      <c r="H868" s="7" t="s">
        <v>314</v>
      </c>
      <c r="J868" s="7">
        <f t="shared" si="77"/>
        <v>1900</v>
      </c>
      <c r="K868" s="7">
        <f t="shared" si="74"/>
        <v>1</v>
      </c>
      <c r="L868" s="7">
        <f t="shared" si="75"/>
        <v>45891</v>
      </c>
      <c r="M868" s="7" t="s">
        <v>537</v>
      </c>
      <c r="N868" s="7" t="s">
        <v>922</v>
      </c>
      <c r="O868" s="17" t="s">
        <v>682</v>
      </c>
      <c r="P868" s="7">
        <f t="shared" si="78"/>
        <v>8</v>
      </c>
      <c r="Q868" s="7">
        <f t="shared" si="76"/>
        <v>2025</v>
      </c>
    </row>
    <row r="869" spans="1:17" x14ac:dyDescent="0.25">
      <c r="A869" s="7">
        <v>2539</v>
      </c>
      <c r="B869" s="9" t="s">
        <v>533</v>
      </c>
      <c r="C869" s="9" t="s">
        <v>533</v>
      </c>
      <c r="D869" s="8">
        <v>45891</v>
      </c>
      <c r="E869" s="7" t="s">
        <v>60</v>
      </c>
      <c r="F869" s="7">
        <v>1</v>
      </c>
      <c r="G869" s="7" t="s">
        <v>14</v>
      </c>
      <c r="H869" s="7" t="s">
        <v>314</v>
      </c>
      <c r="J869" s="7">
        <f t="shared" si="77"/>
        <v>1900</v>
      </c>
      <c r="K869" s="7">
        <f t="shared" si="74"/>
        <v>1</v>
      </c>
      <c r="L869" s="7">
        <f t="shared" si="75"/>
        <v>45891</v>
      </c>
      <c r="M869" s="7" t="s">
        <v>537</v>
      </c>
      <c r="N869" s="7" t="s">
        <v>922</v>
      </c>
      <c r="O869" s="17" t="s">
        <v>682</v>
      </c>
      <c r="P869" s="7">
        <f t="shared" si="78"/>
        <v>8</v>
      </c>
      <c r="Q869" s="7">
        <f t="shared" si="76"/>
        <v>2025</v>
      </c>
    </row>
    <row r="870" spans="1:17" x14ac:dyDescent="0.25">
      <c r="A870" s="7">
        <v>2539</v>
      </c>
      <c r="B870" s="9" t="s">
        <v>533</v>
      </c>
      <c r="C870" s="9" t="s">
        <v>533</v>
      </c>
      <c r="D870" s="8">
        <v>45891</v>
      </c>
      <c r="E870" s="7" t="s">
        <v>60</v>
      </c>
      <c r="F870" s="7">
        <v>1</v>
      </c>
      <c r="G870" s="7" t="s">
        <v>14</v>
      </c>
      <c r="H870" s="7" t="s">
        <v>314</v>
      </c>
      <c r="J870" s="7">
        <f t="shared" si="77"/>
        <v>1900</v>
      </c>
      <c r="K870" s="7">
        <f t="shared" si="74"/>
        <v>1</v>
      </c>
      <c r="L870" s="7">
        <f t="shared" si="75"/>
        <v>45891</v>
      </c>
      <c r="M870" s="7" t="s">
        <v>537</v>
      </c>
      <c r="N870" s="7" t="s">
        <v>922</v>
      </c>
      <c r="O870" s="17" t="s">
        <v>682</v>
      </c>
      <c r="P870" s="7">
        <f t="shared" si="78"/>
        <v>8</v>
      </c>
      <c r="Q870" s="7">
        <f t="shared" si="76"/>
        <v>2025</v>
      </c>
    </row>
    <row r="871" spans="1:17" x14ac:dyDescent="0.25">
      <c r="A871" s="7">
        <v>2539</v>
      </c>
      <c r="B871" s="9" t="s">
        <v>533</v>
      </c>
      <c r="C871" s="9" t="s">
        <v>533</v>
      </c>
      <c r="D871" s="8">
        <v>45891</v>
      </c>
      <c r="E871" s="7" t="s">
        <v>60</v>
      </c>
      <c r="F871" s="7">
        <v>1</v>
      </c>
      <c r="G871" s="7" t="s">
        <v>14</v>
      </c>
      <c r="H871" s="7" t="s">
        <v>314</v>
      </c>
      <c r="J871" s="7">
        <f t="shared" si="77"/>
        <v>1900</v>
      </c>
      <c r="K871" s="7">
        <f t="shared" si="74"/>
        <v>1</v>
      </c>
      <c r="L871" s="7">
        <f t="shared" si="75"/>
        <v>45891</v>
      </c>
      <c r="M871" s="7" t="s">
        <v>537</v>
      </c>
      <c r="N871" s="7" t="s">
        <v>922</v>
      </c>
      <c r="O871" s="17" t="s">
        <v>682</v>
      </c>
      <c r="P871" s="7">
        <f t="shared" si="78"/>
        <v>8</v>
      </c>
      <c r="Q871" s="7">
        <f t="shared" si="76"/>
        <v>2025</v>
      </c>
    </row>
    <row r="872" spans="1:17" x14ac:dyDescent="0.25">
      <c r="A872" s="7">
        <v>2539</v>
      </c>
      <c r="B872" s="9" t="s">
        <v>533</v>
      </c>
      <c r="C872" s="9" t="s">
        <v>533</v>
      </c>
      <c r="D872" s="8">
        <v>45891</v>
      </c>
      <c r="E872" s="7" t="s">
        <v>60</v>
      </c>
      <c r="F872" s="7">
        <v>1</v>
      </c>
      <c r="G872" s="7" t="s">
        <v>14</v>
      </c>
      <c r="H872" s="7" t="s">
        <v>314</v>
      </c>
      <c r="J872" s="7">
        <f t="shared" si="77"/>
        <v>1900</v>
      </c>
      <c r="K872" s="7">
        <f t="shared" si="74"/>
        <v>1</v>
      </c>
      <c r="L872" s="7">
        <f t="shared" si="75"/>
        <v>45891</v>
      </c>
      <c r="M872" s="7" t="s">
        <v>537</v>
      </c>
      <c r="N872" s="7" t="s">
        <v>922</v>
      </c>
      <c r="O872" s="17" t="s">
        <v>682</v>
      </c>
      <c r="P872" s="7">
        <f t="shared" si="78"/>
        <v>8</v>
      </c>
      <c r="Q872" s="7">
        <f t="shared" si="76"/>
        <v>2025</v>
      </c>
    </row>
    <row r="873" spans="1:17" x14ac:dyDescent="0.25">
      <c r="A873" s="7">
        <v>2539</v>
      </c>
      <c r="B873" s="9" t="s">
        <v>533</v>
      </c>
      <c r="C873" s="9" t="s">
        <v>533</v>
      </c>
      <c r="D873" s="8">
        <v>45891</v>
      </c>
      <c r="E873" s="7" t="s">
        <v>60</v>
      </c>
      <c r="F873" s="7">
        <v>1</v>
      </c>
      <c r="G873" s="7" t="s">
        <v>14</v>
      </c>
      <c r="H873" s="7" t="s">
        <v>314</v>
      </c>
      <c r="J873" s="7">
        <f t="shared" si="77"/>
        <v>1900</v>
      </c>
      <c r="K873" s="7">
        <f t="shared" si="74"/>
        <v>1</v>
      </c>
      <c r="L873" s="7">
        <f t="shared" si="75"/>
        <v>45891</v>
      </c>
      <c r="M873" s="7" t="s">
        <v>537</v>
      </c>
      <c r="N873" s="7" t="s">
        <v>922</v>
      </c>
      <c r="O873" s="17" t="s">
        <v>682</v>
      </c>
      <c r="P873" s="7">
        <f t="shared" si="78"/>
        <v>8</v>
      </c>
      <c r="Q873" s="7">
        <f t="shared" si="76"/>
        <v>2025</v>
      </c>
    </row>
    <row r="874" spans="1:17" x14ac:dyDescent="0.25">
      <c r="A874" s="7">
        <v>2539</v>
      </c>
      <c r="B874" s="9" t="s">
        <v>533</v>
      </c>
      <c r="C874" s="9" t="s">
        <v>533</v>
      </c>
      <c r="D874" s="8">
        <v>45891</v>
      </c>
      <c r="E874" s="7" t="s">
        <v>60</v>
      </c>
      <c r="F874" s="7">
        <v>1</v>
      </c>
      <c r="G874" s="7" t="s">
        <v>14</v>
      </c>
      <c r="H874" s="7" t="s">
        <v>314</v>
      </c>
      <c r="J874" s="7">
        <f t="shared" si="77"/>
        <v>1900</v>
      </c>
      <c r="K874" s="7">
        <f t="shared" si="74"/>
        <v>1</v>
      </c>
      <c r="L874" s="7">
        <f t="shared" si="75"/>
        <v>45891</v>
      </c>
      <c r="M874" s="7" t="s">
        <v>537</v>
      </c>
      <c r="N874" s="7" t="s">
        <v>922</v>
      </c>
      <c r="O874" s="17" t="s">
        <v>682</v>
      </c>
      <c r="P874" s="7">
        <f t="shared" si="78"/>
        <v>8</v>
      </c>
      <c r="Q874" s="7">
        <f t="shared" si="76"/>
        <v>2025</v>
      </c>
    </row>
    <row r="875" spans="1:17" x14ac:dyDescent="0.25">
      <c r="A875" s="7">
        <v>2539</v>
      </c>
      <c r="B875" s="9" t="s">
        <v>533</v>
      </c>
      <c r="C875" s="9" t="s">
        <v>533</v>
      </c>
      <c r="D875" s="8">
        <v>45891</v>
      </c>
      <c r="E875" s="7" t="s">
        <v>60</v>
      </c>
      <c r="F875" s="7">
        <v>1</v>
      </c>
      <c r="G875" s="7" t="s">
        <v>14</v>
      </c>
      <c r="H875" s="7" t="s">
        <v>314</v>
      </c>
      <c r="J875" s="7">
        <f t="shared" si="77"/>
        <v>1900</v>
      </c>
      <c r="K875" s="7">
        <f t="shared" si="74"/>
        <v>1</v>
      </c>
      <c r="L875" s="7">
        <f t="shared" si="75"/>
        <v>45891</v>
      </c>
      <c r="M875" s="7" t="s">
        <v>537</v>
      </c>
      <c r="N875" s="7" t="s">
        <v>922</v>
      </c>
      <c r="O875" s="17" t="s">
        <v>682</v>
      </c>
      <c r="P875" s="7">
        <f t="shared" si="78"/>
        <v>8</v>
      </c>
      <c r="Q875" s="7">
        <f t="shared" si="76"/>
        <v>2025</v>
      </c>
    </row>
    <row r="876" spans="1:17" x14ac:dyDescent="0.25">
      <c r="A876" s="7">
        <v>2539</v>
      </c>
      <c r="B876" s="9" t="s">
        <v>533</v>
      </c>
      <c r="C876" s="9" t="s">
        <v>533</v>
      </c>
      <c r="D876" s="8">
        <v>45891</v>
      </c>
      <c r="E876" s="7" t="s">
        <v>60</v>
      </c>
      <c r="F876" s="7">
        <v>1</v>
      </c>
      <c r="G876" s="7" t="s">
        <v>14</v>
      </c>
      <c r="H876" s="7" t="s">
        <v>314</v>
      </c>
      <c r="J876" s="7">
        <f t="shared" si="77"/>
        <v>1900</v>
      </c>
      <c r="K876" s="7">
        <f t="shared" si="74"/>
        <v>1</v>
      </c>
      <c r="L876" s="7">
        <f t="shared" si="75"/>
        <v>45891</v>
      </c>
      <c r="M876" s="7" t="s">
        <v>537</v>
      </c>
      <c r="N876" s="7" t="s">
        <v>922</v>
      </c>
      <c r="O876" s="17" t="s">
        <v>682</v>
      </c>
      <c r="P876" s="7">
        <f t="shared" si="78"/>
        <v>8</v>
      </c>
      <c r="Q876" s="7">
        <f t="shared" si="76"/>
        <v>2025</v>
      </c>
    </row>
    <row r="877" spans="1:17" x14ac:dyDescent="0.25">
      <c r="A877" s="7">
        <v>2539</v>
      </c>
      <c r="B877" s="9" t="s">
        <v>533</v>
      </c>
      <c r="C877" s="9" t="s">
        <v>533</v>
      </c>
      <c r="D877" s="8">
        <v>45891</v>
      </c>
      <c r="E877" s="7" t="s">
        <v>60</v>
      </c>
      <c r="F877" s="7">
        <v>1</v>
      </c>
      <c r="G877" s="7" t="s">
        <v>14</v>
      </c>
      <c r="H877" s="7" t="s">
        <v>314</v>
      </c>
      <c r="J877" s="7">
        <f t="shared" si="77"/>
        <v>1900</v>
      </c>
      <c r="K877" s="7">
        <f t="shared" ref="K877:K940" si="79">MONTH(I877)</f>
        <v>1</v>
      </c>
      <c r="L877" s="7">
        <f t="shared" si="75"/>
        <v>45891</v>
      </c>
      <c r="M877" s="7" t="s">
        <v>537</v>
      </c>
      <c r="N877" s="7" t="s">
        <v>922</v>
      </c>
      <c r="O877" s="17" t="s">
        <v>682</v>
      </c>
      <c r="P877" s="7">
        <f t="shared" si="78"/>
        <v>8</v>
      </c>
      <c r="Q877" s="7">
        <f t="shared" si="76"/>
        <v>2025</v>
      </c>
    </row>
    <row r="878" spans="1:17" x14ac:dyDescent="0.25">
      <c r="A878" s="7">
        <v>2539</v>
      </c>
      <c r="B878" s="9" t="s">
        <v>533</v>
      </c>
      <c r="C878" s="9" t="s">
        <v>533</v>
      </c>
      <c r="D878" s="8">
        <v>45891</v>
      </c>
      <c r="E878" s="7" t="s">
        <v>60</v>
      </c>
      <c r="F878" s="7">
        <v>1</v>
      </c>
      <c r="G878" s="7" t="s">
        <v>14</v>
      </c>
      <c r="H878" s="7" t="s">
        <v>314</v>
      </c>
      <c r="J878" s="7">
        <f t="shared" si="77"/>
        <v>1900</v>
      </c>
      <c r="K878" s="7">
        <f t="shared" si="79"/>
        <v>1</v>
      </c>
      <c r="L878" s="7">
        <f t="shared" si="75"/>
        <v>45891</v>
      </c>
      <c r="M878" s="7" t="s">
        <v>537</v>
      </c>
      <c r="N878" s="7" t="s">
        <v>922</v>
      </c>
      <c r="O878" s="17" t="s">
        <v>682</v>
      </c>
      <c r="P878" s="7">
        <f t="shared" si="78"/>
        <v>8</v>
      </c>
      <c r="Q878" s="7">
        <f t="shared" si="76"/>
        <v>2025</v>
      </c>
    </row>
    <row r="879" spans="1:17" x14ac:dyDescent="0.25">
      <c r="A879" s="7">
        <v>2539</v>
      </c>
      <c r="B879" s="9" t="s">
        <v>533</v>
      </c>
      <c r="C879" s="9" t="s">
        <v>533</v>
      </c>
      <c r="D879" s="8">
        <v>45891</v>
      </c>
      <c r="E879" s="7" t="s">
        <v>60</v>
      </c>
      <c r="F879" s="7">
        <v>1</v>
      </c>
      <c r="G879" s="7" t="s">
        <v>14</v>
      </c>
      <c r="H879" s="7" t="s">
        <v>314</v>
      </c>
      <c r="J879" s="7">
        <f t="shared" si="77"/>
        <v>1900</v>
      </c>
      <c r="K879" s="7">
        <f t="shared" si="79"/>
        <v>1</v>
      </c>
      <c r="L879" s="7">
        <f t="shared" ref="L879:L942" si="80">D879-I879</f>
        <v>45891</v>
      </c>
      <c r="M879" s="7" t="s">
        <v>537</v>
      </c>
      <c r="N879" s="7" t="s">
        <v>922</v>
      </c>
      <c r="O879" s="17" t="s">
        <v>682</v>
      </c>
      <c r="P879" s="7">
        <f t="shared" si="78"/>
        <v>8</v>
      </c>
      <c r="Q879" s="7">
        <f t="shared" si="76"/>
        <v>2025</v>
      </c>
    </row>
    <row r="880" spans="1:17" x14ac:dyDescent="0.25">
      <c r="A880" s="7">
        <v>2539</v>
      </c>
      <c r="B880" s="9" t="s">
        <v>533</v>
      </c>
      <c r="C880" s="9" t="s">
        <v>533</v>
      </c>
      <c r="D880" s="8">
        <v>45891</v>
      </c>
      <c r="E880" s="7" t="s">
        <v>60</v>
      </c>
      <c r="F880" s="7">
        <v>1</v>
      </c>
      <c r="G880" s="7" t="s">
        <v>14</v>
      </c>
      <c r="H880" s="7" t="s">
        <v>314</v>
      </c>
      <c r="J880" s="7">
        <f t="shared" si="77"/>
        <v>1900</v>
      </c>
      <c r="K880" s="7">
        <f t="shared" si="79"/>
        <v>1</v>
      </c>
      <c r="L880" s="7">
        <f t="shared" si="80"/>
        <v>45891</v>
      </c>
      <c r="M880" s="7" t="s">
        <v>537</v>
      </c>
      <c r="N880" s="7" t="s">
        <v>922</v>
      </c>
      <c r="O880" s="17" t="s">
        <v>682</v>
      </c>
      <c r="P880" s="7">
        <f t="shared" si="78"/>
        <v>8</v>
      </c>
      <c r="Q880" s="7">
        <f t="shared" si="76"/>
        <v>2025</v>
      </c>
    </row>
    <row r="881" spans="1:17" x14ac:dyDescent="0.25">
      <c r="A881" s="7">
        <v>2539</v>
      </c>
      <c r="B881" s="9" t="s">
        <v>533</v>
      </c>
      <c r="C881" s="9" t="s">
        <v>533</v>
      </c>
      <c r="D881" s="8">
        <v>45891</v>
      </c>
      <c r="E881" s="7" t="s">
        <v>60</v>
      </c>
      <c r="F881" s="7">
        <v>1</v>
      </c>
      <c r="G881" s="7" t="s">
        <v>14</v>
      </c>
      <c r="H881" s="7" t="s">
        <v>314</v>
      </c>
      <c r="J881" s="7">
        <f t="shared" si="77"/>
        <v>1900</v>
      </c>
      <c r="K881" s="7">
        <f t="shared" si="79"/>
        <v>1</v>
      </c>
      <c r="L881" s="7">
        <f t="shared" si="80"/>
        <v>45891</v>
      </c>
      <c r="M881" s="7" t="s">
        <v>537</v>
      </c>
      <c r="N881" s="7" t="s">
        <v>922</v>
      </c>
      <c r="O881" s="17" t="s">
        <v>682</v>
      </c>
      <c r="P881" s="7">
        <f t="shared" si="78"/>
        <v>8</v>
      </c>
      <c r="Q881" s="7">
        <f t="shared" si="76"/>
        <v>2025</v>
      </c>
    </row>
    <row r="882" spans="1:17" x14ac:dyDescent="0.25">
      <c r="A882" s="7">
        <v>2539</v>
      </c>
      <c r="B882" s="9" t="s">
        <v>533</v>
      </c>
      <c r="C882" s="9" t="s">
        <v>533</v>
      </c>
      <c r="D882" s="8">
        <v>45891</v>
      </c>
      <c r="E882" s="7" t="s">
        <v>60</v>
      </c>
      <c r="F882" s="7">
        <v>1</v>
      </c>
      <c r="G882" s="7" t="s">
        <v>14</v>
      </c>
      <c r="H882" s="7" t="s">
        <v>314</v>
      </c>
      <c r="J882" s="7">
        <f t="shared" si="77"/>
        <v>1900</v>
      </c>
      <c r="K882" s="7">
        <f t="shared" si="79"/>
        <v>1</v>
      </c>
      <c r="L882" s="7">
        <f t="shared" si="80"/>
        <v>45891</v>
      </c>
      <c r="M882" s="7" t="s">
        <v>537</v>
      </c>
      <c r="N882" s="7" t="s">
        <v>922</v>
      </c>
      <c r="O882" s="17" t="s">
        <v>682</v>
      </c>
      <c r="P882" s="7">
        <f t="shared" si="78"/>
        <v>8</v>
      </c>
      <c r="Q882" s="7">
        <f t="shared" si="76"/>
        <v>2025</v>
      </c>
    </row>
    <row r="883" spans="1:17" x14ac:dyDescent="0.25">
      <c r="A883" s="7">
        <v>2539</v>
      </c>
      <c r="B883" s="9" t="s">
        <v>533</v>
      </c>
      <c r="C883" s="9" t="s">
        <v>533</v>
      </c>
      <c r="D883" s="8">
        <v>45891</v>
      </c>
      <c r="E883" s="7" t="s">
        <v>60</v>
      </c>
      <c r="F883" s="7">
        <v>1</v>
      </c>
      <c r="G883" s="7" t="s">
        <v>14</v>
      </c>
      <c r="H883" s="7" t="s">
        <v>314</v>
      </c>
      <c r="J883" s="7">
        <f t="shared" si="77"/>
        <v>1900</v>
      </c>
      <c r="K883" s="7">
        <f t="shared" si="79"/>
        <v>1</v>
      </c>
      <c r="L883" s="7">
        <f t="shared" si="80"/>
        <v>45891</v>
      </c>
      <c r="M883" s="7" t="s">
        <v>537</v>
      </c>
      <c r="N883" s="7" t="s">
        <v>922</v>
      </c>
      <c r="O883" s="17" t="s">
        <v>682</v>
      </c>
      <c r="P883" s="7">
        <f t="shared" si="78"/>
        <v>8</v>
      </c>
      <c r="Q883" s="7">
        <f t="shared" si="76"/>
        <v>2025</v>
      </c>
    </row>
    <row r="884" spans="1:17" x14ac:dyDescent="0.25">
      <c r="A884" s="7">
        <v>2539</v>
      </c>
      <c r="B884" s="9" t="s">
        <v>533</v>
      </c>
      <c r="C884" s="9" t="s">
        <v>533</v>
      </c>
      <c r="D884" s="8">
        <v>45891</v>
      </c>
      <c r="E884" s="7" t="s">
        <v>60</v>
      </c>
      <c r="F884" s="7">
        <v>1</v>
      </c>
      <c r="G884" s="7" t="s">
        <v>14</v>
      </c>
      <c r="H884" s="7" t="s">
        <v>314</v>
      </c>
      <c r="J884" s="7">
        <f t="shared" si="77"/>
        <v>1900</v>
      </c>
      <c r="K884" s="7">
        <f t="shared" si="79"/>
        <v>1</v>
      </c>
      <c r="L884" s="7">
        <f t="shared" si="80"/>
        <v>45891</v>
      </c>
      <c r="M884" s="7" t="s">
        <v>537</v>
      </c>
      <c r="N884" s="7" t="s">
        <v>922</v>
      </c>
      <c r="O884" s="17" t="s">
        <v>682</v>
      </c>
      <c r="P884" s="7">
        <f t="shared" si="78"/>
        <v>8</v>
      </c>
      <c r="Q884" s="7">
        <f t="shared" si="76"/>
        <v>2025</v>
      </c>
    </row>
    <row r="885" spans="1:17" x14ac:dyDescent="0.25">
      <c r="A885" s="7">
        <v>2539</v>
      </c>
      <c r="B885" s="9" t="s">
        <v>533</v>
      </c>
      <c r="C885" s="9" t="s">
        <v>533</v>
      </c>
      <c r="D885" s="8">
        <v>45891</v>
      </c>
      <c r="E885" s="7" t="s">
        <v>60</v>
      </c>
      <c r="F885" s="7">
        <v>1</v>
      </c>
      <c r="G885" s="7" t="s">
        <v>14</v>
      </c>
      <c r="H885" s="7" t="s">
        <v>314</v>
      </c>
      <c r="J885" s="7">
        <f t="shared" si="77"/>
        <v>1900</v>
      </c>
      <c r="K885" s="7">
        <f t="shared" si="79"/>
        <v>1</v>
      </c>
      <c r="L885" s="7">
        <f t="shared" si="80"/>
        <v>45891</v>
      </c>
      <c r="M885" s="7" t="s">
        <v>537</v>
      </c>
      <c r="N885" s="7" t="s">
        <v>922</v>
      </c>
      <c r="O885" s="17" t="s">
        <v>682</v>
      </c>
      <c r="P885" s="7">
        <f t="shared" si="78"/>
        <v>8</v>
      </c>
      <c r="Q885" s="7">
        <f t="shared" ref="Q885:Q948" si="81">YEAR(D885)</f>
        <v>2025</v>
      </c>
    </row>
    <row r="886" spans="1:17" x14ac:dyDescent="0.25">
      <c r="A886" s="7">
        <v>2539</v>
      </c>
      <c r="B886" s="9" t="s">
        <v>533</v>
      </c>
      <c r="C886" s="9" t="s">
        <v>533</v>
      </c>
      <c r="D886" s="8">
        <v>45891</v>
      </c>
      <c r="E886" s="7" t="s">
        <v>60</v>
      </c>
      <c r="F886" s="7">
        <v>1</v>
      </c>
      <c r="G886" s="7" t="s">
        <v>14</v>
      </c>
      <c r="H886" s="7" t="s">
        <v>314</v>
      </c>
      <c r="J886" s="7">
        <f t="shared" si="77"/>
        <v>1900</v>
      </c>
      <c r="K886" s="7">
        <f t="shared" si="79"/>
        <v>1</v>
      </c>
      <c r="L886" s="7">
        <f t="shared" si="80"/>
        <v>45891</v>
      </c>
      <c r="M886" s="7" t="s">
        <v>537</v>
      </c>
      <c r="N886" s="7" t="s">
        <v>922</v>
      </c>
      <c r="O886" s="17" t="s">
        <v>682</v>
      </c>
      <c r="P886" s="7">
        <f t="shared" si="78"/>
        <v>8</v>
      </c>
      <c r="Q886" s="7">
        <f t="shared" si="81"/>
        <v>2025</v>
      </c>
    </row>
    <row r="887" spans="1:17" x14ac:dyDescent="0.25">
      <c r="A887" s="7">
        <v>2539</v>
      </c>
      <c r="B887" s="9" t="s">
        <v>533</v>
      </c>
      <c r="C887" s="9" t="s">
        <v>533</v>
      </c>
      <c r="D887" s="8">
        <v>45891</v>
      </c>
      <c r="E887" s="7" t="s">
        <v>60</v>
      </c>
      <c r="F887" s="7">
        <v>1</v>
      </c>
      <c r="G887" s="7" t="s">
        <v>14</v>
      </c>
      <c r="H887" s="7" t="s">
        <v>314</v>
      </c>
      <c r="J887" s="7">
        <f t="shared" si="77"/>
        <v>1900</v>
      </c>
      <c r="K887" s="7">
        <f t="shared" si="79"/>
        <v>1</v>
      </c>
      <c r="L887" s="7">
        <f t="shared" si="80"/>
        <v>45891</v>
      </c>
      <c r="M887" s="7" t="s">
        <v>537</v>
      </c>
      <c r="N887" s="7" t="s">
        <v>922</v>
      </c>
      <c r="O887" s="17" t="s">
        <v>682</v>
      </c>
      <c r="P887" s="7">
        <f t="shared" si="78"/>
        <v>8</v>
      </c>
      <c r="Q887" s="7">
        <f t="shared" si="81"/>
        <v>2025</v>
      </c>
    </row>
    <row r="888" spans="1:17" x14ac:dyDescent="0.25">
      <c r="A888" s="7">
        <v>2539</v>
      </c>
      <c r="B888" s="9" t="s">
        <v>533</v>
      </c>
      <c r="C888" s="9" t="s">
        <v>533</v>
      </c>
      <c r="D888" s="8">
        <v>45891</v>
      </c>
      <c r="E888" s="7" t="s">
        <v>60</v>
      </c>
      <c r="F888" s="7">
        <v>1</v>
      </c>
      <c r="G888" s="7" t="s">
        <v>14</v>
      </c>
      <c r="H888" s="7" t="s">
        <v>314</v>
      </c>
      <c r="J888" s="7">
        <f t="shared" si="77"/>
        <v>1900</v>
      </c>
      <c r="K888" s="7">
        <f t="shared" si="79"/>
        <v>1</v>
      </c>
      <c r="L888" s="7">
        <f t="shared" si="80"/>
        <v>45891</v>
      </c>
      <c r="M888" s="7" t="s">
        <v>537</v>
      </c>
      <c r="N888" s="7" t="s">
        <v>922</v>
      </c>
      <c r="O888" s="17" t="s">
        <v>682</v>
      </c>
      <c r="P888" s="7">
        <f t="shared" si="78"/>
        <v>8</v>
      </c>
      <c r="Q888" s="7">
        <f t="shared" si="81"/>
        <v>2025</v>
      </c>
    </row>
    <row r="889" spans="1:17" x14ac:dyDescent="0.25">
      <c r="A889" s="7">
        <v>2539</v>
      </c>
      <c r="B889" s="9" t="s">
        <v>533</v>
      </c>
      <c r="C889" s="9" t="s">
        <v>533</v>
      </c>
      <c r="D889" s="8">
        <v>45891</v>
      </c>
      <c r="E889" s="7" t="s">
        <v>60</v>
      </c>
      <c r="F889" s="7">
        <v>1</v>
      </c>
      <c r="G889" s="7" t="s">
        <v>14</v>
      </c>
      <c r="H889" s="7" t="s">
        <v>314</v>
      </c>
      <c r="J889" s="7">
        <f t="shared" si="77"/>
        <v>1900</v>
      </c>
      <c r="K889" s="7">
        <f t="shared" si="79"/>
        <v>1</v>
      </c>
      <c r="L889" s="7">
        <f t="shared" si="80"/>
        <v>45891</v>
      </c>
      <c r="M889" s="7" t="s">
        <v>537</v>
      </c>
      <c r="N889" s="7" t="s">
        <v>922</v>
      </c>
      <c r="O889" s="17" t="s">
        <v>682</v>
      </c>
      <c r="P889" s="7">
        <f t="shared" si="78"/>
        <v>8</v>
      </c>
      <c r="Q889" s="7">
        <f t="shared" si="81"/>
        <v>2025</v>
      </c>
    </row>
    <row r="890" spans="1:17" x14ac:dyDescent="0.25">
      <c r="A890" s="7">
        <v>2539</v>
      </c>
      <c r="B890" s="9" t="s">
        <v>533</v>
      </c>
      <c r="C890" s="9" t="s">
        <v>533</v>
      </c>
      <c r="D890" s="8">
        <v>45891</v>
      </c>
      <c r="E890" s="7" t="s">
        <v>60</v>
      </c>
      <c r="F890" s="7">
        <v>1</v>
      </c>
      <c r="G890" s="7" t="s">
        <v>14</v>
      </c>
      <c r="H890" s="7" t="s">
        <v>314</v>
      </c>
      <c r="J890" s="7">
        <f t="shared" si="77"/>
        <v>1900</v>
      </c>
      <c r="K890" s="7">
        <f t="shared" si="79"/>
        <v>1</v>
      </c>
      <c r="L890" s="7">
        <f t="shared" si="80"/>
        <v>45891</v>
      </c>
      <c r="M890" s="7" t="s">
        <v>537</v>
      </c>
      <c r="N890" s="7" t="s">
        <v>922</v>
      </c>
      <c r="O890" s="17" t="s">
        <v>682</v>
      </c>
      <c r="P890" s="7">
        <f t="shared" si="78"/>
        <v>8</v>
      </c>
      <c r="Q890" s="7">
        <f t="shared" si="81"/>
        <v>2025</v>
      </c>
    </row>
    <row r="891" spans="1:17" x14ac:dyDescent="0.25">
      <c r="A891" s="7">
        <v>2539</v>
      </c>
      <c r="B891" s="9" t="s">
        <v>533</v>
      </c>
      <c r="C891" s="9" t="s">
        <v>533</v>
      </c>
      <c r="D891" s="8">
        <v>45891</v>
      </c>
      <c r="E891" s="7" t="s">
        <v>60</v>
      </c>
      <c r="F891" s="7">
        <v>1</v>
      </c>
      <c r="G891" s="7" t="s">
        <v>14</v>
      </c>
      <c r="H891" s="7" t="s">
        <v>314</v>
      </c>
      <c r="J891" s="7">
        <f t="shared" si="77"/>
        <v>1900</v>
      </c>
      <c r="K891" s="7">
        <f t="shared" si="79"/>
        <v>1</v>
      </c>
      <c r="L891" s="7">
        <f t="shared" si="80"/>
        <v>45891</v>
      </c>
      <c r="M891" s="7" t="s">
        <v>537</v>
      </c>
      <c r="N891" s="7" t="s">
        <v>922</v>
      </c>
      <c r="O891" s="17" t="s">
        <v>682</v>
      </c>
      <c r="P891" s="7">
        <f t="shared" si="78"/>
        <v>8</v>
      </c>
      <c r="Q891" s="7">
        <f t="shared" si="81"/>
        <v>2025</v>
      </c>
    </row>
    <row r="892" spans="1:17" x14ac:dyDescent="0.25">
      <c r="A892" s="7">
        <v>2539</v>
      </c>
      <c r="B892" s="9" t="s">
        <v>533</v>
      </c>
      <c r="C892" s="9" t="s">
        <v>533</v>
      </c>
      <c r="D892" s="8">
        <v>45891</v>
      </c>
      <c r="E892" s="7" t="s">
        <v>60</v>
      </c>
      <c r="F892" s="7">
        <v>1</v>
      </c>
      <c r="G892" s="7" t="s">
        <v>14</v>
      </c>
      <c r="H892" s="7" t="s">
        <v>314</v>
      </c>
      <c r="J892" s="7">
        <f t="shared" si="77"/>
        <v>1900</v>
      </c>
      <c r="K892" s="7">
        <f t="shared" si="79"/>
        <v>1</v>
      </c>
      <c r="L892" s="7">
        <f t="shared" si="80"/>
        <v>45891</v>
      </c>
      <c r="M892" s="7" t="s">
        <v>537</v>
      </c>
      <c r="N892" s="7" t="s">
        <v>922</v>
      </c>
      <c r="O892" s="17" t="s">
        <v>682</v>
      </c>
      <c r="P892" s="7">
        <f t="shared" si="78"/>
        <v>8</v>
      </c>
      <c r="Q892" s="7">
        <f t="shared" si="81"/>
        <v>2025</v>
      </c>
    </row>
    <row r="893" spans="1:17" x14ac:dyDescent="0.25">
      <c r="A893" s="7">
        <v>2539</v>
      </c>
      <c r="B893" s="9" t="s">
        <v>533</v>
      </c>
      <c r="C893" s="9" t="s">
        <v>533</v>
      </c>
      <c r="D893" s="8">
        <v>45891</v>
      </c>
      <c r="E893" s="7" t="s">
        <v>60</v>
      </c>
      <c r="F893" s="7">
        <v>1</v>
      </c>
      <c r="G893" s="7" t="s">
        <v>14</v>
      </c>
      <c r="H893" s="7" t="s">
        <v>314</v>
      </c>
      <c r="J893" s="7">
        <f t="shared" si="77"/>
        <v>1900</v>
      </c>
      <c r="K893" s="7">
        <f t="shared" si="79"/>
        <v>1</v>
      </c>
      <c r="L893" s="7">
        <f t="shared" si="80"/>
        <v>45891</v>
      </c>
      <c r="M893" s="7" t="s">
        <v>537</v>
      </c>
      <c r="N893" s="7" t="s">
        <v>922</v>
      </c>
      <c r="O893" s="17" t="s">
        <v>682</v>
      </c>
      <c r="P893" s="7">
        <f t="shared" si="78"/>
        <v>8</v>
      </c>
      <c r="Q893" s="7">
        <f t="shared" si="81"/>
        <v>2025</v>
      </c>
    </row>
    <row r="894" spans="1:17" x14ac:dyDescent="0.25">
      <c r="A894" s="7">
        <v>2539</v>
      </c>
      <c r="B894" s="9" t="s">
        <v>533</v>
      </c>
      <c r="C894" s="9" t="s">
        <v>533</v>
      </c>
      <c r="D894" s="8">
        <v>45891</v>
      </c>
      <c r="E894" s="7" t="s">
        <v>60</v>
      </c>
      <c r="F894" s="7">
        <v>1</v>
      </c>
      <c r="G894" s="7" t="s">
        <v>14</v>
      </c>
      <c r="H894" s="7" t="s">
        <v>314</v>
      </c>
      <c r="J894" s="7">
        <f t="shared" si="77"/>
        <v>1900</v>
      </c>
      <c r="K894" s="7">
        <f t="shared" si="79"/>
        <v>1</v>
      </c>
      <c r="L894" s="7">
        <f t="shared" si="80"/>
        <v>45891</v>
      </c>
      <c r="M894" s="7" t="s">
        <v>537</v>
      </c>
      <c r="N894" s="7" t="s">
        <v>922</v>
      </c>
      <c r="O894" s="17" t="s">
        <v>682</v>
      </c>
      <c r="P894" s="7">
        <f t="shared" si="78"/>
        <v>8</v>
      </c>
      <c r="Q894" s="7">
        <f t="shared" si="81"/>
        <v>2025</v>
      </c>
    </row>
    <row r="895" spans="1:17" x14ac:dyDescent="0.25">
      <c r="A895" s="7">
        <v>2539</v>
      </c>
      <c r="B895" s="9" t="s">
        <v>533</v>
      </c>
      <c r="C895" s="9" t="s">
        <v>533</v>
      </c>
      <c r="D895" s="8">
        <v>45891</v>
      </c>
      <c r="E895" s="7" t="s">
        <v>60</v>
      </c>
      <c r="F895" s="7">
        <v>1</v>
      </c>
      <c r="G895" s="7" t="s">
        <v>14</v>
      </c>
      <c r="H895" s="7" t="s">
        <v>314</v>
      </c>
      <c r="J895" s="7">
        <f t="shared" si="77"/>
        <v>1900</v>
      </c>
      <c r="K895" s="7">
        <f t="shared" si="79"/>
        <v>1</v>
      </c>
      <c r="L895" s="7">
        <f t="shared" si="80"/>
        <v>45891</v>
      </c>
      <c r="M895" s="7" t="s">
        <v>537</v>
      </c>
      <c r="N895" s="7" t="s">
        <v>922</v>
      </c>
      <c r="O895" s="17" t="s">
        <v>682</v>
      </c>
      <c r="P895" s="7">
        <f t="shared" si="78"/>
        <v>8</v>
      </c>
      <c r="Q895" s="7">
        <f t="shared" si="81"/>
        <v>2025</v>
      </c>
    </row>
    <row r="896" spans="1:17" x14ac:dyDescent="0.25">
      <c r="A896" s="7">
        <v>2539</v>
      </c>
      <c r="B896" s="9" t="s">
        <v>533</v>
      </c>
      <c r="C896" s="9" t="s">
        <v>533</v>
      </c>
      <c r="D896" s="8">
        <v>45891</v>
      </c>
      <c r="E896" s="7" t="s">
        <v>60</v>
      </c>
      <c r="F896" s="7">
        <v>1</v>
      </c>
      <c r="G896" s="7" t="s">
        <v>14</v>
      </c>
      <c r="H896" s="7" t="s">
        <v>314</v>
      </c>
      <c r="J896" s="7">
        <f t="shared" si="77"/>
        <v>1900</v>
      </c>
      <c r="K896" s="7">
        <f t="shared" si="79"/>
        <v>1</v>
      </c>
      <c r="L896" s="7">
        <f t="shared" si="80"/>
        <v>45891</v>
      </c>
      <c r="M896" s="7" t="s">
        <v>537</v>
      </c>
      <c r="N896" s="7" t="s">
        <v>922</v>
      </c>
      <c r="O896" s="17" t="s">
        <v>682</v>
      </c>
      <c r="P896" s="7">
        <f t="shared" si="78"/>
        <v>8</v>
      </c>
      <c r="Q896" s="7">
        <f t="shared" si="81"/>
        <v>2025</v>
      </c>
    </row>
    <row r="897" spans="1:17" x14ac:dyDescent="0.25">
      <c r="A897" s="7">
        <v>2539</v>
      </c>
      <c r="B897" s="9" t="s">
        <v>533</v>
      </c>
      <c r="C897" s="9" t="s">
        <v>533</v>
      </c>
      <c r="D897" s="8">
        <v>45891</v>
      </c>
      <c r="E897" s="7" t="s">
        <v>60</v>
      </c>
      <c r="F897" s="7">
        <v>1</v>
      </c>
      <c r="G897" s="7" t="s">
        <v>14</v>
      </c>
      <c r="H897" s="7" t="s">
        <v>314</v>
      </c>
      <c r="J897" s="7">
        <f t="shared" si="77"/>
        <v>1900</v>
      </c>
      <c r="K897" s="7">
        <f t="shared" si="79"/>
        <v>1</v>
      </c>
      <c r="L897" s="7">
        <f t="shared" si="80"/>
        <v>45891</v>
      </c>
      <c r="M897" s="7" t="s">
        <v>537</v>
      </c>
      <c r="N897" s="7" t="s">
        <v>922</v>
      </c>
      <c r="O897" s="17" t="s">
        <v>682</v>
      </c>
      <c r="P897" s="7">
        <f t="shared" si="78"/>
        <v>8</v>
      </c>
      <c r="Q897" s="7">
        <f t="shared" si="81"/>
        <v>2025</v>
      </c>
    </row>
    <row r="898" spans="1:17" x14ac:dyDescent="0.25">
      <c r="A898" s="7">
        <v>2539</v>
      </c>
      <c r="B898" s="9" t="s">
        <v>533</v>
      </c>
      <c r="C898" s="9" t="s">
        <v>533</v>
      </c>
      <c r="D898" s="8">
        <v>45891</v>
      </c>
      <c r="E898" s="7" t="s">
        <v>60</v>
      </c>
      <c r="F898" s="7">
        <v>1</v>
      </c>
      <c r="G898" s="7" t="s">
        <v>14</v>
      </c>
      <c r="H898" s="7" t="s">
        <v>314</v>
      </c>
      <c r="J898" s="7">
        <f t="shared" si="77"/>
        <v>1900</v>
      </c>
      <c r="K898" s="7">
        <f t="shared" si="79"/>
        <v>1</v>
      </c>
      <c r="L898" s="7">
        <f t="shared" si="80"/>
        <v>45891</v>
      </c>
      <c r="M898" s="7" t="s">
        <v>537</v>
      </c>
      <c r="N898" s="7" t="s">
        <v>922</v>
      </c>
      <c r="O898" s="17" t="s">
        <v>682</v>
      </c>
      <c r="P898" s="7">
        <f t="shared" si="78"/>
        <v>8</v>
      </c>
      <c r="Q898" s="7">
        <f t="shared" si="81"/>
        <v>2025</v>
      </c>
    </row>
    <row r="899" spans="1:17" x14ac:dyDescent="0.25">
      <c r="A899" s="7">
        <v>2539</v>
      </c>
      <c r="B899" s="9" t="s">
        <v>533</v>
      </c>
      <c r="C899" s="9" t="s">
        <v>533</v>
      </c>
      <c r="D899" s="8">
        <v>45891</v>
      </c>
      <c r="E899" s="7" t="s">
        <v>60</v>
      </c>
      <c r="F899" s="7">
        <v>1</v>
      </c>
      <c r="G899" s="7" t="s">
        <v>14</v>
      </c>
      <c r="H899" s="7" t="s">
        <v>314</v>
      </c>
      <c r="J899" s="7">
        <f t="shared" si="77"/>
        <v>1900</v>
      </c>
      <c r="K899" s="7">
        <f t="shared" si="79"/>
        <v>1</v>
      </c>
      <c r="L899" s="7">
        <f t="shared" si="80"/>
        <v>45891</v>
      </c>
      <c r="M899" s="7" t="s">
        <v>537</v>
      </c>
      <c r="N899" s="7" t="s">
        <v>922</v>
      </c>
      <c r="O899" s="17" t="s">
        <v>682</v>
      </c>
      <c r="P899" s="7">
        <f t="shared" si="78"/>
        <v>8</v>
      </c>
      <c r="Q899" s="7">
        <f t="shared" si="81"/>
        <v>2025</v>
      </c>
    </row>
    <row r="900" spans="1:17" x14ac:dyDescent="0.25">
      <c r="A900" s="7">
        <v>2539</v>
      </c>
      <c r="B900" s="9" t="s">
        <v>533</v>
      </c>
      <c r="C900" s="9" t="s">
        <v>533</v>
      </c>
      <c r="D900" s="8">
        <v>45891</v>
      </c>
      <c r="E900" s="7" t="s">
        <v>60</v>
      </c>
      <c r="F900" s="7">
        <v>1</v>
      </c>
      <c r="G900" s="7" t="s">
        <v>14</v>
      </c>
      <c r="H900" s="7" t="s">
        <v>314</v>
      </c>
      <c r="J900" s="7">
        <f t="shared" si="77"/>
        <v>1900</v>
      </c>
      <c r="K900" s="7">
        <f t="shared" si="79"/>
        <v>1</v>
      </c>
      <c r="L900" s="7">
        <f t="shared" si="80"/>
        <v>45891</v>
      </c>
      <c r="M900" s="7" t="s">
        <v>537</v>
      </c>
      <c r="N900" s="7" t="s">
        <v>922</v>
      </c>
      <c r="O900" s="17" t="s">
        <v>682</v>
      </c>
      <c r="P900" s="7">
        <f t="shared" si="78"/>
        <v>8</v>
      </c>
      <c r="Q900" s="7">
        <f t="shared" si="81"/>
        <v>2025</v>
      </c>
    </row>
    <row r="901" spans="1:17" x14ac:dyDescent="0.25">
      <c r="A901" s="7">
        <v>2539</v>
      </c>
      <c r="B901" s="9" t="s">
        <v>533</v>
      </c>
      <c r="C901" s="9" t="s">
        <v>533</v>
      </c>
      <c r="D901" s="8">
        <v>45891</v>
      </c>
      <c r="E901" s="7" t="s">
        <v>60</v>
      </c>
      <c r="F901" s="7">
        <v>1</v>
      </c>
      <c r="G901" s="7" t="s">
        <v>14</v>
      </c>
      <c r="H901" s="7" t="s">
        <v>314</v>
      </c>
      <c r="J901" s="7">
        <f t="shared" si="77"/>
        <v>1900</v>
      </c>
      <c r="K901" s="7">
        <f t="shared" si="79"/>
        <v>1</v>
      </c>
      <c r="L901" s="7">
        <f t="shared" si="80"/>
        <v>45891</v>
      </c>
      <c r="M901" s="7" t="s">
        <v>537</v>
      </c>
      <c r="N901" s="7" t="s">
        <v>922</v>
      </c>
      <c r="O901" s="17" t="s">
        <v>682</v>
      </c>
      <c r="P901" s="7">
        <f t="shared" si="78"/>
        <v>8</v>
      </c>
      <c r="Q901" s="7">
        <f t="shared" si="81"/>
        <v>2025</v>
      </c>
    </row>
    <row r="902" spans="1:17" x14ac:dyDescent="0.25">
      <c r="A902" s="7">
        <v>2539</v>
      </c>
      <c r="B902" s="9" t="s">
        <v>533</v>
      </c>
      <c r="C902" s="9" t="s">
        <v>533</v>
      </c>
      <c r="D902" s="8">
        <v>45891</v>
      </c>
      <c r="E902" s="7" t="s">
        <v>60</v>
      </c>
      <c r="F902" s="7">
        <v>1</v>
      </c>
      <c r="G902" s="7" t="s">
        <v>14</v>
      </c>
      <c r="H902" s="7" t="s">
        <v>314</v>
      </c>
      <c r="J902" s="7">
        <f t="shared" si="77"/>
        <v>1900</v>
      </c>
      <c r="K902" s="7">
        <f t="shared" si="79"/>
        <v>1</v>
      </c>
      <c r="L902" s="7">
        <f t="shared" si="80"/>
        <v>45891</v>
      </c>
      <c r="M902" s="7" t="s">
        <v>537</v>
      </c>
      <c r="N902" s="7" t="s">
        <v>922</v>
      </c>
      <c r="O902" s="17" t="s">
        <v>682</v>
      </c>
      <c r="P902" s="7">
        <f t="shared" si="78"/>
        <v>8</v>
      </c>
      <c r="Q902" s="7">
        <f t="shared" si="81"/>
        <v>2025</v>
      </c>
    </row>
    <row r="903" spans="1:17" x14ac:dyDescent="0.25">
      <c r="A903" s="7">
        <v>2539</v>
      </c>
      <c r="B903" s="9" t="s">
        <v>533</v>
      </c>
      <c r="C903" s="9" t="s">
        <v>533</v>
      </c>
      <c r="D903" s="8">
        <v>45891</v>
      </c>
      <c r="E903" s="7" t="s">
        <v>60</v>
      </c>
      <c r="F903" s="7">
        <v>1</v>
      </c>
      <c r="G903" s="7" t="s">
        <v>14</v>
      </c>
      <c r="H903" s="7" t="s">
        <v>314</v>
      </c>
      <c r="J903" s="7">
        <f t="shared" si="77"/>
        <v>1900</v>
      </c>
      <c r="K903" s="7">
        <f t="shared" si="79"/>
        <v>1</v>
      </c>
      <c r="L903" s="7">
        <f t="shared" si="80"/>
        <v>45891</v>
      </c>
      <c r="M903" s="7" t="s">
        <v>537</v>
      </c>
      <c r="N903" s="7" t="s">
        <v>922</v>
      </c>
      <c r="O903" s="17" t="s">
        <v>682</v>
      </c>
      <c r="P903" s="7">
        <f t="shared" si="78"/>
        <v>8</v>
      </c>
      <c r="Q903" s="7">
        <f t="shared" si="81"/>
        <v>2025</v>
      </c>
    </row>
    <row r="904" spans="1:17" x14ac:dyDescent="0.25">
      <c r="A904" s="7">
        <v>2539</v>
      </c>
      <c r="B904" s="9" t="s">
        <v>533</v>
      </c>
      <c r="C904" s="9" t="s">
        <v>533</v>
      </c>
      <c r="D904" s="8">
        <v>45891</v>
      </c>
      <c r="E904" s="7" t="s">
        <v>60</v>
      </c>
      <c r="F904" s="7">
        <v>1</v>
      </c>
      <c r="G904" s="7" t="s">
        <v>14</v>
      </c>
      <c r="H904" s="7" t="s">
        <v>314</v>
      </c>
      <c r="J904" s="7">
        <f t="shared" si="77"/>
        <v>1900</v>
      </c>
      <c r="K904" s="7">
        <f t="shared" si="79"/>
        <v>1</v>
      </c>
      <c r="L904" s="7">
        <f t="shared" si="80"/>
        <v>45891</v>
      </c>
      <c r="M904" s="7" t="s">
        <v>537</v>
      </c>
      <c r="N904" s="7" t="s">
        <v>922</v>
      </c>
      <c r="O904" s="17" t="s">
        <v>682</v>
      </c>
      <c r="P904" s="7">
        <f t="shared" si="78"/>
        <v>8</v>
      </c>
      <c r="Q904" s="7">
        <f t="shared" si="81"/>
        <v>2025</v>
      </c>
    </row>
    <row r="905" spans="1:17" x14ac:dyDescent="0.25">
      <c r="A905" s="7">
        <v>2539</v>
      </c>
      <c r="B905" s="9" t="s">
        <v>533</v>
      </c>
      <c r="C905" s="9" t="s">
        <v>533</v>
      </c>
      <c r="D905" s="8">
        <v>45891</v>
      </c>
      <c r="E905" s="7" t="s">
        <v>60</v>
      </c>
      <c r="F905" s="7">
        <v>1</v>
      </c>
      <c r="G905" s="7" t="s">
        <v>14</v>
      </c>
      <c r="H905" s="7" t="s">
        <v>314</v>
      </c>
      <c r="J905" s="7">
        <f t="shared" si="77"/>
        <v>1900</v>
      </c>
      <c r="K905" s="7">
        <f t="shared" si="79"/>
        <v>1</v>
      </c>
      <c r="L905" s="7">
        <f t="shared" si="80"/>
        <v>45891</v>
      </c>
      <c r="M905" s="7" t="s">
        <v>537</v>
      </c>
      <c r="N905" s="7" t="s">
        <v>922</v>
      </c>
      <c r="O905" s="17" t="s">
        <v>682</v>
      </c>
      <c r="P905" s="7">
        <f t="shared" si="78"/>
        <v>8</v>
      </c>
      <c r="Q905" s="7">
        <f t="shared" si="81"/>
        <v>2025</v>
      </c>
    </row>
    <row r="906" spans="1:17" x14ac:dyDescent="0.25">
      <c r="A906" s="7">
        <v>2539</v>
      </c>
      <c r="B906" s="9" t="s">
        <v>533</v>
      </c>
      <c r="C906" s="9" t="s">
        <v>533</v>
      </c>
      <c r="D906" s="8">
        <v>45891</v>
      </c>
      <c r="E906" s="7" t="s">
        <v>60</v>
      </c>
      <c r="F906" s="7">
        <v>1</v>
      </c>
      <c r="G906" s="7" t="s">
        <v>14</v>
      </c>
      <c r="H906" s="7" t="s">
        <v>314</v>
      </c>
      <c r="J906" s="7">
        <f t="shared" si="77"/>
        <v>1900</v>
      </c>
      <c r="K906" s="7">
        <f t="shared" si="79"/>
        <v>1</v>
      </c>
      <c r="L906" s="7">
        <f t="shared" si="80"/>
        <v>45891</v>
      </c>
      <c r="M906" s="7" t="s">
        <v>537</v>
      </c>
      <c r="N906" s="7" t="s">
        <v>922</v>
      </c>
      <c r="O906" s="17" t="s">
        <v>682</v>
      </c>
      <c r="P906" s="7">
        <f t="shared" si="78"/>
        <v>8</v>
      </c>
      <c r="Q906" s="7">
        <f t="shared" si="81"/>
        <v>2025</v>
      </c>
    </row>
    <row r="907" spans="1:17" x14ac:dyDescent="0.25">
      <c r="A907" s="7">
        <v>2539</v>
      </c>
      <c r="B907" s="9" t="s">
        <v>533</v>
      </c>
      <c r="C907" s="9" t="s">
        <v>533</v>
      </c>
      <c r="D907" s="8">
        <v>45891</v>
      </c>
      <c r="E907" s="7" t="s">
        <v>60</v>
      </c>
      <c r="F907" s="7">
        <v>1</v>
      </c>
      <c r="G907" s="7" t="s">
        <v>14</v>
      </c>
      <c r="H907" s="7" t="s">
        <v>314</v>
      </c>
      <c r="J907" s="7">
        <f t="shared" si="77"/>
        <v>1900</v>
      </c>
      <c r="K907" s="7">
        <f t="shared" si="79"/>
        <v>1</v>
      </c>
      <c r="L907" s="7">
        <f t="shared" si="80"/>
        <v>45891</v>
      </c>
      <c r="M907" s="7" t="s">
        <v>537</v>
      </c>
      <c r="N907" s="7" t="s">
        <v>922</v>
      </c>
      <c r="O907" s="17" t="s">
        <v>682</v>
      </c>
      <c r="P907" s="7">
        <f t="shared" si="78"/>
        <v>8</v>
      </c>
      <c r="Q907" s="7">
        <f t="shared" si="81"/>
        <v>2025</v>
      </c>
    </row>
    <row r="908" spans="1:17" x14ac:dyDescent="0.25">
      <c r="A908" s="7">
        <v>2539</v>
      </c>
      <c r="B908" s="9" t="s">
        <v>533</v>
      </c>
      <c r="C908" s="9" t="s">
        <v>533</v>
      </c>
      <c r="D908" s="8">
        <v>45891</v>
      </c>
      <c r="E908" s="7" t="s">
        <v>60</v>
      </c>
      <c r="F908" s="7">
        <v>1</v>
      </c>
      <c r="G908" s="7" t="s">
        <v>14</v>
      </c>
      <c r="H908" s="7" t="s">
        <v>314</v>
      </c>
      <c r="J908" s="7">
        <f t="shared" si="77"/>
        <v>1900</v>
      </c>
      <c r="K908" s="7">
        <f t="shared" si="79"/>
        <v>1</v>
      </c>
      <c r="L908" s="7">
        <f t="shared" si="80"/>
        <v>45891</v>
      </c>
      <c r="M908" s="7" t="s">
        <v>537</v>
      </c>
      <c r="N908" s="7" t="s">
        <v>922</v>
      </c>
      <c r="O908" s="17" t="s">
        <v>682</v>
      </c>
      <c r="P908" s="7">
        <f t="shared" si="78"/>
        <v>8</v>
      </c>
      <c r="Q908" s="7">
        <f t="shared" si="81"/>
        <v>2025</v>
      </c>
    </row>
    <row r="909" spans="1:17" x14ac:dyDescent="0.25">
      <c r="A909" s="7">
        <v>2539</v>
      </c>
      <c r="B909" s="9" t="s">
        <v>533</v>
      </c>
      <c r="C909" s="9" t="s">
        <v>533</v>
      </c>
      <c r="D909" s="8">
        <v>45891</v>
      </c>
      <c r="E909" s="7" t="s">
        <v>60</v>
      </c>
      <c r="F909" s="7">
        <v>1</v>
      </c>
      <c r="G909" s="7" t="s">
        <v>14</v>
      </c>
      <c r="H909" s="7" t="s">
        <v>314</v>
      </c>
      <c r="J909" s="7">
        <f t="shared" si="77"/>
        <v>1900</v>
      </c>
      <c r="K909" s="7">
        <f t="shared" si="79"/>
        <v>1</v>
      </c>
      <c r="L909" s="7">
        <f t="shared" si="80"/>
        <v>45891</v>
      </c>
      <c r="M909" s="7" t="s">
        <v>537</v>
      </c>
      <c r="N909" s="7" t="s">
        <v>922</v>
      </c>
      <c r="O909" s="17" t="s">
        <v>682</v>
      </c>
      <c r="P909" s="7">
        <f t="shared" si="78"/>
        <v>8</v>
      </c>
      <c r="Q909" s="7">
        <f t="shared" si="81"/>
        <v>2025</v>
      </c>
    </row>
    <row r="910" spans="1:17" x14ac:dyDescent="0.25">
      <c r="A910" s="7">
        <v>2539</v>
      </c>
      <c r="B910" s="9" t="s">
        <v>533</v>
      </c>
      <c r="C910" s="9" t="s">
        <v>533</v>
      </c>
      <c r="D910" s="8">
        <v>45891</v>
      </c>
      <c r="E910" s="7" t="s">
        <v>60</v>
      </c>
      <c r="F910" s="7">
        <v>1</v>
      </c>
      <c r="G910" s="7" t="s">
        <v>14</v>
      </c>
      <c r="H910" s="7" t="s">
        <v>314</v>
      </c>
      <c r="J910" s="7">
        <f t="shared" si="77"/>
        <v>1900</v>
      </c>
      <c r="K910" s="7">
        <f t="shared" si="79"/>
        <v>1</v>
      </c>
      <c r="L910" s="7">
        <f t="shared" si="80"/>
        <v>45891</v>
      </c>
      <c r="M910" s="7" t="s">
        <v>537</v>
      </c>
      <c r="N910" s="7" t="s">
        <v>922</v>
      </c>
      <c r="O910" s="17" t="s">
        <v>682</v>
      </c>
      <c r="P910" s="7">
        <f t="shared" si="78"/>
        <v>8</v>
      </c>
      <c r="Q910" s="7">
        <f t="shared" si="81"/>
        <v>2025</v>
      </c>
    </row>
    <row r="911" spans="1:17" x14ac:dyDescent="0.25">
      <c r="A911" s="7">
        <v>2539</v>
      </c>
      <c r="B911" s="9" t="s">
        <v>533</v>
      </c>
      <c r="C911" s="9" t="s">
        <v>533</v>
      </c>
      <c r="D911" s="8">
        <v>45891</v>
      </c>
      <c r="E911" s="7" t="s">
        <v>60</v>
      </c>
      <c r="F911" s="7">
        <v>1</v>
      </c>
      <c r="G911" s="7" t="s">
        <v>14</v>
      </c>
      <c r="H911" s="7" t="s">
        <v>314</v>
      </c>
      <c r="J911" s="7">
        <f t="shared" si="77"/>
        <v>1900</v>
      </c>
      <c r="K911" s="7">
        <f t="shared" si="79"/>
        <v>1</v>
      </c>
      <c r="L911" s="7">
        <f t="shared" si="80"/>
        <v>45891</v>
      </c>
      <c r="M911" s="7" t="s">
        <v>537</v>
      </c>
      <c r="N911" s="7" t="s">
        <v>922</v>
      </c>
      <c r="O911" s="17" t="s">
        <v>682</v>
      </c>
      <c r="P911" s="7">
        <f t="shared" si="78"/>
        <v>8</v>
      </c>
      <c r="Q911" s="7">
        <f t="shared" si="81"/>
        <v>2025</v>
      </c>
    </row>
    <row r="912" spans="1:17" x14ac:dyDescent="0.25">
      <c r="A912" s="7">
        <v>2539</v>
      </c>
      <c r="B912" s="9" t="s">
        <v>533</v>
      </c>
      <c r="C912" s="9" t="s">
        <v>533</v>
      </c>
      <c r="D912" s="8">
        <v>45891</v>
      </c>
      <c r="E912" s="7" t="s">
        <v>60</v>
      </c>
      <c r="F912" s="7">
        <v>1</v>
      </c>
      <c r="G912" s="7" t="s">
        <v>14</v>
      </c>
      <c r="H912" s="7" t="s">
        <v>314</v>
      </c>
      <c r="J912" s="7">
        <f t="shared" si="77"/>
        <v>1900</v>
      </c>
      <c r="K912" s="7">
        <f t="shared" si="79"/>
        <v>1</v>
      </c>
      <c r="L912" s="7">
        <f t="shared" si="80"/>
        <v>45891</v>
      </c>
      <c r="M912" s="7" t="s">
        <v>537</v>
      </c>
      <c r="N912" s="7" t="s">
        <v>922</v>
      </c>
      <c r="O912" s="17" t="s">
        <v>682</v>
      </c>
      <c r="P912" s="7">
        <f t="shared" si="78"/>
        <v>8</v>
      </c>
      <c r="Q912" s="7">
        <f t="shared" si="81"/>
        <v>2025</v>
      </c>
    </row>
    <row r="913" spans="1:17" x14ac:dyDescent="0.25">
      <c r="A913" s="7">
        <v>2539</v>
      </c>
      <c r="B913" s="9" t="s">
        <v>533</v>
      </c>
      <c r="C913" s="9" t="s">
        <v>533</v>
      </c>
      <c r="D913" s="8">
        <v>45891</v>
      </c>
      <c r="E913" s="7" t="s">
        <v>60</v>
      </c>
      <c r="F913" s="7">
        <v>1</v>
      </c>
      <c r="G913" s="7" t="s">
        <v>14</v>
      </c>
      <c r="H913" s="7" t="s">
        <v>314</v>
      </c>
      <c r="J913" s="7">
        <f t="shared" ref="J913:J976" si="82">YEAR(I913)</f>
        <v>1900</v>
      </c>
      <c r="K913" s="7">
        <f t="shared" si="79"/>
        <v>1</v>
      </c>
      <c r="L913" s="7">
        <f t="shared" si="80"/>
        <v>45891</v>
      </c>
      <c r="M913" s="7" t="s">
        <v>537</v>
      </c>
      <c r="N913" s="7" t="s">
        <v>922</v>
      </c>
      <c r="O913" s="17" t="s">
        <v>682</v>
      </c>
      <c r="P913" s="7">
        <f t="shared" si="78"/>
        <v>8</v>
      </c>
      <c r="Q913" s="7">
        <f t="shared" si="81"/>
        <v>2025</v>
      </c>
    </row>
    <row r="914" spans="1:17" x14ac:dyDescent="0.25">
      <c r="A914" s="7">
        <v>2539</v>
      </c>
      <c r="B914" s="9" t="s">
        <v>533</v>
      </c>
      <c r="C914" s="9" t="s">
        <v>533</v>
      </c>
      <c r="D914" s="8">
        <v>45891</v>
      </c>
      <c r="E914" s="7" t="s">
        <v>60</v>
      </c>
      <c r="F914" s="7">
        <v>1</v>
      </c>
      <c r="G914" s="7" t="s">
        <v>14</v>
      </c>
      <c r="H914" s="7" t="s">
        <v>314</v>
      </c>
      <c r="J914" s="7">
        <f t="shared" si="82"/>
        <v>1900</v>
      </c>
      <c r="K914" s="7">
        <f t="shared" si="79"/>
        <v>1</v>
      </c>
      <c r="L914" s="7">
        <f t="shared" si="80"/>
        <v>45891</v>
      </c>
      <c r="M914" s="7" t="s">
        <v>537</v>
      </c>
      <c r="N914" s="7" t="s">
        <v>922</v>
      </c>
      <c r="O914" s="17" t="s">
        <v>682</v>
      </c>
      <c r="P914" s="7">
        <f t="shared" si="78"/>
        <v>8</v>
      </c>
      <c r="Q914" s="7">
        <f t="shared" si="81"/>
        <v>2025</v>
      </c>
    </row>
    <row r="915" spans="1:17" x14ac:dyDescent="0.25">
      <c r="A915" s="7">
        <v>2539</v>
      </c>
      <c r="B915" s="9" t="s">
        <v>533</v>
      </c>
      <c r="C915" s="9" t="s">
        <v>533</v>
      </c>
      <c r="D915" s="8">
        <v>45891</v>
      </c>
      <c r="E915" s="7" t="s">
        <v>60</v>
      </c>
      <c r="F915" s="7">
        <v>1</v>
      </c>
      <c r="G915" s="7" t="s">
        <v>14</v>
      </c>
      <c r="H915" s="7" t="s">
        <v>314</v>
      </c>
      <c r="J915" s="7">
        <f t="shared" si="82"/>
        <v>1900</v>
      </c>
      <c r="K915" s="7">
        <f t="shared" si="79"/>
        <v>1</v>
      </c>
      <c r="L915" s="7">
        <f t="shared" si="80"/>
        <v>45891</v>
      </c>
      <c r="M915" s="7" t="s">
        <v>537</v>
      </c>
      <c r="N915" s="7" t="s">
        <v>922</v>
      </c>
      <c r="O915" s="17" t="s">
        <v>682</v>
      </c>
      <c r="P915" s="7">
        <f t="shared" si="78"/>
        <v>8</v>
      </c>
      <c r="Q915" s="7">
        <f t="shared" si="81"/>
        <v>2025</v>
      </c>
    </row>
    <row r="916" spans="1:17" x14ac:dyDescent="0.25">
      <c r="A916" s="7">
        <v>2539</v>
      </c>
      <c r="B916" s="9" t="s">
        <v>533</v>
      </c>
      <c r="C916" s="9" t="s">
        <v>533</v>
      </c>
      <c r="D916" s="8">
        <v>45891</v>
      </c>
      <c r="E916" s="7" t="s">
        <v>60</v>
      </c>
      <c r="F916" s="7">
        <v>1</v>
      </c>
      <c r="G916" s="7" t="s">
        <v>14</v>
      </c>
      <c r="H916" s="7" t="s">
        <v>314</v>
      </c>
      <c r="J916" s="7">
        <f t="shared" si="82"/>
        <v>1900</v>
      </c>
      <c r="K916" s="7">
        <f t="shared" si="79"/>
        <v>1</v>
      </c>
      <c r="L916" s="7">
        <f t="shared" si="80"/>
        <v>45891</v>
      </c>
      <c r="M916" s="7" t="s">
        <v>537</v>
      </c>
      <c r="N916" s="7" t="s">
        <v>922</v>
      </c>
      <c r="O916" s="17" t="s">
        <v>682</v>
      </c>
      <c r="P916" s="7">
        <f t="shared" si="78"/>
        <v>8</v>
      </c>
      <c r="Q916" s="7">
        <f t="shared" si="81"/>
        <v>2025</v>
      </c>
    </row>
    <row r="917" spans="1:17" x14ac:dyDescent="0.25">
      <c r="A917" s="7">
        <v>2539</v>
      </c>
      <c r="B917" s="9" t="s">
        <v>533</v>
      </c>
      <c r="C917" s="9" t="s">
        <v>533</v>
      </c>
      <c r="D917" s="8">
        <v>45891</v>
      </c>
      <c r="E917" s="7" t="s">
        <v>60</v>
      </c>
      <c r="F917" s="7">
        <v>1</v>
      </c>
      <c r="G917" s="7" t="s">
        <v>14</v>
      </c>
      <c r="H917" s="7" t="s">
        <v>314</v>
      </c>
      <c r="J917" s="7">
        <f t="shared" si="82"/>
        <v>1900</v>
      </c>
      <c r="K917" s="7">
        <f t="shared" si="79"/>
        <v>1</v>
      </c>
      <c r="L917" s="7">
        <f t="shared" si="80"/>
        <v>45891</v>
      </c>
      <c r="M917" s="7" t="s">
        <v>537</v>
      </c>
      <c r="N917" s="7" t="s">
        <v>922</v>
      </c>
      <c r="O917" s="17" t="s">
        <v>682</v>
      </c>
      <c r="P917" s="7">
        <f t="shared" si="78"/>
        <v>8</v>
      </c>
      <c r="Q917" s="7">
        <f t="shared" si="81"/>
        <v>2025</v>
      </c>
    </row>
    <row r="918" spans="1:17" x14ac:dyDescent="0.25">
      <c r="A918" s="7">
        <v>2539</v>
      </c>
      <c r="B918" s="9" t="s">
        <v>533</v>
      </c>
      <c r="C918" s="9" t="s">
        <v>533</v>
      </c>
      <c r="D918" s="8">
        <v>45891</v>
      </c>
      <c r="E918" s="7" t="s">
        <v>60</v>
      </c>
      <c r="F918" s="7">
        <v>1</v>
      </c>
      <c r="G918" s="7" t="s">
        <v>14</v>
      </c>
      <c r="H918" s="7" t="s">
        <v>314</v>
      </c>
      <c r="J918" s="7">
        <f t="shared" si="82"/>
        <v>1900</v>
      </c>
      <c r="K918" s="7">
        <f t="shared" si="79"/>
        <v>1</v>
      </c>
      <c r="L918" s="7">
        <f t="shared" si="80"/>
        <v>45891</v>
      </c>
      <c r="M918" s="7" t="s">
        <v>537</v>
      </c>
      <c r="N918" s="7" t="s">
        <v>922</v>
      </c>
      <c r="O918" s="17" t="s">
        <v>682</v>
      </c>
      <c r="P918" s="7">
        <f t="shared" si="78"/>
        <v>8</v>
      </c>
      <c r="Q918" s="7">
        <f t="shared" si="81"/>
        <v>2025</v>
      </c>
    </row>
    <row r="919" spans="1:17" x14ac:dyDescent="0.25">
      <c r="A919" s="7">
        <v>2539</v>
      </c>
      <c r="B919" s="9" t="s">
        <v>533</v>
      </c>
      <c r="C919" s="9" t="s">
        <v>533</v>
      </c>
      <c r="D919" s="8">
        <v>45891</v>
      </c>
      <c r="E919" s="7" t="s">
        <v>60</v>
      </c>
      <c r="F919" s="7">
        <v>1</v>
      </c>
      <c r="G919" s="7" t="s">
        <v>14</v>
      </c>
      <c r="H919" s="7" t="s">
        <v>314</v>
      </c>
      <c r="J919" s="7">
        <f t="shared" si="82"/>
        <v>1900</v>
      </c>
      <c r="K919" s="7">
        <f t="shared" si="79"/>
        <v>1</v>
      </c>
      <c r="L919" s="7">
        <f t="shared" si="80"/>
        <v>45891</v>
      </c>
      <c r="M919" s="7" t="s">
        <v>537</v>
      </c>
      <c r="N919" s="7" t="s">
        <v>922</v>
      </c>
      <c r="O919" s="17" t="s">
        <v>682</v>
      </c>
      <c r="P919" s="7">
        <f t="shared" si="78"/>
        <v>8</v>
      </c>
      <c r="Q919" s="7">
        <f t="shared" si="81"/>
        <v>2025</v>
      </c>
    </row>
    <row r="920" spans="1:17" x14ac:dyDescent="0.25">
      <c r="A920" s="7">
        <v>2539</v>
      </c>
      <c r="B920" s="9" t="s">
        <v>533</v>
      </c>
      <c r="C920" s="9" t="s">
        <v>533</v>
      </c>
      <c r="D920" s="8">
        <v>45891</v>
      </c>
      <c r="E920" s="7" t="s">
        <v>60</v>
      </c>
      <c r="F920" s="7">
        <v>1</v>
      </c>
      <c r="G920" s="7" t="s">
        <v>14</v>
      </c>
      <c r="H920" s="7" t="s">
        <v>314</v>
      </c>
      <c r="J920" s="7">
        <f t="shared" si="82"/>
        <v>1900</v>
      </c>
      <c r="K920" s="7">
        <f t="shared" si="79"/>
        <v>1</v>
      </c>
      <c r="L920" s="7">
        <f t="shared" si="80"/>
        <v>45891</v>
      </c>
      <c r="M920" s="7" t="s">
        <v>537</v>
      </c>
      <c r="N920" s="7" t="s">
        <v>922</v>
      </c>
      <c r="O920" s="17" t="s">
        <v>682</v>
      </c>
      <c r="P920" s="7">
        <f t="shared" si="78"/>
        <v>8</v>
      </c>
      <c r="Q920" s="7">
        <f t="shared" si="81"/>
        <v>2025</v>
      </c>
    </row>
    <row r="921" spans="1:17" x14ac:dyDescent="0.25">
      <c r="A921" s="7">
        <v>2539</v>
      </c>
      <c r="B921" s="9" t="s">
        <v>533</v>
      </c>
      <c r="C921" s="9" t="s">
        <v>533</v>
      </c>
      <c r="D921" s="8">
        <v>45891</v>
      </c>
      <c r="E921" s="7" t="s">
        <v>60</v>
      </c>
      <c r="F921" s="7">
        <v>1</v>
      </c>
      <c r="G921" s="7" t="s">
        <v>14</v>
      </c>
      <c r="H921" s="7" t="s">
        <v>314</v>
      </c>
      <c r="J921" s="7">
        <f t="shared" si="82"/>
        <v>1900</v>
      </c>
      <c r="K921" s="7">
        <f t="shared" si="79"/>
        <v>1</v>
      </c>
      <c r="L921" s="7">
        <f t="shared" si="80"/>
        <v>45891</v>
      </c>
      <c r="M921" s="7" t="s">
        <v>537</v>
      </c>
      <c r="N921" s="7" t="s">
        <v>922</v>
      </c>
      <c r="O921" s="17" t="s">
        <v>682</v>
      </c>
      <c r="P921" s="7">
        <f t="shared" si="78"/>
        <v>8</v>
      </c>
      <c r="Q921" s="7">
        <f t="shared" si="81"/>
        <v>2025</v>
      </c>
    </row>
    <row r="922" spans="1:17" x14ac:dyDescent="0.25">
      <c r="A922" s="7">
        <v>2539</v>
      </c>
      <c r="B922" s="9" t="s">
        <v>533</v>
      </c>
      <c r="C922" s="9" t="s">
        <v>533</v>
      </c>
      <c r="D922" s="8">
        <v>45891</v>
      </c>
      <c r="E922" s="7" t="s">
        <v>60</v>
      </c>
      <c r="F922" s="7">
        <v>1</v>
      </c>
      <c r="G922" s="7" t="s">
        <v>14</v>
      </c>
      <c r="H922" s="7" t="s">
        <v>314</v>
      </c>
      <c r="J922" s="7">
        <f t="shared" si="82"/>
        <v>1900</v>
      </c>
      <c r="K922" s="7">
        <f t="shared" si="79"/>
        <v>1</v>
      </c>
      <c r="L922" s="7">
        <f t="shared" si="80"/>
        <v>45891</v>
      </c>
      <c r="M922" s="7" t="s">
        <v>537</v>
      </c>
      <c r="N922" s="7" t="s">
        <v>922</v>
      </c>
      <c r="O922" s="17" t="s">
        <v>682</v>
      </c>
      <c r="P922" s="7">
        <f t="shared" ref="P922:P985" si="83">MONTH(D922)</f>
        <v>8</v>
      </c>
      <c r="Q922" s="7">
        <f t="shared" si="81"/>
        <v>2025</v>
      </c>
    </row>
    <row r="923" spans="1:17" x14ac:dyDescent="0.25">
      <c r="A923" s="7">
        <v>2539</v>
      </c>
      <c r="B923" s="9" t="s">
        <v>533</v>
      </c>
      <c r="C923" s="9" t="s">
        <v>533</v>
      </c>
      <c r="D923" s="8">
        <v>45891</v>
      </c>
      <c r="E923" s="7" t="s">
        <v>60</v>
      </c>
      <c r="F923" s="7">
        <v>1</v>
      </c>
      <c r="G923" s="7" t="s">
        <v>14</v>
      </c>
      <c r="H923" s="7" t="s">
        <v>314</v>
      </c>
      <c r="J923" s="7">
        <f t="shared" si="82"/>
        <v>1900</v>
      </c>
      <c r="K923" s="7">
        <f t="shared" si="79"/>
        <v>1</v>
      </c>
      <c r="L923" s="7">
        <f t="shared" si="80"/>
        <v>45891</v>
      </c>
      <c r="M923" s="7" t="s">
        <v>537</v>
      </c>
      <c r="N923" s="7" t="s">
        <v>922</v>
      </c>
      <c r="O923" s="17" t="s">
        <v>682</v>
      </c>
      <c r="P923" s="7">
        <f t="shared" si="83"/>
        <v>8</v>
      </c>
      <c r="Q923" s="7">
        <f t="shared" si="81"/>
        <v>2025</v>
      </c>
    </row>
    <row r="924" spans="1:17" x14ac:dyDescent="0.25">
      <c r="A924" s="7">
        <v>2539</v>
      </c>
      <c r="B924" s="9" t="s">
        <v>533</v>
      </c>
      <c r="C924" s="9" t="s">
        <v>533</v>
      </c>
      <c r="D924" s="8">
        <v>45891</v>
      </c>
      <c r="E924" s="7" t="s">
        <v>60</v>
      </c>
      <c r="F924" s="7">
        <v>1</v>
      </c>
      <c r="G924" s="7" t="s">
        <v>14</v>
      </c>
      <c r="H924" s="7" t="s">
        <v>314</v>
      </c>
      <c r="J924" s="7">
        <f t="shared" si="82"/>
        <v>1900</v>
      </c>
      <c r="K924" s="7">
        <f t="shared" si="79"/>
        <v>1</v>
      </c>
      <c r="L924" s="7">
        <f t="shared" si="80"/>
        <v>45891</v>
      </c>
      <c r="M924" s="7" t="s">
        <v>537</v>
      </c>
      <c r="N924" s="7" t="s">
        <v>922</v>
      </c>
      <c r="O924" s="17" t="s">
        <v>682</v>
      </c>
      <c r="P924" s="7">
        <f t="shared" si="83"/>
        <v>8</v>
      </c>
      <c r="Q924" s="7">
        <f t="shared" si="81"/>
        <v>2025</v>
      </c>
    </row>
    <row r="925" spans="1:17" x14ac:dyDescent="0.25">
      <c r="A925" s="7">
        <v>2539</v>
      </c>
      <c r="B925" s="9" t="s">
        <v>533</v>
      </c>
      <c r="C925" s="9" t="s">
        <v>533</v>
      </c>
      <c r="D925" s="8">
        <v>45891</v>
      </c>
      <c r="E925" s="7" t="s">
        <v>60</v>
      </c>
      <c r="F925" s="7">
        <v>1</v>
      </c>
      <c r="G925" s="7" t="s">
        <v>14</v>
      </c>
      <c r="H925" s="7" t="s">
        <v>314</v>
      </c>
      <c r="J925" s="7">
        <f t="shared" si="82"/>
        <v>1900</v>
      </c>
      <c r="K925" s="7">
        <f t="shared" si="79"/>
        <v>1</v>
      </c>
      <c r="L925" s="7">
        <f t="shared" si="80"/>
        <v>45891</v>
      </c>
      <c r="M925" s="7" t="s">
        <v>537</v>
      </c>
      <c r="N925" s="7" t="s">
        <v>922</v>
      </c>
      <c r="O925" s="17" t="s">
        <v>682</v>
      </c>
      <c r="P925" s="7">
        <f t="shared" si="83"/>
        <v>8</v>
      </c>
      <c r="Q925" s="7">
        <f t="shared" si="81"/>
        <v>2025</v>
      </c>
    </row>
    <row r="926" spans="1:17" x14ac:dyDescent="0.25">
      <c r="A926" s="7">
        <v>2539</v>
      </c>
      <c r="B926" s="9" t="s">
        <v>533</v>
      </c>
      <c r="C926" s="9" t="s">
        <v>533</v>
      </c>
      <c r="D926" s="8">
        <v>45891</v>
      </c>
      <c r="E926" s="7" t="s">
        <v>60</v>
      </c>
      <c r="F926" s="7">
        <v>1</v>
      </c>
      <c r="G926" s="7" t="s">
        <v>14</v>
      </c>
      <c r="H926" s="7" t="s">
        <v>314</v>
      </c>
      <c r="J926" s="7">
        <f t="shared" si="82"/>
        <v>1900</v>
      </c>
      <c r="K926" s="7">
        <f t="shared" si="79"/>
        <v>1</v>
      </c>
      <c r="L926" s="7">
        <f t="shared" si="80"/>
        <v>45891</v>
      </c>
      <c r="M926" s="7" t="s">
        <v>537</v>
      </c>
      <c r="N926" s="7" t="s">
        <v>922</v>
      </c>
      <c r="O926" s="17" t="s">
        <v>682</v>
      </c>
      <c r="P926" s="7">
        <f t="shared" si="83"/>
        <v>8</v>
      </c>
      <c r="Q926" s="7">
        <f t="shared" si="81"/>
        <v>2025</v>
      </c>
    </row>
    <row r="927" spans="1:17" x14ac:dyDescent="0.25">
      <c r="A927" s="7">
        <v>2539</v>
      </c>
      <c r="B927" s="9" t="s">
        <v>533</v>
      </c>
      <c r="C927" s="9" t="s">
        <v>533</v>
      </c>
      <c r="D927" s="8">
        <v>45891</v>
      </c>
      <c r="E927" s="7" t="s">
        <v>60</v>
      </c>
      <c r="F927" s="7">
        <v>1</v>
      </c>
      <c r="G927" s="7" t="s">
        <v>14</v>
      </c>
      <c r="H927" s="7" t="s">
        <v>314</v>
      </c>
      <c r="J927" s="7">
        <f t="shared" si="82"/>
        <v>1900</v>
      </c>
      <c r="K927" s="7">
        <f t="shared" si="79"/>
        <v>1</v>
      </c>
      <c r="L927" s="7">
        <f t="shared" si="80"/>
        <v>45891</v>
      </c>
      <c r="M927" s="7" t="s">
        <v>537</v>
      </c>
      <c r="N927" s="7" t="s">
        <v>922</v>
      </c>
      <c r="O927" s="17" t="s">
        <v>682</v>
      </c>
      <c r="P927" s="7">
        <f t="shared" si="83"/>
        <v>8</v>
      </c>
      <c r="Q927" s="7">
        <f t="shared" si="81"/>
        <v>2025</v>
      </c>
    </row>
    <row r="928" spans="1:17" x14ac:dyDescent="0.25">
      <c r="A928" s="7">
        <v>2539</v>
      </c>
      <c r="B928" s="9" t="s">
        <v>533</v>
      </c>
      <c r="C928" s="9" t="s">
        <v>533</v>
      </c>
      <c r="D928" s="8">
        <v>45891</v>
      </c>
      <c r="E928" s="7" t="s">
        <v>60</v>
      </c>
      <c r="F928" s="7">
        <v>1</v>
      </c>
      <c r="G928" s="7" t="s">
        <v>14</v>
      </c>
      <c r="H928" s="7" t="s">
        <v>314</v>
      </c>
      <c r="J928" s="7">
        <f t="shared" si="82"/>
        <v>1900</v>
      </c>
      <c r="K928" s="7">
        <f t="shared" si="79"/>
        <v>1</v>
      </c>
      <c r="L928" s="7">
        <f t="shared" si="80"/>
        <v>45891</v>
      </c>
      <c r="M928" s="7" t="s">
        <v>537</v>
      </c>
      <c r="N928" s="7" t="s">
        <v>922</v>
      </c>
      <c r="O928" s="17" t="s">
        <v>682</v>
      </c>
      <c r="P928" s="7">
        <f t="shared" si="83"/>
        <v>8</v>
      </c>
      <c r="Q928" s="7">
        <f t="shared" si="81"/>
        <v>2025</v>
      </c>
    </row>
    <row r="929" spans="1:17" x14ac:dyDescent="0.25">
      <c r="A929" s="7">
        <v>2539</v>
      </c>
      <c r="B929" s="9" t="s">
        <v>533</v>
      </c>
      <c r="C929" s="9" t="s">
        <v>533</v>
      </c>
      <c r="D929" s="8">
        <v>45891</v>
      </c>
      <c r="E929" s="7" t="s">
        <v>60</v>
      </c>
      <c r="F929" s="7">
        <v>1</v>
      </c>
      <c r="G929" s="7" t="s">
        <v>14</v>
      </c>
      <c r="H929" s="7" t="s">
        <v>314</v>
      </c>
      <c r="J929" s="7">
        <f t="shared" si="82"/>
        <v>1900</v>
      </c>
      <c r="K929" s="7">
        <f t="shared" si="79"/>
        <v>1</v>
      </c>
      <c r="L929" s="7">
        <f t="shared" si="80"/>
        <v>45891</v>
      </c>
      <c r="M929" s="7" t="s">
        <v>537</v>
      </c>
      <c r="N929" s="7" t="s">
        <v>922</v>
      </c>
      <c r="O929" s="17" t="s">
        <v>682</v>
      </c>
      <c r="P929" s="7">
        <f t="shared" si="83"/>
        <v>8</v>
      </c>
      <c r="Q929" s="7">
        <f t="shared" si="81"/>
        <v>2025</v>
      </c>
    </row>
    <row r="930" spans="1:17" x14ac:dyDescent="0.25">
      <c r="A930" s="7">
        <v>2539</v>
      </c>
      <c r="B930" s="9" t="s">
        <v>533</v>
      </c>
      <c r="C930" s="9" t="s">
        <v>533</v>
      </c>
      <c r="D930" s="8">
        <v>45891</v>
      </c>
      <c r="E930" s="7" t="s">
        <v>60</v>
      </c>
      <c r="F930" s="7">
        <v>1</v>
      </c>
      <c r="G930" s="7" t="s">
        <v>14</v>
      </c>
      <c r="H930" s="7" t="s">
        <v>314</v>
      </c>
      <c r="J930" s="7">
        <f t="shared" si="82"/>
        <v>1900</v>
      </c>
      <c r="K930" s="7">
        <f t="shared" si="79"/>
        <v>1</v>
      </c>
      <c r="L930" s="7">
        <f t="shared" si="80"/>
        <v>45891</v>
      </c>
      <c r="M930" s="7" t="s">
        <v>537</v>
      </c>
      <c r="N930" s="7" t="s">
        <v>922</v>
      </c>
      <c r="O930" s="17" t="s">
        <v>682</v>
      </c>
      <c r="P930" s="7">
        <f t="shared" si="83"/>
        <v>8</v>
      </c>
      <c r="Q930" s="7">
        <f t="shared" si="81"/>
        <v>2025</v>
      </c>
    </row>
    <row r="931" spans="1:17" x14ac:dyDescent="0.25">
      <c r="A931" s="7">
        <v>2539</v>
      </c>
      <c r="B931" s="9" t="s">
        <v>533</v>
      </c>
      <c r="C931" s="9" t="s">
        <v>533</v>
      </c>
      <c r="D931" s="8">
        <v>45891</v>
      </c>
      <c r="E931" s="7" t="s">
        <v>60</v>
      </c>
      <c r="F931" s="7">
        <v>1</v>
      </c>
      <c r="G931" s="7" t="s">
        <v>14</v>
      </c>
      <c r="H931" s="7" t="s">
        <v>314</v>
      </c>
      <c r="J931" s="7">
        <f t="shared" si="82"/>
        <v>1900</v>
      </c>
      <c r="K931" s="7">
        <f t="shared" si="79"/>
        <v>1</v>
      </c>
      <c r="L931" s="7">
        <f t="shared" si="80"/>
        <v>45891</v>
      </c>
      <c r="M931" s="7" t="s">
        <v>537</v>
      </c>
      <c r="N931" s="7" t="s">
        <v>922</v>
      </c>
      <c r="O931" s="17" t="s">
        <v>682</v>
      </c>
      <c r="P931" s="7">
        <f t="shared" si="83"/>
        <v>8</v>
      </c>
      <c r="Q931" s="7">
        <f t="shared" si="81"/>
        <v>2025</v>
      </c>
    </row>
    <row r="932" spans="1:17" x14ac:dyDescent="0.25">
      <c r="A932" s="7">
        <v>2539</v>
      </c>
      <c r="B932" s="9" t="s">
        <v>533</v>
      </c>
      <c r="C932" s="9" t="s">
        <v>533</v>
      </c>
      <c r="D932" s="8">
        <v>45891</v>
      </c>
      <c r="E932" s="7" t="s">
        <v>60</v>
      </c>
      <c r="F932" s="7">
        <v>1</v>
      </c>
      <c r="G932" s="7" t="s">
        <v>14</v>
      </c>
      <c r="H932" s="7" t="s">
        <v>314</v>
      </c>
      <c r="J932" s="7">
        <f t="shared" si="82"/>
        <v>1900</v>
      </c>
      <c r="K932" s="7">
        <f t="shared" si="79"/>
        <v>1</v>
      </c>
      <c r="L932" s="7">
        <f t="shared" si="80"/>
        <v>45891</v>
      </c>
      <c r="M932" s="7" t="s">
        <v>537</v>
      </c>
      <c r="N932" s="7" t="s">
        <v>922</v>
      </c>
      <c r="O932" s="17" t="s">
        <v>682</v>
      </c>
      <c r="P932" s="7">
        <f t="shared" si="83"/>
        <v>8</v>
      </c>
      <c r="Q932" s="7">
        <f t="shared" si="81"/>
        <v>2025</v>
      </c>
    </row>
    <row r="933" spans="1:17" x14ac:dyDescent="0.25">
      <c r="A933" s="7">
        <v>2539</v>
      </c>
      <c r="B933" s="9" t="s">
        <v>533</v>
      </c>
      <c r="C933" s="9" t="s">
        <v>533</v>
      </c>
      <c r="D933" s="8">
        <v>45891</v>
      </c>
      <c r="E933" s="7" t="s">
        <v>60</v>
      </c>
      <c r="F933" s="7">
        <v>1</v>
      </c>
      <c r="G933" s="7" t="s">
        <v>14</v>
      </c>
      <c r="H933" s="7" t="s">
        <v>314</v>
      </c>
      <c r="J933" s="7">
        <f t="shared" si="82"/>
        <v>1900</v>
      </c>
      <c r="K933" s="7">
        <f t="shared" si="79"/>
        <v>1</v>
      </c>
      <c r="L933" s="7">
        <f t="shared" si="80"/>
        <v>45891</v>
      </c>
      <c r="M933" s="7" t="s">
        <v>537</v>
      </c>
      <c r="N933" s="7" t="s">
        <v>922</v>
      </c>
      <c r="O933" s="17" t="s">
        <v>682</v>
      </c>
      <c r="P933" s="7">
        <f t="shared" si="83"/>
        <v>8</v>
      </c>
      <c r="Q933" s="7">
        <f t="shared" si="81"/>
        <v>2025</v>
      </c>
    </row>
    <row r="934" spans="1:17" x14ac:dyDescent="0.25">
      <c r="A934" s="7">
        <v>2539</v>
      </c>
      <c r="B934" s="9" t="s">
        <v>533</v>
      </c>
      <c r="C934" s="9" t="s">
        <v>533</v>
      </c>
      <c r="D934" s="8">
        <v>45891</v>
      </c>
      <c r="E934" s="7" t="s">
        <v>60</v>
      </c>
      <c r="F934" s="7">
        <v>1</v>
      </c>
      <c r="G934" s="7" t="s">
        <v>14</v>
      </c>
      <c r="H934" s="7" t="s">
        <v>314</v>
      </c>
      <c r="J934" s="7">
        <f t="shared" si="82"/>
        <v>1900</v>
      </c>
      <c r="K934" s="7">
        <f t="shared" si="79"/>
        <v>1</v>
      </c>
      <c r="L934" s="7">
        <f t="shared" si="80"/>
        <v>45891</v>
      </c>
      <c r="M934" s="7" t="s">
        <v>537</v>
      </c>
      <c r="N934" s="7" t="s">
        <v>922</v>
      </c>
      <c r="O934" s="17" t="s">
        <v>682</v>
      </c>
      <c r="P934" s="7">
        <f t="shared" si="83"/>
        <v>8</v>
      </c>
      <c r="Q934" s="7">
        <f t="shared" si="81"/>
        <v>2025</v>
      </c>
    </row>
    <row r="935" spans="1:17" x14ac:dyDescent="0.25">
      <c r="A935" s="7">
        <v>2539</v>
      </c>
      <c r="B935" s="9" t="s">
        <v>533</v>
      </c>
      <c r="C935" s="9" t="s">
        <v>533</v>
      </c>
      <c r="D935" s="8">
        <v>45891</v>
      </c>
      <c r="E935" s="7" t="s">
        <v>60</v>
      </c>
      <c r="F935" s="7">
        <v>1</v>
      </c>
      <c r="G935" s="7" t="s">
        <v>14</v>
      </c>
      <c r="H935" s="7" t="s">
        <v>314</v>
      </c>
      <c r="J935" s="7">
        <f t="shared" si="82"/>
        <v>1900</v>
      </c>
      <c r="K935" s="7">
        <f t="shared" si="79"/>
        <v>1</v>
      </c>
      <c r="L935" s="7">
        <f t="shared" si="80"/>
        <v>45891</v>
      </c>
      <c r="M935" s="7" t="s">
        <v>537</v>
      </c>
      <c r="N935" s="7" t="s">
        <v>922</v>
      </c>
      <c r="O935" s="17" t="s">
        <v>682</v>
      </c>
      <c r="P935" s="7">
        <f t="shared" si="83"/>
        <v>8</v>
      </c>
      <c r="Q935" s="7">
        <f t="shared" si="81"/>
        <v>2025</v>
      </c>
    </row>
    <row r="936" spans="1:17" x14ac:dyDescent="0.25">
      <c r="A936" s="7">
        <v>2539</v>
      </c>
      <c r="B936" s="9" t="s">
        <v>533</v>
      </c>
      <c r="C936" s="9" t="s">
        <v>533</v>
      </c>
      <c r="D936" s="8">
        <v>45891</v>
      </c>
      <c r="E936" s="7" t="s">
        <v>60</v>
      </c>
      <c r="F936" s="7">
        <v>1</v>
      </c>
      <c r="G936" s="7" t="s">
        <v>14</v>
      </c>
      <c r="H936" s="7" t="s">
        <v>314</v>
      </c>
      <c r="J936" s="7">
        <f t="shared" si="82"/>
        <v>1900</v>
      </c>
      <c r="K936" s="7">
        <f t="shared" si="79"/>
        <v>1</v>
      </c>
      <c r="L936" s="7">
        <f t="shared" si="80"/>
        <v>45891</v>
      </c>
      <c r="M936" s="7" t="s">
        <v>537</v>
      </c>
      <c r="N936" s="7" t="s">
        <v>922</v>
      </c>
      <c r="O936" s="17" t="s">
        <v>682</v>
      </c>
      <c r="P936" s="7">
        <f t="shared" si="83"/>
        <v>8</v>
      </c>
      <c r="Q936" s="7">
        <f t="shared" si="81"/>
        <v>2025</v>
      </c>
    </row>
    <row r="937" spans="1:17" x14ac:dyDescent="0.25">
      <c r="A937" s="7">
        <v>2539</v>
      </c>
      <c r="B937" s="9" t="s">
        <v>533</v>
      </c>
      <c r="C937" s="9" t="s">
        <v>533</v>
      </c>
      <c r="D937" s="8">
        <v>45891</v>
      </c>
      <c r="E937" s="7" t="s">
        <v>60</v>
      </c>
      <c r="F937" s="7">
        <v>1</v>
      </c>
      <c r="G937" s="7" t="s">
        <v>14</v>
      </c>
      <c r="H937" s="7" t="s">
        <v>314</v>
      </c>
      <c r="J937" s="7">
        <f t="shared" si="82"/>
        <v>1900</v>
      </c>
      <c r="K937" s="7">
        <f t="shared" si="79"/>
        <v>1</v>
      </c>
      <c r="L937" s="7">
        <f t="shared" si="80"/>
        <v>45891</v>
      </c>
      <c r="M937" s="7" t="s">
        <v>537</v>
      </c>
      <c r="N937" s="7" t="s">
        <v>922</v>
      </c>
      <c r="O937" s="17" t="s">
        <v>682</v>
      </c>
      <c r="P937" s="7">
        <f t="shared" si="83"/>
        <v>8</v>
      </c>
      <c r="Q937" s="7">
        <f t="shared" si="81"/>
        <v>2025</v>
      </c>
    </row>
    <row r="938" spans="1:17" x14ac:dyDescent="0.25">
      <c r="A938" s="7">
        <v>2539</v>
      </c>
      <c r="B938" s="9" t="s">
        <v>533</v>
      </c>
      <c r="C938" s="9" t="s">
        <v>533</v>
      </c>
      <c r="D938" s="8">
        <v>45891</v>
      </c>
      <c r="E938" s="7" t="s">
        <v>60</v>
      </c>
      <c r="F938" s="7">
        <v>1</v>
      </c>
      <c r="G938" s="7" t="s">
        <v>14</v>
      </c>
      <c r="H938" s="7" t="s">
        <v>314</v>
      </c>
      <c r="J938" s="7">
        <f t="shared" si="82"/>
        <v>1900</v>
      </c>
      <c r="K938" s="7">
        <f t="shared" si="79"/>
        <v>1</v>
      </c>
      <c r="L938" s="7">
        <f t="shared" si="80"/>
        <v>45891</v>
      </c>
      <c r="M938" s="7" t="s">
        <v>537</v>
      </c>
      <c r="N938" s="7" t="s">
        <v>922</v>
      </c>
      <c r="O938" s="17" t="s">
        <v>682</v>
      </c>
      <c r="P938" s="7">
        <f t="shared" si="83"/>
        <v>8</v>
      </c>
      <c r="Q938" s="7">
        <f t="shared" si="81"/>
        <v>2025</v>
      </c>
    </row>
    <row r="939" spans="1:17" x14ac:dyDescent="0.25">
      <c r="A939" s="7">
        <v>2539</v>
      </c>
      <c r="B939" s="9" t="s">
        <v>533</v>
      </c>
      <c r="C939" s="9" t="s">
        <v>533</v>
      </c>
      <c r="D939" s="8">
        <v>45891</v>
      </c>
      <c r="E939" s="7" t="s">
        <v>60</v>
      </c>
      <c r="F939" s="7">
        <v>1</v>
      </c>
      <c r="G939" s="7" t="s">
        <v>14</v>
      </c>
      <c r="H939" s="7" t="s">
        <v>314</v>
      </c>
      <c r="J939" s="7">
        <f t="shared" si="82"/>
        <v>1900</v>
      </c>
      <c r="K939" s="7">
        <f t="shared" si="79"/>
        <v>1</v>
      </c>
      <c r="L939" s="7">
        <f t="shared" si="80"/>
        <v>45891</v>
      </c>
      <c r="M939" s="7" t="s">
        <v>537</v>
      </c>
      <c r="N939" s="7" t="s">
        <v>922</v>
      </c>
      <c r="O939" s="17" t="s">
        <v>682</v>
      </c>
      <c r="P939" s="7">
        <f t="shared" si="83"/>
        <v>8</v>
      </c>
      <c r="Q939" s="7">
        <f t="shared" si="81"/>
        <v>2025</v>
      </c>
    </row>
    <row r="940" spans="1:17" x14ac:dyDescent="0.25">
      <c r="A940" s="7">
        <v>2539</v>
      </c>
      <c r="B940" s="9" t="s">
        <v>533</v>
      </c>
      <c r="C940" s="9" t="s">
        <v>533</v>
      </c>
      <c r="D940" s="8">
        <v>45891</v>
      </c>
      <c r="E940" s="7" t="s">
        <v>60</v>
      </c>
      <c r="F940" s="7">
        <v>1</v>
      </c>
      <c r="G940" s="7" t="s">
        <v>14</v>
      </c>
      <c r="H940" s="7" t="s">
        <v>314</v>
      </c>
      <c r="J940" s="7">
        <f t="shared" si="82"/>
        <v>1900</v>
      </c>
      <c r="K940" s="7">
        <f t="shared" si="79"/>
        <v>1</v>
      </c>
      <c r="L940" s="7">
        <f t="shared" si="80"/>
        <v>45891</v>
      </c>
      <c r="M940" s="7" t="s">
        <v>537</v>
      </c>
      <c r="N940" s="7" t="s">
        <v>922</v>
      </c>
      <c r="O940" s="17" t="s">
        <v>682</v>
      </c>
      <c r="P940" s="7">
        <f t="shared" si="83"/>
        <v>8</v>
      </c>
      <c r="Q940" s="7">
        <f t="shared" si="81"/>
        <v>2025</v>
      </c>
    </row>
    <row r="941" spans="1:17" x14ac:dyDescent="0.25">
      <c r="A941" s="7">
        <v>2539</v>
      </c>
      <c r="B941" s="9" t="s">
        <v>533</v>
      </c>
      <c r="C941" s="9" t="s">
        <v>533</v>
      </c>
      <c r="D941" s="8">
        <v>45891</v>
      </c>
      <c r="E941" s="7" t="s">
        <v>60</v>
      </c>
      <c r="F941" s="7">
        <v>1</v>
      </c>
      <c r="G941" s="7" t="s">
        <v>14</v>
      </c>
      <c r="H941" s="7" t="s">
        <v>314</v>
      </c>
      <c r="J941" s="7">
        <f t="shared" si="82"/>
        <v>1900</v>
      </c>
      <c r="K941" s="7">
        <f t="shared" ref="K941:K1004" si="84">MONTH(I941)</f>
        <v>1</v>
      </c>
      <c r="L941" s="7">
        <f t="shared" si="80"/>
        <v>45891</v>
      </c>
      <c r="M941" s="7" t="s">
        <v>537</v>
      </c>
      <c r="N941" s="7" t="s">
        <v>922</v>
      </c>
      <c r="O941" s="17" t="s">
        <v>682</v>
      </c>
      <c r="P941" s="7">
        <f t="shared" si="83"/>
        <v>8</v>
      </c>
      <c r="Q941" s="7">
        <f t="shared" si="81"/>
        <v>2025</v>
      </c>
    </row>
    <row r="942" spans="1:17" x14ac:dyDescent="0.25">
      <c r="A942" s="7">
        <v>2539</v>
      </c>
      <c r="B942" s="9" t="s">
        <v>533</v>
      </c>
      <c r="C942" s="9" t="s">
        <v>533</v>
      </c>
      <c r="D942" s="8">
        <v>45891</v>
      </c>
      <c r="E942" s="7" t="s">
        <v>60</v>
      </c>
      <c r="F942" s="7">
        <v>1</v>
      </c>
      <c r="G942" s="7" t="s">
        <v>14</v>
      </c>
      <c r="H942" s="7" t="s">
        <v>314</v>
      </c>
      <c r="J942" s="7">
        <f t="shared" si="82"/>
        <v>1900</v>
      </c>
      <c r="K942" s="7">
        <f t="shared" si="84"/>
        <v>1</v>
      </c>
      <c r="L942" s="7">
        <f t="shared" si="80"/>
        <v>45891</v>
      </c>
      <c r="M942" s="7" t="s">
        <v>537</v>
      </c>
      <c r="N942" s="7" t="s">
        <v>922</v>
      </c>
      <c r="O942" s="17" t="s">
        <v>682</v>
      </c>
      <c r="P942" s="7">
        <f t="shared" si="83"/>
        <v>8</v>
      </c>
      <c r="Q942" s="7">
        <f t="shared" si="81"/>
        <v>2025</v>
      </c>
    </row>
    <row r="943" spans="1:17" x14ac:dyDescent="0.25">
      <c r="A943" s="7">
        <v>2539</v>
      </c>
      <c r="B943" s="9" t="s">
        <v>533</v>
      </c>
      <c r="C943" s="9" t="s">
        <v>533</v>
      </c>
      <c r="D943" s="8">
        <v>45891</v>
      </c>
      <c r="E943" s="7" t="s">
        <v>60</v>
      </c>
      <c r="F943" s="7">
        <v>1</v>
      </c>
      <c r="G943" s="7" t="s">
        <v>14</v>
      </c>
      <c r="H943" s="7" t="s">
        <v>314</v>
      </c>
      <c r="J943" s="7">
        <f t="shared" si="82"/>
        <v>1900</v>
      </c>
      <c r="K943" s="7">
        <f t="shared" si="84"/>
        <v>1</v>
      </c>
      <c r="L943" s="7">
        <f t="shared" ref="L943:L1006" si="85">D943-I943</f>
        <v>45891</v>
      </c>
      <c r="M943" s="7" t="s">
        <v>537</v>
      </c>
      <c r="N943" s="7" t="s">
        <v>922</v>
      </c>
      <c r="O943" s="17" t="s">
        <v>682</v>
      </c>
      <c r="P943" s="7">
        <f t="shared" si="83"/>
        <v>8</v>
      </c>
      <c r="Q943" s="7">
        <f t="shared" si="81"/>
        <v>2025</v>
      </c>
    </row>
    <row r="944" spans="1:17" x14ac:dyDescent="0.25">
      <c r="A944" s="7">
        <v>2539</v>
      </c>
      <c r="B944" s="9" t="s">
        <v>533</v>
      </c>
      <c r="C944" s="9" t="s">
        <v>533</v>
      </c>
      <c r="D944" s="8">
        <v>45891</v>
      </c>
      <c r="E944" s="7" t="s">
        <v>60</v>
      </c>
      <c r="F944" s="7">
        <v>1</v>
      </c>
      <c r="G944" s="7" t="s">
        <v>14</v>
      </c>
      <c r="H944" s="7" t="s">
        <v>314</v>
      </c>
      <c r="J944" s="7">
        <f t="shared" si="82"/>
        <v>1900</v>
      </c>
      <c r="K944" s="7">
        <f t="shared" si="84"/>
        <v>1</v>
      </c>
      <c r="L944" s="7">
        <f t="shared" si="85"/>
        <v>45891</v>
      </c>
      <c r="M944" s="7" t="s">
        <v>537</v>
      </c>
      <c r="N944" s="7" t="s">
        <v>922</v>
      </c>
      <c r="O944" s="17" t="s">
        <v>682</v>
      </c>
      <c r="P944" s="7">
        <f t="shared" si="83"/>
        <v>8</v>
      </c>
      <c r="Q944" s="7">
        <f t="shared" si="81"/>
        <v>2025</v>
      </c>
    </row>
    <row r="945" spans="1:17" x14ac:dyDescent="0.25">
      <c r="A945" s="7">
        <v>2539</v>
      </c>
      <c r="B945" s="9" t="s">
        <v>533</v>
      </c>
      <c r="C945" s="9" t="s">
        <v>533</v>
      </c>
      <c r="D945" s="8">
        <v>45891</v>
      </c>
      <c r="E945" s="7" t="s">
        <v>60</v>
      </c>
      <c r="F945" s="7">
        <v>1</v>
      </c>
      <c r="G945" s="7" t="s">
        <v>14</v>
      </c>
      <c r="H945" s="7" t="s">
        <v>314</v>
      </c>
      <c r="J945" s="7">
        <f t="shared" si="82"/>
        <v>1900</v>
      </c>
      <c r="K945" s="7">
        <f t="shared" si="84"/>
        <v>1</v>
      </c>
      <c r="L945" s="7">
        <f t="shared" si="85"/>
        <v>45891</v>
      </c>
      <c r="M945" s="7" t="s">
        <v>537</v>
      </c>
      <c r="N945" s="7" t="s">
        <v>922</v>
      </c>
      <c r="O945" s="17" t="s">
        <v>682</v>
      </c>
      <c r="P945" s="7">
        <f t="shared" si="83"/>
        <v>8</v>
      </c>
      <c r="Q945" s="7">
        <f t="shared" si="81"/>
        <v>2025</v>
      </c>
    </row>
    <row r="946" spans="1:17" x14ac:dyDescent="0.25">
      <c r="A946" s="7">
        <v>2539</v>
      </c>
      <c r="B946" s="9" t="s">
        <v>533</v>
      </c>
      <c r="C946" s="9" t="s">
        <v>533</v>
      </c>
      <c r="D946" s="8">
        <v>45891</v>
      </c>
      <c r="E946" s="7" t="s">
        <v>60</v>
      </c>
      <c r="F946" s="7">
        <v>1</v>
      </c>
      <c r="G946" s="7" t="s">
        <v>14</v>
      </c>
      <c r="H946" s="7" t="s">
        <v>314</v>
      </c>
      <c r="J946" s="7">
        <f t="shared" si="82"/>
        <v>1900</v>
      </c>
      <c r="K946" s="7">
        <f t="shared" si="84"/>
        <v>1</v>
      </c>
      <c r="L946" s="7">
        <f t="shared" si="85"/>
        <v>45891</v>
      </c>
      <c r="M946" s="7" t="s">
        <v>537</v>
      </c>
      <c r="N946" s="7" t="s">
        <v>922</v>
      </c>
      <c r="O946" s="17" t="s">
        <v>682</v>
      </c>
      <c r="P946" s="7">
        <f t="shared" si="83"/>
        <v>8</v>
      </c>
      <c r="Q946" s="7">
        <f t="shared" si="81"/>
        <v>2025</v>
      </c>
    </row>
    <row r="947" spans="1:17" x14ac:dyDescent="0.25">
      <c r="A947" s="7">
        <v>2539</v>
      </c>
      <c r="B947" s="9" t="s">
        <v>533</v>
      </c>
      <c r="C947" s="9" t="s">
        <v>533</v>
      </c>
      <c r="D947" s="8">
        <v>45891</v>
      </c>
      <c r="E947" s="7" t="s">
        <v>60</v>
      </c>
      <c r="F947" s="7">
        <v>1</v>
      </c>
      <c r="G947" s="7" t="s">
        <v>14</v>
      </c>
      <c r="H947" s="7" t="s">
        <v>314</v>
      </c>
      <c r="J947" s="7">
        <f t="shared" si="82"/>
        <v>1900</v>
      </c>
      <c r="K947" s="7">
        <f t="shared" si="84"/>
        <v>1</v>
      </c>
      <c r="L947" s="7">
        <f t="shared" si="85"/>
        <v>45891</v>
      </c>
      <c r="M947" s="7" t="s">
        <v>537</v>
      </c>
      <c r="N947" s="7" t="s">
        <v>922</v>
      </c>
      <c r="O947" s="17" t="s">
        <v>682</v>
      </c>
      <c r="P947" s="7">
        <f t="shared" si="83"/>
        <v>8</v>
      </c>
      <c r="Q947" s="7">
        <f t="shared" si="81"/>
        <v>2025</v>
      </c>
    </row>
    <row r="948" spans="1:17" x14ac:dyDescent="0.25">
      <c r="A948" s="7">
        <v>2539</v>
      </c>
      <c r="B948" s="9" t="s">
        <v>533</v>
      </c>
      <c r="C948" s="9" t="s">
        <v>533</v>
      </c>
      <c r="D948" s="8">
        <v>45891</v>
      </c>
      <c r="E948" s="7" t="s">
        <v>60</v>
      </c>
      <c r="F948" s="7">
        <v>1</v>
      </c>
      <c r="G948" s="7" t="s">
        <v>14</v>
      </c>
      <c r="H948" s="7" t="s">
        <v>314</v>
      </c>
      <c r="J948" s="7">
        <f t="shared" si="82"/>
        <v>1900</v>
      </c>
      <c r="K948" s="7">
        <f t="shared" si="84"/>
        <v>1</v>
      </c>
      <c r="L948" s="7">
        <f t="shared" si="85"/>
        <v>45891</v>
      </c>
      <c r="M948" s="7" t="s">
        <v>537</v>
      </c>
      <c r="N948" s="7" t="s">
        <v>922</v>
      </c>
      <c r="O948" s="17" t="s">
        <v>682</v>
      </c>
      <c r="P948" s="7">
        <f t="shared" si="83"/>
        <v>8</v>
      </c>
      <c r="Q948" s="7">
        <f t="shared" si="81"/>
        <v>2025</v>
      </c>
    </row>
    <row r="949" spans="1:17" x14ac:dyDescent="0.25">
      <c r="A949" s="7">
        <v>2539</v>
      </c>
      <c r="B949" s="9" t="s">
        <v>533</v>
      </c>
      <c r="C949" s="9" t="s">
        <v>533</v>
      </c>
      <c r="D949" s="8">
        <v>45891</v>
      </c>
      <c r="E949" s="7" t="s">
        <v>60</v>
      </c>
      <c r="F949" s="7">
        <v>1</v>
      </c>
      <c r="G949" s="7" t="s">
        <v>14</v>
      </c>
      <c r="H949" s="7" t="s">
        <v>314</v>
      </c>
      <c r="J949" s="7">
        <f t="shared" si="82"/>
        <v>1900</v>
      </c>
      <c r="K949" s="7">
        <f t="shared" si="84"/>
        <v>1</v>
      </c>
      <c r="L949" s="7">
        <f t="shared" si="85"/>
        <v>45891</v>
      </c>
      <c r="M949" s="7" t="s">
        <v>537</v>
      </c>
      <c r="N949" s="7" t="s">
        <v>922</v>
      </c>
      <c r="O949" s="17" t="s">
        <v>682</v>
      </c>
      <c r="P949" s="7">
        <f t="shared" si="83"/>
        <v>8</v>
      </c>
      <c r="Q949" s="7">
        <f t="shared" ref="Q949:Q1012" si="86">YEAR(D949)</f>
        <v>2025</v>
      </c>
    </row>
    <row r="950" spans="1:17" x14ac:dyDescent="0.25">
      <c r="A950" s="7">
        <v>2539</v>
      </c>
      <c r="B950" s="9" t="s">
        <v>533</v>
      </c>
      <c r="C950" s="9" t="s">
        <v>533</v>
      </c>
      <c r="D950" s="8">
        <v>45891</v>
      </c>
      <c r="E950" s="7" t="s">
        <v>60</v>
      </c>
      <c r="F950" s="7">
        <v>1</v>
      </c>
      <c r="G950" s="7" t="s">
        <v>14</v>
      </c>
      <c r="H950" s="7" t="s">
        <v>314</v>
      </c>
      <c r="J950" s="7">
        <f t="shared" si="82"/>
        <v>1900</v>
      </c>
      <c r="K950" s="7">
        <f t="shared" si="84"/>
        <v>1</v>
      </c>
      <c r="L950" s="7">
        <f t="shared" si="85"/>
        <v>45891</v>
      </c>
      <c r="M950" s="7" t="s">
        <v>537</v>
      </c>
      <c r="N950" s="7" t="s">
        <v>922</v>
      </c>
      <c r="O950" s="17" t="s">
        <v>682</v>
      </c>
      <c r="P950" s="7">
        <f t="shared" si="83"/>
        <v>8</v>
      </c>
      <c r="Q950" s="7">
        <f t="shared" si="86"/>
        <v>2025</v>
      </c>
    </row>
    <row r="951" spans="1:17" x14ac:dyDescent="0.25">
      <c r="A951" s="7">
        <v>2539</v>
      </c>
      <c r="B951" s="9" t="s">
        <v>533</v>
      </c>
      <c r="C951" s="9" t="s">
        <v>533</v>
      </c>
      <c r="D951" s="8">
        <v>45891</v>
      </c>
      <c r="E951" s="7" t="s">
        <v>60</v>
      </c>
      <c r="F951" s="7">
        <v>1</v>
      </c>
      <c r="G951" s="7" t="s">
        <v>14</v>
      </c>
      <c r="H951" s="7" t="s">
        <v>314</v>
      </c>
      <c r="J951" s="7">
        <f t="shared" si="82"/>
        <v>1900</v>
      </c>
      <c r="K951" s="7">
        <f t="shared" si="84"/>
        <v>1</v>
      </c>
      <c r="L951" s="7">
        <f t="shared" si="85"/>
        <v>45891</v>
      </c>
      <c r="M951" s="7" t="s">
        <v>537</v>
      </c>
      <c r="N951" s="7" t="s">
        <v>922</v>
      </c>
      <c r="O951" s="17" t="s">
        <v>682</v>
      </c>
      <c r="P951" s="7">
        <f t="shared" si="83"/>
        <v>8</v>
      </c>
      <c r="Q951" s="7">
        <f t="shared" si="86"/>
        <v>2025</v>
      </c>
    </row>
    <row r="952" spans="1:17" x14ac:dyDescent="0.25">
      <c r="A952" s="7">
        <v>2539</v>
      </c>
      <c r="B952" s="9" t="s">
        <v>533</v>
      </c>
      <c r="C952" s="9" t="s">
        <v>533</v>
      </c>
      <c r="D952" s="8">
        <v>45891</v>
      </c>
      <c r="E952" s="7" t="s">
        <v>60</v>
      </c>
      <c r="F952" s="7">
        <v>1</v>
      </c>
      <c r="G952" s="7" t="s">
        <v>14</v>
      </c>
      <c r="H952" s="7" t="s">
        <v>314</v>
      </c>
      <c r="J952" s="7">
        <f t="shared" si="82"/>
        <v>1900</v>
      </c>
      <c r="K952" s="7">
        <f t="shared" si="84"/>
        <v>1</v>
      </c>
      <c r="L952" s="7">
        <f t="shared" si="85"/>
        <v>45891</v>
      </c>
      <c r="M952" s="7" t="s">
        <v>537</v>
      </c>
      <c r="N952" s="7" t="s">
        <v>922</v>
      </c>
      <c r="O952" s="17" t="s">
        <v>682</v>
      </c>
      <c r="P952" s="7">
        <f t="shared" si="83"/>
        <v>8</v>
      </c>
      <c r="Q952" s="7">
        <f t="shared" si="86"/>
        <v>2025</v>
      </c>
    </row>
    <row r="953" spans="1:17" x14ac:dyDescent="0.25">
      <c r="A953" s="7">
        <v>2539</v>
      </c>
      <c r="B953" s="9" t="s">
        <v>533</v>
      </c>
      <c r="C953" s="9" t="s">
        <v>533</v>
      </c>
      <c r="D953" s="8">
        <v>45891</v>
      </c>
      <c r="E953" s="7" t="s">
        <v>60</v>
      </c>
      <c r="F953" s="7">
        <v>1</v>
      </c>
      <c r="G953" s="7" t="s">
        <v>14</v>
      </c>
      <c r="H953" s="7" t="s">
        <v>314</v>
      </c>
      <c r="J953" s="7">
        <f t="shared" si="82"/>
        <v>1900</v>
      </c>
      <c r="K953" s="7">
        <f t="shared" si="84"/>
        <v>1</v>
      </c>
      <c r="L953" s="7">
        <f t="shared" si="85"/>
        <v>45891</v>
      </c>
      <c r="M953" s="7" t="s">
        <v>537</v>
      </c>
      <c r="N953" s="7" t="s">
        <v>922</v>
      </c>
      <c r="O953" s="17" t="s">
        <v>682</v>
      </c>
      <c r="P953" s="7">
        <f t="shared" si="83"/>
        <v>8</v>
      </c>
      <c r="Q953" s="7">
        <f t="shared" si="86"/>
        <v>2025</v>
      </c>
    </row>
    <row r="954" spans="1:17" x14ac:dyDescent="0.25">
      <c r="A954" s="7">
        <v>2539</v>
      </c>
      <c r="B954" s="9" t="s">
        <v>533</v>
      </c>
      <c r="C954" s="9" t="s">
        <v>533</v>
      </c>
      <c r="D954" s="8">
        <v>45891</v>
      </c>
      <c r="E954" s="7" t="s">
        <v>60</v>
      </c>
      <c r="F954" s="7">
        <v>1</v>
      </c>
      <c r="G954" s="7" t="s">
        <v>14</v>
      </c>
      <c r="H954" s="7" t="s">
        <v>314</v>
      </c>
      <c r="J954" s="7">
        <f t="shared" si="82"/>
        <v>1900</v>
      </c>
      <c r="K954" s="7">
        <f t="shared" si="84"/>
        <v>1</v>
      </c>
      <c r="L954" s="7">
        <f t="shared" si="85"/>
        <v>45891</v>
      </c>
      <c r="M954" s="7" t="s">
        <v>537</v>
      </c>
      <c r="N954" s="7" t="s">
        <v>922</v>
      </c>
      <c r="O954" s="17" t="s">
        <v>682</v>
      </c>
      <c r="P954" s="7">
        <f t="shared" si="83"/>
        <v>8</v>
      </c>
      <c r="Q954" s="7">
        <f t="shared" si="86"/>
        <v>2025</v>
      </c>
    </row>
    <row r="955" spans="1:17" x14ac:dyDescent="0.25">
      <c r="A955" s="7">
        <v>2539</v>
      </c>
      <c r="B955" s="9" t="s">
        <v>533</v>
      </c>
      <c r="C955" s="9" t="s">
        <v>533</v>
      </c>
      <c r="D955" s="8">
        <v>45891</v>
      </c>
      <c r="E955" s="7" t="s">
        <v>60</v>
      </c>
      <c r="F955" s="7">
        <v>1</v>
      </c>
      <c r="G955" s="7" t="s">
        <v>14</v>
      </c>
      <c r="H955" s="7" t="s">
        <v>314</v>
      </c>
      <c r="J955" s="7">
        <f t="shared" si="82"/>
        <v>1900</v>
      </c>
      <c r="K955" s="7">
        <f t="shared" si="84"/>
        <v>1</v>
      </c>
      <c r="L955" s="7">
        <f t="shared" si="85"/>
        <v>45891</v>
      </c>
      <c r="M955" s="7" t="s">
        <v>537</v>
      </c>
      <c r="N955" s="7" t="s">
        <v>922</v>
      </c>
      <c r="O955" s="17" t="s">
        <v>682</v>
      </c>
      <c r="P955" s="7">
        <f t="shared" si="83"/>
        <v>8</v>
      </c>
      <c r="Q955" s="7">
        <f t="shared" si="86"/>
        <v>2025</v>
      </c>
    </row>
    <row r="956" spans="1:17" x14ac:dyDescent="0.25">
      <c r="A956" s="7">
        <v>2539</v>
      </c>
      <c r="B956" s="9" t="s">
        <v>533</v>
      </c>
      <c r="C956" s="9" t="s">
        <v>533</v>
      </c>
      <c r="D956" s="8">
        <v>45891</v>
      </c>
      <c r="E956" s="7" t="s">
        <v>60</v>
      </c>
      <c r="F956" s="7">
        <v>1</v>
      </c>
      <c r="G956" s="7" t="s">
        <v>14</v>
      </c>
      <c r="H956" s="7" t="s">
        <v>314</v>
      </c>
      <c r="J956" s="7">
        <f t="shared" si="82"/>
        <v>1900</v>
      </c>
      <c r="K956" s="7">
        <f t="shared" si="84"/>
        <v>1</v>
      </c>
      <c r="L956" s="7">
        <f t="shared" si="85"/>
        <v>45891</v>
      </c>
      <c r="M956" s="7" t="s">
        <v>537</v>
      </c>
      <c r="N956" s="7" t="s">
        <v>922</v>
      </c>
      <c r="O956" s="17" t="s">
        <v>682</v>
      </c>
      <c r="P956" s="7">
        <f t="shared" si="83"/>
        <v>8</v>
      </c>
      <c r="Q956" s="7">
        <f t="shared" si="86"/>
        <v>2025</v>
      </c>
    </row>
    <row r="957" spans="1:17" x14ac:dyDescent="0.25">
      <c r="A957" s="7">
        <v>2539</v>
      </c>
      <c r="B957" s="9" t="s">
        <v>533</v>
      </c>
      <c r="C957" s="9" t="s">
        <v>533</v>
      </c>
      <c r="D957" s="8">
        <v>45891</v>
      </c>
      <c r="E957" s="7" t="s">
        <v>60</v>
      </c>
      <c r="F957" s="7">
        <v>1</v>
      </c>
      <c r="G957" s="7" t="s">
        <v>14</v>
      </c>
      <c r="H957" s="7" t="s">
        <v>314</v>
      </c>
      <c r="J957" s="7">
        <f t="shared" si="82"/>
        <v>1900</v>
      </c>
      <c r="K957" s="7">
        <f t="shared" si="84"/>
        <v>1</v>
      </c>
      <c r="L957" s="7">
        <f t="shared" si="85"/>
        <v>45891</v>
      </c>
      <c r="M957" s="7" t="s">
        <v>537</v>
      </c>
      <c r="N957" s="7" t="s">
        <v>922</v>
      </c>
      <c r="O957" s="17" t="s">
        <v>682</v>
      </c>
      <c r="P957" s="7">
        <f t="shared" si="83"/>
        <v>8</v>
      </c>
      <c r="Q957" s="7">
        <f t="shared" si="86"/>
        <v>2025</v>
      </c>
    </row>
    <row r="958" spans="1:17" x14ac:dyDescent="0.25">
      <c r="A958" s="7">
        <v>2539</v>
      </c>
      <c r="B958" s="9" t="s">
        <v>533</v>
      </c>
      <c r="C958" s="9" t="s">
        <v>533</v>
      </c>
      <c r="D958" s="8">
        <v>45891</v>
      </c>
      <c r="E958" s="7" t="s">
        <v>60</v>
      </c>
      <c r="F958" s="7">
        <v>1</v>
      </c>
      <c r="G958" s="7" t="s">
        <v>14</v>
      </c>
      <c r="H958" s="7" t="s">
        <v>314</v>
      </c>
      <c r="J958" s="7">
        <f t="shared" si="82"/>
        <v>1900</v>
      </c>
      <c r="K958" s="7">
        <f t="shared" si="84"/>
        <v>1</v>
      </c>
      <c r="L958" s="7">
        <f t="shared" si="85"/>
        <v>45891</v>
      </c>
      <c r="M958" s="7" t="s">
        <v>537</v>
      </c>
      <c r="N958" s="7" t="s">
        <v>922</v>
      </c>
      <c r="O958" s="17" t="s">
        <v>682</v>
      </c>
      <c r="P958" s="7">
        <f t="shared" si="83"/>
        <v>8</v>
      </c>
      <c r="Q958" s="7">
        <f t="shared" si="86"/>
        <v>2025</v>
      </c>
    </row>
    <row r="959" spans="1:17" x14ac:dyDescent="0.25">
      <c r="A959" s="7">
        <v>2539</v>
      </c>
      <c r="B959" s="9" t="s">
        <v>533</v>
      </c>
      <c r="C959" s="9" t="s">
        <v>533</v>
      </c>
      <c r="D959" s="8">
        <v>45891</v>
      </c>
      <c r="E959" s="7" t="s">
        <v>60</v>
      </c>
      <c r="F959" s="7">
        <v>1</v>
      </c>
      <c r="G959" s="7" t="s">
        <v>14</v>
      </c>
      <c r="H959" s="7" t="s">
        <v>314</v>
      </c>
      <c r="J959" s="7">
        <f t="shared" si="82"/>
        <v>1900</v>
      </c>
      <c r="K959" s="7">
        <f t="shared" si="84"/>
        <v>1</v>
      </c>
      <c r="L959" s="7">
        <f t="shared" si="85"/>
        <v>45891</v>
      </c>
      <c r="M959" s="7" t="s">
        <v>537</v>
      </c>
      <c r="N959" s="7" t="s">
        <v>922</v>
      </c>
      <c r="O959" s="17" t="s">
        <v>682</v>
      </c>
      <c r="P959" s="7">
        <f t="shared" si="83"/>
        <v>8</v>
      </c>
      <c r="Q959" s="7">
        <f t="shared" si="86"/>
        <v>2025</v>
      </c>
    </row>
    <row r="960" spans="1:17" x14ac:dyDescent="0.25">
      <c r="A960" s="7">
        <v>2539</v>
      </c>
      <c r="B960" s="9" t="s">
        <v>533</v>
      </c>
      <c r="C960" s="9" t="s">
        <v>533</v>
      </c>
      <c r="D960" s="8">
        <v>45891</v>
      </c>
      <c r="E960" s="7" t="s">
        <v>60</v>
      </c>
      <c r="F960" s="7">
        <v>1</v>
      </c>
      <c r="G960" s="7" t="s">
        <v>14</v>
      </c>
      <c r="H960" s="7" t="s">
        <v>314</v>
      </c>
      <c r="J960" s="7">
        <f t="shared" si="82"/>
        <v>1900</v>
      </c>
      <c r="K960" s="7">
        <f t="shared" si="84"/>
        <v>1</v>
      </c>
      <c r="L960" s="7">
        <f t="shared" si="85"/>
        <v>45891</v>
      </c>
      <c r="M960" s="7" t="s">
        <v>537</v>
      </c>
      <c r="N960" s="7" t="s">
        <v>922</v>
      </c>
      <c r="O960" s="17" t="s">
        <v>682</v>
      </c>
      <c r="P960" s="7">
        <f t="shared" si="83"/>
        <v>8</v>
      </c>
      <c r="Q960" s="7">
        <f t="shared" si="86"/>
        <v>2025</v>
      </c>
    </row>
    <row r="961" spans="1:17" x14ac:dyDescent="0.25">
      <c r="A961" s="7">
        <v>2539</v>
      </c>
      <c r="B961" s="9" t="s">
        <v>533</v>
      </c>
      <c r="C961" s="9" t="s">
        <v>533</v>
      </c>
      <c r="D961" s="8">
        <v>45891</v>
      </c>
      <c r="E961" s="7" t="s">
        <v>60</v>
      </c>
      <c r="F961" s="7">
        <v>1</v>
      </c>
      <c r="G961" s="7" t="s">
        <v>14</v>
      </c>
      <c r="H961" s="7" t="s">
        <v>314</v>
      </c>
      <c r="J961" s="7">
        <f t="shared" si="82"/>
        <v>1900</v>
      </c>
      <c r="K961" s="7">
        <f t="shared" si="84"/>
        <v>1</v>
      </c>
      <c r="L961" s="7">
        <f t="shared" si="85"/>
        <v>45891</v>
      </c>
      <c r="M961" s="7" t="s">
        <v>537</v>
      </c>
      <c r="N961" s="7" t="s">
        <v>922</v>
      </c>
      <c r="O961" s="17" t="s">
        <v>682</v>
      </c>
      <c r="P961" s="7">
        <f t="shared" si="83"/>
        <v>8</v>
      </c>
      <c r="Q961" s="7">
        <f t="shared" si="86"/>
        <v>2025</v>
      </c>
    </row>
    <row r="962" spans="1:17" x14ac:dyDescent="0.25">
      <c r="A962" s="7">
        <v>2539</v>
      </c>
      <c r="B962" s="9" t="s">
        <v>533</v>
      </c>
      <c r="C962" s="9" t="s">
        <v>533</v>
      </c>
      <c r="D962" s="8">
        <v>45891</v>
      </c>
      <c r="E962" s="7" t="s">
        <v>60</v>
      </c>
      <c r="F962" s="7">
        <v>1</v>
      </c>
      <c r="G962" s="7" t="s">
        <v>14</v>
      </c>
      <c r="H962" s="7" t="s">
        <v>314</v>
      </c>
      <c r="J962" s="7">
        <f t="shared" si="82"/>
        <v>1900</v>
      </c>
      <c r="K962" s="7">
        <f t="shared" si="84"/>
        <v>1</v>
      </c>
      <c r="L962" s="7">
        <f t="shared" si="85"/>
        <v>45891</v>
      </c>
      <c r="M962" s="7" t="s">
        <v>537</v>
      </c>
      <c r="N962" s="7" t="s">
        <v>922</v>
      </c>
      <c r="O962" s="17" t="s">
        <v>682</v>
      </c>
      <c r="P962" s="7">
        <f t="shared" si="83"/>
        <v>8</v>
      </c>
      <c r="Q962" s="7">
        <f t="shared" si="86"/>
        <v>2025</v>
      </c>
    </row>
    <row r="963" spans="1:17" x14ac:dyDescent="0.25">
      <c r="A963" s="7">
        <v>2539</v>
      </c>
      <c r="B963" s="9" t="s">
        <v>533</v>
      </c>
      <c r="C963" s="9" t="s">
        <v>533</v>
      </c>
      <c r="D963" s="8">
        <v>45891</v>
      </c>
      <c r="E963" s="7" t="s">
        <v>60</v>
      </c>
      <c r="F963" s="7">
        <v>1</v>
      </c>
      <c r="G963" s="7" t="s">
        <v>14</v>
      </c>
      <c r="H963" s="7" t="s">
        <v>314</v>
      </c>
      <c r="J963" s="7">
        <f t="shared" si="82"/>
        <v>1900</v>
      </c>
      <c r="K963" s="7">
        <f t="shared" si="84"/>
        <v>1</v>
      </c>
      <c r="L963" s="7">
        <f t="shared" si="85"/>
        <v>45891</v>
      </c>
      <c r="M963" s="7" t="s">
        <v>537</v>
      </c>
      <c r="N963" s="7" t="s">
        <v>922</v>
      </c>
      <c r="O963" s="17" t="s">
        <v>682</v>
      </c>
      <c r="P963" s="7">
        <f t="shared" si="83"/>
        <v>8</v>
      </c>
      <c r="Q963" s="7">
        <f t="shared" si="86"/>
        <v>2025</v>
      </c>
    </row>
    <row r="964" spans="1:17" x14ac:dyDescent="0.25">
      <c r="A964" s="7">
        <v>2539</v>
      </c>
      <c r="B964" s="9" t="s">
        <v>533</v>
      </c>
      <c r="C964" s="9" t="s">
        <v>533</v>
      </c>
      <c r="D964" s="8">
        <v>45891</v>
      </c>
      <c r="E964" s="7" t="s">
        <v>60</v>
      </c>
      <c r="F964" s="7">
        <v>1</v>
      </c>
      <c r="G964" s="7" t="s">
        <v>14</v>
      </c>
      <c r="H964" s="7" t="s">
        <v>314</v>
      </c>
      <c r="J964" s="7">
        <f t="shared" si="82"/>
        <v>1900</v>
      </c>
      <c r="K964" s="7">
        <f t="shared" si="84"/>
        <v>1</v>
      </c>
      <c r="L964" s="7">
        <f t="shared" si="85"/>
        <v>45891</v>
      </c>
      <c r="M964" s="7" t="s">
        <v>537</v>
      </c>
      <c r="N964" s="7" t="s">
        <v>922</v>
      </c>
      <c r="O964" s="17" t="s">
        <v>682</v>
      </c>
      <c r="P964" s="7">
        <f t="shared" si="83"/>
        <v>8</v>
      </c>
      <c r="Q964" s="7">
        <f t="shared" si="86"/>
        <v>2025</v>
      </c>
    </row>
    <row r="965" spans="1:17" x14ac:dyDescent="0.25">
      <c r="A965" s="7">
        <v>2539</v>
      </c>
      <c r="B965" s="9" t="s">
        <v>533</v>
      </c>
      <c r="C965" s="9" t="s">
        <v>533</v>
      </c>
      <c r="D965" s="8">
        <v>45891</v>
      </c>
      <c r="E965" s="7" t="s">
        <v>60</v>
      </c>
      <c r="F965" s="7">
        <v>1</v>
      </c>
      <c r="G965" s="7" t="s">
        <v>14</v>
      </c>
      <c r="H965" s="7" t="s">
        <v>314</v>
      </c>
      <c r="J965" s="7">
        <f t="shared" si="82"/>
        <v>1900</v>
      </c>
      <c r="K965" s="7">
        <f t="shared" si="84"/>
        <v>1</v>
      </c>
      <c r="L965" s="7">
        <f t="shared" si="85"/>
        <v>45891</v>
      </c>
      <c r="M965" s="7" t="s">
        <v>537</v>
      </c>
      <c r="N965" s="7" t="s">
        <v>922</v>
      </c>
      <c r="O965" s="17" t="s">
        <v>682</v>
      </c>
      <c r="P965" s="7">
        <f t="shared" si="83"/>
        <v>8</v>
      </c>
      <c r="Q965" s="7">
        <f t="shared" si="86"/>
        <v>2025</v>
      </c>
    </row>
    <row r="966" spans="1:17" x14ac:dyDescent="0.25">
      <c r="A966" s="7">
        <v>2539</v>
      </c>
      <c r="B966" s="9" t="s">
        <v>533</v>
      </c>
      <c r="C966" s="9" t="s">
        <v>533</v>
      </c>
      <c r="D966" s="8">
        <v>45891</v>
      </c>
      <c r="E966" s="7" t="s">
        <v>60</v>
      </c>
      <c r="F966" s="7">
        <v>1</v>
      </c>
      <c r="G966" s="7" t="s">
        <v>14</v>
      </c>
      <c r="H966" s="7" t="s">
        <v>314</v>
      </c>
      <c r="J966" s="7">
        <f t="shared" si="82"/>
        <v>1900</v>
      </c>
      <c r="K966" s="7">
        <f t="shared" si="84"/>
        <v>1</v>
      </c>
      <c r="L966" s="7">
        <f t="shared" si="85"/>
        <v>45891</v>
      </c>
      <c r="M966" s="7" t="s">
        <v>537</v>
      </c>
      <c r="N966" s="7" t="s">
        <v>922</v>
      </c>
      <c r="O966" s="17" t="s">
        <v>682</v>
      </c>
      <c r="P966" s="7">
        <f t="shared" si="83"/>
        <v>8</v>
      </c>
      <c r="Q966" s="7">
        <f t="shared" si="86"/>
        <v>2025</v>
      </c>
    </row>
    <row r="967" spans="1:17" x14ac:dyDescent="0.25">
      <c r="A967" s="7">
        <v>2539</v>
      </c>
      <c r="B967" s="9" t="s">
        <v>533</v>
      </c>
      <c r="C967" s="9" t="s">
        <v>533</v>
      </c>
      <c r="D967" s="8">
        <v>45891</v>
      </c>
      <c r="E967" s="7" t="s">
        <v>60</v>
      </c>
      <c r="F967" s="7">
        <v>1</v>
      </c>
      <c r="G967" s="7" t="s">
        <v>14</v>
      </c>
      <c r="H967" s="7" t="s">
        <v>314</v>
      </c>
      <c r="J967" s="7">
        <f t="shared" si="82"/>
        <v>1900</v>
      </c>
      <c r="K967" s="7">
        <f t="shared" si="84"/>
        <v>1</v>
      </c>
      <c r="L967" s="7">
        <f t="shared" si="85"/>
        <v>45891</v>
      </c>
      <c r="M967" s="7" t="s">
        <v>537</v>
      </c>
      <c r="N967" s="7" t="s">
        <v>922</v>
      </c>
      <c r="O967" s="17" t="s">
        <v>682</v>
      </c>
      <c r="P967" s="7">
        <f t="shared" si="83"/>
        <v>8</v>
      </c>
      <c r="Q967" s="7">
        <f t="shared" si="86"/>
        <v>2025</v>
      </c>
    </row>
    <row r="968" spans="1:17" x14ac:dyDescent="0.25">
      <c r="A968" s="7">
        <v>2539</v>
      </c>
      <c r="B968" s="9" t="s">
        <v>533</v>
      </c>
      <c r="C968" s="9" t="s">
        <v>533</v>
      </c>
      <c r="D968" s="8">
        <v>45891</v>
      </c>
      <c r="E968" s="7" t="s">
        <v>60</v>
      </c>
      <c r="F968" s="7">
        <v>1</v>
      </c>
      <c r="G968" s="7" t="s">
        <v>14</v>
      </c>
      <c r="H968" s="7" t="s">
        <v>314</v>
      </c>
      <c r="J968" s="7">
        <f t="shared" si="82"/>
        <v>1900</v>
      </c>
      <c r="K968" s="7">
        <f t="shared" si="84"/>
        <v>1</v>
      </c>
      <c r="L968" s="7">
        <f t="shared" si="85"/>
        <v>45891</v>
      </c>
      <c r="M968" s="7" t="s">
        <v>537</v>
      </c>
      <c r="N968" s="7" t="s">
        <v>922</v>
      </c>
      <c r="O968" s="17" t="s">
        <v>682</v>
      </c>
      <c r="P968" s="7">
        <f t="shared" si="83"/>
        <v>8</v>
      </c>
      <c r="Q968" s="7">
        <f t="shared" si="86"/>
        <v>2025</v>
      </c>
    </row>
    <row r="969" spans="1:17" x14ac:dyDescent="0.25">
      <c r="A969" s="7">
        <v>2539</v>
      </c>
      <c r="B969" s="9" t="s">
        <v>533</v>
      </c>
      <c r="C969" s="9" t="s">
        <v>533</v>
      </c>
      <c r="D969" s="8">
        <v>45891</v>
      </c>
      <c r="E969" s="7" t="s">
        <v>60</v>
      </c>
      <c r="F969" s="7">
        <v>1</v>
      </c>
      <c r="G969" s="7" t="s">
        <v>14</v>
      </c>
      <c r="H969" s="7" t="s">
        <v>314</v>
      </c>
      <c r="J969" s="7">
        <f t="shared" si="82"/>
        <v>1900</v>
      </c>
      <c r="K969" s="7">
        <f t="shared" si="84"/>
        <v>1</v>
      </c>
      <c r="L969" s="7">
        <f t="shared" si="85"/>
        <v>45891</v>
      </c>
      <c r="M969" s="7" t="s">
        <v>537</v>
      </c>
      <c r="N969" s="7" t="s">
        <v>922</v>
      </c>
      <c r="O969" s="17" t="s">
        <v>682</v>
      </c>
      <c r="P969" s="7">
        <f t="shared" si="83"/>
        <v>8</v>
      </c>
      <c r="Q969" s="7">
        <f t="shared" si="86"/>
        <v>2025</v>
      </c>
    </row>
    <row r="970" spans="1:17" x14ac:dyDescent="0.25">
      <c r="A970" s="7">
        <v>2539</v>
      </c>
      <c r="B970" s="9" t="s">
        <v>533</v>
      </c>
      <c r="C970" s="9" t="s">
        <v>533</v>
      </c>
      <c r="D970" s="8">
        <v>45891</v>
      </c>
      <c r="E970" s="7" t="s">
        <v>60</v>
      </c>
      <c r="F970" s="7">
        <v>1</v>
      </c>
      <c r="G970" s="7" t="s">
        <v>14</v>
      </c>
      <c r="H970" s="7" t="s">
        <v>314</v>
      </c>
      <c r="J970" s="7">
        <f t="shared" si="82"/>
        <v>1900</v>
      </c>
      <c r="K970" s="7">
        <f t="shared" si="84"/>
        <v>1</v>
      </c>
      <c r="L970" s="7">
        <f t="shared" si="85"/>
        <v>45891</v>
      </c>
      <c r="M970" s="7" t="s">
        <v>537</v>
      </c>
      <c r="N970" s="7" t="s">
        <v>922</v>
      </c>
      <c r="O970" s="17" t="s">
        <v>682</v>
      </c>
      <c r="P970" s="7">
        <f t="shared" si="83"/>
        <v>8</v>
      </c>
      <c r="Q970" s="7">
        <f t="shared" si="86"/>
        <v>2025</v>
      </c>
    </row>
    <row r="971" spans="1:17" x14ac:dyDescent="0.25">
      <c r="A971" s="7">
        <v>2539</v>
      </c>
      <c r="B971" s="9" t="s">
        <v>533</v>
      </c>
      <c r="C971" s="9" t="s">
        <v>533</v>
      </c>
      <c r="D971" s="8">
        <v>45891</v>
      </c>
      <c r="E971" s="7" t="s">
        <v>60</v>
      </c>
      <c r="F971" s="7">
        <v>1</v>
      </c>
      <c r="G971" s="7" t="s">
        <v>14</v>
      </c>
      <c r="H971" s="7" t="s">
        <v>314</v>
      </c>
      <c r="J971" s="7">
        <f t="shared" si="82"/>
        <v>1900</v>
      </c>
      <c r="K971" s="7">
        <f t="shared" si="84"/>
        <v>1</v>
      </c>
      <c r="L971" s="7">
        <f t="shared" si="85"/>
        <v>45891</v>
      </c>
      <c r="M971" s="7" t="s">
        <v>537</v>
      </c>
      <c r="N971" s="7" t="s">
        <v>922</v>
      </c>
      <c r="O971" s="17" t="s">
        <v>682</v>
      </c>
      <c r="P971" s="7">
        <f t="shared" si="83"/>
        <v>8</v>
      </c>
      <c r="Q971" s="7">
        <f t="shared" si="86"/>
        <v>2025</v>
      </c>
    </row>
    <row r="972" spans="1:17" x14ac:dyDescent="0.25">
      <c r="A972" s="7">
        <v>2539</v>
      </c>
      <c r="B972" s="9" t="s">
        <v>533</v>
      </c>
      <c r="C972" s="9" t="s">
        <v>533</v>
      </c>
      <c r="D972" s="8">
        <v>45891</v>
      </c>
      <c r="E972" s="7" t="s">
        <v>60</v>
      </c>
      <c r="F972" s="7">
        <v>1</v>
      </c>
      <c r="G972" s="7" t="s">
        <v>14</v>
      </c>
      <c r="H972" s="7" t="s">
        <v>314</v>
      </c>
      <c r="J972" s="7">
        <f t="shared" si="82"/>
        <v>1900</v>
      </c>
      <c r="K972" s="7">
        <f t="shared" si="84"/>
        <v>1</v>
      </c>
      <c r="L972" s="7">
        <f t="shared" si="85"/>
        <v>45891</v>
      </c>
      <c r="M972" s="7" t="s">
        <v>537</v>
      </c>
      <c r="N972" s="7" t="s">
        <v>922</v>
      </c>
      <c r="O972" s="17" t="s">
        <v>682</v>
      </c>
      <c r="P972" s="7">
        <f t="shared" si="83"/>
        <v>8</v>
      </c>
      <c r="Q972" s="7">
        <f t="shared" si="86"/>
        <v>2025</v>
      </c>
    </row>
    <row r="973" spans="1:17" x14ac:dyDescent="0.25">
      <c r="A973" s="7">
        <v>2539</v>
      </c>
      <c r="B973" s="9" t="s">
        <v>533</v>
      </c>
      <c r="C973" s="9" t="s">
        <v>533</v>
      </c>
      <c r="D973" s="8">
        <v>45891</v>
      </c>
      <c r="E973" s="7" t="s">
        <v>60</v>
      </c>
      <c r="F973" s="7">
        <v>1</v>
      </c>
      <c r="G973" s="7" t="s">
        <v>14</v>
      </c>
      <c r="H973" s="7" t="s">
        <v>314</v>
      </c>
      <c r="J973" s="7">
        <f t="shared" si="82"/>
        <v>1900</v>
      </c>
      <c r="K973" s="7">
        <f t="shared" si="84"/>
        <v>1</v>
      </c>
      <c r="L973" s="7">
        <f t="shared" si="85"/>
        <v>45891</v>
      </c>
      <c r="M973" s="7" t="s">
        <v>537</v>
      </c>
      <c r="N973" s="7" t="s">
        <v>922</v>
      </c>
      <c r="O973" s="17" t="s">
        <v>682</v>
      </c>
      <c r="P973" s="7">
        <f t="shared" si="83"/>
        <v>8</v>
      </c>
      <c r="Q973" s="7">
        <f t="shared" si="86"/>
        <v>2025</v>
      </c>
    </row>
    <row r="974" spans="1:17" x14ac:dyDescent="0.25">
      <c r="A974" s="7">
        <v>2539</v>
      </c>
      <c r="B974" s="9" t="s">
        <v>533</v>
      </c>
      <c r="C974" s="9" t="s">
        <v>533</v>
      </c>
      <c r="D974" s="8">
        <v>45891</v>
      </c>
      <c r="E974" s="7" t="s">
        <v>60</v>
      </c>
      <c r="F974" s="7">
        <v>1</v>
      </c>
      <c r="G974" s="7" t="s">
        <v>14</v>
      </c>
      <c r="H974" s="7" t="s">
        <v>314</v>
      </c>
      <c r="J974" s="7">
        <f t="shared" si="82"/>
        <v>1900</v>
      </c>
      <c r="K974" s="7">
        <f t="shared" si="84"/>
        <v>1</v>
      </c>
      <c r="L974" s="7">
        <f t="shared" si="85"/>
        <v>45891</v>
      </c>
      <c r="M974" s="7" t="s">
        <v>537</v>
      </c>
      <c r="N974" s="7" t="s">
        <v>922</v>
      </c>
      <c r="O974" s="17" t="s">
        <v>682</v>
      </c>
      <c r="P974" s="7">
        <f t="shared" si="83"/>
        <v>8</v>
      </c>
      <c r="Q974" s="7">
        <f t="shared" si="86"/>
        <v>2025</v>
      </c>
    </row>
    <row r="975" spans="1:17" x14ac:dyDescent="0.25">
      <c r="A975" s="7">
        <v>2539</v>
      </c>
      <c r="B975" s="9" t="s">
        <v>533</v>
      </c>
      <c r="C975" s="9" t="s">
        <v>533</v>
      </c>
      <c r="D975" s="8">
        <v>45891</v>
      </c>
      <c r="E975" s="7" t="s">
        <v>60</v>
      </c>
      <c r="F975" s="7">
        <v>1</v>
      </c>
      <c r="G975" s="7" t="s">
        <v>14</v>
      </c>
      <c r="H975" s="7" t="s">
        <v>314</v>
      </c>
      <c r="J975" s="7">
        <f t="shared" si="82"/>
        <v>1900</v>
      </c>
      <c r="K975" s="7">
        <f t="shared" si="84"/>
        <v>1</v>
      </c>
      <c r="L975" s="7">
        <f t="shared" si="85"/>
        <v>45891</v>
      </c>
      <c r="M975" s="7" t="s">
        <v>537</v>
      </c>
      <c r="N975" s="7" t="s">
        <v>922</v>
      </c>
      <c r="O975" s="17" t="s">
        <v>682</v>
      </c>
      <c r="P975" s="7">
        <f t="shared" si="83"/>
        <v>8</v>
      </c>
      <c r="Q975" s="7">
        <f t="shared" si="86"/>
        <v>2025</v>
      </c>
    </row>
    <row r="976" spans="1:17" x14ac:dyDescent="0.25">
      <c r="A976" s="7">
        <v>2539</v>
      </c>
      <c r="B976" s="9" t="s">
        <v>533</v>
      </c>
      <c r="C976" s="9" t="s">
        <v>533</v>
      </c>
      <c r="D976" s="8">
        <v>45891</v>
      </c>
      <c r="E976" s="7" t="s">
        <v>60</v>
      </c>
      <c r="F976" s="7">
        <v>1</v>
      </c>
      <c r="G976" s="7" t="s">
        <v>14</v>
      </c>
      <c r="H976" s="7" t="s">
        <v>314</v>
      </c>
      <c r="J976" s="7">
        <f t="shared" si="82"/>
        <v>1900</v>
      </c>
      <c r="K976" s="7">
        <f t="shared" si="84"/>
        <v>1</v>
      </c>
      <c r="L976" s="7">
        <f t="shared" si="85"/>
        <v>45891</v>
      </c>
      <c r="M976" s="7" t="s">
        <v>537</v>
      </c>
      <c r="N976" s="7" t="s">
        <v>922</v>
      </c>
      <c r="O976" s="17" t="s">
        <v>682</v>
      </c>
      <c r="P976" s="7">
        <f t="shared" si="83"/>
        <v>8</v>
      </c>
      <c r="Q976" s="7">
        <f t="shared" si="86"/>
        <v>2025</v>
      </c>
    </row>
    <row r="977" spans="1:17" x14ac:dyDescent="0.25">
      <c r="A977" s="7">
        <v>2539</v>
      </c>
      <c r="B977" s="9" t="s">
        <v>533</v>
      </c>
      <c r="C977" s="9" t="s">
        <v>533</v>
      </c>
      <c r="D977" s="8">
        <v>45891</v>
      </c>
      <c r="E977" s="7" t="s">
        <v>60</v>
      </c>
      <c r="F977" s="7">
        <v>1</v>
      </c>
      <c r="G977" s="7" t="s">
        <v>14</v>
      </c>
      <c r="H977" s="7" t="s">
        <v>314</v>
      </c>
      <c r="J977" s="7">
        <f t="shared" ref="J977:J1040" si="87">YEAR(I977)</f>
        <v>1900</v>
      </c>
      <c r="K977" s="7">
        <f t="shared" si="84"/>
        <v>1</v>
      </c>
      <c r="L977" s="7">
        <f t="shared" si="85"/>
        <v>45891</v>
      </c>
      <c r="M977" s="7" t="s">
        <v>537</v>
      </c>
      <c r="N977" s="7" t="s">
        <v>922</v>
      </c>
      <c r="O977" s="17" t="s">
        <v>682</v>
      </c>
      <c r="P977" s="7">
        <f t="shared" si="83"/>
        <v>8</v>
      </c>
      <c r="Q977" s="7">
        <f t="shared" si="86"/>
        <v>2025</v>
      </c>
    </row>
    <row r="978" spans="1:17" x14ac:dyDescent="0.25">
      <c r="A978" s="7">
        <v>2539</v>
      </c>
      <c r="B978" s="9" t="s">
        <v>533</v>
      </c>
      <c r="C978" s="9" t="s">
        <v>533</v>
      </c>
      <c r="D978" s="8">
        <v>45891</v>
      </c>
      <c r="E978" s="7" t="s">
        <v>60</v>
      </c>
      <c r="F978" s="7">
        <v>1</v>
      </c>
      <c r="G978" s="7" t="s">
        <v>14</v>
      </c>
      <c r="H978" s="7" t="s">
        <v>314</v>
      </c>
      <c r="J978" s="7">
        <f t="shared" si="87"/>
        <v>1900</v>
      </c>
      <c r="K978" s="7">
        <f t="shared" si="84"/>
        <v>1</v>
      </c>
      <c r="L978" s="7">
        <f t="shared" si="85"/>
        <v>45891</v>
      </c>
      <c r="M978" s="7" t="s">
        <v>537</v>
      </c>
      <c r="N978" s="7" t="s">
        <v>922</v>
      </c>
      <c r="O978" s="17" t="s">
        <v>682</v>
      </c>
      <c r="P978" s="7">
        <f t="shared" si="83"/>
        <v>8</v>
      </c>
      <c r="Q978" s="7">
        <f t="shared" si="86"/>
        <v>2025</v>
      </c>
    </row>
    <row r="979" spans="1:17" x14ac:dyDescent="0.25">
      <c r="A979" s="7">
        <v>2539</v>
      </c>
      <c r="B979" s="9" t="s">
        <v>533</v>
      </c>
      <c r="C979" s="9" t="s">
        <v>533</v>
      </c>
      <c r="D979" s="8">
        <v>45891</v>
      </c>
      <c r="E979" s="7" t="s">
        <v>60</v>
      </c>
      <c r="F979" s="7">
        <v>1</v>
      </c>
      <c r="G979" s="7" t="s">
        <v>14</v>
      </c>
      <c r="H979" s="7" t="s">
        <v>314</v>
      </c>
      <c r="J979" s="7">
        <f t="shared" si="87"/>
        <v>1900</v>
      </c>
      <c r="K979" s="7">
        <f t="shared" si="84"/>
        <v>1</v>
      </c>
      <c r="L979" s="7">
        <f t="shared" si="85"/>
        <v>45891</v>
      </c>
      <c r="M979" s="7" t="s">
        <v>537</v>
      </c>
      <c r="N979" s="7" t="s">
        <v>922</v>
      </c>
      <c r="O979" s="17" t="s">
        <v>682</v>
      </c>
      <c r="P979" s="7">
        <f t="shared" si="83"/>
        <v>8</v>
      </c>
      <c r="Q979" s="7">
        <f t="shared" si="86"/>
        <v>2025</v>
      </c>
    </row>
    <row r="980" spans="1:17" x14ac:dyDescent="0.25">
      <c r="A980" s="7">
        <v>2539</v>
      </c>
      <c r="B980" s="9" t="s">
        <v>533</v>
      </c>
      <c r="C980" s="9" t="s">
        <v>533</v>
      </c>
      <c r="D980" s="8">
        <v>45891</v>
      </c>
      <c r="E980" s="7" t="s">
        <v>60</v>
      </c>
      <c r="F980" s="7">
        <v>1</v>
      </c>
      <c r="G980" s="7" t="s">
        <v>14</v>
      </c>
      <c r="H980" s="7" t="s">
        <v>314</v>
      </c>
      <c r="J980" s="7">
        <f t="shared" si="87"/>
        <v>1900</v>
      </c>
      <c r="K980" s="7">
        <f t="shared" si="84"/>
        <v>1</v>
      </c>
      <c r="L980" s="7">
        <f t="shared" si="85"/>
        <v>45891</v>
      </c>
      <c r="M980" s="7" t="s">
        <v>537</v>
      </c>
      <c r="N980" s="7" t="s">
        <v>922</v>
      </c>
      <c r="O980" s="17" t="s">
        <v>682</v>
      </c>
      <c r="P980" s="7">
        <f t="shared" si="83"/>
        <v>8</v>
      </c>
      <c r="Q980" s="7">
        <f t="shared" si="86"/>
        <v>2025</v>
      </c>
    </row>
    <row r="981" spans="1:17" x14ac:dyDescent="0.25">
      <c r="A981" s="7">
        <v>2539</v>
      </c>
      <c r="B981" s="9" t="s">
        <v>533</v>
      </c>
      <c r="C981" s="9" t="s">
        <v>533</v>
      </c>
      <c r="D981" s="8">
        <v>45891</v>
      </c>
      <c r="E981" s="7" t="s">
        <v>60</v>
      </c>
      <c r="F981" s="7">
        <v>1</v>
      </c>
      <c r="G981" s="7" t="s">
        <v>14</v>
      </c>
      <c r="H981" s="7" t="s">
        <v>314</v>
      </c>
      <c r="J981" s="7">
        <f t="shared" si="87"/>
        <v>1900</v>
      </c>
      <c r="K981" s="7">
        <f t="shared" si="84"/>
        <v>1</v>
      </c>
      <c r="L981" s="7">
        <f t="shared" si="85"/>
        <v>45891</v>
      </c>
      <c r="M981" s="7" t="s">
        <v>537</v>
      </c>
      <c r="N981" s="7" t="s">
        <v>922</v>
      </c>
      <c r="O981" s="17" t="s">
        <v>682</v>
      </c>
      <c r="P981" s="7">
        <f t="shared" si="83"/>
        <v>8</v>
      </c>
      <c r="Q981" s="7">
        <f t="shared" si="86"/>
        <v>2025</v>
      </c>
    </row>
    <row r="982" spans="1:17" x14ac:dyDescent="0.25">
      <c r="A982" s="7">
        <v>2539</v>
      </c>
      <c r="B982" s="9" t="s">
        <v>533</v>
      </c>
      <c r="C982" s="9" t="s">
        <v>533</v>
      </c>
      <c r="D982" s="8">
        <v>45891</v>
      </c>
      <c r="E982" s="7" t="s">
        <v>60</v>
      </c>
      <c r="F982" s="7">
        <v>1</v>
      </c>
      <c r="G982" s="7" t="s">
        <v>14</v>
      </c>
      <c r="H982" s="7" t="s">
        <v>314</v>
      </c>
      <c r="J982" s="7">
        <f t="shared" si="87"/>
        <v>1900</v>
      </c>
      <c r="K982" s="7">
        <f t="shared" si="84"/>
        <v>1</v>
      </c>
      <c r="L982" s="7">
        <f t="shared" si="85"/>
        <v>45891</v>
      </c>
      <c r="M982" s="7" t="s">
        <v>537</v>
      </c>
      <c r="N982" s="7" t="s">
        <v>922</v>
      </c>
      <c r="O982" s="17" t="s">
        <v>682</v>
      </c>
      <c r="P982" s="7">
        <f t="shared" si="83"/>
        <v>8</v>
      </c>
      <c r="Q982" s="7">
        <f t="shared" si="86"/>
        <v>2025</v>
      </c>
    </row>
    <row r="983" spans="1:17" x14ac:dyDescent="0.25">
      <c r="A983" s="7">
        <v>2539</v>
      </c>
      <c r="B983" s="9" t="s">
        <v>533</v>
      </c>
      <c r="C983" s="9" t="s">
        <v>533</v>
      </c>
      <c r="D983" s="8">
        <v>45891</v>
      </c>
      <c r="E983" s="7" t="s">
        <v>60</v>
      </c>
      <c r="F983" s="7">
        <v>1</v>
      </c>
      <c r="G983" s="7" t="s">
        <v>14</v>
      </c>
      <c r="H983" s="7" t="s">
        <v>314</v>
      </c>
      <c r="J983" s="7">
        <f t="shared" si="87"/>
        <v>1900</v>
      </c>
      <c r="K983" s="7">
        <f t="shared" si="84"/>
        <v>1</v>
      </c>
      <c r="L983" s="7">
        <f t="shared" si="85"/>
        <v>45891</v>
      </c>
      <c r="M983" s="7" t="s">
        <v>537</v>
      </c>
      <c r="N983" s="7" t="s">
        <v>922</v>
      </c>
      <c r="O983" s="17" t="s">
        <v>682</v>
      </c>
      <c r="P983" s="7">
        <f t="shared" si="83"/>
        <v>8</v>
      </c>
      <c r="Q983" s="7">
        <f t="shared" si="86"/>
        <v>2025</v>
      </c>
    </row>
    <row r="984" spans="1:17" x14ac:dyDescent="0.25">
      <c r="A984" s="7">
        <v>2539</v>
      </c>
      <c r="B984" s="9" t="s">
        <v>533</v>
      </c>
      <c r="C984" s="9" t="s">
        <v>533</v>
      </c>
      <c r="D984" s="8">
        <v>45891</v>
      </c>
      <c r="E984" s="7" t="s">
        <v>60</v>
      </c>
      <c r="F984" s="7">
        <v>1</v>
      </c>
      <c r="G984" s="7" t="s">
        <v>14</v>
      </c>
      <c r="H984" s="7" t="s">
        <v>314</v>
      </c>
      <c r="J984" s="7">
        <f t="shared" si="87"/>
        <v>1900</v>
      </c>
      <c r="K984" s="7">
        <f t="shared" si="84"/>
        <v>1</v>
      </c>
      <c r="L984" s="7">
        <f t="shared" si="85"/>
        <v>45891</v>
      </c>
      <c r="M984" s="7" t="s">
        <v>537</v>
      </c>
      <c r="N984" s="7" t="s">
        <v>922</v>
      </c>
      <c r="O984" s="17" t="s">
        <v>682</v>
      </c>
      <c r="P984" s="7">
        <f t="shared" si="83"/>
        <v>8</v>
      </c>
      <c r="Q984" s="7">
        <f t="shared" si="86"/>
        <v>2025</v>
      </c>
    </row>
    <row r="985" spans="1:17" x14ac:dyDescent="0.25">
      <c r="A985" s="7">
        <v>2539</v>
      </c>
      <c r="B985" s="9" t="s">
        <v>533</v>
      </c>
      <c r="C985" s="9" t="s">
        <v>533</v>
      </c>
      <c r="D985" s="8">
        <v>45891</v>
      </c>
      <c r="E985" s="7" t="s">
        <v>60</v>
      </c>
      <c r="F985" s="7">
        <v>1</v>
      </c>
      <c r="G985" s="7" t="s">
        <v>14</v>
      </c>
      <c r="H985" s="7" t="s">
        <v>314</v>
      </c>
      <c r="J985" s="7">
        <f t="shared" si="87"/>
        <v>1900</v>
      </c>
      <c r="K985" s="7">
        <f t="shared" si="84"/>
        <v>1</v>
      </c>
      <c r="L985" s="7">
        <f t="shared" si="85"/>
        <v>45891</v>
      </c>
      <c r="M985" s="7" t="s">
        <v>537</v>
      </c>
      <c r="N985" s="7" t="s">
        <v>922</v>
      </c>
      <c r="O985" s="17" t="s">
        <v>682</v>
      </c>
      <c r="P985" s="7">
        <f t="shared" si="83"/>
        <v>8</v>
      </c>
      <c r="Q985" s="7">
        <f t="shared" si="86"/>
        <v>2025</v>
      </c>
    </row>
    <row r="986" spans="1:17" x14ac:dyDescent="0.25">
      <c r="A986" s="7">
        <v>2539</v>
      </c>
      <c r="B986" s="9" t="s">
        <v>533</v>
      </c>
      <c r="C986" s="9" t="s">
        <v>533</v>
      </c>
      <c r="D986" s="8">
        <v>45891</v>
      </c>
      <c r="E986" s="7" t="s">
        <v>60</v>
      </c>
      <c r="F986" s="7">
        <v>1</v>
      </c>
      <c r="G986" s="7" t="s">
        <v>14</v>
      </c>
      <c r="H986" s="7" t="s">
        <v>314</v>
      </c>
      <c r="J986" s="7">
        <f t="shared" si="87"/>
        <v>1900</v>
      </c>
      <c r="K986" s="7">
        <f t="shared" si="84"/>
        <v>1</v>
      </c>
      <c r="L986" s="7">
        <f t="shared" si="85"/>
        <v>45891</v>
      </c>
      <c r="M986" s="7" t="s">
        <v>537</v>
      </c>
      <c r="N986" s="7" t="s">
        <v>922</v>
      </c>
      <c r="O986" s="17" t="s">
        <v>682</v>
      </c>
      <c r="P986" s="7">
        <f t="shared" ref="P986:P1049" si="88">MONTH(D986)</f>
        <v>8</v>
      </c>
      <c r="Q986" s="7">
        <f t="shared" si="86"/>
        <v>2025</v>
      </c>
    </row>
    <row r="987" spans="1:17" x14ac:dyDescent="0.25">
      <c r="A987" s="7">
        <v>2539</v>
      </c>
      <c r="B987" s="9" t="s">
        <v>533</v>
      </c>
      <c r="C987" s="9" t="s">
        <v>533</v>
      </c>
      <c r="D987" s="8">
        <v>45891</v>
      </c>
      <c r="E987" s="7" t="s">
        <v>60</v>
      </c>
      <c r="F987" s="7">
        <v>1</v>
      </c>
      <c r="G987" s="7" t="s">
        <v>14</v>
      </c>
      <c r="H987" s="7" t="s">
        <v>314</v>
      </c>
      <c r="J987" s="7">
        <f t="shared" si="87"/>
        <v>1900</v>
      </c>
      <c r="K987" s="7">
        <f t="shared" si="84"/>
        <v>1</v>
      </c>
      <c r="L987" s="7">
        <f t="shared" si="85"/>
        <v>45891</v>
      </c>
      <c r="M987" s="7" t="s">
        <v>537</v>
      </c>
      <c r="N987" s="7" t="s">
        <v>922</v>
      </c>
      <c r="O987" s="17" t="s">
        <v>682</v>
      </c>
      <c r="P987" s="7">
        <f t="shared" si="88"/>
        <v>8</v>
      </c>
      <c r="Q987" s="7">
        <f t="shared" si="86"/>
        <v>2025</v>
      </c>
    </row>
    <row r="988" spans="1:17" x14ac:dyDescent="0.25">
      <c r="A988" s="7">
        <v>2539</v>
      </c>
      <c r="B988" s="9" t="s">
        <v>533</v>
      </c>
      <c r="C988" s="9" t="s">
        <v>533</v>
      </c>
      <c r="D988" s="8">
        <v>45891</v>
      </c>
      <c r="E988" s="7" t="s">
        <v>60</v>
      </c>
      <c r="F988" s="7">
        <v>1</v>
      </c>
      <c r="G988" s="7" t="s">
        <v>14</v>
      </c>
      <c r="H988" s="7" t="s">
        <v>314</v>
      </c>
      <c r="J988" s="7">
        <f t="shared" si="87"/>
        <v>1900</v>
      </c>
      <c r="K988" s="7">
        <f t="shared" si="84"/>
        <v>1</v>
      </c>
      <c r="L988" s="7">
        <f t="shared" si="85"/>
        <v>45891</v>
      </c>
      <c r="M988" s="7" t="s">
        <v>537</v>
      </c>
      <c r="N988" s="7" t="s">
        <v>922</v>
      </c>
      <c r="O988" s="17" t="s">
        <v>682</v>
      </c>
      <c r="P988" s="7">
        <f t="shared" si="88"/>
        <v>8</v>
      </c>
      <c r="Q988" s="7">
        <f t="shared" si="86"/>
        <v>2025</v>
      </c>
    </row>
    <row r="989" spans="1:17" x14ac:dyDescent="0.25">
      <c r="A989" s="7">
        <v>2539</v>
      </c>
      <c r="B989" s="9" t="s">
        <v>533</v>
      </c>
      <c r="C989" s="9" t="s">
        <v>533</v>
      </c>
      <c r="D989" s="8">
        <v>45891</v>
      </c>
      <c r="E989" s="7" t="s">
        <v>60</v>
      </c>
      <c r="F989" s="7">
        <v>1</v>
      </c>
      <c r="G989" s="7" t="s">
        <v>14</v>
      </c>
      <c r="H989" s="7" t="s">
        <v>314</v>
      </c>
      <c r="J989" s="7">
        <f t="shared" si="87"/>
        <v>1900</v>
      </c>
      <c r="K989" s="7">
        <f t="shared" si="84"/>
        <v>1</v>
      </c>
      <c r="L989" s="7">
        <f t="shared" si="85"/>
        <v>45891</v>
      </c>
      <c r="M989" s="7" t="s">
        <v>537</v>
      </c>
      <c r="N989" s="7" t="s">
        <v>922</v>
      </c>
      <c r="O989" s="17" t="s">
        <v>682</v>
      </c>
      <c r="P989" s="7">
        <f t="shared" si="88"/>
        <v>8</v>
      </c>
      <c r="Q989" s="7">
        <f t="shared" si="86"/>
        <v>2025</v>
      </c>
    </row>
    <row r="990" spans="1:17" x14ac:dyDescent="0.25">
      <c r="A990" s="7">
        <v>2539</v>
      </c>
      <c r="B990" s="9" t="s">
        <v>533</v>
      </c>
      <c r="C990" s="9" t="s">
        <v>533</v>
      </c>
      <c r="D990" s="8">
        <v>45891</v>
      </c>
      <c r="E990" s="7" t="s">
        <v>60</v>
      </c>
      <c r="F990" s="7">
        <v>1</v>
      </c>
      <c r="G990" s="7" t="s">
        <v>14</v>
      </c>
      <c r="H990" s="7" t="s">
        <v>314</v>
      </c>
      <c r="J990" s="7">
        <f t="shared" si="87"/>
        <v>1900</v>
      </c>
      <c r="K990" s="7">
        <f t="shared" si="84"/>
        <v>1</v>
      </c>
      <c r="L990" s="7">
        <f t="shared" si="85"/>
        <v>45891</v>
      </c>
      <c r="M990" s="7" t="s">
        <v>537</v>
      </c>
      <c r="N990" s="7" t="s">
        <v>922</v>
      </c>
      <c r="O990" s="17" t="s">
        <v>682</v>
      </c>
      <c r="P990" s="7">
        <f t="shared" si="88"/>
        <v>8</v>
      </c>
      <c r="Q990" s="7">
        <f t="shared" si="86"/>
        <v>2025</v>
      </c>
    </row>
    <row r="991" spans="1:17" x14ac:dyDescent="0.25">
      <c r="A991" s="7">
        <v>2539</v>
      </c>
      <c r="B991" s="9" t="s">
        <v>533</v>
      </c>
      <c r="C991" s="9" t="s">
        <v>533</v>
      </c>
      <c r="D991" s="8">
        <v>45891</v>
      </c>
      <c r="E991" s="7" t="s">
        <v>60</v>
      </c>
      <c r="F991" s="7">
        <v>1</v>
      </c>
      <c r="G991" s="7" t="s">
        <v>14</v>
      </c>
      <c r="H991" s="7" t="s">
        <v>314</v>
      </c>
      <c r="J991" s="7">
        <f t="shared" si="87"/>
        <v>1900</v>
      </c>
      <c r="K991" s="7">
        <f t="shared" si="84"/>
        <v>1</v>
      </c>
      <c r="L991" s="7">
        <f t="shared" si="85"/>
        <v>45891</v>
      </c>
      <c r="M991" s="7" t="s">
        <v>537</v>
      </c>
      <c r="N991" s="7" t="s">
        <v>922</v>
      </c>
      <c r="O991" s="17" t="s">
        <v>682</v>
      </c>
      <c r="P991" s="7">
        <f t="shared" si="88"/>
        <v>8</v>
      </c>
      <c r="Q991" s="7">
        <f t="shared" si="86"/>
        <v>2025</v>
      </c>
    </row>
    <row r="992" spans="1:17" x14ac:dyDescent="0.25">
      <c r="A992" s="7">
        <v>2539</v>
      </c>
      <c r="B992" s="9" t="s">
        <v>533</v>
      </c>
      <c r="C992" s="9" t="s">
        <v>533</v>
      </c>
      <c r="D992" s="8">
        <v>45891</v>
      </c>
      <c r="E992" s="7" t="s">
        <v>60</v>
      </c>
      <c r="F992" s="7">
        <v>1</v>
      </c>
      <c r="G992" s="7" t="s">
        <v>14</v>
      </c>
      <c r="H992" s="7" t="s">
        <v>314</v>
      </c>
      <c r="J992" s="7">
        <f t="shared" si="87"/>
        <v>1900</v>
      </c>
      <c r="K992" s="7">
        <f t="shared" si="84"/>
        <v>1</v>
      </c>
      <c r="L992" s="7">
        <f t="shared" si="85"/>
        <v>45891</v>
      </c>
      <c r="M992" s="7" t="s">
        <v>537</v>
      </c>
      <c r="N992" s="7" t="s">
        <v>922</v>
      </c>
      <c r="O992" s="17" t="s">
        <v>682</v>
      </c>
      <c r="P992" s="7">
        <f t="shared" si="88"/>
        <v>8</v>
      </c>
      <c r="Q992" s="7">
        <f t="shared" si="86"/>
        <v>2025</v>
      </c>
    </row>
    <row r="993" spans="1:17" x14ac:dyDescent="0.25">
      <c r="A993" s="7">
        <v>2539</v>
      </c>
      <c r="B993" s="9" t="s">
        <v>533</v>
      </c>
      <c r="C993" s="9" t="s">
        <v>533</v>
      </c>
      <c r="D993" s="8">
        <v>45891</v>
      </c>
      <c r="E993" s="7" t="s">
        <v>60</v>
      </c>
      <c r="F993" s="7">
        <v>1</v>
      </c>
      <c r="G993" s="7" t="s">
        <v>14</v>
      </c>
      <c r="H993" s="7" t="s">
        <v>314</v>
      </c>
      <c r="J993" s="7">
        <f t="shared" si="87"/>
        <v>1900</v>
      </c>
      <c r="K993" s="7">
        <f t="shared" si="84"/>
        <v>1</v>
      </c>
      <c r="L993" s="7">
        <f t="shared" si="85"/>
        <v>45891</v>
      </c>
      <c r="M993" s="7" t="s">
        <v>537</v>
      </c>
      <c r="N993" s="7" t="s">
        <v>922</v>
      </c>
      <c r="O993" s="17" t="s">
        <v>682</v>
      </c>
      <c r="P993" s="7">
        <f t="shared" si="88"/>
        <v>8</v>
      </c>
      <c r="Q993" s="7">
        <f t="shared" si="86"/>
        <v>2025</v>
      </c>
    </row>
    <row r="994" spans="1:17" x14ac:dyDescent="0.25">
      <c r="A994" s="7">
        <v>2539</v>
      </c>
      <c r="B994" s="9" t="s">
        <v>533</v>
      </c>
      <c r="C994" s="9" t="s">
        <v>533</v>
      </c>
      <c r="D994" s="8">
        <v>45891</v>
      </c>
      <c r="E994" s="7" t="s">
        <v>60</v>
      </c>
      <c r="F994" s="7">
        <v>1</v>
      </c>
      <c r="G994" s="7" t="s">
        <v>14</v>
      </c>
      <c r="H994" s="7" t="s">
        <v>314</v>
      </c>
      <c r="J994" s="7">
        <f t="shared" si="87"/>
        <v>1900</v>
      </c>
      <c r="K994" s="7">
        <f t="shared" si="84"/>
        <v>1</v>
      </c>
      <c r="L994" s="7">
        <f t="shared" si="85"/>
        <v>45891</v>
      </c>
      <c r="M994" s="7" t="s">
        <v>537</v>
      </c>
      <c r="N994" s="7" t="s">
        <v>922</v>
      </c>
      <c r="O994" s="17" t="s">
        <v>682</v>
      </c>
      <c r="P994" s="7">
        <f t="shared" si="88"/>
        <v>8</v>
      </c>
      <c r="Q994" s="7">
        <f t="shared" si="86"/>
        <v>2025</v>
      </c>
    </row>
    <row r="995" spans="1:17" x14ac:dyDescent="0.25">
      <c r="A995" s="7">
        <v>2539</v>
      </c>
      <c r="B995" s="9" t="s">
        <v>533</v>
      </c>
      <c r="C995" s="9" t="s">
        <v>533</v>
      </c>
      <c r="D995" s="8">
        <v>45891</v>
      </c>
      <c r="E995" s="7" t="s">
        <v>60</v>
      </c>
      <c r="F995" s="7">
        <v>1</v>
      </c>
      <c r="G995" s="7" t="s">
        <v>14</v>
      </c>
      <c r="H995" s="7" t="s">
        <v>314</v>
      </c>
      <c r="J995" s="7">
        <f t="shared" si="87"/>
        <v>1900</v>
      </c>
      <c r="K995" s="7">
        <f t="shared" si="84"/>
        <v>1</v>
      </c>
      <c r="L995" s="7">
        <f t="shared" si="85"/>
        <v>45891</v>
      </c>
      <c r="M995" s="7" t="s">
        <v>537</v>
      </c>
      <c r="N995" s="7" t="s">
        <v>922</v>
      </c>
      <c r="O995" s="17" t="s">
        <v>682</v>
      </c>
      <c r="P995" s="7">
        <f t="shared" si="88"/>
        <v>8</v>
      </c>
      <c r="Q995" s="7">
        <f t="shared" si="86"/>
        <v>2025</v>
      </c>
    </row>
    <row r="996" spans="1:17" x14ac:dyDescent="0.25">
      <c r="A996" s="7">
        <v>2539</v>
      </c>
      <c r="B996" s="9" t="s">
        <v>533</v>
      </c>
      <c r="C996" s="9" t="s">
        <v>533</v>
      </c>
      <c r="D996" s="8">
        <v>45891</v>
      </c>
      <c r="E996" s="7" t="s">
        <v>60</v>
      </c>
      <c r="F996" s="7">
        <v>1</v>
      </c>
      <c r="G996" s="7" t="s">
        <v>14</v>
      </c>
      <c r="H996" s="7" t="s">
        <v>314</v>
      </c>
      <c r="J996" s="7">
        <f t="shared" si="87"/>
        <v>1900</v>
      </c>
      <c r="K996" s="7">
        <f t="shared" si="84"/>
        <v>1</v>
      </c>
      <c r="L996" s="7">
        <f t="shared" si="85"/>
        <v>45891</v>
      </c>
      <c r="M996" s="7" t="s">
        <v>537</v>
      </c>
      <c r="N996" s="7" t="s">
        <v>922</v>
      </c>
      <c r="O996" s="17" t="s">
        <v>682</v>
      </c>
      <c r="P996" s="7">
        <f t="shared" si="88"/>
        <v>8</v>
      </c>
      <c r="Q996" s="7">
        <f t="shared" si="86"/>
        <v>2025</v>
      </c>
    </row>
    <row r="997" spans="1:17" x14ac:dyDescent="0.25">
      <c r="A997" s="7">
        <v>2539</v>
      </c>
      <c r="B997" s="9" t="s">
        <v>533</v>
      </c>
      <c r="C997" s="9" t="s">
        <v>533</v>
      </c>
      <c r="D997" s="8">
        <v>45891</v>
      </c>
      <c r="E997" s="7" t="s">
        <v>60</v>
      </c>
      <c r="F997" s="7">
        <v>1</v>
      </c>
      <c r="G997" s="7" t="s">
        <v>14</v>
      </c>
      <c r="H997" s="7" t="s">
        <v>314</v>
      </c>
      <c r="J997" s="7">
        <f t="shared" si="87"/>
        <v>1900</v>
      </c>
      <c r="K997" s="7">
        <f t="shared" si="84"/>
        <v>1</v>
      </c>
      <c r="L997" s="7">
        <f t="shared" si="85"/>
        <v>45891</v>
      </c>
      <c r="M997" s="7" t="s">
        <v>537</v>
      </c>
      <c r="N997" s="7" t="s">
        <v>922</v>
      </c>
      <c r="O997" s="17" t="s">
        <v>682</v>
      </c>
      <c r="P997" s="7">
        <f t="shared" si="88"/>
        <v>8</v>
      </c>
      <c r="Q997" s="7">
        <f t="shared" si="86"/>
        <v>2025</v>
      </c>
    </row>
    <row r="998" spans="1:17" x14ac:dyDescent="0.25">
      <c r="A998" s="7">
        <v>2539</v>
      </c>
      <c r="B998" s="9" t="s">
        <v>533</v>
      </c>
      <c r="C998" s="9" t="s">
        <v>533</v>
      </c>
      <c r="D998" s="8">
        <v>45891</v>
      </c>
      <c r="E998" s="7" t="s">
        <v>60</v>
      </c>
      <c r="F998" s="7">
        <v>1</v>
      </c>
      <c r="G998" s="7" t="s">
        <v>14</v>
      </c>
      <c r="H998" s="7" t="s">
        <v>314</v>
      </c>
      <c r="J998" s="7">
        <f t="shared" si="87"/>
        <v>1900</v>
      </c>
      <c r="K998" s="7">
        <f t="shared" si="84"/>
        <v>1</v>
      </c>
      <c r="L998" s="7">
        <f t="shared" si="85"/>
        <v>45891</v>
      </c>
      <c r="M998" s="7" t="s">
        <v>537</v>
      </c>
      <c r="N998" s="7" t="s">
        <v>922</v>
      </c>
      <c r="O998" s="17" t="s">
        <v>682</v>
      </c>
      <c r="P998" s="7">
        <f t="shared" si="88"/>
        <v>8</v>
      </c>
      <c r="Q998" s="7">
        <f t="shared" si="86"/>
        <v>2025</v>
      </c>
    </row>
    <row r="999" spans="1:17" x14ac:dyDescent="0.25">
      <c r="A999" s="7">
        <v>2539</v>
      </c>
      <c r="B999" s="9" t="s">
        <v>533</v>
      </c>
      <c r="C999" s="9" t="s">
        <v>533</v>
      </c>
      <c r="D999" s="8">
        <v>45891</v>
      </c>
      <c r="E999" s="7" t="s">
        <v>60</v>
      </c>
      <c r="F999" s="7">
        <v>1</v>
      </c>
      <c r="G999" s="7" t="s">
        <v>14</v>
      </c>
      <c r="H999" s="7" t="s">
        <v>314</v>
      </c>
      <c r="J999" s="7">
        <f t="shared" si="87"/>
        <v>1900</v>
      </c>
      <c r="K999" s="7">
        <f t="shared" si="84"/>
        <v>1</v>
      </c>
      <c r="L999" s="7">
        <f t="shared" si="85"/>
        <v>45891</v>
      </c>
      <c r="M999" s="7" t="s">
        <v>537</v>
      </c>
      <c r="N999" s="7" t="s">
        <v>922</v>
      </c>
      <c r="O999" s="17" t="s">
        <v>682</v>
      </c>
      <c r="P999" s="7">
        <f t="shared" si="88"/>
        <v>8</v>
      </c>
      <c r="Q999" s="7">
        <f t="shared" si="86"/>
        <v>2025</v>
      </c>
    </row>
    <row r="1000" spans="1:17" x14ac:dyDescent="0.25">
      <c r="A1000" s="7">
        <v>2539</v>
      </c>
      <c r="B1000" s="9" t="s">
        <v>533</v>
      </c>
      <c r="C1000" s="9" t="s">
        <v>533</v>
      </c>
      <c r="D1000" s="8">
        <v>45891</v>
      </c>
      <c r="E1000" s="7" t="s">
        <v>60</v>
      </c>
      <c r="F1000" s="7">
        <v>1</v>
      </c>
      <c r="G1000" s="7" t="s">
        <v>14</v>
      </c>
      <c r="H1000" s="7" t="s">
        <v>314</v>
      </c>
      <c r="J1000" s="7">
        <f t="shared" si="87"/>
        <v>1900</v>
      </c>
      <c r="K1000" s="7">
        <f t="shared" si="84"/>
        <v>1</v>
      </c>
      <c r="L1000" s="7">
        <f t="shared" si="85"/>
        <v>45891</v>
      </c>
      <c r="M1000" s="7" t="s">
        <v>537</v>
      </c>
      <c r="N1000" s="7" t="s">
        <v>922</v>
      </c>
      <c r="O1000" s="17" t="s">
        <v>682</v>
      </c>
      <c r="P1000" s="7">
        <f t="shared" si="88"/>
        <v>8</v>
      </c>
      <c r="Q1000" s="7">
        <f t="shared" si="86"/>
        <v>2025</v>
      </c>
    </row>
    <row r="1001" spans="1:17" x14ac:dyDescent="0.25">
      <c r="A1001" s="7">
        <v>2539</v>
      </c>
      <c r="B1001" s="9" t="s">
        <v>533</v>
      </c>
      <c r="C1001" s="9" t="s">
        <v>533</v>
      </c>
      <c r="D1001" s="8">
        <v>45891</v>
      </c>
      <c r="E1001" s="7" t="s">
        <v>60</v>
      </c>
      <c r="F1001" s="7">
        <v>1</v>
      </c>
      <c r="G1001" s="7" t="s">
        <v>14</v>
      </c>
      <c r="H1001" s="7" t="s">
        <v>314</v>
      </c>
      <c r="J1001" s="7">
        <f t="shared" si="87"/>
        <v>1900</v>
      </c>
      <c r="K1001" s="7">
        <f t="shared" si="84"/>
        <v>1</v>
      </c>
      <c r="L1001" s="7">
        <f t="shared" si="85"/>
        <v>45891</v>
      </c>
      <c r="M1001" s="7" t="s">
        <v>537</v>
      </c>
      <c r="N1001" s="7" t="s">
        <v>922</v>
      </c>
      <c r="O1001" s="17" t="s">
        <v>682</v>
      </c>
      <c r="P1001" s="7">
        <f t="shared" si="88"/>
        <v>8</v>
      </c>
      <c r="Q1001" s="7">
        <f t="shared" si="86"/>
        <v>2025</v>
      </c>
    </row>
    <row r="1002" spans="1:17" x14ac:dyDescent="0.25">
      <c r="A1002" s="7">
        <v>2539</v>
      </c>
      <c r="B1002" s="9" t="s">
        <v>533</v>
      </c>
      <c r="C1002" s="9" t="s">
        <v>533</v>
      </c>
      <c r="D1002" s="8">
        <v>45891</v>
      </c>
      <c r="E1002" s="7" t="s">
        <v>60</v>
      </c>
      <c r="F1002" s="7">
        <v>1</v>
      </c>
      <c r="G1002" s="7" t="s">
        <v>14</v>
      </c>
      <c r="H1002" s="7" t="s">
        <v>314</v>
      </c>
      <c r="J1002" s="7">
        <f t="shared" si="87"/>
        <v>1900</v>
      </c>
      <c r="K1002" s="7">
        <f t="shared" si="84"/>
        <v>1</v>
      </c>
      <c r="L1002" s="7">
        <f t="shared" si="85"/>
        <v>45891</v>
      </c>
      <c r="M1002" s="7" t="s">
        <v>537</v>
      </c>
      <c r="N1002" s="7" t="s">
        <v>922</v>
      </c>
      <c r="O1002" s="17" t="s">
        <v>682</v>
      </c>
      <c r="P1002" s="7">
        <f t="shared" si="88"/>
        <v>8</v>
      </c>
      <c r="Q1002" s="7">
        <f t="shared" si="86"/>
        <v>2025</v>
      </c>
    </row>
    <row r="1003" spans="1:17" x14ac:dyDescent="0.25">
      <c r="A1003" s="7">
        <v>2539</v>
      </c>
      <c r="B1003" s="9" t="s">
        <v>533</v>
      </c>
      <c r="C1003" s="9" t="s">
        <v>533</v>
      </c>
      <c r="D1003" s="8">
        <v>45891</v>
      </c>
      <c r="E1003" s="7" t="s">
        <v>60</v>
      </c>
      <c r="F1003" s="7">
        <v>1</v>
      </c>
      <c r="G1003" s="7" t="s">
        <v>14</v>
      </c>
      <c r="H1003" s="7" t="s">
        <v>314</v>
      </c>
      <c r="J1003" s="7">
        <f t="shared" si="87"/>
        <v>1900</v>
      </c>
      <c r="K1003" s="7">
        <f t="shared" si="84"/>
        <v>1</v>
      </c>
      <c r="L1003" s="7">
        <f t="shared" si="85"/>
        <v>45891</v>
      </c>
      <c r="M1003" s="7" t="s">
        <v>537</v>
      </c>
      <c r="N1003" s="7" t="s">
        <v>922</v>
      </c>
      <c r="O1003" s="17" t="s">
        <v>682</v>
      </c>
      <c r="P1003" s="7">
        <f t="shared" si="88"/>
        <v>8</v>
      </c>
      <c r="Q1003" s="7">
        <f t="shared" si="86"/>
        <v>2025</v>
      </c>
    </row>
    <row r="1004" spans="1:17" x14ac:dyDescent="0.25">
      <c r="A1004" s="7">
        <v>2539</v>
      </c>
      <c r="B1004" s="9" t="s">
        <v>533</v>
      </c>
      <c r="C1004" s="9" t="s">
        <v>533</v>
      </c>
      <c r="D1004" s="8">
        <v>45891</v>
      </c>
      <c r="E1004" s="7" t="s">
        <v>60</v>
      </c>
      <c r="F1004" s="7">
        <v>1</v>
      </c>
      <c r="G1004" s="7" t="s">
        <v>14</v>
      </c>
      <c r="H1004" s="7" t="s">
        <v>314</v>
      </c>
      <c r="J1004" s="7">
        <f t="shared" si="87"/>
        <v>1900</v>
      </c>
      <c r="K1004" s="7">
        <f t="shared" si="84"/>
        <v>1</v>
      </c>
      <c r="L1004" s="7">
        <f t="shared" si="85"/>
        <v>45891</v>
      </c>
      <c r="M1004" s="7" t="s">
        <v>537</v>
      </c>
      <c r="N1004" s="7" t="s">
        <v>922</v>
      </c>
      <c r="O1004" s="17" t="s">
        <v>682</v>
      </c>
      <c r="P1004" s="7">
        <f t="shared" si="88"/>
        <v>8</v>
      </c>
      <c r="Q1004" s="7">
        <f t="shared" si="86"/>
        <v>2025</v>
      </c>
    </row>
    <row r="1005" spans="1:17" x14ac:dyDescent="0.25">
      <c r="A1005" s="7">
        <v>2539</v>
      </c>
      <c r="B1005" s="9" t="s">
        <v>533</v>
      </c>
      <c r="C1005" s="9" t="s">
        <v>533</v>
      </c>
      <c r="D1005" s="8">
        <v>45891</v>
      </c>
      <c r="E1005" s="7" t="s">
        <v>60</v>
      </c>
      <c r="F1005" s="7">
        <v>1</v>
      </c>
      <c r="G1005" s="7" t="s">
        <v>14</v>
      </c>
      <c r="H1005" s="7" t="s">
        <v>314</v>
      </c>
      <c r="J1005" s="7">
        <f t="shared" si="87"/>
        <v>1900</v>
      </c>
      <c r="K1005" s="7">
        <f t="shared" ref="K1005:K1068" si="89">MONTH(I1005)</f>
        <v>1</v>
      </c>
      <c r="L1005" s="7">
        <f t="shared" si="85"/>
        <v>45891</v>
      </c>
      <c r="M1005" s="7" t="s">
        <v>537</v>
      </c>
      <c r="N1005" s="7" t="s">
        <v>922</v>
      </c>
      <c r="O1005" s="17" t="s">
        <v>682</v>
      </c>
      <c r="P1005" s="7">
        <f t="shared" si="88"/>
        <v>8</v>
      </c>
      <c r="Q1005" s="7">
        <f t="shared" si="86"/>
        <v>2025</v>
      </c>
    </row>
    <row r="1006" spans="1:17" x14ac:dyDescent="0.25">
      <c r="A1006" s="7">
        <v>2539</v>
      </c>
      <c r="B1006" s="9" t="s">
        <v>533</v>
      </c>
      <c r="C1006" s="9" t="s">
        <v>533</v>
      </c>
      <c r="D1006" s="8">
        <v>45891</v>
      </c>
      <c r="E1006" s="7" t="s">
        <v>60</v>
      </c>
      <c r="F1006" s="7">
        <v>1</v>
      </c>
      <c r="G1006" s="7" t="s">
        <v>14</v>
      </c>
      <c r="H1006" s="7" t="s">
        <v>314</v>
      </c>
      <c r="J1006" s="7">
        <f t="shared" si="87"/>
        <v>1900</v>
      </c>
      <c r="K1006" s="7">
        <f t="shared" si="89"/>
        <v>1</v>
      </c>
      <c r="L1006" s="7">
        <f t="shared" si="85"/>
        <v>45891</v>
      </c>
      <c r="M1006" s="7" t="s">
        <v>537</v>
      </c>
      <c r="N1006" s="7" t="s">
        <v>922</v>
      </c>
      <c r="O1006" s="17" t="s">
        <v>682</v>
      </c>
      <c r="P1006" s="7">
        <f t="shared" si="88"/>
        <v>8</v>
      </c>
      <c r="Q1006" s="7">
        <f t="shared" si="86"/>
        <v>2025</v>
      </c>
    </row>
    <row r="1007" spans="1:17" x14ac:dyDescent="0.25">
      <c r="A1007" s="7">
        <v>2539</v>
      </c>
      <c r="B1007" s="9" t="s">
        <v>533</v>
      </c>
      <c r="C1007" s="9" t="s">
        <v>533</v>
      </c>
      <c r="D1007" s="8">
        <v>45891</v>
      </c>
      <c r="E1007" s="7" t="s">
        <v>60</v>
      </c>
      <c r="F1007" s="7">
        <v>1</v>
      </c>
      <c r="G1007" s="7" t="s">
        <v>14</v>
      </c>
      <c r="H1007" s="7" t="s">
        <v>314</v>
      </c>
      <c r="J1007" s="7">
        <f t="shared" si="87"/>
        <v>1900</v>
      </c>
      <c r="K1007" s="7">
        <f t="shared" si="89"/>
        <v>1</v>
      </c>
      <c r="L1007" s="7">
        <f t="shared" ref="L1007:L1070" si="90">D1007-I1007</f>
        <v>45891</v>
      </c>
      <c r="M1007" s="7" t="s">
        <v>537</v>
      </c>
      <c r="N1007" s="7" t="s">
        <v>922</v>
      </c>
      <c r="O1007" s="17" t="s">
        <v>682</v>
      </c>
      <c r="P1007" s="7">
        <f t="shared" si="88"/>
        <v>8</v>
      </c>
      <c r="Q1007" s="7">
        <f t="shared" si="86"/>
        <v>2025</v>
      </c>
    </row>
    <row r="1008" spans="1:17" x14ac:dyDescent="0.25">
      <c r="A1008" s="7">
        <v>2539</v>
      </c>
      <c r="B1008" s="9" t="s">
        <v>533</v>
      </c>
      <c r="C1008" s="9" t="s">
        <v>533</v>
      </c>
      <c r="D1008" s="8">
        <v>45891</v>
      </c>
      <c r="E1008" s="7" t="s">
        <v>60</v>
      </c>
      <c r="F1008" s="7">
        <v>1</v>
      </c>
      <c r="G1008" s="7" t="s">
        <v>14</v>
      </c>
      <c r="H1008" s="7" t="s">
        <v>314</v>
      </c>
      <c r="J1008" s="7">
        <f t="shared" si="87"/>
        <v>1900</v>
      </c>
      <c r="K1008" s="7">
        <f t="shared" si="89"/>
        <v>1</v>
      </c>
      <c r="L1008" s="7">
        <f t="shared" si="90"/>
        <v>45891</v>
      </c>
      <c r="M1008" s="7" t="s">
        <v>537</v>
      </c>
      <c r="N1008" s="7" t="s">
        <v>922</v>
      </c>
      <c r="O1008" s="17" t="s">
        <v>682</v>
      </c>
      <c r="P1008" s="7">
        <f t="shared" si="88"/>
        <v>8</v>
      </c>
      <c r="Q1008" s="7">
        <f t="shared" si="86"/>
        <v>2025</v>
      </c>
    </row>
    <row r="1009" spans="1:17" x14ac:dyDescent="0.25">
      <c r="A1009" s="7">
        <v>2539</v>
      </c>
      <c r="B1009" s="9" t="s">
        <v>533</v>
      </c>
      <c r="C1009" s="9" t="s">
        <v>533</v>
      </c>
      <c r="D1009" s="8">
        <v>45891</v>
      </c>
      <c r="E1009" s="7" t="s">
        <v>60</v>
      </c>
      <c r="F1009" s="7">
        <v>1</v>
      </c>
      <c r="G1009" s="7" t="s">
        <v>14</v>
      </c>
      <c r="H1009" s="7" t="s">
        <v>314</v>
      </c>
      <c r="J1009" s="7">
        <f t="shared" si="87"/>
        <v>1900</v>
      </c>
      <c r="K1009" s="7">
        <f t="shared" si="89"/>
        <v>1</v>
      </c>
      <c r="L1009" s="7">
        <f t="shared" si="90"/>
        <v>45891</v>
      </c>
      <c r="M1009" s="7" t="s">
        <v>537</v>
      </c>
      <c r="N1009" s="7" t="s">
        <v>922</v>
      </c>
      <c r="O1009" s="17" t="s">
        <v>682</v>
      </c>
      <c r="P1009" s="7">
        <f t="shared" si="88"/>
        <v>8</v>
      </c>
      <c r="Q1009" s="7">
        <f t="shared" si="86"/>
        <v>2025</v>
      </c>
    </row>
    <row r="1010" spans="1:17" x14ac:dyDescent="0.25">
      <c r="A1010" s="7">
        <v>2539</v>
      </c>
      <c r="B1010" s="9" t="s">
        <v>533</v>
      </c>
      <c r="C1010" s="9" t="s">
        <v>533</v>
      </c>
      <c r="D1010" s="8">
        <v>45891</v>
      </c>
      <c r="E1010" s="7" t="s">
        <v>60</v>
      </c>
      <c r="F1010" s="7">
        <v>1</v>
      </c>
      <c r="G1010" s="7" t="s">
        <v>14</v>
      </c>
      <c r="H1010" s="7" t="s">
        <v>314</v>
      </c>
      <c r="J1010" s="7">
        <f t="shared" si="87"/>
        <v>1900</v>
      </c>
      <c r="K1010" s="7">
        <f t="shared" si="89"/>
        <v>1</v>
      </c>
      <c r="L1010" s="7">
        <f t="shared" si="90"/>
        <v>45891</v>
      </c>
      <c r="M1010" s="7" t="s">
        <v>537</v>
      </c>
      <c r="N1010" s="7" t="s">
        <v>922</v>
      </c>
      <c r="O1010" s="17" t="s">
        <v>682</v>
      </c>
      <c r="P1010" s="7">
        <f t="shared" si="88"/>
        <v>8</v>
      </c>
      <c r="Q1010" s="7">
        <f t="shared" si="86"/>
        <v>2025</v>
      </c>
    </row>
    <row r="1011" spans="1:17" x14ac:dyDescent="0.25">
      <c r="A1011" s="7">
        <v>2539</v>
      </c>
      <c r="B1011" s="9" t="s">
        <v>533</v>
      </c>
      <c r="C1011" s="9" t="s">
        <v>533</v>
      </c>
      <c r="D1011" s="8">
        <v>45891</v>
      </c>
      <c r="E1011" s="7" t="s">
        <v>60</v>
      </c>
      <c r="F1011" s="7">
        <v>1</v>
      </c>
      <c r="G1011" s="7" t="s">
        <v>14</v>
      </c>
      <c r="H1011" s="7" t="s">
        <v>314</v>
      </c>
      <c r="J1011" s="7">
        <f t="shared" si="87"/>
        <v>1900</v>
      </c>
      <c r="K1011" s="7">
        <f t="shared" si="89"/>
        <v>1</v>
      </c>
      <c r="L1011" s="7">
        <f t="shared" si="90"/>
        <v>45891</v>
      </c>
      <c r="M1011" s="7" t="s">
        <v>537</v>
      </c>
      <c r="N1011" s="7" t="s">
        <v>922</v>
      </c>
      <c r="O1011" s="17" t="s">
        <v>682</v>
      </c>
      <c r="P1011" s="7">
        <f t="shared" si="88"/>
        <v>8</v>
      </c>
      <c r="Q1011" s="7">
        <f t="shared" si="86"/>
        <v>2025</v>
      </c>
    </row>
    <row r="1012" spans="1:17" x14ac:dyDescent="0.25">
      <c r="A1012" s="7">
        <v>2539</v>
      </c>
      <c r="B1012" s="9" t="s">
        <v>533</v>
      </c>
      <c r="C1012" s="9" t="s">
        <v>533</v>
      </c>
      <c r="D1012" s="8">
        <v>45891</v>
      </c>
      <c r="E1012" s="7" t="s">
        <v>60</v>
      </c>
      <c r="F1012" s="7">
        <v>1</v>
      </c>
      <c r="G1012" s="7" t="s">
        <v>14</v>
      </c>
      <c r="H1012" s="7" t="s">
        <v>314</v>
      </c>
      <c r="J1012" s="7">
        <f t="shared" si="87"/>
        <v>1900</v>
      </c>
      <c r="K1012" s="7">
        <f t="shared" si="89"/>
        <v>1</v>
      </c>
      <c r="L1012" s="7">
        <f t="shared" si="90"/>
        <v>45891</v>
      </c>
      <c r="M1012" s="7" t="s">
        <v>537</v>
      </c>
      <c r="N1012" s="7" t="s">
        <v>922</v>
      </c>
      <c r="O1012" s="17" t="s">
        <v>682</v>
      </c>
      <c r="P1012" s="7">
        <f t="shared" si="88"/>
        <v>8</v>
      </c>
      <c r="Q1012" s="7">
        <f t="shared" si="86"/>
        <v>2025</v>
      </c>
    </row>
    <row r="1013" spans="1:17" x14ac:dyDescent="0.25">
      <c r="A1013" s="7">
        <v>2539</v>
      </c>
      <c r="B1013" s="9" t="s">
        <v>533</v>
      </c>
      <c r="C1013" s="9" t="s">
        <v>533</v>
      </c>
      <c r="D1013" s="8">
        <v>45891</v>
      </c>
      <c r="E1013" s="7" t="s">
        <v>60</v>
      </c>
      <c r="F1013" s="7">
        <v>1</v>
      </c>
      <c r="G1013" s="7" t="s">
        <v>14</v>
      </c>
      <c r="H1013" s="7" t="s">
        <v>314</v>
      </c>
      <c r="J1013" s="7">
        <f t="shared" si="87"/>
        <v>1900</v>
      </c>
      <c r="K1013" s="7">
        <f t="shared" si="89"/>
        <v>1</v>
      </c>
      <c r="L1013" s="7">
        <f t="shared" si="90"/>
        <v>45891</v>
      </c>
      <c r="M1013" s="7" t="s">
        <v>537</v>
      </c>
      <c r="N1013" s="7" t="s">
        <v>922</v>
      </c>
      <c r="O1013" s="17" t="s">
        <v>682</v>
      </c>
      <c r="P1013" s="7">
        <f t="shared" si="88"/>
        <v>8</v>
      </c>
      <c r="Q1013" s="7">
        <f t="shared" ref="Q1013:Q1076" si="91">YEAR(D1013)</f>
        <v>2025</v>
      </c>
    </row>
    <row r="1014" spans="1:17" x14ac:dyDescent="0.25">
      <c r="A1014" s="7">
        <v>2539</v>
      </c>
      <c r="B1014" s="9" t="s">
        <v>533</v>
      </c>
      <c r="C1014" s="9" t="s">
        <v>533</v>
      </c>
      <c r="D1014" s="8">
        <v>45891</v>
      </c>
      <c r="E1014" s="7" t="s">
        <v>60</v>
      </c>
      <c r="F1014" s="7">
        <v>1</v>
      </c>
      <c r="G1014" s="7" t="s">
        <v>14</v>
      </c>
      <c r="H1014" s="7" t="s">
        <v>314</v>
      </c>
      <c r="J1014" s="7">
        <f t="shared" si="87"/>
        <v>1900</v>
      </c>
      <c r="K1014" s="7">
        <f t="shared" si="89"/>
        <v>1</v>
      </c>
      <c r="L1014" s="7">
        <f t="shared" si="90"/>
        <v>45891</v>
      </c>
      <c r="M1014" s="7" t="s">
        <v>537</v>
      </c>
      <c r="N1014" s="7" t="s">
        <v>922</v>
      </c>
      <c r="O1014" s="17" t="s">
        <v>682</v>
      </c>
      <c r="P1014" s="7">
        <f t="shared" si="88"/>
        <v>8</v>
      </c>
      <c r="Q1014" s="7">
        <f t="shared" si="91"/>
        <v>2025</v>
      </c>
    </row>
    <row r="1015" spans="1:17" x14ac:dyDescent="0.25">
      <c r="A1015" s="7">
        <v>2539</v>
      </c>
      <c r="B1015" s="9" t="s">
        <v>533</v>
      </c>
      <c r="C1015" s="9" t="s">
        <v>533</v>
      </c>
      <c r="D1015" s="8">
        <v>45891</v>
      </c>
      <c r="E1015" s="7" t="s">
        <v>60</v>
      </c>
      <c r="F1015" s="7">
        <v>1</v>
      </c>
      <c r="G1015" s="7" t="s">
        <v>14</v>
      </c>
      <c r="H1015" s="7" t="s">
        <v>314</v>
      </c>
      <c r="J1015" s="7">
        <f t="shared" si="87"/>
        <v>1900</v>
      </c>
      <c r="K1015" s="7">
        <f t="shared" si="89"/>
        <v>1</v>
      </c>
      <c r="L1015" s="7">
        <f t="shared" si="90"/>
        <v>45891</v>
      </c>
      <c r="M1015" s="7" t="s">
        <v>537</v>
      </c>
      <c r="N1015" s="7" t="s">
        <v>922</v>
      </c>
      <c r="O1015" s="17" t="s">
        <v>682</v>
      </c>
      <c r="P1015" s="7">
        <f t="shared" si="88"/>
        <v>8</v>
      </c>
      <c r="Q1015" s="7">
        <f t="shared" si="91"/>
        <v>2025</v>
      </c>
    </row>
    <row r="1016" spans="1:17" x14ac:dyDescent="0.25">
      <c r="A1016" s="7">
        <v>2539</v>
      </c>
      <c r="B1016" s="9" t="s">
        <v>533</v>
      </c>
      <c r="C1016" s="9" t="s">
        <v>533</v>
      </c>
      <c r="D1016" s="8">
        <v>45891</v>
      </c>
      <c r="E1016" s="7" t="s">
        <v>60</v>
      </c>
      <c r="F1016" s="7">
        <v>1</v>
      </c>
      <c r="G1016" s="7" t="s">
        <v>14</v>
      </c>
      <c r="H1016" s="7" t="s">
        <v>314</v>
      </c>
      <c r="J1016" s="7">
        <f t="shared" si="87"/>
        <v>1900</v>
      </c>
      <c r="K1016" s="7">
        <f t="shared" si="89"/>
        <v>1</v>
      </c>
      <c r="L1016" s="7">
        <f t="shared" si="90"/>
        <v>45891</v>
      </c>
      <c r="M1016" s="7" t="s">
        <v>537</v>
      </c>
      <c r="N1016" s="7" t="s">
        <v>922</v>
      </c>
      <c r="O1016" s="17" t="s">
        <v>682</v>
      </c>
      <c r="P1016" s="7">
        <f t="shared" si="88"/>
        <v>8</v>
      </c>
      <c r="Q1016" s="7">
        <f t="shared" si="91"/>
        <v>2025</v>
      </c>
    </row>
    <row r="1017" spans="1:17" x14ac:dyDescent="0.25">
      <c r="A1017" s="7">
        <v>2539</v>
      </c>
      <c r="B1017" s="9" t="s">
        <v>533</v>
      </c>
      <c r="C1017" s="9" t="s">
        <v>533</v>
      </c>
      <c r="D1017" s="8">
        <v>45891</v>
      </c>
      <c r="E1017" s="7" t="s">
        <v>60</v>
      </c>
      <c r="F1017" s="7">
        <v>1</v>
      </c>
      <c r="G1017" s="7" t="s">
        <v>14</v>
      </c>
      <c r="H1017" s="7" t="s">
        <v>314</v>
      </c>
      <c r="J1017" s="7">
        <f t="shared" si="87"/>
        <v>1900</v>
      </c>
      <c r="K1017" s="7">
        <f t="shared" si="89"/>
        <v>1</v>
      </c>
      <c r="L1017" s="7">
        <f t="shared" si="90"/>
        <v>45891</v>
      </c>
      <c r="M1017" s="7" t="s">
        <v>537</v>
      </c>
      <c r="N1017" s="7" t="s">
        <v>922</v>
      </c>
      <c r="O1017" s="17" t="s">
        <v>682</v>
      </c>
      <c r="P1017" s="7">
        <f t="shared" si="88"/>
        <v>8</v>
      </c>
      <c r="Q1017" s="7">
        <f t="shared" si="91"/>
        <v>2025</v>
      </c>
    </row>
    <row r="1018" spans="1:17" x14ac:dyDescent="0.25">
      <c r="A1018" s="7">
        <v>2539</v>
      </c>
      <c r="B1018" s="9" t="s">
        <v>533</v>
      </c>
      <c r="C1018" s="9" t="s">
        <v>533</v>
      </c>
      <c r="D1018" s="8">
        <v>45891</v>
      </c>
      <c r="E1018" s="7" t="s">
        <v>60</v>
      </c>
      <c r="F1018" s="7">
        <v>1</v>
      </c>
      <c r="G1018" s="7" t="s">
        <v>14</v>
      </c>
      <c r="H1018" s="7" t="s">
        <v>314</v>
      </c>
      <c r="J1018" s="7">
        <f t="shared" si="87"/>
        <v>1900</v>
      </c>
      <c r="K1018" s="7">
        <f t="shared" si="89"/>
        <v>1</v>
      </c>
      <c r="L1018" s="7">
        <f t="shared" si="90"/>
        <v>45891</v>
      </c>
      <c r="M1018" s="7" t="s">
        <v>537</v>
      </c>
      <c r="N1018" s="7" t="s">
        <v>922</v>
      </c>
      <c r="O1018" s="17" t="s">
        <v>682</v>
      </c>
      <c r="P1018" s="7">
        <f t="shared" si="88"/>
        <v>8</v>
      </c>
      <c r="Q1018" s="7">
        <f t="shared" si="91"/>
        <v>2025</v>
      </c>
    </row>
    <row r="1019" spans="1:17" x14ac:dyDescent="0.25">
      <c r="A1019" s="7">
        <v>2539</v>
      </c>
      <c r="B1019" s="9" t="s">
        <v>533</v>
      </c>
      <c r="C1019" s="9" t="s">
        <v>533</v>
      </c>
      <c r="D1019" s="8">
        <v>45891</v>
      </c>
      <c r="E1019" s="7" t="s">
        <v>60</v>
      </c>
      <c r="F1019" s="7">
        <v>1</v>
      </c>
      <c r="G1019" s="7" t="s">
        <v>14</v>
      </c>
      <c r="H1019" s="7" t="s">
        <v>314</v>
      </c>
      <c r="J1019" s="7">
        <f t="shared" si="87"/>
        <v>1900</v>
      </c>
      <c r="K1019" s="7">
        <f t="shared" si="89"/>
        <v>1</v>
      </c>
      <c r="L1019" s="7">
        <f t="shared" si="90"/>
        <v>45891</v>
      </c>
      <c r="M1019" s="7" t="s">
        <v>537</v>
      </c>
      <c r="N1019" s="7" t="s">
        <v>922</v>
      </c>
      <c r="O1019" s="17" t="s">
        <v>682</v>
      </c>
      <c r="P1019" s="7">
        <f t="shared" si="88"/>
        <v>8</v>
      </c>
      <c r="Q1019" s="7">
        <f t="shared" si="91"/>
        <v>2025</v>
      </c>
    </row>
    <row r="1020" spans="1:17" x14ac:dyDescent="0.25">
      <c r="A1020" s="7">
        <v>2539</v>
      </c>
      <c r="B1020" s="9" t="s">
        <v>533</v>
      </c>
      <c r="C1020" s="9" t="s">
        <v>533</v>
      </c>
      <c r="D1020" s="8">
        <v>45891</v>
      </c>
      <c r="E1020" s="7" t="s">
        <v>60</v>
      </c>
      <c r="F1020" s="7">
        <v>1</v>
      </c>
      <c r="G1020" s="7" t="s">
        <v>14</v>
      </c>
      <c r="H1020" s="7" t="s">
        <v>314</v>
      </c>
      <c r="J1020" s="7">
        <f t="shared" si="87"/>
        <v>1900</v>
      </c>
      <c r="K1020" s="7">
        <f t="shared" si="89"/>
        <v>1</v>
      </c>
      <c r="L1020" s="7">
        <f t="shared" si="90"/>
        <v>45891</v>
      </c>
      <c r="M1020" s="7" t="s">
        <v>537</v>
      </c>
      <c r="N1020" s="7" t="s">
        <v>922</v>
      </c>
      <c r="O1020" s="17" t="s">
        <v>682</v>
      </c>
      <c r="P1020" s="7">
        <f t="shared" si="88"/>
        <v>8</v>
      </c>
      <c r="Q1020" s="7">
        <f t="shared" si="91"/>
        <v>2025</v>
      </c>
    </row>
    <row r="1021" spans="1:17" x14ac:dyDescent="0.25">
      <c r="A1021" s="7">
        <v>2539</v>
      </c>
      <c r="B1021" s="9" t="s">
        <v>533</v>
      </c>
      <c r="C1021" s="9" t="s">
        <v>533</v>
      </c>
      <c r="D1021" s="8">
        <v>45891</v>
      </c>
      <c r="E1021" s="7" t="s">
        <v>60</v>
      </c>
      <c r="F1021" s="7">
        <v>1</v>
      </c>
      <c r="G1021" s="7" t="s">
        <v>14</v>
      </c>
      <c r="H1021" s="7" t="s">
        <v>314</v>
      </c>
      <c r="J1021" s="7">
        <f t="shared" si="87"/>
        <v>1900</v>
      </c>
      <c r="K1021" s="7">
        <f t="shared" si="89"/>
        <v>1</v>
      </c>
      <c r="L1021" s="7">
        <f t="shared" si="90"/>
        <v>45891</v>
      </c>
      <c r="M1021" s="7" t="s">
        <v>537</v>
      </c>
      <c r="N1021" s="7" t="s">
        <v>922</v>
      </c>
      <c r="O1021" s="17" t="s">
        <v>682</v>
      </c>
      <c r="P1021" s="7">
        <f t="shared" si="88"/>
        <v>8</v>
      </c>
      <c r="Q1021" s="7">
        <f t="shared" si="91"/>
        <v>2025</v>
      </c>
    </row>
    <row r="1022" spans="1:17" x14ac:dyDescent="0.25">
      <c r="A1022" s="7">
        <v>2539</v>
      </c>
      <c r="B1022" s="9" t="s">
        <v>533</v>
      </c>
      <c r="C1022" s="9" t="s">
        <v>533</v>
      </c>
      <c r="D1022" s="8">
        <v>45891</v>
      </c>
      <c r="E1022" s="7" t="s">
        <v>60</v>
      </c>
      <c r="F1022" s="7">
        <v>1</v>
      </c>
      <c r="G1022" s="7" t="s">
        <v>14</v>
      </c>
      <c r="H1022" s="7" t="s">
        <v>314</v>
      </c>
      <c r="J1022" s="7">
        <f t="shared" si="87"/>
        <v>1900</v>
      </c>
      <c r="K1022" s="7">
        <f t="shared" si="89"/>
        <v>1</v>
      </c>
      <c r="L1022" s="7">
        <f t="shared" si="90"/>
        <v>45891</v>
      </c>
      <c r="M1022" s="7" t="s">
        <v>537</v>
      </c>
      <c r="N1022" s="7" t="s">
        <v>922</v>
      </c>
      <c r="O1022" s="17" t="s">
        <v>682</v>
      </c>
      <c r="P1022" s="7">
        <f t="shared" si="88"/>
        <v>8</v>
      </c>
      <c r="Q1022" s="7">
        <f t="shared" si="91"/>
        <v>2025</v>
      </c>
    </row>
    <row r="1023" spans="1:17" x14ac:dyDescent="0.25">
      <c r="A1023" s="7">
        <v>2539</v>
      </c>
      <c r="B1023" s="9" t="s">
        <v>533</v>
      </c>
      <c r="C1023" s="9" t="s">
        <v>533</v>
      </c>
      <c r="D1023" s="8">
        <v>45891</v>
      </c>
      <c r="E1023" s="7" t="s">
        <v>60</v>
      </c>
      <c r="F1023" s="7">
        <v>1</v>
      </c>
      <c r="G1023" s="7" t="s">
        <v>14</v>
      </c>
      <c r="H1023" s="7" t="s">
        <v>314</v>
      </c>
      <c r="J1023" s="7">
        <f t="shared" si="87"/>
        <v>1900</v>
      </c>
      <c r="K1023" s="7">
        <f t="shared" si="89"/>
        <v>1</v>
      </c>
      <c r="L1023" s="7">
        <f t="shared" si="90"/>
        <v>45891</v>
      </c>
      <c r="M1023" s="7" t="s">
        <v>537</v>
      </c>
      <c r="N1023" s="7" t="s">
        <v>922</v>
      </c>
      <c r="O1023" s="17" t="s">
        <v>682</v>
      </c>
      <c r="P1023" s="7">
        <f t="shared" si="88"/>
        <v>8</v>
      </c>
      <c r="Q1023" s="7">
        <f t="shared" si="91"/>
        <v>2025</v>
      </c>
    </row>
    <row r="1024" spans="1:17" x14ac:dyDescent="0.25">
      <c r="A1024" s="7">
        <v>2539</v>
      </c>
      <c r="B1024" s="9" t="s">
        <v>533</v>
      </c>
      <c r="C1024" s="9" t="s">
        <v>533</v>
      </c>
      <c r="D1024" s="8">
        <v>45891</v>
      </c>
      <c r="E1024" s="7" t="s">
        <v>60</v>
      </c>
      <c r="F1024" s="7">
        <v>1</v>
      </c>
      <c r="G1024" s="7" t="s">
        <v>14</v>
      </c>
      <c r="H1024" s="7" t="s">
        <v>314</v>
      </c>
      <c r="J1024" s="7">
        <f t="shared" si="87"/>
        <v>1900</v>
      </c>
      <c r="K1024" s="7">
        <f t="shared" si="89"/>
        <v>1</v>
      </c>
      <c r="L1024" s="7">
        <f t="shared" si="90"/>
        <v>45891</v>
      </c>
      <c r="M1024" s="7" t="s">
        <v>537</v>
      </c>
      <c r="N1024" s="7" t="s">
        <v>922</v>
      </c>
      <c r="O1024" s="17" t="s">
        <v>682</v>
      </c>
      <c r="P1024" s="7">
        <f t="shared" si="88"/>
        <v>8</v>
      </c>
      <c r="Q1024" s="7">
        <f t="shared" si="91"/>
        <v>2025</v>
      </c>
    </row>
    <row r="1025" spans="1:17" x14ac:dyDescent="0.25">
      <c r="A1025" s="7">
        <v>2539</v>
      </c>
      <c r="B1025" s="9" t="s">
        <v>533</v>
      </c>
      <c r="C1025" s="9" t="s">
        <v>533</v>
      </c>
      <c r="D1025" s="8">
        <v>45891</v>
      </c>
      <c r="E1025" s="7" t="s">
        <v>60</v>
      </c>
      <c r="F1025" s="7">
        <v>1</v>
      </c>
      <c r="G1025" s="7" t="s">
        <v>14</v>
      </c>
      <c r="H1025" s="7" t="s">
        <v>314</v>
      </c>
      <c r="J1025" s="7">
        <f t="shared" si="87"/>
        <v>1900</v>
      </c>
      <c r="K1025" s="7">
        <f t="shared" si="89"/>
        <v>1</v>
      </c>
      <c r="L1025" s="7">
        <f t="shared" si="90"/>
        <v>45891</v>
      </c>
      <c r="M1025" s="7" t="s">
        <v>537</v>
      </c>
      <c r="N1025" s="7" t="s">
        <v>922</v>
      </c>
      <c r="O1025" s="17" t="s">
        <v>682</v>
      </c>
      <c r="P1025" s="7">
        <f t="shared" si="88"/>
        <v>8</v>
      </c>
      <c r="Q1025" s="7">
        <f t="shared" si="91"/>
        <v>2025</v>
      </c>
    </row>
    <row r="1026" spans="1:17" x14ac:dyDescent="0.25">
      <c r="A1026" s="7">
        <v>2539</v>
      </c>
      <c r="B1026" s="9" t="s">
        <v>533</v>
      </c>
      <c r="C1026" s="9" t="s">
        <v>533</v>
      </c>
      <c r="D1026" s="8">
        <v>45891</v>
      </c>
      <c r="E1026" s="7" t="s">
        <v>60</v>
      </c>
      <c r="F1026" s="7">
        <v>1</v>
      </c>
      <c r="G1026" s="7" t="s">
        <v>14</v>
      </c>
      <c r="H1026" s="7" t="s">
        <v>314</v>
      </c>
      <c r="J1026" s="7">
        <f t="shared" si="87"/>
        <v>1900</v>
      </c>
      <c r="K1026" s="7">
        <f t="shared" si="89"/>
        <v>1</v>
      </c>
      <c r="L1026" s="7">
        <f t="shared" si="90"/>
        <v>45891</v>
      </c>
      <c r="M1026" s="7" t="s">
        <v>537</v>
      </c>
      <c r="N1026" s="7" t="s">
        <v>922</v>
      </c>
      <c r="O1026" s="17" t="s">
        <v>682</v>
      </c>
      <c r="P1026" s="7">
        <f t="shared" si="88"/>
        <v>8</v>
      </c>
      <c r="Q1026" s="7">
        <f t="shared" si="91"/>
        <v>2025</v>
      </c>
    </row>
    <row r="1027" spans="1:17" x14ac:dyDescent="0.25">
      <c r="A1027" s="7">
        <v>2539</v>
      </c>
      <c r="B1027" s="9" t="s">
        <v>533</v>
      </c>
      <c r="C1027" s="9" t="s">
        <v>533</v>
      </c>
      <c r="D1027" s="8">
        <v>45891</v>
      </c>
      <c r="E1027" s="7" t="s">
        <v>60</v>
      </c>
      <c r="F1027" s="7">
        <v>1</v>
      </c>
      <c r="G1027" s="7" t="s">
        <v>14</v>
      </c>
      <c r="H1027" s="7" t="s">
        <v>314</v>
      </c>
      <c r="J1027" s="7">
        <f t="shared" si="87"/>
        <v>1900</v>
      </c>
      <c r="K1027" s="7">
        <f t="shared" si="89"/>
        <v>1</v>
      </c>
      <c r="L1027" s="7">
        <f t="shared" si="90"/>
        <v>45891</v>
      </c>
      <c r="M1027" s="7" t="s">
        <v>537</v>
      </c>
      <c r="N1027" s="7" t="s">
        <v>922</v>
      </c>
      <c r="O1027" s="17" t="s">
        <v>682</v>
      </c>
      <c r="P1027" s="7">
        <f t="shared" si="88"/>
        <v>8</v>
      </c>
      <c r="Q1027" s="7">
        <f t="shared" si="91"/>
        <v>2025</v>
      </c>
    </row>
    <row r="1028" spans="1:17" x14ac:dyDescent="0.25">
      <c r="A1028" s="7">
        <v>2539</v>
      </c>
      <c r="B1028" s="9" t="s">
        <v>533</v>
      </c>
      <c r="C1028" s="9" t="s">
        <v>533</v>
      </c>
      <c r="D1028" s="8">
        <v>45891</v>
      </c>
      <c r="E1028" s="7" t="s">
        <v>60</v>
      </c>
      <c r="F1028" s="7">
        <v>1</v>
      </c>
      <c r="G1028" s="7" t="s">
        <v>14</v>
      </c>
      <c r="H1028" s="7" t="s">
        <v>314</v>
      </c>
      <c r="J1028" s="7">
        <f t="shared" si="87"/>
        <v>1900</v>
      </c>
      <c r="K1028" s="7">
        <f t="shared" si="89"/>
        <v>1</v>
      </c>
      <c r="L1028" s="7">
        <f t="shared" si="90"/>
        <v>45891</v>
      </c>
      <c r="M1028" s="7" t="s">
        <v>537</v>
      </c>
      <c r="N1028" s="7" t="s">
        <v>922</v>
      </c>
      <c r="O1028" s="17" t="s">
        <v>682</v>
      </c>
      <c r="P1028" s="7">
        <f t="shared" si="88"/>
        <v>8</v>
      </c>
      <c r="Q1028" s="7">
        <f t="shared" si="91"/>
        <v>2025</v>
      </c>
    </row>
    <row r="1029" spans="1:17" x14ac:dyDescent="0.25">
      <c r="A1029" s="7">
        <v>2539</v>
      </c>
      <c r="B1029" s="9" t="s">
        <v>533</v>
      </c>
      <c r="C1029" s="9" t="s">
        <v>533</v>
      </c>
      <c r="D1029" s="8">
        <v>45891</v>
      </c>
      <c r="E1029" s="7" t="s">
        <v>60</v>
      </c>
      <c r="F1029" s="7">
        <v>1</v>
      </c>
      <c r="G1029" s="7" t="s">
        <v>14</v>
      </c>
      <c r="H1029" s="7" t="s">
        <v>314</v>
      </c>
      <c r="J1029" s="7">
        <f t="shared" si="87"/>
        <v>1900</v>
      </c>
      <c r="K1029" s="7">
        <f t="shared" si="89"/>
        <v>1</v>
      </c>
      <c r="L1029" s="7">
        <f t="shared" si="90"/>
        <v>45891</v>
      </c>
      <c r="M1029" s="7" t="s">
        <v>537</v>
      </c>
      <c r="N1029" s="7" t="s">
        <v>922</v>
      </c>
      <c r="O1029" s="17" t="s">
        <v>682</v>
      </c>
      <c r="P1029" s="7">
        <f t="shared" si="88"/>
        <v>8</v>
      </c>
      <c r="Q1029" s="7">
        <f t="shared" si="91"/>
        <v>2025</v>
      </c>
    </row>
    <row r="1030" spans="1:17" x14ac:dyDescent="0.25">
      <c r="A1030" s="7">
        <v>2539</v>
      </c>
      <c r="B1030" s="9" t="s">
        <v>533</v>
      </c>
      <c r="C1030" s="9" t="s">
        <v>533</v>
      </c>
      <c r="D1030" s="8">
        <v>45891</v>
      </c>
      <c r="E1030" s="7" t="s">
        <v>60</v>
      </c>
      <c r="F1030" s="7">
        <v>1</v>
      </c>
      <c r="G1030" s="7" t="s">
        <v>14</v>
      </c>
      <c r="H1030" s="7" t="s">
        <v>314</v>
      </c>
      <c r="J1030" s="7">
        <f t="shared" si="87"/>
        <v>1900</v>
      </c>
      <c r="K1030" s="7">
        <f t="shared" si="89"/>
        <v>1</v>
      </c>
      <c r="L1030" s="7">
        <f t="shared" si="90"/>
        <v>45891</v>
      </c>
      <c r="M1030" s="7" t="s">
        <v>537</v>
      </c>
      <c r="N1030" s="7" t="s">
        <v>922</v>
      </c>
      <c r="O1030" s="17" t="s">
        <v>682</v>
      </c>
      <c r="P1030" s="7">
        <f t="shared" si="88"/>
        <v>8</v>
      </c>
      <c r="Q1030" s="7">
        <f t="shared" si="91"/>
        <v>2025</v>
      </c>
    </row>
    <row r="1031" spans="1:17" x14ac:dyDescent="0.25">
      <c r="A1031" s="7">
        <v>2539</v>
      </c>
      <c r="B1031" s="9" t="s">
        <v>533</v>
      </c>
      <c r="C1031" s="9" t="s">
        <v>533</v>
      </c>
      <c r="D1031" s="8">
        <v>45891</v>
      </c>
      <c r="E1031" s="7" t="s">
        <v>60</v>
      </c>
      <c r="F1031" s="7">
        <v>1</v>
      </c>
      <c r="G1031" s="7" t="s">
        <v>14</v>
      </c>
      <c r="H1031" s="7" t="s">
        <v>314</v>
      </c>
      <c r="J1031" s="7">
        <f t="shared" si="87"/>
        <v>1900</v>
      </c>
      <c r="K1031" s="7">
        <f t="shared" si="89"/>
        <v>1</v>
      </c>
      <c r="L1031" s="7">
        <f t="shared" si="90"/>
        <v>45891</v>
      </c>
      <c r="M1031" s="7" t="s">
        <v>537</v>
      </c>
      <c r="N1031" s="7" t="s">
        <v>922</v>
      </c>
      <c r="O1031" s="17" t="s">
        <v>682</v>
      </c>
      <c r="P1031" s="7">
        <f t="shared" si="88"/>
        <v>8</v>
      </c>
      <c r="Q1031" s="7">
        <f t="shared" si="91"/>
        <v>2025</v>
      </c>
    </row>
    <row r="1032" spans="1:17" x14ac:dyDescent="0.25">
      <c r="A1032" s="7">
        <v>2539</v>
      </c>
      <c r="B1032" s="9" t="s">
        <v>533</v>
      </c>
      <c r="C1032" s="9" t="s">
        <v>533</v>
      </c>
      <c r="D1032" s="8">
        <v>45891</v>
      </c>
      <c r="E1032" s="7" t="s">
        <v>60</v>
      </c>
      <c r="F1032" s="7">
        <v>1</v>
      </c>
      <c r="G1032" s="7" t="s">
        <v>14</v>
      </c>
      <c r="H1032" s="7" t="s">
        <v>314</v>
      </c>
      <c r="J1032" s="7">
        <f t="shared" si="87"/>
        <v>1900</v>
      </c>
      <c r="K1032" s="7">
        <f t="shared" si="89"/>
        <v>1</v>
      </c>
      <c r="L1032" s="7">
        <f t="shared" si="90"/>
        <v>45891</v>
      </c>
      <c r="M1032" s="7" t="s">
        <v>537</v>
      </c>
      <c r="N1032" s="7" t="s">
        <v>922</v>
      </c>
      <c r="O1032" s="17" t="s">
        <v>682</v>
      </c>
      <c r="P1032" s="7">
        <f t="shared" si="88"/>
        <v>8</v>
      </c>
      <c r="Q1032" s="7">
        <f t="shared" si="91"/>
        <v>2025</v>
      </c>
    </row>
    <row r="1033" spans="1:17" x14ac:dyDescent="0.25">
      <c r="A1033" s="7">
        <v>2539</v>
      </c>
      <c r="B1033" s="9" t="s">
        <v>533</v>
      </c>
      <c r="C1033" s="9" t="s">
        <v>533</v>
      </c>
      <c r="D1033" s="8">
        <v>45891</v>
      </c>
      <c r="E1033" s="7" t="s">
        <v>60</v>
      </c>
      <c r="F1033" s="7">
        <v>1</v>
      </c>
      <c r="G1033" s="7" t="s">
        <v>14</v>
      </c>
      <c r="H1033" s="7" t="s">
        <v>314</v>
      </c>
      <c r="J1033" s="7">
        <f t="shared" si="87"/>
        <v>1900</v>
      </c>
      <c r="K1033" s="7">
        <f t="shared" si="89"/>
        <v>1</v>
      </c>
      <c r="L1033" s="7">
        <f t="shared" si="90"/>
        <v>45891</v>
      </c>
      <c r="M1033" s="7" t="s">
        <v>537</v>
      </c>
      <c r="N1033" s="7" t="s">
        <v>922</v>
      </c>
      <c r="O1033" s="17" t="s">
        <v>682</v>
      </c>
      <c r="P1033" s="7">
        <f t="shared" si="88"/>
        <v>8</v>
      </c>
      <c r="Q1033" s="7">
        <f t="shared" si="91"/>
        <v>2025</v>
      </c>
    </row>
    <row r="1034" spans="1:17" x14ac:dyDescent="0.25">
      <c r="A1034" s="7">
        <v>2539</v>
      </c>
      <c r="B1034" s="9" t="s">
        <v>533</v>
      </c>
      <c r="C1034" s="9" t="s">
        <v>533</v>
      </c>
      <c r="D1034" s="8">
        <v>45891</v>
      </c>
      <c r="E1034" s="7" t="s">
        <v>60</v>
      </c>
      <c r="F1034" s="7">
        <v>1</v>
      </c>
      <c r="G1034" s="7" t="s">
        <v>14</v>
      </c>
      <c r="H1034" s="7" t="s">
        <v>314</v>
      </c>
      <c r="J1034" s="7">
        <f t="shared" si="87"/>
        <v>1900</v>
      </c>
      <c r="K1034" s="7">
        <f t="shared" si="89"/>
        <v>1</v>
      </c>
      <c r="L1034" s="7">
        <f t="shared" si="90"/>
        <v>45891</v>
      </c>
      <c r="M1034" s="7" t="s">
        <v>537</v>
      </c>
      <c r="N1034" s="7" t="s">
        <v>922</v>
      </c>
      <c r="O1034" s="17" t="s">
        <v>682</v>
      </c>
      <c r="P1034" s="7">
        <f t="shared" si="88"/>
        <v>8</v>
      </c>
      <c r="Q1034" s="7">
        <f t="shared" si="91"/>
        <v>2025</v>
      </c>
    </row>
    <row r="1035" spans="1:17" x14ac:dyDescent="0.25">
      <c r="A1035" s="7">
        <v>2539</v>
      </c>
      <c r="B1035" s="9" t="s">
        <v>533</v>
      </c>
      <c r="C1035" s="9" t="s">
        <v>533</v>
      </c>
      <c r="D1035" s="8">
        <v>45891</v>
      </c>
      <c r="E1035" s="7" t="s">
        <v>60</v>
      </c>
      <c r="F1035" s="7">
        <v>1</v>
      </c>
      <c r="G1035" s="7" t="s">
        <v>14</v>
      </c>
      <c r="H1035" s="7" t="s">
        <v>314</v>
      </c>
      <c r="J1035" s="7">
        <f t="shared" si="87"/>
        <v>1900</v>
      </c>
      <c r="K1035" s="7">
        <f t="shared" si="89"/>
        <v>1</v>
      </c>
      <c r="L1035" s="7">
        <f t="shared" si="90"/>
        <v>45891</v>
      </c>
      <c r="M1035" s="7" t="s">
        <v>537</v>
      </c>
      <c r="N1035" s="7" t="s">
        <v>922</v>
      </c>
      <c r="O1035" s="17" t="s">
        <v>682</v>
      </c>
      <c r="P1035" s="7">
        <f t="shared" si="88"/>
        <v>8</v>
      </c>
      <c r="Q1035" s="7">
        <f t="shared" si="91"/>
        <v>2025</v>
      </c>
    </row>
    <row r="1036" spans="1:17" x14ac:dyDescent="0.25">
      <c r="A1036" s="7">
        <v>2539</v>
      </c>
      <c r="B1036" s="9" t="s">
        <v>533</v>
      </c>
      <c r="C1036" s="9" t="s">
        <v>533</v>
      </c>
      <c r="D1036" s="8">
        <v>45891</v>
      </c>
      <c r="E1036" s="7" t="s">
        <v>60</v>
      </c>
      <c r="F1036" s="7">
        <v>1</v>
      </c>
      <c r="G1036" s="7" t="s">
        <v>14</v>
      </c>
      <c r="H1036" s="7" t="s">
        <v>314</v>
      </c>
      <c r="J1036" s="7">
        <f t="shared" si="87"/>
        <v>1900</v>
      </c>
      <c r="K1036" s="7">
        <f t="shared" si="89"/>
        <v>1</v>
      </c>
      <c r="L1036" s="7">
        <f t="shared" si="90"/>
        <v>45891</v>
      </c>
      <c r="M1036" s="7" t="s">
        <v>537</v>
      </c>
      <c r="N1036" s="7" t="s">
        <v>922</v>
      </c>
      <c r="O1036" s="17" t="s">
        <v>682</v>
      </c>
      <c r="P1036" s="7">
        <f t="shared" si="88"/>
        <v>8</v>
      </c>
      <c r="Q1036" s="7">
        <f t="shared" si="91"/>
        <v>2025</v>
      </c>
    </row>
    <row r="1037" spans="1:17" x14ac:dyDescent="0.25">
      <c r="A1037" s="7">
        <v>2539</v>
      </c>
      <c r="B1037" s="9" t="s">
        <v>533</v>
      </c>
      <c r="C1037" s="9" t="s">
        <v>533</v>
      </c>
      <c r="D1037" s="8">
        <v>45891</v>
      </c>
      <c r="E1037" s="7" t="s">
        <v>60</v>
      </c>
      <c r="F1037" s="7">
        <v>1</v>
      </c>
      <c r="G1037" s="7" t="s">
        <v>14</v>
      </c>
      <c r="H1037" s="7" t="s">
        <v>314</v>
      </c>
      <c r="J1037" s="7">
        <f t="shared" si="87"/>
        <v>1900</v>
      </c>
      <c r="K1037" s="7">
        <f t="shared" si="89"/>
        <v>1</v>
      </c>
      <c r="L1037" s="7">
        <f t="shared" si="90"/>
        <v>45891</v>
      </c>
      <c r="M1037" s="7" t="s">
        <v>537</v>
      </c>
      <c r="N1037" s="7" t="s">
        <v>922</v>
      </c>
      <c r="O1037" s="17" t="s">
        <v>682</v>
      </c>
      <c r="P1037" s="7">
        <f t="shared" si="88"/>
        <v>8</v>
      </c>
      <c r="Q1037" s="7">
        <f t="shared" si="91"/>
        <v>2025</v>
      </c>
    </row>
    <row r="1038" spans="1:17" x14ac:dyDescent="0.25">
      <c r="A1038" s="7">
        <v>2539</v>
      </c>
      <c r="B1038" s="9" t="s">
        <v>533</v>
      </c>
      <c r="C1038" s="9" t="s">
        <v>533</v>
      </c>
      <c r="D1038" s="8">
        <v>45891</v>
      </c>
      <c r="E1038" s="7" t="s">
        <v>60</v>
      </c>
      <c r="F1038" s="7">
        <v>1</v>
      </c>
      <c r="G1038" s="7" t="s">
        <v>14</v>
      </c>
      <c r="H1038" s="7" t="s">
        <v>314</v>
      </c>
      <c r="J1038" s="7">
        <f t="shared" si="87"/>
        <v>1900</v>
      </c>
      <c r="K1038" s="7">
        <f t="shared" si="89"/>
        <v>1</v>
      </c>
      <c r="L1038" s="7">
        <f t="shared" si="90"/>
        <v>45891</v>
      </c>
      <c r="M1038" s="7" t="s">
        <v>537</v>
      </c>
      <c r="N1038" s="7" t="s">
        <v>922</v>
      </c>
      <c r="O1038" s="17" t="s">
        <v>682</v>
      </c>
      <c r="P1038" s="7">
        <f t="shared" si="88"/>
        <v>8</v>
      </c>
      <c r="Q1038" s="7">
        <f t="shared" si="91"/>
        <v>2025</v>
      </c>
    </row>
    <row r="1039" spans="1:17" x14ac:dyDescent="0.25">
      <c r="A1039" s="7">
        <v>2539</v>
      </c>
      <c r="B1039" s="9" t="s">
        <v>533</v>
      </c>
      <c r="C1039" s="9" t="s">
        <v>533</v>
      </c>
      <c r="D1039" s="8">
        <v>45891</v>
      </c>
      <c r="E1039" s="7" t="s">
        <v>60</v>
      </c>
      <c r="F1039" s="7">
        <v>1</v>
      </c>
      <c r="G1039" s="7" t="s">
        <v>14</v>
      </c>
      <c r="H1039" s="7" t="s">
        <v>314</v>
      </c>
      <c r="J1039" s="7">
        <f t="shared" si="87"/>
        <v>1900</v>
      </c>
      <c r="K1039" s="7">
        <f t="shared" si="89"/>
        <v>1</v>
      </c>
      <c r="L1039" s="7">
        <f t="shared" si="90"/>
        <v>45891</v>
      </c>
      <c r="M1039" s="7" t="s">
        <v>537</v>
      </c>
      <c r="N1039" s="7" t="s">
        <v>922</v>
      </c>
      <c r="O1039" s="17" t="s">
        <v>682</v>
      </c>
      <c r="P1039" s="7">
        <f t="shared" si="88"/>
        <v>8</v>
      </c>
      <c r="Q1039" s="7">
        <f t="shared" si="91"/>
        <v>2025</v>
      </c>
    </row>
    <row r="1040" spans="1:17" x14ac:dyDescent="0.25">
      <c r="A1040" s="7">
        <v>2539</v>
      </c>
      <c r="B1040" s="9" t="s">
        <v>533</v>
      </c>
      <c r="C1040" s="9" t="s">
        <v>533</v>
      </c>
      <c r="D1040" s="8">
        <v>45891</v>
      </c>
      <c r="E1040" s="7" t="s">
        <v>60</v>
      </c>
      <c r="F1040" s="7">
        <v>1</v>
      </c>
      <c r="G1040" s="7" t="s">
        <v>14</v>
      </c>
      <c r="H1040" s="7" t="s">
        <v>314</v>
      </c>
      <c r="J1040" s="7">
        <f t="shared" si="87"/>
        <v>1900</v>
      </c>
      <c r="K1040" s="7">
        <f t="shared" si="89"/>
        <v>1</v>
      </c>
      <c r="L1040" s="7">
        <f t="shared" si="90"/>
        <v>45891</v>
      </c>
      <c r="M1040" s="7" t="s">
        <v>537</v>
      </c>
      <c r="N1040" s="7" t="s">
        <v>922</v>
      </c>
      <c r="O1040" s="17" t="s">
        <v>682</v>
      </c>
      <c r="P1040" s="7">
        <f t="shared" si="88"/>
        <v>8</v>
      </c>
      <c r="Q1040" s="7">
        <f t="shared" si="91"/>
        <v>2025</v>
      </c>
    </row>
    <row r="1041" spans="1:17" x14ac:dyDescent="0.25">
      <c r="A1041" s="7">
        <v>2539</v>
      </c>
      <c r="B1041" s="9" t="s">
        <v>533</v>
      </c>
      <c r="C1041" s="9" t="s">
        <v>533</v>
      </c>
      <c r="D1041" s="8">
        <v>45891</v>
      </c>
      <c r="E1041" s="7" t="s">
        <v>60</v>
      </c>
      <c r="F1041" s="7">
        <v>1</v>
      </c>
      <c r="G1041" s="7" t="s">
        <v>14</v>
      </c>
      <c r="H1041" s="7" t="s">
        <v>314</v>
      </c>
      <c r="J1041" s="7">
        <f t="shared" ref="J1041:J1104" si="92">YEAR(I1041)</f>
        <v>1900</v>
      </c>
      <c r="K1041" s="7">
        <f t="shared" si="89"/>
        <v>1</v>
      </c>
      <c r="L1041" s="7">
        <f t="shared" si="90"/>
        <v>45891</v>
      </c>
      <c r="M1041" s="7" t="s">
        <v>537</v>
      </c>
      <c r="N1041" s="7" t="s">
        <v>922</v>
      </c>
      <c r="O1041" s="17" t="s">
        <v>682</v>
      </c>
      <c r="P1041" s="7">
        <f t="shared" si="88"/>
        <v>8</v>
      </c>
      <c r="Q1041" s="7">
        <f t="shared" si="91"/>
        <v>2025</v>
      </c>
    </row>
    <row r="1042" spans="1:17" x14ac:dyDescent="0.25">
      <c r="A1042" s="7">
        <v>2539</v>
      </c>
      <c r="B1042" s="9" t="s">
        <v>533</v>
      </c>
      <c r="C1042" s="9" t="s">
        <v>533</v>
      </c>
      <c r="D1042" s="8">
        <v>45891</v>
      </c>
      <c r="E1042" s="7" t="s">
        <v>60</v>
      </c>
      <c r="F1042" s="7">
        <v>1</v>
      </c>
      <c r="G1042" s="7" t="s">
        <v>14</v>
      </c>
      <c r="H1042" s="7" t="s">
        <v>314</v>
      </c>
      <c r="J1042" s="7">
        <f t="shared" si="92"/>
        <v>1900</v>
      </c>
      <c r="K1042" s="7">
        <f t="shared" si="89"/>
        <v>1</v>
      </c>
      <c r="L1042" s="7">
        <f t="shared" si="90"/>
        <v>45891</v>
      </c>
      <c r="M1042" s="7" t="s">
        <v>537</v>
      </c>
      <c r="N1042" s="7" t="s">
        <v>922</v>
      </c>
      <c r="O1042" s="17" t="s">
        <v>682</v>
      </c>
      <c r="P1042" s="7">
        <f t="shared" si="88"/>
        <v>8</v>
      </c>
      <c r="Q1042" s="7">
        <f t="shared" si="91"/>
        <v>2025</v>
      </c>
    </row>
    <row r="1043" spans="1:17" x14ac:dyDescent="0.25">
      <c r="A1043" s="7">
        <v>2539</v>
      </c>
      <c r="B1043" s="9" t="s">
        <v>533</v>
      </c>
      <c r="C1043" s="9" t="s">
        <v>533</v>
      </c>
      <c r="D1043" s="8">
        <v>45891</v>
      </c>
      <c r="E1043" s="7" t="s">
        <v>60</v>
      </c>
      <c r="F1043" s="7">
        <v>1</v>
      </c>
      <c r="G1043" s="7" t="s">
        <v>14</v>
      </c>
      <c r="H1043" s="7" t="s">
        <v>314</v>
      </c>
      <c r="J1043" s="7">
        <f t="shared" si="92"/>
        <v>1900</v>
      </c>
      <c r="K1043" s="7">
        <f t="shared" si="89"/>
        <v>1</v>
      </c>
      <c r="L1043" s="7">
        <f t="shared" si="90"/>
        <v>45891</v>
      </c>
      <c r="M1043" s="7" t="s">
        <v>537</v>
      </c>
      <c r="N1043" s="7" t="s">
        <v>922</v>
      </c>
      <c r="O1043" s="17" t="s">
        <v>682</v>
      </c>
      <c r="P1043" s="7">
        <f t="shared" si="88"/>
        <v>8</v>
      </c>
      <c r="Q1043" s="7">
        <f t="shared" si="91"/>
        <v>2025</v>
      </c>
    </row>
    <row r="1044" spans="1:17" x14ac:dyDescent="0.25">
      <c r="A1044" s="7">
        <v>2539</v>
      </c>
      <c r="B1044" s="9" t="s">
        <v>533</v>
      </c>
      <c r="C1044" s="9" t="s">
        <v>533</v>
      </c>
      <c r="D1044" s="8">
        <v>45891</v>
      </c>
      <c r="E1044" s="7" t="s">
        <v>60</v>
      </c>
      <c r="F1044" s="7">
        <v>1</v>
      </c>
      <c r="G1044" s="7" t="s">
        <v>14</v>
      </c>
      <c r="H1044" s="7" t="s">
        <v>314</v>
      </c>
      <c r="J1044" s="7">
        <f t="shared" si="92"/>
        <v>1900</v>
      </c>
      <c r="K1044" s="7">
        <f t="shared" si="89"/>
        <v>1</v>
      </c>
      <c r="L1044" s="7">
        <f t="shared" si="90"/>
        <v>45891</v>
      </c>
      <c r="M1044" s="7" t="s">
        <v>537</v>
      </c>
      <c r="N1044" s="7" t="s">
        <v>922</v>
      </c>
      <c r="O1044" s="17" t="s">
        <v>682</v>
      </c>
      <c r="P1044" s="7">
        <f t="shared" si="88"/>
        <v>8</v>
      </c>
      <c r="Q1044" s="7">
        <f t="shared" si="91"/>
        <v>2025</v>
      </c>
    </row>
    <row r="1045" spans="1:17" x14ac:dyDescent="0.25">
      <c r="A1045" s="7">
        <v>2539</v>
      </c>
      <c r="B1045" s="9" t="s">
        <v>533</v>
      </c>
      <c r="C1045" s="9" t="s">
        <v>533</v>
      </c>
      <c r="D1045" s="8">
        <v>45891</v>
      </c>
      <c r="E1045" s="7" t="s">
        <v>60</v>
      </c>
      <c r="F1045" s="7">
        <v>1</v>
      </c>
      <c r="G1045" s="7" t="s">
        <v>14</v>
      </c>
      <c r="H1045" s="7" t="s">
        <v>314</v>
      </c>
      <c r="J1045" s="7">
        <f t="shared" si="92"/>
        <v>1900</v>
      </c>
      <c r="K1045" s="7">
        <f t="shared" si="89"/>
        <v>1</v>
      </c>
      <c r="L1045" s="7">
        <f t="shared" si="90"/>
        <v>45891</v>
      </c>
      <c r="M1045" s="7" t="s">
        <v>537</v>
      </c>
      <c r="N1045" s="7" t="s">
        <v>922</v>
      </c>
      <c r="O1045" s="17" t="s">
        <v>682</v>
      </c>
      <c r="P1045" s="7">
        <f t="shared" si="88"/>
        <v>8</v>
      </c>
      <c r="Q1045" s="7">
        <f t="shared" si="91"/>
        <v>2025</v>
      </c>
    </row>
    <row r="1046" spans="1:17" x14ac:dyDescent="0.25">
      <c r="A1046" s="7">
        <v>2539</v>
      </c>
      <c r="B1046" s="9" t="s">
        <v>533</v>
      </c>
      <c r="C1046" s="9" t="s">
        <v>533</v>
      </c>
      <c r="D1046" s="8">
        <v>45891</v>
      </c>
      <c r="E1046" s="7" t="s">
        <v>60</v>
      </c>
      <c r="F1046" s="7">
        <v>1</v>
      </c>
      <c r="G1046" s="7" t="s">
        <v>14</v>
      </c>
      <c r="H1046" s="7" t="s">
        <v>314</v>
      </c>
      <c r="J1046" s="7">
        <f t="shared" si="92"/>
        <v>1900</v>
      </c>
      <c r="K1046" s="7">
        <f t="shared" si="89"/>
        <v>1</v>
      </c>
      <c r="L1046" s="7">
        <f t="shared" si="90"/>
        <v>45891</v>
      </c>
      <c r="M1046" s="7" t="s">
        <v>537</v>
      </c>
      <c r="N1046" s="7" t="s">
        <v>922</v>
      </c>
      <c r="O1046" s="17" t="s">
        <v>682</v>
      </c>
      <c r="P1046" s="7">
        <f t="shared" si="88"/>
        <v>8</v>
      </c>
      <c r="Q1046" s="7">
        <f t="shared" si="91"/>
        <v>2025</v>
      </c>
    </row>
    <row r="1047" spans="1:17" x14ac:dyDescent="0.25">
      <c r="A1047" s="7">
        <v>2539</v>
      </c>
      <c r="B1047" s="9" t="s">
        <v>533</v>
      </c>
      <c r="C1047" s="9" t="s">
        <v>533</v>
      </c>
      <c r="D1047" s="8">
        <v>45891</v>
      </c>
      <c r="E1047" s="7" t="s">
        <v>60</v>
      </c>
      <c r="F1047" s="7">
        <v>1</v>
      </c>
      <c r="G1047" s="7" t="s">
        <v>14</v>
      </c>
      <c r="H1047" s="7" t="s">
        <v>314</v>
      </c>
      <c r="J1047" s="7">
        <f t="shared" si="92"/>
        <v>1900</v>
      </c>
      <c r="K1047" s="7">
        <f t="shared" si="89"/>
        <v>1</v>
      </c>
      <c r="L1047" s="7">
        <f t="shared" si="90"/>
        <v>45891</v>
      </c>
      <c r="M1047" s="7" t="s">
        <v>537</v>
      </c>
      <c r="N1047" s="7" t="s">
        <v>922</v>
      </c>
      <c r="O1047" s="17" t="s">
        <v>682</v>
      </c>
      <c r="P1047" s="7">
        <f t="shared" si="88"/>
        <v>8</v>
      </c>
      <c r="Q1047" s="7">
        <f t="shared" si="91"/>
        <v>2025</v>
      </c>
    </row>
    <row r="1048" spans="1:17" x14ac:dyDescent="0.25">
      <c r="A1048" s="7">
        <v>2539</v>
      </c>
      <c r="B1048" s="9" t="s">
        <v>533</v>
      </c>
      <c r="C1048" s="9" t="s">
        <v>533</v>
      </c>
      <c r="D1048" s="8">
        <v>45891</v>
      </c>
      <c r="E1048" s="7" t="s">
        <v>60</v>
      </c>
      <c r="F1048" s="7">
        <v>1</v>
      </c>
      <c r="G1048" s="7" t="s">
        <v>14</v>
      </c>
      <c r="H1048" s="7" t="s">
        <v>314</v>
      </c>
      <c r="J1048" s="7">
        <f t="shared" si="92"/>
        <v>1900</v>
      </c>
      <c r="K1048" s="7">
        <f t="shared" si="89"/>
        <v>1</v>
      </c>
      <c r="L1048" s="7">
        <f t="shared" si="90"/>
        <v>45891</v>
      </c>
      <c r="M1048" s="7" t="s">
        <v>537</v>
      </c>
      <c r="N1048" s="7" t="s">
        <v>922</v>
      </c>
      <c r="O1048" s="17" t="s">
        <v>682</v>
      </c>
      <c r="P1048" s="7">
        <f t="shared" si="88"/>
        <v>8</v>
      </c>
      <c r="Q1048" s="7">
        <f t="shared" si="91"/>
        <v>2025</v>
      </c>
    </row>
    <row r="1049" spans="1:17" x14ac:dyDescent="0.25">
      <c r="A1049" s="7">
        <v>2539</v>
      </c>
      <c r="B1049" s="9" t="s">
        <v>533</v>
      </c>
      <c r="C1049" s="9" t="s">
        <v>533</v>
      </c>
      <c r="D1049" s="8">
        <v>45891</v>
      </c>
      <c r="E1049" s="7" t="s">
        <v>60</v>
      </c>
      <c r="F1049" s="7">
        <v>1</v>
      </c>
      <c r="G1049" s="7" t="s">
        <v>14</v>
      </c>
      <c r="H1049" s="7" t="s">
        <v>314</v>
      </c>
      <c r="J1049" s="7">
        <f t="shared" si="92"/>
        <v>1900</v>
      </c>
      <c r="K1049" s="7">
        <f t="shared" si="89"/>
        <v>1</v>
      </c>
      <c r="L1049" s="7">
        <f t="shared" si="90"/>
        <v>45891</v>
      </c>
      <c r="M1049" s="7" t="s">
        <v>537</v>
      </c>
      <c r="N1049" s="7" t="s">
        <v>922</v>
      </c>
      <c r="O1049" s="17" t="s">
        <v>682</v>
      </c>
      <c r="P1049" s="7">
        <f t="shared" si="88"/>
        <v>8</v>
      </c>
      <c r="Q1049" s="7">
        <f t="shared" si="91"/>
        <v>2025</v>
      </c>
    </row>
    <row r="1050" spans="1:17" x14ac:dyDescent="0.25">
      <c r="A1050" s="7">
        <v>2539</v>
      </c>
      <c r="B1050" s="9" t="s">
        <v>533</v>
      </c>
      <c r="C1050" s="9" t="s">
        <v>533</v>
      </c>
      <c r="D1050" s="8">
        <v>45891</v>
      </c>
      <c r="E1050" s="7" t="s">
        <v>60</v>
      </c>
      <c r="F1050" s="7">
        <v>1</v>
      </c>
      <c r="G1050" s="7" t="s">
        <v>14</v>
      </c>
      <c r="H1050" s="7" t="s">
        <v>314</v>
      </c>
      <c r="J1050" s="7">
        <f t="shared" si="92"/>
        <v>1900</v>
      </c>
      <c r="K1050" s="7">
        <f t="shared" si="89"/>
        <v>1</v>
      </c>
      <c r="L1050" s="7">
        <f t="shared" si="90"/>
        <v>45891</v>
      </c>
      <c r="M1050" s="7" t="s">
        <v>537</v>
      </c>
      <c r="N1050" s="7" t="s">
        <v>922</v>
      </c>
      <c r="O1050" s="17" t="s">
        <v>682</v>
      </c>
      <c r="P1050" s="7">
        <f t="shared" ref="P1050:P1113" si="93">MONTH(D1050)</f>
        <v>8</v>
      </c>
      <c r="Q1050" s="7">
        <f t="shared" si="91"/>
        <v>2025</v>
      </c>
    </row>
    <row r="1051" spans="1:17" x14ac:dyDescent="0.25">
      <c r="A1051" s="7">
        <v>2539</v>
      </c>
      <c r="B1051" s="9" t="s">
        <v>533</v>
      </c>
      <c r="C1051" s="9" t="s">
        <v>533</v>
      </c>
      <c r="D1051" s="8">
        <v>45891</v>
      </c>
      <c r="E1051" s="7" t="s">
        <v>60</v>
      </c>
      <c r="F1051" s="7">
        <v>1</v>
      </c>
      <c r="G1051" s="7" t="s">
        <v>14</v>
      </c>
      <c r="H1051" s="7" t="s">
        <v>314</v>
      </c>
      <c r="J1051" s="7">
        <f t="shared" si="92"/>
        <v>1900</v>
      </c>
      <c r="K1051" s="7">
        <f t="shared" si="89"/>
        <v>1</v>
      </c>
      <c r="L1051" s="7">
        <f t="shared" si="90"/>
        <v>45891</v>
      </c>
      <c r="M1051" s="7" t="s">
        <v>537</v>
      </c>
      <c r="N1051" s="7" t="s">
        <v>922</v>
      </c>
      <c r="O1051" s="17" t="s">
        <v>682</v>
      </c>
      <c r="P1051" s="7">
        <f t="shared" si="93"/>
        <v>8</v>
      </c>
      <c r="Q1051" s="7">
        <f t="shared" si="91"/>
        <v>2025</v>
      </c>
    </row>
    <row r="1052" spans="1:17" x14ac:dyDescent="0.25">
      <c r="A1052" s="7">
        <v>2539</v>
      </c>
      <c r="B1052" s="9" t="s">
        <v>533</v>
      </c>
      <c r="C1052" s="9" t="s">
        <v>533</v>
      </c>
      <c r="D1052" s="8">
        <v>45891</v>
      </c>
      <c r="E1052" s="7" t="s">
        <v>60</v>
      </c>
      <c r="F1052" s="7">
        <v>1</v>
      </c>
      <c r="G1052" s="7" t="s">
        <v>14</v>
      </c>
      <c r="H1052" s="7" t="s">
        <v>314</v>
      </c>
      <c r="J1052" s="7">
        <f t="shared" si="92"/>
        <v>1900</v>
      </c>
      <c r="K1052" s="7">
        <f t="shared" si="89"/>
        <v>1</v>
      </c>
      <c r="L1052" s="7">
        <f t="shared" si="90"/>
        <v>45891</v>
      </c>
      <c r="M1052" s="7" t="s">
        <v>537</v>
      </c>
      <c r="N1052" s="7" t="s">
        <v>922</v>
      </c>
      <c r="O1052" s="17" t="s">
        <v>682</v>
      </c>
      <c r="P1052" s="7">
        <f t="shared" si="93"/>
        <v>8</v>
      </c>
      <c r="Q1052" s="7">
        <f t="shared" si="91"/>
        <v>2025</v>
      </c>
    </row>
    <row r="1053" spans="1:17" x14ac:dyDescent="0.25">
      <c r="A1053" s="7">
        <v>2539</v>
      </c>
      <c r="B1053" s="9" t="s">
        <v>533</v>
      </c>
      <c r="C1053" s="9" t="s">
        <v>533</v>
      </c>
      <c r="D1053" s="8">
        <v>45891</v>
      </c>
      <c r="E1053" s="7" t="s">
        <v>60</v>
      </c>
      <c r="F1053" s="7">
        <v>1</v>
      </c>
      <c r="G1053" s="7" t="s">
        <v>14</v>
      </c>
      <c r="H1053" s="7" t="s">
        <v>314</v>
      </c>
      <c r="J1053" s="7">
        <f t="shared" si="92"/>
        <v>1900</v>
      </c>
      <c r="K1053" s="7">
        <f t="shared" si="89"/>
        <v>1</v>
      </c>
      <c r="L1053" s="7">
        <f t="shared" si="90"/>
        <v>45891</v>
      </c>
      <c r="M1053" s="7" t="s">
        <v>537</v>
      </c>
      <c r="N1053" s="7" t="s">
        <v>922</v>
      </c>
      <c r="O1053" s="17" t="s">
        <v>682</v>
      </c>
      <c r="P1053" s="7">
        <f t="shared" si="93"/>
        <v>8</v>
      </c>
      <c r="Q1053" s="7">
        <f t="shared" si="91"/>
        <v>2025</v>
      </c>
    </row>
    <row r="1054" spans="1:17" x14ac:dyDescent="0.25">
      <c r="A1054" s="7">
        <v>2539</v>
      </c>
      <c r="B1054" s="9" t="s">
        <v>533</v>
      </c>
      <c r="C1054" s="9" t="s">
        <v>533</v>
      </c>
      <c r="D1054" s="8">
        <v>45891</v>
      </c>
      <c r="E1054" s="7" t="s">
        <v>60</v>
      </c>
      <c r="F1054" s="7">
        <v>1</v>
      </c>
      <c r="G1054" s="7" t="s">
        <v>14</v>
      </c>
      <c r="H1054" s="7" t="s">
        <v>314</v>
      </c>
      <c r="J1054" s="7">
        <f t="shared" si="92"/>
        <v>1900</v>
      </c>
      <c r="K1054" s="7">
        <f t="shared" si="89"/>
        <v>1</v>
      </c>
      <c r="L1054" s="7">
        <f t="shared" si="90"/>
        <v>45891</v>
      </c>
      <c r="M1054" s="7" t="s">
        <v>537</v>
      </c>
      <c r="N1054" s="7" t="s">
        <v>922</v>
      </c>
      <c r="O1054" s="17" t="s">
        <v>682</v>
      </c>
      <c r="P1054" s="7">
        <f t="shared" si="93"/>
        <v>8</v>
      </c>
      <c r="Q1054" s="7">
        <f t="shared" si="91"/>
        <v>2025</v>
      </c>
    </row>
    <row r="1055" spans="1:17" x14ac:dyDescent="0.25">
      <c r="A1055" s="7">
        <v>2539</v>
      </c>
      <c r="B1055" s="9" t="s">
        <v>533</v>
      </c>
      <c r="C1055" s="9" t="s">
        <v>533</v>
      </c>
      <c r="D1055" s="8">
        <v>45891</v>
      </c>
      <c r="E1055" s="7" t="s">
        <v>60</v>
      </c>
      <c r="F1055" s="7">
        <v>1</v>
      </c>
      <c r="G1055" s="7" t="s">
        <v>14</v>
      </c>
      <c r="H1055" s="7" t="s">
        <v>314</v>
      </c>
      <c r="J1055" s="7">
        <f t="shared" si="92"/>
        <v>1900</v>
      </c>
      <c r="K1055" s="7">
        <f t="shared" si="89"/>
        <v>1</v>
      </c>
      <c r="L1055" s="7">
        <f t="shared" si="90"/>
        <v>45891</v>
      </c>
      <c r="M1055" s="7" t="s">
        <v>537</v>
      </c>
      <c r="N1055" s="7" t="s">
        <v>922</v>
      </c>
      <c r="O1055" s="17" t="s">
        <v>682</v>
      </c>
      <c r="P1055" s="7">
        <f t="shared" si="93"/>
        <v>8</v>
      </c>
      <c r="Q1055" s="7">
        <f t="shared" si="91"/>
        <v>2025</v>
      </c>
    </row>
    <row r="1056" spans="1:17" x14ac:dyDescent="0.25">
      <c r="A1056" s="7">
        <v>2539</v>
      </c>
      <c r="B1056" s="9" t="s">
        <v>533</v>
      </c>
      <c r="C1056" s="9" t="s">
        <v>533</v>
      </c>
      <c r="D1056" s="8">
        <v>45891</v>
      </c>
      <c r="E1056" s="7" t="s">
        <v>60</v>
      </c>
      <c r="F1056" s="7">
        <v>1</v>
      </c>
      <c r="G1056" s="7" t="s">
        <v>14</v>
      </c>
      <c r="H1056" s="7" t="s">
        <v>314</v>
      </c>
      <c r="J1056" s="7">
        <f t="shared" si="92"/>
        <v>1900</v>
      </c>
      <c r="K1056" s="7">
        <f t="shared" si="89"/>
        <v>1</v>
      </c>
      <c r="L1056" s="7">
        <f t="shared" si="90"/>
        <v>45891</v>
      </c>
      <c r="M1056" s="7" t="s">
        <v>537</v>
      </c>
      <c r="N1056" s="7" t="s">
        <v>922</v>
      </c>
      <c r="O1056" s="17" t="s">
        <v>682</v>
      </c>
      <c r="P1056" s="7">
        <f t="shared" si="93"/>
        <v>8</v>
      </c>
      <c r="Q1056" s="7">
        <f t="shared" si="91"/>
        <v>2025</v>
      </c>
    </row>
    <row r="1057" spans="1:17" x14ac:dyDescent="0.25">
      <c r="A1057" s="7">
        <v>2539</v>
      </c>
      <c r="B1057" s="9" t="s">
        <v>533</v>
      </c>
      <c r="C1057" s="9" t="s">
        <v>533</v>
      </c>
      <c r="D1057" s="8">
        <v>45891</v>
      </c>
      <c r="E1057" s="7" t="s">
        <v>60</v>
      </c>
      <c r="F1057" s="7">
        <v>1</v>
      </c>
      <c r="G1057" s="7" t="s">
        <v>14</v>
      </c>
      <c r="H1057" s="7" t="s">
        <v>314</v>
      </c>
      <c r="J1057" s="7">
        <f t="shared" si="92"/>
        <v>1900</v>
      </c>
      <c r="K1057" s="7">
        <f t="shared" si="89"/>
        <v>1</v>
      </c>
      <c r="L1057" s="7">
        <f t="shared" si="90"/>
        <v>45891</v>
      </c>
      <c r="M1057" s="7" t="s">
        <v>537</v>
      </c>
      <c r="N1057" s="7" t="s">
        <v>922</v>
      </c>
      <c r="O1057" s="17" t="s">
        <v>682</v>
      </c>
      <c r="P1057" s="7">
        <f t="shared" si="93"/>
        <v>8</v>
      </c>
      <c r="Q1057" s="7">
        <f t="shared" si="91"/>
        <v>2025</v>
      </c>
    </row>
    <row r="1058" spans="1:17" x14ac:dyDescent="0.25">
      <c r="A1058" s="7">
        <v>2539</v>
      </c>
      <c r="B1058" s="9" t="s">
        <v>533</v>
      </c>
      <c r="C1058" s="9" t="s">
        <v>533</v>
      </c>
      <c r="D1058" s="8">
        <v>45891</v>
      </c>
      <c r="E1058" s="7" t="s">
        <v>60</v>
      </c>
      <c r="F1058" s="7">
        <v>1</v>
      </c>
      <c r="G1058" s="7" t="s">
        <v>14</v>
      </c>
      <c r="H1058" s="7" t="s">
        <v>314</v>
      </c>
      <c r="J1058" s="7">
        <f t="shared" si="92"/>
        <v>1900</v>
      </c>
      <c r="K1058" s="7">
        <f t="shared" si="89"/>
        <v>1</v>
      </c>
      <c r="L1058" s="7">
        <f t="shared" si="90"/>
        <v>45891</v>
      </c>
      <c r="M1058" s="7" t="s">
        <v>537</v>
      </c>
      <c r="N1058" s="7" t="s">
        <v>922</v>
      </c>
      <c r="O1058" s="17" t="s">
        <v>682</v>
      </c>
      <c r="P1058" s="7">
        <f t="shared" si="93"/>
        <v>8</v>
      </c>
      <c r="Q1058" s="7">
        <f t="shared" si="91"/>
        <v>2025</v>
      </c>
    </row>
    <row r="1059" spans="1:17" x14ac:dyDescent="0.25">
      <c r="A1059" s="7">
        <v>2539</v>
      </c>
      <c r="B1059" s="9" t="s">
        <v>533</v>
      </c>
      <c r="C1059" s="9" t="s">
        <v>533</v>
      </c>
      <c r="D1059" s="8">
        <v>45891</v>
      </c>
      <c r="E1059" s="7" t="s">
        <v>60</v>
      </c>
      <c r="F1059" s="7">
        <v>1</v>
      </c>
      <c r="G1059" s="7" t="s">
        <v>14</v>
      </c>
      <c r="H1059" s="7" t="s">
        <v>314</v>
      </c>
      <c r="J1059" s="7">
        <f t="shared" si="92"/>
        <v>1900</v>
      </c>
      <c r="K1059" s="7">
        <f t="shared" si="89"/>
        <v>1</v>
      </c>
      <c r="L1059" s="7">
        <f t="shared" si="90"/>
        <v>45891</v>
      </c>
      <c r="M1059" s="7" t="s">
        <v>537</v>
      </c>
      <c r="N1059" s="7" t="s">
        <v>922</v>
      </c>
      <c r="O1059" s="17" t="s">
        <v>682</v>
      </c>
      <c r="P1059" s="7">
        <f t="shared" si="93"/>
        <v>8</v>
      </c>
      <c r="Q1059" s="7">
        <f t="shared" si="91"/>
        <v>2025</v>
      </c>
    </row>
    <row r="1060" spans="1:17" x14ac:dyDescent="0.25">
      <c r="A1060" s="7">
        <v>2539</v>
      </c>
      <c r="B1060" s="9" t="s">
        <v>533</v>
      </c>
      <c r="C1060" s="9" t="s">
        <v>533</v>
      </c>
      <c r="D1060" s="8">
        <v>45891</v>
      </c>
      <c r="E1060" s="7" t="s">
        <v>60</v>
      </c>
      <c r="F1060" s="7">
        <v>1</v>
      </c>
      <c r="G1060" s="7" t="s">
        <v>14</v>
      </c>
      <c r="H1060" s="7" t="s">
        <v>314</v>
      </c>
      <c r="J1060" s="7">
        <f t="shared" si="92"/>
        <v>1900</v>
      </c>
      <c r="K1060" s="7">
        <f t="shared" si="89"/>
        <v>1</v>
      </c>
      <c r="L1060" s="7">
        <f t="shared" si="90"/>
        <v>45891</v>
      </c>
      <c r="M1060" s="7" t="s">
        <v>537</v>
      </c>
      <c r="N1060" s="7" t="s">
        <v>922</v>
      </c>
      <c r="O1060" s="17" t="s">
        <v>682</v>
      </c>
      <c r="P1060" s="7">
        <f t="shared" si="93"/>
        <v>8</v>
      </c>
      <c r="Q1060" s="7">
        <f t="shared" si="91"/>
        <v>2025</v>
      </c>
    </row>
    <row r="1061" spans="1:17" x14ac:dyDescent="0.25">
      <c r="A1061" s="7">
        <v>2539</v>
      </c>
      <c r="B1061" s="9" t="s">
        <v>533</v>
      </c>
      <c r="C1061" s="9" t="s">
        <v>533</v>
      </c>
      <c r="D1061" s="8">
        <v>45891</v>
      </c>
      <c r="E1061" s="7" t="s">
        <v>60</v>
      </c>
      <c r="F1061" s="7">
        <v>1</v>
      </c>
      <c r="G1061" s="7" t="s">
        <v>14</v>
      </c>
      <c r="H1061" s="7" t="s">
        <v>314</v>
      </c>
      <c r="J1061" s="7">
        <f t="shared" si="92"/>
        <v>1900</v>
      </c>
      <c r="K1061" s="7">
        <f t="shared" si="89"/>
        <v>1</v>
      </c>
      <c r="L1061" s="7">
        <f t="shared" si="90"/>
        <v>45891</v>
      </c>
      <c r="M1061" s="7" t="s">
        <v>537</v>
      </c>
      <c r="N1061" s="7" t="s">
        <v>922</v>
      </c>
      <c r="O1061" s="17" t="s">
        <v>682</v>
      </c>
      <c r="P1061" s="7">
        <f t="shared" si="93"/>
        <v>8</v>
      </c>
      <c r="Q1061" s="7">
        <f t="shared" si="91"/>
        <v>2025</v>
      </c>
    </row>
    <row r="1062" spans="1:17" x14ac:dyDescent="0.25">
      <c r="A1062" s="7">
        <v>2539</v>
      </c>
      <c r="B1062" s="9" t="s">
        <v>533</v>
      </c>
      <c r="C1062" s="9" t="s">
        <v>533</v>
      </c>
      <c r="D1062" s="8">
        <v>45891</v>
      </c>
      <c r="E1062" s="7" t="s">
        <v>60</v>
      </c>
      <c r="F1062" s="7">
        <v>1</v>
      </c>
      <c r="G1062" s="7" t="s">
        <v>14</v>
      </c>
      <c r="H1062" s="7" t="s">
        <v>314</v>
      </c>
      <c r="J1062" s="7">
        <f t="shared" si="92"/>
        <v>1900</v>
      </c>
      <c r="K1062" s="7">
        <f t="shared" si="89"/>
        <v>1</v>
      </c>
      <c r="L1062" s="7">
        <f t="shared" si="90"/>
        <v>45891</v>
      </c>
      <c r="M1062" s="7" t="s">
        <v>537</v>
      </c>
      <c r="N1062" s="7" t="s">
        <v>922</v>
      </c>
      <c r="O1062" s="17" t="s">
        <v>682</v>
      </c>
      <c r="P1062" s="7">
        <f t="shared" si="93"/>
        <v>8</v>
      </c>
      <c r="Q1062" s="7">
        <f t="shared" si="91"/>
        <v>2025</v>
      </c>
    </row>
    <row r="1063" spans="1:17" x14ac:dyDescent="0.25">
      <c r="A1063" s="7">
        <v>2539</v>
      </c>
      <c r="B1063" s="9" t="s">
        <v>533</v>
      </c>
      <c r="C1063" s="9" t="s">
        <v>533</v>
      </c>
      <c r="D1063" s="8">
        <v>45891</v>
      </c>
      <c r="E1063" s="7" t="s">
        <v>60</v>
      </c>
      <c r="F1063" s="7">
        <v>1</v>
      </c>
      <c r="G1063" s="7" t="s">
        <v>14</v>
      </c>
      <c r="H1063" s="7" t="s">
        <v>314</v>
      </c>
      <c r="J1063" s="7">
        <f t="shared" si="92"/>
        <v>1900</v>
      </c>
      <c r="K1063" s="7">
        <f t="shared" si="89"/>
        <v>1</v>
      </c>
      <c r="L1063" s="7">
        <f t="shared" si="90"/>
        <v>45891</v>
      </c>
      <c r="M1063" s="7" t="s">
        <v>537</v>
      </c>
      <c r="N1063" s="7" t="s">
        <v>922</v>
      </c>
      <c r="O1063" s="17" t="s">
        <v>682</v>
      </c>
      <c r="P1063" s="7">
        <f t="shared" si="93"/>
        <v>8</v>
      </c>
      <c r="Q1063" s="7">
        <f t="shared" si="91"/>
        <v>2025</v>
      </c>
    </row>
    <row r="1064" spans="1:17" x14ac:dyDescent="0.25">
      <c r="A1064" s="7">
        <v>2539</v>
      </c>
      <c r="B1064" s="9" t="s">
        <v>533</v>
      </c>
      <c r="C1064" s="9" t="s">
        <v>533</v>
      </c>
      <c r="D1064" s="8">
        <v>45891</v>
      </c>
      <c r="E1064" s="7" t="s">
        <v>60</v>
      </c>
      <c r="F1064" s="7">
        <v>1</v>
      </c>
      <c r="G1064" s="7" t="s">
        <v>14</v>
      </c>
      <c r="H1064" s="7" t="s">
        <v>314</v>
      </c>
      <c r="J1064" s="7">
        <f t="shared" si="92"/>
        <v>1900</v>
      </c>
      <c r="K1064" s="7">
        <f t="shared" si="89"/>
        <v>1</v>
      </c>
      <c r="L1064" s="7">
        <f t="shared" si="90"/>
        <v>45891</v>
      </c>
      <c r="M1064" s="7" t="s">
        <v>537</v>
      </c>
      <c r="N1064" s="7" t="s">
        <v>922</v>
      </c>
      <c r="O1064" s="17" t="s">
        <v>682</v>
      </c>
      <c r="P1064" s="7">
        <f t="shared" si="93"/>
        <v>8</v>
      </c>
      <c r="Q1064" s="7">
        <f t="shared" si="91"/>
        <v>2025</v>
      </c>
    </row>
    <row r="1065" spans="1:17" x14ac:dyDescent="0.25">
      <c r="A1065" s="7">
        <v>2539</v>
      </c>
      <c r="B1065" s="9" t="s">
        <v>533</v>
      </c>
      <c r="C1065" s="9" t="s">
        <v>533</v>
      </c>
      <c r="D1065" s="8">
        <v>45891</v>
      </c>
      <c r="E1065" s="7" t="s">
        <v>60</v>
      </c>
      <c r="F1065" s="7">
        <v>1</v>
      </c>
      <c r="G1065" s="7" t="s">
        <v>14</v>
      </c>
      <c r="H1065" s="7" t="s">
        <v>314</v>
      </c>
      <c r="J1065" s="7">
        <f t="shared" si="92"/>
        <v>1900</v>
      </c>
      <c r="K1065" s="7">
        <f t="shared" si="89"/>
        <v>1</v>
      </c>
      <c r="L1065" s="7">
        <f t="shared" si="90"/>
        <v>45891</v>
      </c>
      <c r="M1065" s="7" t="s">
        <v>537</v>
      </c>
      <c r="N1065" s="7" t="s">
        <v>922</v>
      </c>
      <c r="O1065" s="17" t="s">
        <v>682</v>
      </c>
      <c r="P1065" s="7">
        <f t="shared" si="93"/>
        <v>8</v>
      </c>
      <c r="Q1065" s="7">
        <f t="shared" si="91"/>
        <v>2025</v>
      </c>
    </row>
    <row r="1066" spans="1:17" x14ac:dyDescent="0.25">
      <c r="A1066" s="7">
        <v>2539</v>
      </c>
      <c r="B1066" s="9" t="s">
        <v>533</v>
      </c>
      <c r="C1066" s="9" t="s">
        <v>533</v>
      </c>
      <c r="D1066" s="8">
        <v>45891</v>
      </c>
      <c r="E1066" s="7" t="s">
        <v>60</v>
      </c>
      <c r="F1066" s="7">
        <v>1</v>
      </c>
      <c r="G1066" s="7" t="s">
        <v>14</v>
      </c>
      <c r="H1066" s="7" t="s">
        <v>314</v>
      </c>
      <c r="J1066" s="7">
        <f t="shared" si="92"/>
        <v>1900</v>
      </c>
      <c r="K1066" s="7">
        <f t="shared" si="89"/>
        <v>1</v>
      </c>
      <c r="L1066" s="7">
        <f t="shared" si="90"/>
        <v>45891</v>
      </c>
      <c r="M1066" s="7" t="s">
        <v>537</v>
      </c>
      <c r="N1066" s="7" t="s">
        <v>922</v>
      </c>
      <c r="O1066" s="17" t="s">
        <v>682</v>
      </c>
      <c r="P1066" s="7">
        <f t="shared" si="93"/>
        <v>8</v>
      </c>
      <c r="Q1066" s="7">
        <f t="shared" si="91"/>
        <v>2025</v>
      </c>
    </row>
    <row r="1067" spans="1:17" x14ac:dyDescent="0.25">
      <c r="A1067" s="7">
        <v>2539</v>
      </c>
      <c r="B1067" s="9" t="s">
        <v>533</v>
      </c>
      <c r="C1067" s="9" t="s">
        <v>533</v>
      </c>
      <c r="D1067" s="8">
        <v>45891</v>
      </c>
      <c r="E1067" s="7" t="s">
        <v>60</v>
      </c>
      <c r="F1067" s="7">
        <v>1</v>
      </c>
      <c r="G1067" s="7" t="s">
        <v>14</v>
      </c>
      <c r="H1067" s="7" t="s">
        <v>314</v>
      </c>
      <c r="J1067" s="7">
        <f t="shared" si="92"/>
        <v>1900</v>
      </c>
      <c r="K1067" s="7">
        <f t="shared" si="89"/>
        <v>1</v>
      </c>
      <c r="L1067" s="7">
        <f t="shared" si="90"/>
        <v>45891</v>
      </c>
      <c r="M1067" s="7" t="s">
        <v>537</v>
      </c>
      <c r="N1067" s="7" t="s">
        <v>922</v>
      </c>
      <c r="O1067" s="17" t="s">
        <v>682</v>
      </c>
      <c r="P1067" s="7">
        <f t="shared" si="93"/>
        <v>8</v>
      </c>
      <c r="Q1067" s="7">
        <f t="shared" si="91"/>
        <v>2025</v>
      </c>
    </row>
    <row r="1068" spans="1:17" x14ac:dyDescent="0.25">
      <c r="A1068" s="7">
        <v>2539</v>
      </c>
      <c r="B1068" s="9" t="s">
        <v>533</v>
      </c>
      <c r="C1068" s="9" t="s">
        <v>533</v>
      </c>
      <c r="D1068" s="8">
        <v>45891</v>
      </c>
      <c r="E1068" s="7" t="s">
        <v>60</v>
      </c>
      <c r="F1068" s="7">
        <v>1</v>
      </c>
      <c r="G1068" s="7" t="s">
        <v>14</v>
      </c>
      <c r="H1068" s="7" t="s">
        <v>314</v>
      </c>
      <c r="J1068" s="7">
        <f t="shared" si="92"/>
        <v>1900</v>
      </c>
      <c r="K1068" s="7">
        <f t="shared" si="89"/>
        <v>1</v>
      </c>
      <c r="L1068" s="7">
        <f t="shared" si="90"/>
        <v>45891</v>
      </c>
      <c r="M1068" s="7" t="s">
        <v>537</v>
      </c>
      <c r="N1068" s="7" t="s">
        <v>922</v>
      </c>
      <c r="O1068" s="17" t="s">
        <v>682</v>
      </c>
      <c r="P1068" s="7">
        <f t="shared" si="93"/>
        <v>8</v>
      </c>
      <c r="Q1068" s="7">
        <f t="shared" si="91"/>
        <v>2025</v>
      </c>
    </row>
    <row r="1069" spans="1:17" x14ac:dyDescent="0.25">
      <c r="A1069" s="7">
        <v>2539</v>
      </c>
      <c r="B1069" s="9" t="s">
        <v>533</v>
      </c>
      <c r="C1069" s="9" t="s">
        <v>533</v>
      </c>
      <c r="D1069" s="8">
        <v>45891</v>
      </c>
      <c r="E1069" s="7" t="s">
        <v>60</v>
      </c>
      <c r="F1069" s="7">
        <v>1</v>
      </c>
      <c r="G1069" s="7" t="s">
        <v>14</v>
      </c>
      <c r="H1069" s="7" t="s">
        <v>314</v>
      </c>
      <c r="J1069" s="7">
        <f t="shared" si="92"/>
        <v>1900</v>
      </c>
      <c r="K1069" s="7">
        <f t="shared" ref="K1069:K1132" si="94">MONTH(I1069)</f>
        <v>1</v>
      </c>
      <c r="L1069" s="7">
        <f t="shared" si="90"/>
        <v>45891</v>
      </c>
      <c r="M1069" s="7" t="s">
        <v>537</v>
      </c>
      <c r="N1069" s="7" t="s">
        <v>922</v>
      </c>
      <c r="O1069" s="17" t="s">
        <v>682</v>
      </c>
      <c r="P1069" s="7">
        <f t="shared" si="93"/>
        <v>8</v>
      </c>
      <c r="Q1069" s="7">
        <f t="shared" si="91"/>
        <v>2025</v>
      </c>
    </row>
    <row r="1070" spans="1:17" x14ac:dyDescent="0.25">
      <c r="A1070" s="7">
        <v>2539</v>
      </c>
      <c r="B1070" s="9" t="s">
        <v>533</v>
      </c>
      <c r="C1070" s="9" t="s">
        <v>533</v>
      </c>
      <c r="D1070" s="8">
        <v>45891</v>
      </c>
      <c r="E1070" s="7" t="s">
        <v>60</v>
      </c>
      <c r="F1070" s="7">
        <v>1</v>
      </c>
      <c r="G1070" s="7" t="s">
        <v>14</v>
      </c>
      <c r="H1070" s="7" t="s">
        <v>314</v>
      </c>
      <c r="J1070" s="7">
        <f t="shared" si="92"/>
        <v>1900</v>
      </c>
      <c r="K1070" s="7">
        <f t="shared" si="94"/>
        <v>1</v>
      </c>
      <c r="L1070" s="7">
        <f t="shared" si="90"/>
        <v>45891</v>
      </c>
      <c r="M1070" s="7" t="s">
        <v>537</v>
      </c>
      <c r="N1070" s="7" t="s">
        <v>922</v>
      </c>
      <c r="O1070" s="17" t="s">
        <v>682</v>
      </c>
      <c r="P1070" s="7">
        <f t="shared" si="93"/>
        <v>8</v>
      </c>
      <c r="Q1070" s="7">
        <f t="shared" si="91"/>
        <v>2025</v>
      </c>
    </row>
    <row r="1071" spans="1:17" x14ac:dyDescent="0.25">
      <c r="A1071" s="7">
        <v>2539</v>
      </c>
      <c r="B1071" s="9" t="s">
        <v>533</v>
      </c>
      <c r="C1071" s="9" t="s">
        <v>533</v>
      </c>
      <c r="D1071" s="8">
        <v>45891</v>
      </c>
      <c r="E1071" s="7" t="s">
        <v>60</v>
      </c>
      <c r="F1071" s="7">
        <v>1</v>
      </c>
      <c r="G1071" s="7" t="s">
        <v>14</v>
      </c>
      <c r="H1071" s="7" t="s">
        <v>314</v>
      </c>
      <c r="J1071" s="7">
        <f t="shared" si="92"/>
        <v>1900</v>
      </c>
      <c r="K1071" s="7">
        <f t="shared" si="94"/>
        <v>1</v>
      </c>
      <c r="L1071" s="7">
        <f t="shared" ref="L1071:L1134" si="95">D1071-I1071</f>
        <v>45891</v>
      </c>
      <c r="M1071" s="7" t="s">
        <v>537</v>
      </c>
      <c r="N1071" s="7" t="s">
        <v>922</v>
      </c>
      <c r="O1071" s="17" t="s">
        <v>682</v>
      </c>
      <c r="P1071" s="7">
        <f t="shared" si="93"/>
        <v>8</v>
      </c>
      <c r="Q1071" s="7">
        <f t="shared" si="91"/>
        <v>2025</v>
      </c>
    </row>
    <row r="1072" spans="1:17" x14ac:dyDescent="0.25">
      <c r="A1072" s="7">
        <v>2539</v>
      </c>
      <c r="B1072" s="9" t="s">
        <v>533</v>
      </c>
      <c r="C1072" s="9" t="s">
        <v>533</v>
      </c>
      <c r="D1072" s="8">
        <v>45891</v>
      </c>
      <c r="E1072" s="7" t="s">
        <v>60</v>
      </c>
      <c r="F1072" s="7">
        <v>1</v>
      </c>
      <c r="G1072" s="7" t="s">
        <v>14</v>
      </c>
      <c r="H1072" s="7" t="s">
        <v>314</v>
      </c>
      <c r="J1072" s="7">
        <f t="shared" si="92"/>
        <v>1900</v>
      </c>
      <c r="K1072" s="7">
        <f t="shared" si="94"/>
        <v>1</v>
      </c>
      <c r="L1072" s="7">
        <f t="shared" si="95"/>
        <v>45891</v>
      </c>
      <c r="M1072" s="7" t="s">
        <v>537</v>
      </c>
      <c r="N1072" s="7" t="s">
        <v>922</v>
      </c>
      <c r="O1072" s="17" t="s">
        <v>682</v>
      </c>
      <c r="P1072" s="7">
        <f t="shared" si="93"/>
        <v>8</v>
      </c>
      <c r="Q1072" s="7">
        <f t="shared" si="91"/>
        <v>2025</v>
      </c>
    </row>
    <row r="1073" spans="1:17" x14ac:dyDescent="0.25">
      <c r="A1073" s="7">
        <v>2539</v>
      </c>
      <c r="B1073" s="9" t="s">
        <v>533</v>
      </c>
      <c r="C1073" s="9" t="s">
        <v>533</v>
      </c>
      <c r="D1073" s="8">
        <v>45891</v>
      </c>
      <c r="E1073" s="7" t="s">
        <v>60</v>
      </c>
      <c r="F1073" s="7">
        <v>1</v>
      </c>
      <c r="G1073" s="7" t="s">
        <v>14</v>
      </c>
      <c r="H1073" s="7" t="s">
        <v>314</v>
      </c>
      <c r="J1073" s="7">
        <f t="shared" si="92"/>
        <v>1900</v>
      </c>
      <c r="K1073" s="7">
        <f t="shared" si="94"/>
        <v>1</v>
      </c>
      <c r="L1073" s="7">
        <f t="shared" si="95"/>
        <v>45891</v>
      </c>
      <c r="M1073" s="7" t="s">
        <v>537</v>
      </c>
      <c r="N1073" s="7" t="s">
        <v>922</v>
      </c>
      <c r="O1073" s="17" t="s">
        <v>682</v>
      </c>
      <c r="P1073" s="7">
        <f t="shared" si="93"/>
        <v>8</v>
      </c>
      <c r="Q1073" s="7">
        <f t="shared" si="91"/>
        <v>2025</v>
      </c>
    </row>
    <row r="1074" spans="1:17" x14ac:dyDescent="0.25">
      <c r="A1074" s="7">
        <v>2539</v>
      </c>
      <c r="B1074" s="9" t="s">
        <v>533</v>
      </c>
      <c r="C1074" s="9" t="s">
        <v>533</v>
      </c>
      <c r="D1074" s="8">
        <v>45891</v>
      </c>
      <c r="E1074" s="7" t="s">
        <v>60</v>
      </c>
      <c r="F1074" s="7">
        <v>1</v>
      </c>
      <c r="G1074" s="7" t="s">
        <v>14</v>
      </c>
      <c r="H1074" s="7" t="s">
        <v>314</v>
      </c>
      <c r="J1074" s="7">
        <f t="shared" si="92"/>
        <v>1900</v>
      </c>
      <c r="K1074" s="7">
        <f t="shared" si="94"/>
        <v>1</v>
      </c>
      <c r="L1074" s="7">
        <f t="shared" si="95"/>
        <v>45891</v>
      </c>
      <c r="M1074" s="7" t="s">
        <v>537</v>
      </c>
      <c r="N1074" s="7" t="s">
        <v>922</v>
      </c>
      <c r="O1074" s="17" t="s">
        <v>682</v>
      </c>
      <c r="P1074" s="7">
        <f t="shared" si="93"/>
        <v>8</v>
      </c>
      <c r="Q1074" s="7">
        <f t="shared" si="91"/>
        <v>2025</v>
      </c>
    </row>
    <row r="1075" spans="1:17" x14ac:dyDescent="0.25">
      <c r="A1075" s="7">
        <v>2539</v>
      </c>
      <c r="B1075" s="9" t="s">
        <v>533</v>
      </c>
      <c r="C1075" s="9" t="s">
        <v>533</v>
      </c>
      <c r="D1075" s="8">
        <v>45891</v>
      </c>
      <c r="E1075" s="7" t="s">
        <v>60</v>
      </c>
      <c r="F1075" s="7">
        <v>1</v>
      </c>
      <c r="G1075" s="7" t="s">
        <v>14</v>
      </c>
      <c r="H1075" s="7" t="s">
        <v>314</v>
      </c>
      <c r="J1075" s="7">
        <f t="shared" si="92"/>
        <v>1900</v>
      </c>
      <c r="K1075" s="7">
        <f t="shared" si="94"/>
        <v>1</v>
      </c>
      <c r="L1075" s="7">
        <f t="shared" si="95"/>
        <v>45891</v>
      </c>
      <c r="M1075" s="7" t="s">
        <v>537</v>
      </c>
      <c r="N1075" s="7" t="s">
        <v>922</v>
      </c>
      <c r="O1075" s="17" t="s">
        <v>682</v>
      </c>
      <c r="P1075" s="7">
        <f t="shared" si="93"/>
        <v>8</v>
      </c>
      <c r="Q1075" s="7">
        <f t="shared" si="91"/>
        <v>2025</v>
      </c>
    </row>
    <row r="1076" spans="1:17" x14ac:dyDescent="0.25">
      <c r="A1076" s="7">
        <v>2539</v>
      </c>
      <c r="B1076" s="9" t="s">
        <v>533</v>
      </c>
      <c r="C1076" s="9" t="s">
        <v>533</v>
      </c>
      <c r="D1076" s="8">
        <v>45891</v>
      </c>
      <c r="E1076" s="7" t="s">
        <v>60</v>
      </c>
      <c r="F1076" s="7">
        <v>1</v>
      </c>
      <c r="G1076" s="7" t="s">
        <v>14</v>
      </c>
      <c r="H1076" s="7" t="s">
        <v>314</v>
      </c>
      <c r="J1076" s="7">
        <f t="shared" si="92"/>
        <v>1900</v>
      </c>
      <c r="K1076" s="7">
        <f t="shared" si="94"/>
        <v>1</v>
      </c>
      <c r="L1076" s="7">
        <f t="shared" si="95"/>
        <v>45891</v>
      </c>
      <c r="M1076" s="7" t="s">
        <v>537</v>
      </c>
      <c r="N1076" s="7" t="s">
        <v>922</v>
      </c>
      <c r="O1076" s="17" t="s">
        <v>682</v>
      </c>
      <c r="P1076" s="7">
        <f t="shared" si="93"/>
        <v>8</v>
      </c>
      <c r="Q1076" s="7">
        <f t="shared" si="91"/>
        <v>2025</v>
      </c>
    </row>
    <row r="1077" spans="1:17" x14ac:dyDescent="0.25">
      <c r="A1077" s="7">
        <v>2539</v>
      </c>
      <c r="B1077" s="9" t="s">
        <v>533</v>
      </c>
      <c r="C1077" s="9" t="s">
        <v>533</v>
      </c>
      <c r="D1077" s="8">
        <v>45891</v>
      </c>
      <c r="E1077" s="7" t="s">
        <v>60</v>
      </c>
      <c r="F1077" s="7">
        <v>1</v>
      </c>
      <c r="G1077" s="7" t="s">
        <v>14</v>
      </c>
      <c r="H1077" s="7" t="s">
        <v>314</v>
      </c>
      <c r="J1077" s="7">
        <f t="shared" si="92"/>
        <v>1900</v>
      </c>
      <c r="K1077" s="7">
        <f t="shared" si="94"/>
        <v>1</v>
      </c>
      <c r="L1077" s="7">
        <f t="shared" si="95"/>
        <v>45891</v>
      </c>
      <c r="M1077" s="7" t="s">
        <v>537</v>
      </c>
      <c r="N1077" s="7" t="s">
        <v>922</v>
      </c>
      <c r="O1077" s="17" t="s">
        <v>682</v>
      </c>
      <c r="P1077" s="7">
        <f t="shared" si="93"/>
        <v>8</v>
      </c>
      <c r="Q1077" s="7">
        <f t="shared" ref="Q1077:Q1140" si="96">YEAR(D1077)</f>
        <v>2025</v>
      </c>
    </row>
    <row r="1078" spans="1:17" x14ac:dyDescent="0.25">
      <c r="A1078" s="7">
        <v>2539</v>
      </c>
      <c r="B1078" s="9" t="s">
        <v>533</v>
      </c>
      <c r="C1078" s="9" t="s">
        <v>533</v>
      </c>
      <c r="D1078" s="8">
        <v>45891</v>
      </c>
      <c r="E1078" s="7" t="s">
        <v>60</v>
      </c>
      <c r="F1078" s="7">
        <v>1</v>
      </c>
      <c r="G1078" s="7" t="s">
        <v>14</v>
      </c>
      <c r="H1078" s="7" t="s">
        <v>314</v>
      </c>
      <c r="J1078" s="7">
        <f t="shared" si="92"/>
        <v>1900</v>
      </c>
      <c r="K1078" s="7">
        <f t="shared" si="94"/>
        <v>1</v>
      </c>
      <c r="L1078" s="7">
        <f t="shared" si="95"/>
        <v>45891</v>
      </c>
      <c r="M1078" s="7" t="s">
        <v>537</v>
      </c>
      <c r="N1078" s="7" t="s">
        <v>922</v>
      </c>
      <c r="O1078" s="17" t="s">
        <v>682</v>
      </c>
      <c r="P1078" s="7">
        <f t="shared" si="93"/>
        <v>8</v>
      </c>
      <c r="Q1078" s="7">
        <f t="shared" si="96"/>
        <v>2025</v>
      </c>
    </row>
    <row r="1079" spans="1:17" x14ac:dyDescent="0.25">
      <c r="A1079" s="7">
        <v>2539</v>
      </c>
      <c r="B1079" s="9" t="s">
        <v>533</v>
      </c>
      <c r="C1079" s="9" t="s">
        <v>533</v>
      </c>
      <c r="D1079" s="8">
        <v>45891</v>
      </c>
      <c r="E1079" s="7" t="s">
        <v>60</v>
      </c>
      <c r="F1079" s="7">
        <v>1</v>
      </c>
      <c r="G1079" s="7" t="s">
        <v>14</v>
      </c>
      <c r="H1079" s="7" t="s">
        <v>314</v>
      </c>
      <c r="J1079" s="7">
        <f t="shared" si="92"/>
        <v>1900</v>
      </c>
      <c r="K1079" s="7">
        <f t="shared" si="94"/>
        <v>1</v>
      </c>
      <c r="L1079" s="7">
        <f t="shared" si="95"/>
        <v>45891</v>
      </c>
      <c r="M1079" s="7" t="s">
        <v>537</v>
      </c>
      <c r="N1079" s="7" t="s">
        <v>922</v>
      </c>
      <c r="O1079" s="17" t="s">
        <v>682</v>
      </c>
      <c r="P1079" s="7">
        <f t="shared" si="93"/>
        <v>8</v>
      </c>
      <c r="Q1079" s="7">
        <f t="shared" si="96"/>
        <v>2025</v>
      </c>
    </row>
    <row r="1080" spans="1:17" x14ac:dyDescent="0.25">
      <c r="A1080" s="7">
        <v>2539</v>
      </c>
      <c r="B1080" s="9" t="s">
        <v>533</v>
      </c>
      <c r="C1080" s="9" t="s">
        <v>533</v>
      </c>
      <c r="D1080" s="8">
        <v>45891</v>
      </c>
      <c r="E1080" s="7" t="s">
        <v>60</v>
      </c>
      <c r="F1080" s="7">
        <v>1</v>
      </c>
      <c r="G1080" s="7" t="s">
        <v>14</v>
      </c>
      <c r="H1080" s="7" t="s">
        <v>314</v>
      </c>
      <c r="J1080" s="7">
        <f t="shared" si="92"/>
        <v>1900</v>
      </c>
      <c r="K1080" s="7">
        <f t="shared" si="94"/>
        <v>1</v>
      </c>
      <c r="L1080" s="7">
        <f t="shared" si="95"/>
        <v>45891</v>
      </c>
      <c r="M1080" s="7" t="s">
        <v>537</v>
      </c>
      <c r="N1080" s="7" t="s">
        <v>922</v>
      </c>
      <c r="O1080" s="17" t="s">
        <v>682</v>
      </c>
      <c r="P1080" s="7">
        <f t="shared" si="93"/>
        <v>8</v>
      </c>
      <c r="Q1080" s="7">
        <f t="shared" si="96"/>
        <v>2025</v>
      </c>
    </row>
    <row r="1081" spans="1:17" x14ac:dyDescent="0.25">
      <c r="A1081" s="7">
        <v>2539</v>
      </c>
      <c r="B1081" s="9" t="s">
        <v>533</v>
      </c>
      <c r="C1081" s="9" t="s">
        <v>533</v>
      </c>
      <c r="D1081" s="8">
        <v>45891</v>
      </c>
      <c r="E1081" s="7" t="s">
        <v>60</v>
      </c>
      <c r="F1081" s="7">
        <v>1</v>
      </c>
      <c r="G1081" s="7" t="s">
        <v>14</v>
      </c>
      <c r="H1081" s="7" t="s">
        <v>314</v>
      </c>
      <c r="J1081" s="7">
        <f t="shared" si="92"/>
        <v>1900</v>
      </c>
      <c r="K1081" s="7">
        <f t="shared" si="94"/>
        <v>1</v>
      </c>
      <c r="L1081" s="7">
        <f t="shared" si="95"/>
        <v>45891</v>
      </c>
      <c r="M1081" s="7" t="s">
        <v>537</v>
      </c>
      <c r="N1081" s="7" t="s">
        <v>922</v>
      </c>
      <c r="O1081" s="17" t="s">
        <v>682</v>
      </c>
      <c r="P1081" s="7">
        <f t="shared" si="93"/>
        <v>8</v>
      </c>
      <c r="Q1081" s="7">
        <f t="shared" si="96"/>
        <v>2025</v>
      </c>
    </row>
    <row r="1082" spans="1:17" x14ac:dyDescent="0.25">
      <c r="A1082" s="7">
        <v>2539</v>
      </c>
      <c r="B1082" s="9" t="s">
        <v>533</v>
      </c>
      <c r="C1082" s="9" t="s">
        <v>533</v>
      </c>
      <c r="D1082" s="8">
        <v>45891</v>
      </c>
      <c r="E1082" s="7" t="s">
        <v>60</v>
      </c>
      <c r="F1082" s="7">
        <v>1</v>
      </c>
      <c r="G1082" s="7" t="s">
        <v>14</v>
      </c>
      <c r="H1082" s="7" t="s">
        <v>314</v>
      </c>
      <c r="J1082" s="7">
        <f t="shared" si="92"/>
        <v>1900</v>
      </c>
      <c r="K1082" s="7">
        <f t="shared" si="94"/>
        <v>1</v>
      </c>
      <c r="L1082" s="7">
        <f t="shared" si="95"/>
        <v>45891</v>
      </c>
      <c r="M1082" s="7" t="s">
        <v>537</v>
      </c>
      <c r="N1082" s="7" t="s">
        <v>922</v>
      </c>
      <c r="O1082" s="17" t="s">
        <v>682</v>
      </c>
      <c r="P1082" s="7">
        <f t="shared" si="93"/>
        <v>8</v>
      </c>
      <c r="Q1082" s="7">
        <f t="shared" si="96"/>
        <v>2025</v>
      </c>
    </row>
    <row r="1083" spans="1:17" x14ac:dyDescent="0.25">
      <c r="A1083" s="7">
        <v>2539</v>
      </c>
      <c r="B1083" s="9" t="s">
        <v>533</v>
      </c>
      <c r="C1083" s="9" t="s">
        <v>533</v>
      </c>
      <c r="D1083" s="8">
        <v>45891</v>
      </c>
      <c r="E1083" s="7" t="s">
        <v>60</v>
      </c>
      <c r="F1083" s="7">
        <v>1</v>
      </c>
      <c r="G1083" s="7" t="s">
        <v>14</v>
      </c>
      <c r="H1083" s="7" t="s">
        <v>314</v>
      </c>
      <c r="J1083" s="7">
        <f t="shared" si="92"/>
        <v>1900</v>
      </c>
      <c r="K1083" s="7">
        <f t="shared" si="94"/>
        <v>1</v>
      </c>
      <c r="L1083" s="7">
        <f t="shared" si="95"/>
        <v>45891</v>
      </c>
      <c r="M1083" s="7" t="s">
        <v>537</v>
      </c>
      <c r="N1083" s="7" t="s">
        <v>922</v>
      </c>
      <c r="O1083" s="17" t="s">
        <v>682</v>
      </c>
      <c r="P1083" s="7">
        <f t="shared" si="93"/>
        <v>8</v>
      </c>
      <c r="Q1083" s="7">
        <f t="shared" si="96"/>
        <v>2025</v>
      </c>
    </row>
    <row r="1084" spans="1:17" x14ac:dyDescent="0.25">
      <c r="A1084" s="7">
        <v>2539</v>
      </c>
      <c r="B1084" s="9" t="s">
        <v>533</v>
      </c>
      <c r="C1084" s="9" t="s">
        <v>533</v>
      </c>
      <c r="D1084" s="8">
        <v>45891</v>
      </c>
      <c r="E1084" s="7" t="s">
        <v>60</v>
      </c>
      <c r="F1084" s="7">
        <v>1</v>
      </c>
      <c r="G1084" s="7" t="s">
        <v>14</v>
      </c>
      <c r="H1084" s="7" t="s">
        <v>314</v>
      </c>
      <c r="J1084" s="7">
        <f t="shared" si="92"/>
        <v>1900</v>
      </c>
      <c r="K1084" s="7">
        <f t="shared" si="94"/>
        <v>1</v>
      </c>
      <c r="L1084" s="7">
        <f t="shared" si="95"/>
        <v>45891</v>
      </c>
      <c r="M1084" s="7" t="s">
        <v>537</v>
      </c>
      <c r="N1084" s="7" t="s">
        <v>922</v>
      </c>
      <c r="O1084" s="17" t="s">
        <v>682</v>
      </c>
      <c r="P1084" s="7">
        <f t="shared" si="93"/>
        <v>8</v>
      </c>
      <c r="Q1084" s="7">
        <f t="shared" si="96"/>
        <v>2025</v>
      </c>
    </row>
    <row r="1085" spans="1:17" x14ac:dyDescent="0.25">
      <c r="A1085" s="7">
        <v>2539</v>
      </c>
      <c r="B1085" s="9" t="s">
        <v>533</v>
      </c>
      <c r="C1085" s="9" t="s">
        <v>533</v>
      </c>
      <c r="D1085" s="8">
        <v>45891</v>
      </c>
      <c r="E1085" s="7" t="s">
        <v>60</v>
      </c>
      <c r="F1085" s="7">
        <v>1</v>
      </c>
      <c r="G1085" s="7" t="s">
        <v>14</v>
      </c>
      <c r="H1085" s="7" t="s">
        <v>314</v>
      </c>
      <c r="J1085" s="7">
        <f t="shared" si="92"/>
        <v>1900</v>
      </c>
      <c r="K1085" s="7">
        <f t="shared" si="94"/>
        <v>1</v>
      </c>
      <c r="L1085" s="7">
        <f t="shared" si="95"/>
        <v>45891</v>
      </c>
      <c r="M1085" s="7" t="s">
        <v>537</v>
      </c>
      <c r="N1085" s="7" t="s">
        <v>922</v>
      </c>
      <c r="O1085" s="17" t="s">
        <v>682</v>
      </c>
      <c r="P1085" s="7">
        <f t="shared" si="93"/>
        <v>8</v>
      </c>
      <c r="Q1085" s="7">
        <f t="shared" si="96"/>
        <v>2025</v>
      </c>
    </row>
    <row r="1086" spans="1:17" x14ac:dyDescent="0.25">
      <c r="A1086" s="7">
        <v>2539</v>
      </c>
      <c r="B1086" s="9" t="s">
        <v>533</v>
      </c>
      <c r="C1086" s="9" t="s">
        <v>533</v>
      </c>
      <c r="D1086" s="8">
        <v>45891</v>
      </c>
      <c r="E1086" s="7" t="s">
        <v>60</v>
      </c>
      <c r="F1086" s="7">
        <v>1</v>
      </c>
      <c r="G1086" s="7" t="s">
        <v>14</v>
      </c>
      <c r="H1086" s="7" t="s">
        <v>314</v>
      </c>
      <c r="J1086" s="7">
        <f t="shared" si="92"/>
        <v>1900</v>
      </c>
      <c r="K1086" s="7">
        <f t="shared" si="94"/>
        <v>1</v>
      </c>
      <c r="L1086" s="7">
        <f t="shared" si="95"/>
        <v>45891</v>
      </c>
      <c r="M1086" s="7" t="s">
        <v>537</v>
      </c>
      <c r="N1086" s="7" t="s">
        <v>922</v>
      </c>
      <c r="O1086" s="17" t="s">
        <v>682</v>
      </c>
      <c r="P1086" s="7">
        <f t="shared" si="93"/>
        <v>8</v>
      </c>
      <c r="Q1086" s="7">
        <f t="shared" si="96"/>
        <v>2025</v>
      </c>
    </row>
    <row r="1087" spans="1:17" x14ac:dyDescent="0.25">
      <c r="A1087" s="7">
        <v>2539</v>
      </c>
      <c r="B1087" s="9" t="s">
        <v>533</v>
      </c>
      <c r="C1087" s="9" t="s">
        <v>533</v>
      </c>
      <c r="D1087" s="8">
        <v>45891</v>
      </c>
      <c r="E1087" s="7" t="s">
        <v>60</v>
      </c>
      <c r="F1087" s="7">
        <v>1</v>
      </c>
      <c r="G1087" s="7" t="s">
        <v>14</v>
      </c>
      <c r="H1087" s="7" t="s">
        <v>314</v>
      </c>
      <c r="J1087" s="7">
        <f t="shared" si="92"/>
        <v>1900</v>
      </c>
      <c r="K1087" s="7">
        <f t="shared" si="94"/>
        <v>1</v>
      </c>
      <c r="L1087" s="7">
        <f t="shared" si="95"/>
        <v>45891</v>
      </c>
      <c r="M1087" s="7" t="s">
        <v>537</v>
      </c>
      <c r="N1087" s="7" t="s">
        <v>922</v>
      </c>
      <c r="O1087" s="17" t="s">
        <v>682</v>
      </c>
      <c r="P1087" s="7">
        <f t="shared" si="93"/>
        <v>8</v>
      </c>
      <c r="Q1087" s="7">
        <f t="shared" si="96"/>
        <v>2025</v>
      </c>
    </row>
    <row r="1088" spans="1:17" x14ac:dyDescent="0.25">
      <c r="A1088" s="7">
        <v>2539</v>
      </c>
      <c r="B1088" s="9" t="s">
        <v>533</v>
      </c>
      <c r="C1088" s="9" t="s">
        <v>533</v>
      </c>
      <c r="D1088" s="8">
        <v>45891</v>
      </c>
      <c r="E1088" s="7" t="s">
        <v>60</v>
      </c>
      <c r="F1088" s="7">
        <v>1</v>
      </c>
      <c r="G1088" s="7" t="s">
        <v>14</v>
      </c>
      <c r="H1088" s="7" t="s">
        <v>314</v>
      </c>
      <c r="J1088" s="7">
        <f t="shared" si="92"/>
        <v>1900</v>
      </c>
      <c r="K1088" s="7">
        <f t="shared" si="94"/>
        <v>1</v>
      </c>
      <c r="L1088" s="7">
        <f t="shared" si="95"/>
        <v>45891</v>
      </c>
      <c r="M1088" s="7" t="s">
        <v>537</v>
      </c>
      <c r="N1088" s="7" t="s">
        <v>922</v>
      </c>
      <c r="O1088" s="17" t="s">
        <v>682</v>
      </c>
      <c r="P1088" s="7">
        <f t="shared" si="93"/>
        <v>8</v>
      </c>
      <c r="Q1088" s="7">
        <f t="shared" si="96"/>
        <v>2025</v>
      </c>
    </row>
    <row r="1089" spans="1:17" x14ac:dyDescent="0.25">
      <c r="A1089" s="7">
        <v>2539</v>
      </c>
      <c r="B1089" s="9" t="s">
        <v>533</v>
      </c>
      <c r="C1089" s="9" t="s">
        <v>533</v>
      </c>
      <c r="D1089" s="8">
        <v>45891</v>
      </c>
      <c r="E1089" s="7" t="s">
        <v>60</v>
      </c>
      <c r="F1089" s="7">
        <v>1</v>
      </c>
      <c r="G1089" s="7" t="s">
        <v>14</v>
      </c>
      <c r="H1089" s="7" t="s">
        <v>314</v>
      </c>
      <c r="J1089" s="7">
        <f t="shared" si="92"/>
        <v>1900</v>
      </c>
      <c r="K1089" s="7">
        <f t="shared" si="94"/>
        <v>1</v>
      </c>
      <c r="L1089" s="7">
        <f t="shared" si="95"/>
        <v>45891</v>
      </c>
      <c r="M1089" s="7" t="s">
        <v>537</v>
      </c>
      <c r="N1089" s="7" t="s">
        <v>922</v>
      </c>
      <c r="O1089" s="17" t="s">
        <v>682</v>
      </c>
      <c r="P1089" s="7">
        <f t="shared" si="93"/>
        <v>8</v>
      </c>
      <c r="Q1089" s="7">
        <f t="shared" si="96"/>
        <v>2025</v>
      </c>
    </row>
    <row r="1090" spans="1:17" x14ac:dyDescent="0.25">
      <c r="A1090" s="7">
        <v>2539</v>
      </c>
      <c r="B1090" s="9" t="s">
        <v>533</v>
      </c>
      <c r="C1090" s="9" t="s">
        <v>533</v>
      </c>
      <c r="D1090" s="8">
        <v>45891</v>
      </c>
      <c r="E1090" s="7" t="s">
        <v>60</v>
      </c>
      <c r="F1090" s="7">
        <v>1</v>
      </c>
      <c r="G1090" s="7" t="s">
        <v>14</v>
      </c>
      <c r="H1090" s="7" t="s">
        <v>314</v>
      </c>
      <c r="J1090" s="7">
        <f t="shared" si="92"/>
        <v>1900</v>
      </c>
      <c r="K1090" s="7">
        <f t="shared" si="94"/>
        <v>1</v>
      </c>
      <c r="L1090" s="7">
        <f t="shared" si="95"/>
        <v>45891</v>
      </c>
      <c r="M1090" s="7" t="s">
        <v>537</v>
      </c>
      <c r="N1090" s="7" t="s">
        <v>922</v>
      </c>
      <c r="O1090" s="17" t="s">
        <v>682</v>
      </c>
      <c r="P1090" s="7">
        <f t="shared" si="93"/>
        <v>8</v>
      </c>
      <c r="Q1090" s="7">
        <f t="shared" si="96"/>
        <v>2025</v>
      </c>
    </row>
    <row r="1091" spans="1:17" x14ac:dyDescent="0.25">
      <c r="A1091" s="7">
        <v>2539</v>
      </c>
      <c r="B1091" s="9" t="s">
        <v>533</v>
      </c>
      <c r="C1091" s="9" t="s">
        <v>533</v>
      </c>
      <c r="D1091" s="8">
        <v>45891</v>
      </c>
      <c r="E1091" s="7" t="s">
        <v>60</v>
      </c>
      <c r="F1091" s="7">
        <v>1</v>
      </c>
      <c r="G1091" s="7" t="s">
        <v>14</v>
      </c>
      <c r="H1091" s="7" t="s">
        <v>314</v>
      </c>
      <c r="J1091" s="7">
        <f t="shared" si="92"/>
        <v>1900</v>
      </c>
      <c r="K1091" s="7">
        <f t="shared" si="94"/>
        <v>1</v>
      </c>
      <c r="L1091" s="7">
        <f t="shared" si="95"/>
        <v>45891</v>
      </c>
      <c r="M1091" s="7" t="s">
        <v>537</v>
      </c>
      <c r="N1091" s="7" t="s">
        <v>922</v>
      </c>
      <c r="O1091" s="17" t="s">
        <v>682</v>
      </c>
      <c r="P1091" s="7">
        <f t="shared" si="93"/>
        <v>8</v>
      </c>
      <c r="Q1091" s="7">
        <f t="shared" si="96"/>
        <v>2025</v>
      </c>
    </row>
    <row r="1092" spans="1:17" x14ac:dyDescent="0.25">
      <c r="A1092" s="7">
        <v>2539</v>
      </c>
      <c r="B1092" s="9" t="s">
        <v>533</v>
      </c>
      <c r="C1092" s="9" t="s">
        <v>533</v>
      </c>
      <c r="D1092" s="8">
        <v>45891</v>
      </c>
      <c r="E1092" s="7" t="s">
        <v>60</v>
      </c>
      <c r="F1092" s="7">
        <v>1</v>
      </c>
      <c r="G1092" s="7" t="s">
        <v>14</v>
      </c>
      <c r="H1092" s="7" t="s">
        <v>314</v>
      </c>
      <c r="J1092" s="7">
        <f t="shared" si="92"/>
        <v>1900</v>
      </c>
      <c r="K1092" s="7">
        <f t="shared" si="94"/>
        <v>1</v>
      </c>
      <c r="L1092" s="7">
        <f t="shared" si="95"/>
        <v>45891</v>
      </c>
      <c r="M1092" s="7" t="s">
        <v>537</v>
      </c>
      <c r="N1092" s="7" t="s">
        <v>922</v>
      </c>
      <c r="O1092" s="17" t="s">
        <v>682</v>
      </c>
      <c r="P1092" s="7">
        <f t="shared" si="93"/>
        <v>8</v>
      </c>
      <c r="Q1092" s="7">
        <f t="shared" si="96"/>
        <v>2025</v>
      </c>
    </row>
    <row r="1093" spans="1:17" x14ac:dyDescent="0.25">
      <c r="A1093" s="7">
        <v>2539</v>
      </c>
      <c r="B1093" s="9" t="s">
        <v>533</v>
      </c>
      <c r="C1093" s="9" t="s">
        <v>533</v>
      </c>
      <c r="D1093" s="8">
        <v>45891</v>
      </c>
      <c r="E1093" s="7" t="s">
        <v>60</v>
      </c>
      <c r="F1093" s="7">
        <v>1</v>
      </c>
      <c r="G1093" s="7" t="s">
        <v>14</v>
      </c>
      <c r="H1093" s="7" t="s">
        <v>314</v>
      </c>
      <c r="J1093" s="7">
        <f t="shared" si="92"/>
        <v>1900</v>
      </c>
      <c r="K1093" s="7">
        <f t="shared" si="94"/>
        <v>1</v>
      </c>
      <c r="L1093" s="7">
        <f t="shared" si="95"/>
        <v>45891</v>
      </c>
      <c r="M1093" s="7" t="s">
        <v>537</v>
      </c>
      <c r="N1093" s="7" t="s">
        <v>922</v>
      </c>
      <c r="O1093" s="17" t="s">
        <v>682</v>
      </c>
      <c r="P1093" s="7">
        <f t="shared" si="93"/>
        <v>8</v>
      </c>
      <c r="Q1093" s="7">
        <f t="shared" si="96"/>
        <v>2025</v>
      </c>
    </row>
    <row r="1094" spans="1:17" x14ac:dyDescent="0.25">
      <c r="A1094" s="7">
        <v>2539</v>
      </c>
      <c r="B1094" s="9" t="s">
        <v>533</v>
      </c>
      <c r="C1094" s="9" t="s">
        <v>533</v>
      </c>
      <c r="D1094" s="8">
        <v>45891</v>
      </c>
      <c r="E1094" s="7" t="s">
        <v>60</v>
      </c>
      <c r="F1094" s="7">
        <v>1</v>
      </c>
      <c r="G1094" s="7" t="s">
        <v>14</v>
      </c>
      <c r="H1094" s="7" t="s">
        <v>314</v>
      </c>
      <c r="J1094" s="7">
        <f t="shared" si="92"/>
        <v>1900</v>
      </c>
      <c r="K1094" s="7">
        <f t="shared" si="94"/>
        <v>1</v>
      </c>
      <c r="L1094" s="7">
        <f t="shared" si="95"/>
        <v>45891</v>
      </c>
      <c r="M1094" s="7" t="s">
        <v>537</v>
      </c>
      <c r="N1094" s="7" t="s">
        <v>922</v>
      </c>
      <c r="O1094" s="17" t="s">
        <v>682</v>
      </c>
      <c r="P1094" s="7">
        <f t="shared" si="93"/>
        <v>8</v>
      </c>
      <c r="Q1094" s="7">
        <f t="shared" si="96"/>
        <v>2025</v>
      </c>
    </row>
    <row r="1095" spans="1:17" x14ac:dyDescent="0.25">
      <c r="A1095" s="7">
        <v>2539</v>
      </c>
      <c r="B1095" s="9" t="s">
        <v>533</v>
      </c>
      <c r="C1095" s="9" t="s">
        <v>533</v>
      </c>
      <c r="D1095" s="8">
        <v>45891</v>
      </c>
      <c r="E1095" s="7" t="s">
        <v>60</v>
      </c>
      <c r="F1095" s="7">
        <v>1</v>
      </c>
      <c r="G1095" s="7" t="s">
        <v>14</v>
      </c>
      <c r="H1095" s="7" t="s">
        <v>314</v>
      </c>
      <c r="J1095" s="7">
        <f t="shared" si="92"/>
        <v>1900</v>
      </c>
      <c r="K1095" s="7">
        <f t="shared" si="94"/>
        <v>1</v>
      </c>
      <c r="L1095" s="7">
        <f t="shared" si="95"/>
        <v>45891</v>
      </c>
      <c r="M1095" s="7" t="s">
        <v>537</v>
      </c>
      <c r="N1095" s="7" t="s">
        <v>922</v>
      </c>
      <c r="O1095" s="17" t="s">
        <v>682</v>
      </c>
      <c r="P1095" s="7">
        <f t="shared" si="93"/>
        <v>8</v>
      </c>
      <c r="Q1095" s="7">
        <f t="shared" si="96"/>
        <v>2025</v>
      </c>
    </row>
    <row r="1096" spans="1:17" x14ac:dyDescent="0.25">
      <c r="A1096" s="7">
        <v>2539</v>
      </c>
      <c r="B1096" s="9" t="s">
        <v>533</v>
      </c>
      <c r="C1096" s="9" t="s">
        <v>533</v>
      </c>
      <c r="D1096" s="8">
        <v>45891</v>
      </c>
      <c r="E1096" s="7" t="s">
        <v>60</v>
      </c>
      <c r="F1096" s="7">
        <v>1</v>
      </c>
      <c r="G1096" s="7" t="s">
        <v>14</v>
      </c>
      <c r="H1096" s="7" t="s">
        <v>314</v>
      </c>
      <c r="J1096" s="7">
        <f t="shared" si="92"/>
        <v>1900</v>
      </c>
      <c r="K1096" s="7">
        <f t="shared" si="94"/>
        <v>1</v>
      </c>
      <c r="L1096" s="7">
        <f t="shared" si="95"/>
        <v>45891</v>
      </c>
      <c r="M1096" s="7" t="s">
        <v>537</v>
      </c>
      <c r="N1096" s="7" t="s">
        <v>922</v>
      </c>
      <c r="O1096" s="17" t="s">
        <v>682</v>
      </c>
      <c r="P1096" s="7">
        <f t="shared" si="93"/>
        <v>8</v>
      </c>
      <c r="Q1096" s="7">
        <f t="shared" si="96"/>
        <v>2025</v>
      </c>
    </row>
    <row r="1097" spans="1:17" x14ac:dyDescent="0.25">
      <c r="A1097" s="7">
        <v>2539</v>
      </c>
      <c r="B1097" s="9" t="s">
        <v>533</v>
      </c>
      <c r="C1097" s="9" t="s">
        <v>533</v>
      </c>
      <c r="D1097" s="8">
        <v>45891</v>
      </c>
      <c r="E1097" s="7" t="s">
        <v>60</v>
      </c>
      <c r="F1097" s="7">
        <v>1</v>
      </c>
      <c r="G1097" s="7" t="s">
        <v>14</v>
      </c>
      <c r="H1097" s="7" t="s">
        <v>314</v>
      </c>
      <c r="J1097" s="7">
        <f t="shared" si="92"/>
        <v>1900</v>
      </c>
      <c r="K1097" s="7">
        <f t="shared" si="94"/>
        <v>1</v>
      </c>
      <c r="L1097" s="7">
        <f t="shared" si="95"/>
        <v>45891</v>
      </c>
      <c r="M1097" s="7" t="s">
        <v>537</v>
      </c>
      <c r="N1097" s="7" t="s">
        <v>922</v>
      </c>
      <c r="O1097" s="17" t="s">
        <v>682</v>
      </c>
      <c r="P1097" s="7">
        <f t="shared" si="93"/>
        <v>8</v>
      </c>
      <c r="Q1097" s="7">
        <f t="shared" si="96"/>
        <v>2025</v>
      </c>
    </row>
    <row r="1098" spans="1:17" x14ac:dyDescent="0.25">
      <c r="A1098" s="7">
        <v>2539</v>
      </c>
      <c r="B1098" s="9" t="s">
        <v>533</v>
      </c>
      <c r="C1098" s="9" t="s">
        <v>533</v>
      </c>
      <c r="D1098" s="8">
        <v>45891</v>
      </c>
      <c r="E1098" s="7" t="s">
        <v>60</v>
      </c>
      <c r="F1098" s="7">
        <v>1</v>
      </c>
      <c r="G1098" s="7" t="s">
        <v>14</v>
      </c>
      <c r="H1098" s="7" t="s">
        <v>314</v>
      </c>
      <c r="J1098" s="7">
        <f t="shared" si="92"/>
        <v>1900</v>
      </c>
      <c r="K1098" s="7">
        <f t="shared" si="94"/>
        <v>1</v>
      </c>
      <c r="L1098" s="7">
        <f t="shared" si="95"/>
        <v>45891</v>
      </c>
      <c r="M1098" s="7" t="s">
        <v>537</v>
      </c>
      <c r="N1098" s="7" t="s">
        <v>922</v>
      </c>
      <c r="O1098" s="17" t="s">
        <v>682</v>
      </c>
      <c r="P1098" s="7">
        <f t="shared" si="93"/>
        <v>8</v>
      </c>
      <c r="Q1098" s="7">
        <f t="shared" si="96"/>
        <v>2025</v>
      </c>
    </row>
    <row r="1099" spans="1:17" x14ac:dyDescent="0.25">
      <c r="A1099" s="7">
        <v>2539</v>
      </c>
      <c r="B1099" s="9" t="s">
        <v>533</v>
      </c>
      <c r="C1099" s="9" t="s">
        <v>533</v>
      </c>
      <c r="D1099" s="8">
        <v>45891</v>
      </c>
      <c r="E1099" s="7" t="s">
        <v>60</v>
      </c>
      <c r="F1099" s="7">
        <v>1</v>
      </c>
      <c r="G1099" s="7" t="s">
        <v>14</v>
      </c>
      <c r="H1099" s="7" t="s">
        <v>314</v>
      </c>
      <c r="J1099" s="7">
        <f t="shared" si="92"/>
        <v>1900</v>
      </c>
      <c r="K1099" s="7">
        <f t="shared" si="94"/>
        <v>1</v>
      </c>
      <c r="L1099" s="7">
        <f t="shared" si="95"/>
        <v>45891</v>
      </c>
      <c r="M1099" s="7" t="s">
        <v>537</v>
      </c>
      <c r="N1099" s="7" t="s">
        <v>922</v>
      </c>
      <c r="O1099" s="17" t="s">
        <v>682</v>
      </c>
      <c r="P1099" s="7">
        <f t="shared" si="93"/>
        <v>8</v>
      </c>
      <c r="Q1099" s="7">
        <f t="shared" si="96"/>
        <v>2025</v>
      </c>
    </row>
    <row r="1100" spans="1:17" x14ac:dyDescent="0.25">
      <c r="A1100" s="7">
        <v>2539</v>
      </c>
      <c r="B1100" s="9" t="s">
        <v>533</v>
      </c>
      <c r="C1100" s="9" t="s">
        <v>533</v>
      </c>
      <c r="D1100" s="8">
        <v>45891</v>
      </c>
      <c r="E1100" s="7" t="s">
        <v>60</v>
      </c>
      <c r="F1100" s="7">
        <v>1</v>
      </c>
      <c r="G1100" s="7" t="s">
        <v>14</v>
      </c>
      <c r="H1100" s="7" t="s">
        <v>314</v>
      </c>
      <c r="J1100" s="7">
        <f t="shared" si="92"/>
        <v>1900</v>
      </c>
      <c r="K1100" s="7">
        <f t="shared" si="94"/>
        <v>1</v>
      </c>
      <c r="L1100" s="7">
        <f t="shared" si="95"/>
        <v>45891</v>
      </c>
      <c r="M1100" s="7" t="s">
        <v>537</v>
      </c>
      <c r="N1100" s="7" t="s">
        <v>922</v>
      </c>
      <c r="O1100" s="17" t="s">
        <v>682</v>
      </c>
      <c r="P1100" s="7">
        <f t="shared" si="93"/>
        <v>8</v>
      </c>
      <c r="Q1100" s="7">
        <f t="shared" si="96"/>
        <v>2025</v>
      </c>
    </row>
    <row r="1101" spans="1:17" x14ac:dyDescent="0.25">
      <c r="A1101" s="7">
        <v>2539</v>
      </c>
      <c r="B1101" s="9" t="s">
        <v>533</v>
      </c>
      <c r="C1101" s="9" t="s">
        <v>533</v>
      </c>
      <c r="D1101" s="8">
        <v>45891</v>
      </c>
      <c r="E1101" s="7" t="s">
        <v>60</v>
      </c>
      <c r="F1101" s="7">
        <v>1</v>
      </c>
      <c r="G1101" s="7" t="s">
        <v>14</v>
      </c>
      <c r="H1101" s="7" t="s">
        <v>314</v>
      </c>
      <c r="J1101" s="7">
        <f t="shared" si="92"/>
        <v>1900</v>
      </c>
      <c r="K1101" s="7">
        <f t="shared" si="94"/>
        <v>1</v>
      </c>
      <c r="L1101" s="7">
        <f t="shared" si="95"/>
        <v>45891</v>
      </c>
      <c r="M1101" s="7" t="s">
        <v>537</v>
      </c>
      <c r="N1101" s="7" t="s">
        <v>922</v>
      </c>
      <c r="O1101" s="17" t="s">
        <v>682</v>
      </c>
      <c r="P1101" s="7">
        <f t="shared" si="93"/>
        <v>8</v>
      </c>
      <c r="Q1101" s="7">
        <f t="shared" si="96"/>
        <v>2025</v>
      </c>
    </row>
    <row r="1102" spans="1:17" x14ac:dyDescent="0.25">
      <c r="A1102" s="7">
        <v>2539</v>
      </c>
      <c r="B1102" s="9" t="s">
        <v>533</v>
      </c>
      <c r="C1102" s="9" t="s">
        <v>533</v>
      </c>
      <c r="D1102" s="8">
        <v>45891</v>
      </c>
      <c r="E1102" s="7" t="s">
        <v>60</v>
      </c>
      <c r="F1102" s="7">
        <v>1</v>
      </c>
      <c r="G1102" s="7" t="s">
        <v>14</v>
      </c>
      <c r="H1102" s="7" t="s">
        <v>314</v>
      </c>
      <c r="J1102" s="7">
        <f t="shared" si="92"/>
        <v>1900</v>
      </c>
      <c r="K1102" s="7">
        <f t="shared" si="94"/>
        <v>1</v>
      </c>
      <c r="L1102" s="7">
        <f t="shared" si="95"/>
        <v>45891</v>
      </c>
      <c r="M1102" s="7" t="s">
        <v>537</v>
      </c>
      <c r="N1102" s="7" t="s">
        <v>922</v>
      </c>
      <c r="O1102" s="17" t="s">
        <v>682</v>
      </c>
      <c r="P1102" s="7">
        <f t="shared" si="93"/>
        <v>8</v>
      </c>
      <c r="Q1102" s="7">
        <f t="shared" si="96"/>
        <v>2025</v>
      </c>
    </row>
    <row r="1103" spans="1:17" x14ac:dyDescent="0.25">
      <c r="A1103" s="7">
        <v>2539</v>
      </c>
      <c r="B1103" s="9" t="s">
        <v>533</v>
      </c>
      <c r="C1103" s="9" t="s">
        <v>533</v>
      </c>
      <c r="D1103" s="8">
        <v>45891</v>
      </c>
      <c r="E1103" s="7" t="s">
        <v>60</v>
      </c>
      <c r="F1103" s="7">
        <v>1</v>
      </c>
      <c r="G1103" s="7" t="s">
        <v>14</v>
      </c>
      <c r="H1103" s="7" t="s">
        <v>314</v>
      </c>
      <c r="J1103" s="7">
        <f t="shared" si="92"/>
        <v>1900</v>
      </c>
      <c r="K1103" s="7">
        <f t="shared" si="94"/>
        <v>1</v>
      </c>
      <c r="L1103" s="7">
        <f t="shared" si="95"/>
        <v>45891</v>
      </c>
      <c r="M1103" s="7" t="s">
        <v>537</v>
      </c>
      <c r="N1103" s="7" t="s">
        <v>922</v>
      </c>
      <c r="O1103" s="17" t="s">
        <v>682</v>
      </c>
      <c r="P1103" s="7">
        <f t="shared" si="93"/>
        <v>8</v>
      </c>
      <c r="Q1103" s="7">
        <f t="shared" si="96"/>
        <v>2025</v>
      </c>
    </row>
    <row r="1104" spans="1:17" x14ac:dyDescent="0.25">
      <c r="A1104" s="7">
        <v>2539</v>
      </c>
      <c r="B1104" s="9" t="s">
        <v>533</v>
      </c>
      <c r="C1104" s="9" t="s">
        <v>533</v>
      </c>
      <c r="D1104" s="8">
        <v>45891</v>
      </c>
      <c r="E1104" s="7" t="s">
        <v>60</v>
      </c>
      <c r="F1104" s="7">
        <v>1</v>
      </c>
      <c r="G1104" s="7" t="s">
        <v>14</v>
      </c>
      <c r="H1104" s="7" t="s">
        <v>314</v>
      </c>
      <c r="J1104" s="7">
        <f t="shared" si="92"/>
        <v>1900</v>
      </c>
      <c r="K1104" s="7">
        <f t="shared" si="94"/>
        <v>1</v>
      </c>
      <c r="L1104" s="7">
        <f t="shared" si="95"/>
        <v>45891</v>
      </c>
      <c r="M1104" s="7" t="s">
        <v>537</v>
      </c>
      <c r="N1104" s="7" t="s">
        <v>922</v>
      </c>
      <c r="O1104" s="17" t="s">
        <v>682</v>
      </c>
      <c r="P1104" s="7">
        <f t="shared" si="93"/>
        <v>8</v>
      </c>
      <c r="Q1104" s="7">
        <f t="shared" si="96"/>
        <v>2025</v>
      </c>
    </row>
    <row r="1105" spans="1:17" x14ac:dyDescent="0.25">
      <c r="A1105" s="7">
        <v>2539</v>
      </c>
      <c r="B1105" s="9" t="s">
        <v>533</v>
      </c>
      <c r="C1105" s="9" t="s">
        <v>533</v>
      </c>
      <c r="D1105" s="8">
        <v>45891</v>
      </c>
      <c r="E1105" s="7" t="s">
        <v>60</v>
      </c>
      <c r="F1105" s="7">
        <v>1</v>
      </c>
      <c r="G1105" s="7" t="s">
        <v>14</v>
      </c>
      <c r="H1105" s="7" t="s">
        <v>314</v>
      </c>
      <c r="J1105" s="7">
        <f t="shared" ref="J1105:J1168" si="97">YEAR(I1105)</f>
        <v>1900</v>
      </c>
      <c r="K1105" s="7">
        <f t="shared" si="94"/>
        <v>1</v>
      </c>
      <c r="L1105" s="7">
        <f t="shared" si="95"/>
        <v>45891</v>
      </c>
      <c r="M1105" s="7" t="s">
        <v>537</v>
      </c>
      <c r="N1105" s="7" t="s">
        <v>922</v>
      </c>
      <c r="O1105" s="17" t="s">
        <v>682</v>
      </c>
      <c r="P1105" s="7">
        <f t="shared" si="93"/>
        <v>8</v>
      </c>
      <c r="Q1105" s="7">
        <f t="shared" si="96"/>
        <v>2025</v>
      </c>
    </row>
    <row r="1106" spans="1:17" x14ac:dyDescent="0.25">
      <c r="A1106" s="7">
        <v>2539</v>
      </c>
      <c r="B1106" s="9" t="s">
        <v>533</v>
      </c>
      <c r="C1106" s="9" t="s">
        <v>533</v>
      </c>
      <c r="D1106" s="8">
        <v>45891</v>
      </c>
      <c r="E1106" s="7" t="s">
        <v>60</v>
      </c>
      <c r="F1106" s="7">
        <v>1</v>
      </c>
      <c r="G1106" s="7" t="s">
        <v>14</v>
      </c>
      <c r="H1106" s="7" t="s">
        <v>314</v>
      </c>
      <c r="J1106" s="7">
        <f t="shared" si="97"/>
        <v>1900</v>
      </c>
      <c r="K1106" s="7">
        <f t="shared" si="94"/>
        <v>1</v>
      </c>
      <c r="L1106" s="7">
        <f t="shared" si="95"/>
        <v>45891</v>
      </c>
      <c r="M1106" s="7" t="s">
        <v>537</v>
      </c>
      <c r="N1106" s="7" t="s">
        <v>922</v>
      </c>
      <c r="O1106" s="17" t="s">
        <v>682</v>
      </c>
      <c r="P1106" s="7">
        <f t="shared" si="93"/>
        <v>8</v>
      </c>
      <c r="Q1106" s="7">
        <f t="shared" si="96"/>
        <v>2025</v>
      </c>
    </row>
    <row r="1107" spans="1:17" x14ac:dyDescent="0.25">
      <c r="A1107" s="7">
        <v>2539</v>
      </c>
      <c r="B1107" s="9" t="s">
        <v>533</v>
      </c>
      <c r="C1107" s="9" t="s">
        <v>533</v>
      </c>
      <c r="D1107" s="8">
        <v>45891</v>
      </c>
      <c r="E1107" s="7" t="s">
        <v>60</v>
      </c>
      <c r="F1107" s="7">
        <v>1</v>
      </c>
      <c r="G1107" s="7" t="s">
        <v>14</v>
      </c>
      <c r="H1107" s="7" t="s">
        <v>314</v>
      </c>
      <c r="J1107" s="7">
        <f t="shared" si="97"/>
        <v>1900</v>
      </c>
      <c r="K1107" s="7">
        <f t="shared" si="94"/>
        <v>1</v>
      </c>
      <c r="L1107" s="7">
        <f t="shared" si="95"/>
        <v>45891</v>
      </c>
      <c r="M1107" s="7" t="s">
        <v>537</v>
      </c>
      <c r="N1107" s="7" t="s">
        <v>922</v>
      </c>
      <c r="O1107" s="17" t="s">
        <v>682</v>
      </c>
      <c r="P1107" s="7">
        <f t="shared" si="93"/>
        <v>8</v>
      </c>
      <c r="Q1107" s="7">
        <f t="shared" si="96"/>
        <v>2025</v>
      </c>
    </row>
    <row r="1108" spans="1:17" x14ac:dyDescent="0.25">
      <c r="A1108" s="7">
        <v>2539</v>
      </c>
      <c r="B1108" s="9" t="s">
        <v>533</v>
      </c>
      <c r="C1108" s="9" t="s">
        <v>533</v>
      </c>
      <c r="D1108" s="8">
        <v>45891</v>
      </c>
      <c r="E1108" s="7" t="s">
        <v>60</v>
      </c>
      <c r="F1108" s="7">
        <v>1</v>
      </c>
      <c r="G1108" s="7" t="s">
        <v>14</v>
      </c>
      <c r="H1108" s="7" t="s">
        <v>314</v>
      </c>
      <c r="J1108" s="7">
        <f t="shared" si="97"/>
        <v>1900</v>
      </c>
      <c r="K1108" s="7">
        <f t="shared" si="94"/>
        <v>1</v>
      </c>
      <c r="L1108" s="7">
        <f t="shared" si="95"/>
        <v>45891</v>
      </c>
      <c r="M1108" s="7" t="s">
        <v>537</v>
      </c>
      <c r="N1108" s="7" t="s">
        <v>922</v>
      </c>
      <c r="O1108" s="17" t="s">
        <v>682</v>
      </c>
      <c r="P1108" s="7">
        <f t="shared" si="93"/>
        <v>8</v>
      </c>
      <c r="Q1108" s="7">
        <f t="shared" si="96"/>
        <v>2025</v>
      </c>
    </row>
    <row r="1109" spans="1:17" x14ac:dyDescent="0.25">
      <c r="A1109" s="7">
        <v>2539</v>
      </c>
      <c r="B1109" s="9" t="s">
        <v>533</v>
      </c>
      <c r="C1109" s="9" t="s">
        <v>533</v>
      </c>
      <c r="D1109" s="8">
        <v>45891</v>
      </c>
      <c r="E1109" s="7" t="s">
        <v>60</v>
      </c>
      <c r="F1109" s="7">
        <v>1</v>
      </c>
      <c r="G1109" s="7" t="s">
        <v>14</v>
      </c>
      <c r="H1109" s="7" t="s">
        <v>314</v>
      </c>
      <c r="J1109" s="7">
        <f t="shared" si="97"/>
        <v>1900</v>
      </c>
      <c r="K1109" s="7">
        <f t="shared" si="94"/>
        <v>1</v>
      </c>
      <c r="L1109" s="7">
        <f t="shared" si="95"/>
        <v>45891</v>
      </c>
      <c r="M1109" s="7" t="s">
        <v>537</v>
      </c>
      <c r="N1109" s="7" t="s">
        <v>922</v>
      </c>
      <c r="O1109" s="17" t="s">
        <v>682</v>
      </c>
      <c r="P1109" s="7">
        <f t="shared" si="93"/>
        <v>8</v>
      </c>
      <c r="Q1109" s="7">
        <f t="shared" si="96"/>
        <v>2025</v>
      </c>
    </row>
    <row r="1110" spans="1:17" x14ac:dyDescent="0.25">
      <c r="A1110" s="7">
        <v>2539</v>
      </c>
      <c r="B1110" s="9" t="s">
        <v>533</v>
      </c>
      <c r="C1110" s="9" t="s">
        <v>533</v>
      </c>
      <c r="D1110" s="8">
        <v>45891</v>
      </c>
      <c r="E1110" s="7" t="s">
        <v>60</v>
      </c>
      <c r="F1110" s="7">
        <v>1</v>
      </c>
      <c r="G1110" s="7" t="s">
        <v>14</v>
      </c>
      <c r="H1110" s="7" t="s">
        <v>314</v>
      </c>
      <c r="J1110" s="7">
        <f t="shared" si="97"/>
        <v>1900</v>
      </c>
      <c r="K1110" s="7">
        <f t="shared" si="94"/>
        <v>1</v>
      </c>
      <c r="L1110" s="7">
        <f t="shared" si="95"/>
        <v>45891</v>
      </c>
      <c r="M1110" s="7" t="s">
        <v>537</v>
      </c>
      <c r="N1110" s="7" t="s">
        <v>922</v>
      </c>
      <c r="O1110" s="17" t="s">
        <v>682</v>
      </c>
      <c r="P1110" s="7">
        <f t="shared" si="93"/>
        <v>8</v>
      </c>
      <c r="Q1110" s="7">
        <f t="shared" si="96"/>
        <v>2025</v>
      </c>
    </row>
    <row r="1111" spans="1:17" x14ac:dyDescent="0.25">
      <c r="A1111" s="7">
        <v>2539</v>
      </c>
      <c r="B1111" s="9" t="s">
        <v>533</v>
      </c>
      <c r="C1111" s="9" t="s">
        <v>533</v>
      </c>
      <c r="D1111" s="8">
        <v>45891</v>
      </c>
      <c r="E1111" s="7" t="s">
        <v>60</v>
      </c>
      <c r="F1111" s="7">
        <v>1</v>
      </c>
      <c r="G1111" s="7" t="s">
        <v>14</v>
      </c>
      <c r="H1111" s="7" t="s">
        <v>314</v>
      </c>
      <c r="J1111" s="7">
        <f t="shared" si="97"/>
        <v>1900</v>
      </c>
      <c r="K1111" s="7">
        <f t="shared" si="94"/>
        <v>1</v>
      </c>
      <c r="L1111" s="7">
        <f t="shared" si="95"/>
        <v>45891</v>
      </c>
      <c r="M1111" s="7" t="s">
        <v>537</v>
      </c>
      <c r="N1111" s="7" t="s">
        <v>922</v>
      </c>
      <c r="O1111" s="17" t="s">
        <v>682</v>
      </c>
      <c r="P1111" s="7">
        <f t="shared" si="93"/>
        <v>8</v>
      </c>
      <c r="Q1111" s="7">
        <f t="shared" si="96"/>
        <v>2025</v>
      </c>
    </row>
    <row r="1112" spans="1:17" x14ac:dyDescent="0.25">
      <c r="A1112" s="7">
        <v>2539</v>
      </c>
      <c r="B1112" s="9" t="s">
        <v>533</v>
      </c>
      <c r="C1112" s="9" t="s">
        <v>533</v>
      </c>
      <c r="D1112" s="8">
        <v>45891</v>
      </c>
      <c r="E1112" s="7" t="s">
        <v>60</v>
      </c>
      <c r="F1112" s="7">
        <v>1</v>
      </c>
      <c r="G1112" s="7" t="s">
        <v>14</v>
      </c>
      <c r="H1112" s="7" t="s">
        <v>314</v>
      </c>
      <c r="J1112" s="7">
        <f t="shared" si="97"/>
        <v>1900</v>
      </c>
      <c r="K1112" s="7">
        <f t="shared" si="94"/>
        <v>1</v>
      </c>
      <c r="L1112" s="7">
        <f t="shared" si="95"/>
        <v>45891</v>
      </c>
      <c r="M1112" s="7" t="s">
        <v>537</v>
      </c>
      <c r="N1112" s="7" t="s">
        <v>922</v>
      </c>
      <c r="O1112" s="17" t="s">
        <v>682</v>
      </c>
      <c r="P1112" s="7">
        <f t="shared" si="93"/>
        <v>8</v>
      </c>
      <c r="Q1112" s="7">
        <f t="shared" si="96"/>
        <v>2025</v>
      </c>
    </row>
    <row r="1113" spans="1:17" x14ac:dyDescent="0.25">
      <c r="A1113" s="7">
        <v>2539</v>
      </c>
      <c r="B1113" s="9" t="s">
        <v>533</v>
      </c>
      <c r="C1113" s="9" t="s">
        <v>533</v>
      </c>
      <c r="D1113" s="8">
        <v>45891</v>
      </c>
      <c r="E1113" s="7" t="s">
        <v>60</v>
      </c>
      <c r="F1113" s="7">
        <v>1</v>
      </c>
      <c r="G1113" s="7" t="s">
        <v>14</v>
      </c>
      <c r="H1113" s="7" t="s">
        <v>314</v>
      </c>
      <c r="J1113" s="7">
        <f t="shared" si="97"/>
        <v>1900</v>
      </c>
      <c r="K1113" s="7">
        <f t="shared" si="94"/>
        <v>1</v>
      </c>
      <c r="L1113" s="7">
        <f t="shared" si="95"/>
        <v>45891</v>
      </c>
      <c r="M1113" s="7" t="s">
        <v>537</v>
      </c>
      <c r="N1113" s="7" t="s">
        <v>922</v>
      </c>
      <c r="O1113" s="17" t="s">
        <v>682</v>
      </c>
      <c r="P1113" s="7">
        <f t="shared" si="93"/>
        <v>8</v>
      </c>
      <c r="Q1113" s="7">
        <f t="shared" si="96"/>
        <v>2025</v>
      </c>
    </row>
    <row r="1114" spans="1:17" x14ac:dyDescent="0.25">
      <c r="A1114" s="7">
        <v>2539</v>
      </c>
      <c r="B1114" s="9" t="s">
        <v>533</v>
      </c>
      <c r="C1114" s="9" t="s">
        <v>533</v>
      </c>
      <c r="D1114" s="8">
        <v>45891</v>
      </c>
      <c r="E1114" s="7" t="s">
        <v>60</v>
      </c>
      <c r="F1114" s="7">
        <v>1</v>
      </c>
      <c r="G1114" s="7" t="s">
        <v>14</v>
      </c>
      <c r="H1114" s="7" t="s">
        <v>314</v>
      </c>
      <c r="J1114" s="7">
        <f t="shared" si="97"/>
        <v>1900</v>
      </c>
      <c r="K1114" s="7">
        <f t="shared" si="94"/>
        <v>1</v>
      </c>
      <c r="L1114" s="7">
        <f t="shared" si="95"/>
        <v>45891</v>
      </c>
      <c r="M1114" s="7" t="s">
        <v>537</v>
      </c>
      <c r="N1114" s="7" t="s">
        <v>922</v>
      </c>
      <c r="O1114" s="17" t="s">
        <v>682</v>
      </c>
      <c r="P1114" s="7">
        <f t="shared" ref="P1114:P1177" si="98">MONTH(D1114)</f>
        <v>8</v>
      </c>
      <c r="Q1114" s="7">
        <f t="shared" si="96"/>
        <v>2025</v>
      </c>
    </row>
    <row r="1115" spans="1:17" x14ac:dyDescent="0.25">
      <c r="A1115" s="7">
        <v>2539</v>
      </c>
      <c r="B1115" s="9" t="s">
        <v>533</v>
      </c>
      <c r="C1115" s="9" t="s">
        <v>533</v>
      </c>
      <c r="D1115" s="8">
        <v>45891</v>
      </c>
      <c r="E1115" s="7" t="s">
        <v>60</v>
      </c>
      <c r="F1115" s="7">
        <v>1</v>
      </c>
      <c r="G1115" s="7" t="s">
        <v>14</v>
      </c>
      <c r="H1115" s="7" t="s">
        <v>314</v>
      </c>
      <c r="J1115" s="7">
        <f t="shared" si="97"/>
        <v>1900</v>
      </c>
      <c r="K1115" s="7">
        <f t="shared" si="94"/>
        <v>1</v>
      </c>
      <c r="L1115" s="7">
        <f t="shared" si="95"/>
        <v>45891</v>
      </c>
      <c r="M1115" s="7" t="s">
        <v>537</v>
      </c>
      <c r="N1115" s="7" t="s">
        <v>922</v>
      </c>
      <c r="O1115" s="17" t="s">
        <v>682</v>
      </c>
      <c r="P1115" s="7">
        <f t="shared" si="98"/>
        <v>8</v>
      </c>
      <c r="Q1115" s="7">
        <f t="shared" si="96"/>
        <v>2025</v>
      </c>
    </row>
    <row r="1116" spans="1:17" x14ac:dyDescent="0.25">
      <c r="A1116" s="7">
        <v>2539</v>
      </c>
      <c r="B1116" s="9" t="s">
        <v>533</v>
      </c>
      <c r="C1116" s="9" t="s">
        <v>533</v>
      </c>
      <c r="D1116" s="8">
        <v>45891</v>
      </c>
      <c r="E1116" s="7" t="s">
        <v>60</v>
      </c>
      <c r="F1116" s="7">
        <v>1</v>
      </c>
      <c r="G1116" s="7" t="s">
        <v>14</v>
      </c>
      <c r="H1116" s="7" t="s">
        <v>314</v>
      </c>
      <c r="J1116" s="7">
        <f t="shared" si="97"/>
        <v>1900</v>
      </c>
      <c r="K1116" s="7">
        <f t="shared" si="94"/>
        <v>1</v>
      </c>
      <c r="L1116" s="7">
        <f t="shared" si="95"/>
        <v>45891</v>
      </c>
      <c r="M1116" s="7" t="s">
        <v>537</v>
      </c>
      <c r="N1116" s="7" t="s">
        <v>922</v>
      </c>
      <c r="O1116" s="17" t="s">
        <v>682</v>
      </c>
      <c r="P1116" s="7">
        <f t="shared" si="98"/>
        <v>8</v>
      </c>
      <c r="Q1116" s="7">
        <f t="shared" si="96"/>
        <v>2025</v>
      </c>
    </row>
    <row r="1117" spans="1:17" x14ac:dyDescent="0.25">
      <c r="A1117" s="7">
        <v>2539</v>
      </c>
      <c r="B1117" s="9" t="s">
        <v>533</v>
      </c>
      <c r="C1117" s="9" t="s">
        <v>533</v>
      </c>
      <c r="D1117" s="8">
        <v>45891</v>
      </c>
      <c r="E1117" s="7" t="s">
        <v>60</v>
      </c>
      <c r="F1117" s="7">
        <v>1</v>
      </c>
      <c r="G1117" s="7" t="s">
        <v>14</v>
      </c>
      <c r="H1117" s="7" t="s">
        <v>314</v>
      </c>
      <c r="J1117" s="7">
        <f t="shared" si="97"/>
        <v>1900</v>
      </c>
      <c r="K1117" s="7">
        <f t="shared" si="94"/>
        <v>1</v>
      </c>
      <c r="L1117" s="7">
        <f t="shared" si="95"/>
        <v>45891</v>
      </c>
      <c r="M1117" s="7" t="s">
        <v>537</v>
      </c>
      <c r="N1117" s="7" t="s">
        <v>922</v>
      </c>
      <c r="O1117" s="17" t="s">
        <v>682</v>
      </c>
      <c r="P1117" s="7">
        <f t="shared" si="98"/>
        <v>8</v>
      </c>
      <c r="Q1117" s="7">
        <f t="shared" si="96"/>
        <v>2025</v>
      </c>
    </row>
    <row r="1118" spans="1:17" x14ac:dyDescent="0.25">
      <c r="A1118" s="7">
        <v>2539</v>
      </c>
      <c r="B1118" s="9" t="s">
        <v>533</v>
      </c>
      <c r="C1118" s="9" t="s">
        <v>533</v>
      </c>
      <c r="D1118" s="8">
        <v>45891</v>
      </c>
      <c r="E1118" s="7" t="s">
        <v>60</v>
      </c>
      <c r="F1118" s="7">
        <v>1</v>
      </c>
      <c r="G1118" s="7" t="s">
        <v>14</v>
      </c>
      <c r="H1118" s="7" t="s">
        <v>314</v>
      </c>
      <c r="J1118" s="7">
        <f t="shared" si="97"/>
        <v>1900</v>
      </c>
      <c r="K1118" s="7">
        <f t="shared" si="94"/>
        <v>1</v>
      </c>
      <c r="L1118" s="7">
        <f t="shared" si="95"/>
        <v>45891</v>
      </c>
      <c r="M1118" s="7" t="s">
        <v>537</v>
      </c>
      <c r="N1118" s="7" t="s">
        <v>922</v>
      </c>
      <c r="O1118" s="17" t="s">
        <v>682</v>
      </c>
      <c r="P1118" s="7">
        <f t="shared" si="98"/>
        <v>8</v>
      </c>
      <c r="Q1118" s="7">
        <f t="shared" si="96"/>
        <v>2025</v>
      </c>
    </row>
    <row r="1119" spans="1:17" x14ac:dyDescent="0.25">
      <c r="A1119" s="7">
        <v>2539</v>
      </c>
      <c r="B1119" s="9" t="s">
        <v>533</v>
      </c>
      <c r="C1119" s="9" t="s">
        <v>533</v>
      </c>
      <c r="D1119" s="8">
        <v>45891</v>
      </c>
      <c r="E1119" s="7" t="s">
        <v>60</v>
      </c>
      <c r="F1119" s="7">
        <v>1</v>
      </c>
      <c r="G1119" s="7" t="s">
        <v>14</v>
      </c>
      <c r="H1119" s="7" t="s">
        <v>314</v>
      </c>
      <c r="J1119" s="7">
        <f t="shared" si="97"/>
        <v>1900</v>
      </c>
      <c r="K1119" s="7">
        <f t="shared" si="94"/>
        <v>1</v>
      </c>
      <c r="L1119" s="7">
        <f t="shared" si="95"/>
        <v>45891</v>
      </c>
      <c r="M1119" s="7" t="s">
        <v>537</v>
      </c>
      <c r="N1119" s="7" t="s">
        <v>922</v>
      </c>
      <c r="O1119" s="17" t="s">
        <v>682</v>
      </c>
      <c r="P1119" s="7">
        <f t="shared" si="98"/>
        <v>8</v>
      </c>
      <c r="Q1119" s="7">
        <f t="shared" si="96"/>
        <v>2025</v>
      </c>
    </row>
    <row r="1120" spans="1:17" x14ac:dyDescent="0.25">
      <c r="A1120" s="7">
        <v>2539</v>
      </c>
      <c r="B1120" s="9" t="s">
        <v>533</v>
      </c>
      <c r="C1120" s="9" t="s">
        <v>533</v>
      </c>
      <c r="D1120" s="8">
        <v>45891</v>
      </c>
      <c r="E1120" s="7" t="s">
        <v>60</v>
      </c>
      <c r="F1120" s="7">
        <v>1</v>
      </c>
      <c r="G1120" s="7" t="s">
        <v>14</v>
      </c>
      <c r="H1120" s="7" t="s">
        <v>314</v>
      </c>
      <c r="J1120" s="7">
        <f t="shared" si="97"/>
        <v>1900</v>
      </c>
      <c r="K1120" s="7">
        <f t="shared" si="94"/>
        <v>1</v>
      </c>
      <c r="L1120" s="7">
        <f t="shared" si="95"/>
        <v>45891</v>
      </c>
      <c r="M1120" s="7" t="s">
        <v>537</v>
      </c>
      <c r="N1120" s="7" t="s">
        <v>922</v>
      </c>
      <c r="O1120" s="17" t="s">
        <v>682</v>
      </c>
      <c r="P1120" s="7">
        <f t="shared" si="98"/>
        <v>8</v>
      </c>
      <c r="Q1120" s="7">
        <f t="shared" si="96"/>
        <v>2025</v>
      </c>
    </row>
    <row r="1121" spans="1:17" x14ac:dyDescent="0.25">
      <c r="A1121" s="7">
        <v>2539</v>
      </c>
      <c r="B1121" s="9" t="s">
        <v>533</v>
      </c>
      <c r="C1121" s="9" t="s">
        <v>533</v>
      </c>
      <c r="D1121" s="8">
        <v>45891</v>
      </c>
      <c r="E1121" s="7" t="s">
        <v>60</v>
      </c>
      <c r="F1121" s="7">
        <v>1</v>
      </c>
      <c r="G1121" s="7" t="s">
        <v>14</v>
      </c>
      <c r="H1121" s="7" t="s">
        <v>314</v>
      </c>
      <c r="J1121" s="7">
        <f t="shared" si="97"/>
        <v>1900</v>
      </c>
      <c r="K1121" s="7">
        <f t="shared" si="94"/>
        <v>1</v>
      </c>
      <c r="L1121" s="7">
        <f t="shared" si="95"/>
        <v>45891</v>
      </c>
      <c r="M1121" s="7" t="s">
        <v>537</v>
      </c>
      <c r="N1121" s="7" t="s">
        <v>922</v>
      </c>
      <c r="O1121" s="17" t="s">
        <v>682</v>
      </c>
      <c r="P1121" s="7">
        <f t="shared" si="98"/>
        <v>8</v>
      </c>
      <c r="Q1121" s="7">
        <f t="shared" si="96"/>
        <v>2025</v>
      </c>
    </row>
    <row r="1122" spans="1:17" x14ac:dyDescent="0.25">
      <c r="A1122" s="7">
        <v>2539</v>
      </c>
      <c r="B1122" s="9" t="s">
        <v>533</v>
      </c>
      <c r="C1122" s="9" t="s">
        <v>533</v>
      </c>
      <c r="D1122" s="8">
        <v>45891</v>
      </c>
      <c r="E1122" s="7" t="s">
        <v>60</v>
      </c>
      <c r="F1122" s="7">
        <v>1</v>
      </c>
      <c r="G1122" s="7" t="s">
        <v>14</v>
      </c>
      <c r="H1122" s="7" t="s">
        <v>314</v>
      </c>
      <c r="J1122" s="7">
        <f t="shared" si="97"/>
        <v>1900</v>
      </c>
      <c r="K1122" s="7">
        <f t="shared" si="94"/>
        <v>1</v>
      </c>
      <c r="L1122" s="7">
        <f t="shared" si="95"/>
        <v>45891</v>
      </c>
      <c r="M1122" s="7" t="s">
        <v>537</v>
      </c>
      <c r="N1122" s="7" t="s">
        <v>922</v>
      </c>
      <c r="O1122" s="17" t="s">
        <v>682</v>
      </c>
      <c r="P1122" s="7">
        <f t="shared" si="98"/>
        <v>8</v>
      </c>
      <c r="Q1122" s="7">
        <f t="shared" si="96"/>
        <v>2025</v>
      </c>
    </row>
    <row r="1123" spans="1:17" x14ac:dyDescent="0.25">
      <c r="A1123" s="7">
        <v>2539</v>
      </c>
      <c r="B1123" s="9" t="s">
        <v>533</v>
      </c>
      <c r="C1123" s="9" t="s">
        <v>533</v>
      </c>
      <c r="D1123" s="8">
        <v>45891</v>
      </c>
      <c r="E1123" s="7" t="s">
        <v>60</v>
      </c>
      <c r="F1123" s="7">
        <v>1</v>
      </c>
      <c r="G1123" s="7" t="s">
        <v>14</v>
      </c>
      <c r="H1123" s="7" t="s">
        <v>314</v>
      </c>
      <c r="J1123" s="7">
        <f t="shared" si="97"/>
        <v>1900</v>
      </c>
      <c r="K1123" s="7">
        <f t="shared" si="94"/>
        <v>1</v>
      </c>
      <c r="L1123" s="7">
        <f t="shared" si="95"/>
        <v>45891</v>
      </c>
      <c r="M1123" s="7" t="s">
        <v>537</v>
      </c>
      <c r="N1123" s="7" t="s">
        <v>922</v>
      </c>
      <c r="O1123" s="17" t="s">
        <v>682</v>
      </c>
      <c r="P1123" s="7">
        <f t="shared" si="98"/>
        <v>8</v>
      </c>
      <c r="Q1123" s="7">
        <f t="shared" si="96"/>
        <v>2025</v>
      </c>
    </row>
    <row r="1124" spans="1:17" x14ac:dyDescent="0.25">
      <c r="A1124" s="7">
        <v>2539</v>
      </c>
      <c r="B1124" s="9" t="s">
        <v>533</v>
      </c>
      <c r="C1124" s="9" t="s">
        <v>533</v>
      </c>
      <c r="D1124" s="8">
        <v>45891</v>
      </c>
      <c r="E1124" s="7" t="s">
        <v>60</v>
      </c>
      <c r="F1124" s="7">
        <v>1</v>
      </c>
      <c r="G1124" s="7" t="s">
        <v>14</v>
      </c>
      <c r="H1124" s="7" t="s">
        <v>314</v>
      </c>
      <c r="J1124" s="7">
        <f t="shared" si="97"/>
        <v>1900</v>
      </c>
      <c r="K1124" s="7">
        <f t="shared" si="94"/>
        <v>1</v>
      </c>
      <c r="L1124" s="7">
        <f t="shared" si="95"/>
        <v>45891</v>
      </c>
      <c r="M1124" s="7" t="s">
        <v>537</v>
      </c>
      <c r="N1124" s="7" t="s">
        <v>922</v>
      </c>
      <c r="O1124" s="17" t="s">
        <v>682</v>
      </c>
      <c r="P1124" s="7">
        <f t="shared" si="98"/>
        <v>8</v>
      </c>
      <c r="Q1124" s="7">
        <f t="shared" si="96"/>
        <v>2025</v>
      </c>
    </row>
    <row r="1125" spans="1:17" x14ac:dyDescent="0.25">
      <c r="A1125" s="7">
        <v>2539</v>
      </c>
      <c r="B1125" s="9" t="s">
        <v>533</v>
      </c>
      <c r="C1125" s="9" t="s">
        <v>533</v>
      </c>
      <c r="D1125" s="8">
        <v>45891</v>
      </c>
      <c r="E1125" s="7" t="s">
        <v>60</v>
      </c>
      <c r="F1125" s="7">
        <v>1</v>
      </c>
      <c r="G1125" s="7" t="s">
        <v>14</v>
      </c>
      <c r="H1125" s="7" t="s">
        <v>314</v>
      </c>
      <c r="J1125" s="7">
        <f t="shared" si="97"/>
        <v>1900</v>
      </c>
      <c r="K1125" s="7">
        <f t="shared" si="94"/>
        <v>1</v>
      </c>
      <c r="L1125" s="7">
        <f t="shared" si="95"/>
        <v>45891</v>
      </c>
      <c r="M1125" s="7" t="s">
        <v>537</v>
      </c>
      <c r="N1125" s="7" t="s">
        <v>922</v>
      </c>
      <c r="O1125" s="17" t="s">
        <v>682</v>
      </c>
      <c r="P1125" s="7">
        <f t="shared" si="98"/>
        <v>8</v>
      </c>
      <c r="Q1125" s="7">
        <f t="shared" si="96"/>
        <v>2025</v>
      </c>
    </row>
    <row r="1126" spans="1:17" x14ac:dyDescent="0.25">
      <c r="A1126" s="7">
        <v>2539</v>
      </c>
      <c r="B1126" s="9" t="s">
        <v>533</v>
      </c>
      <c r="C1126" s="9" t="s">
        <v>533</v>
      </c>
      <c r="D1126" s="8">
        <v>45891</v>
      </c>
      <c r="E1126" s="7" t="s">
        <v>60</v>
      </c>
      <c r="F1126" s="7">
        <v>1</v>
      </c>
      <c r="G1126" s="7" t="s">
        <v>14</v>
      </c>
      <c r="H1126" s="7" t="s">
        <v>314</v>
      </c>
      <c r="J1126" s="7">
        <f t="shared" si="97"/>
        <v>1900</v>
      </c>
      <c r="K1126" s="7">
        <f t="shared" si="94"/>
        <v>1</v>
      </c>
      <c r="L1126" s="7">
        <f t="shared" si="95"/>
        <v>45891</v>
      </c>
      <c r="M1126" s="7" t="s">
        <v>537</v>
      </c>
      <c r="N1126" s="7" t="s">
        <v>922</v>
      </c>
      <c r="O1126" s="17" t="s">
        <v>682</v>
      </c>
      <c r="P1126" s="7">
        <f t="shared" si="98"/>
        <v>8</v>
      </c>
      <c r="Q1126" s="7">
        <f t="shared" si="96"/>
        <v>2025</v>
      </c>
    </row>
    <row r="1127" spans="1:17" x14ac:dyDescent="0.25">
      <c r="A1127" s="7">
        <v>2539</v>
      </c>
      <c r="B1127" s="9" t="s">
        <v>533</v>
      </c>
      <c r="C1127" s="9" t="s">
        <v>533</v>
      </c>
      <c r="D1127" s="8">
        <v>45891</v>
      </c>
      <c r="E1127" s="7" t="s">
        <v>60</v>
      </c>
      <c r="F1127" s="7">
        <v>1</v>
      </c>
      <c r="G1127" s="7" t="s">
        <v>14</v>
      </c>
      <c r="H1127" s="7" t="s">
        <v>314</v>
      </c>
      <c r="J1127" s="7">
        <f t="shared" si="97"/>
        <v>1900</v>
      </c>
      <c r="K1127" s="7">
        <f t="shared" si="94"/>
        <v>1</v>
      </c>
      <c r="L1127" s="7">
        <f t="shared" si="95"/>
        <v>45891</v>
      </c>
      <c r="M1127" s="7" t="s">
        <v>537</v>
      </c>
      <c r="N1127" s="7" t="s">
        <v>922</v>
      </c>
      <c r="O1127" s="17" t="s">
        <v>682</v>
      </c>
      <c r="P1127" s="7">
        <f t="shared" si="98"/>
        <v>8</v>
      </c>
      <c r="Q1127" s="7">
        <f t="shared" si="96"/>
        <v>2025</v>
      </c>
    </row>
    <row r="1128" spans="1:17" x14ac:dyDescent="0.25">
      <c r="A1128" s="7">
        <v>2539</v>
      </c>
      <c r="B1128" s="9" t="s">
        <v>533</v>
      </c>
      <c r="C1128" s="9" t="s">
        <v>533</v>
      </c>
      <c r="D1128" s="8">
        <v>45891</v>
      </c>
      <c r="E1128" s="7" t="s">
        <v>60</v>
      </c>
      <c r="F1128" s="7">
        <v>1</v>
      </c>
      <c r="G1128" s="7" t="s">
        <v>14</v>
      </c>
      <c r="H1128" s="7" t="s">
        <v>314</v>
      </c>
      <c r="J1128" s="7">
        <f t="shared" si="97"/>
        <v>1900</v>
      </c>
      <c r="K1128" s="7">
        <f t="shared" si="94"/>
        <v>1</v>
      </c>
      <c r="L1128" s="7">
        <f t="shared" si="95"/>
        <v>45891</v>
      </c>
      <c r="M1128" s="7" t="s">
        <v>537</v>
      </c>
      <c r="N1128" s="7" t="s">
        <v>922</v>
      </c>
      <c r="O1128" s="17" t="s">
        <v>682</v>
      </c>
      <c r="P1128" s="7">
        <f t="shared" si="98"/>
        <v>8</v>
      </c>
      <c r="Q1128" s="7">
        <f t="shared" si="96"/>
        <v>2025</v>
      </c>
    </row>
    <row r="1129" spans="1:17" x14ac:dyDescent="0.25">
      <c r="A1129" s="7">
        <v>2539</v>
      </c>
      <c r="B1129" s="9" t="s">
        <v>533</v>
      </c>
      <c r="C1129" s="9" t="s">
        <v>533</v>
      </c>
      <c r="D1129" s="8">
        <v>45891</v>
      </c>
      <c r="E1129" s="7" t="s">
        <v>60</v>
      </c>
      <c r="F1129" s="7">
        <v>1</v>
      </c>
      <c r="G1129" s="7" t="s">
        <v>14</v>
      </c>
      <c r="H1129" s="7" t="s">
        <v>314</v>
      </c>
      <c r="J1129" s="7">
        <f t="shared" si="97"/>
        <v>1900</v>
      </c>
      <c r="K1129" s="7">
        <f t="shared" si="94"/>
        <v>1</v>
      </c>
      <c r="L1129" s="7">
        <f t="shared" si="95"/>
        <v>45891</v>
      </c>
      <c r="M1129" s="7" t="s">
        <v>537</v>
      </c>
      <c r="N1129" s="7" t="s">
        <v>922</v>
      </c>
      <c r="O1129" s="17" t="s">
        <v>682</v>
      </c>
      <c r="P1129" s="7">
        <f t="shared" si="98"/>
        <v>8</v>
      </c>
      <c r="Q1129" s="7">
        <f t="shared" si="96"/>
        <v>2025</v>
      </c>
    </row>
    <row r="1130" spans="1:17" x14ac:dyDescent="0.25">
      <c r="A1130" s="7">
        <v>2539</v>
      </c>
      <c r="B1130" s="9" t="s">
        <v>533</v>
      </c>
      <c r="C1130" s="9" t="s">
        <v>533</v>
      </c>
      <c r="D1130" s="8">
        <v>45891</v>
      </c>
      <c r="E1130" s="7" t="s">
        <v>60</v>
      </c>
      <c r="F1130" s="7">
        <v>1</v>
      </c>
      <c r="G1130" s="7" t="s">
        <v>14</v>
      </c>
      <c r="H1130" s="7" t="s">
        <v>314</v>
      </c>
      <c r="J1130" s="7">
        <f t="shared" si="97"/>
        <v>1900</v>
      </c>
      <c r="K1130" s="7">
        <f t="shared" si="94"/>
        <v>1</v>
      </c>
      <c r="L1130" s="7">
        <f t="shared" si="95"/>
        <v>45891</v>
      </c>
      <c r="M1130" s="7" t="s">
        <v>537</v>
      </c>
      <c r="N1130" s="7" t="s">
        <v>922</v>
      </c>
      <c r="O1130" s="17" t="s">
        <v>682</v>
      </c>
      <c r="P1130" s="7">
        <f t="shared" si="98"/>
        <v>8</v>
      </c>
      <c r="Q1130" s="7">
        <f t="shared" si="96"/>
        <v>2025</v>
      </c>
    </row>
    <row r="1131" spans="1:17" x14ac:dyDescent="0.25">
      <c r="A1131" s="7">
        <v>2539</v>
      </c>
      <c r="B1131" s="9" t="s">
        <v>533</v>
      </c>
      <c r="C1131" s="9" t="s">
        <v>533</v>
      </c>
      <c r="D1131" s="8">
        <v>45891</v>
      </c>
      <c r="E1131" s="7" t="s">
        <v>60</v>
      </c>
      <c r="F1131" s="7">
        <v>1</v>
      </c>
      <c r="G1131" s="7" t="s">
        <v>14</v>
      </c>
      <c r="H1131" s="7" t="s">
        <v>314</v>
      </c>
      <c r="J1131" s="7">
        <f t="shared" si="97"/>
        <v>1900</v>
      </c>
      <c r="K1131" s="7">
        <f t="shared" si="94"/>
        <v>1</v>
      </c>
      <c r="L1131" s="7">
        <f t="shared" si="95"/>
        <v>45891</v>
      </c>
      <c r="M1131" s="7" t="s">
        <v>537</v>
      </c>
      <c r="N1131" s="7" t="s">
        <v>922</v>
      </c>
      <c r="O1131" s="17" t="s">
        <v>682</v>
      </c>
      <c r="P1131" s="7">
        <f t="shared" si="98"/>
        <v>8</v>
      </c>
      <c r="Q1131" s="7">
        <f t="shared" si="96"/>
        <v>2025</v>
      </c>
    </row>
    <row r="1132" spans="1:17" x14ac:dyDescent="0.25">
      <c r="A1132" s="7">
        <v>2539</v>
      </c>
      <c r="B1132" s="9" t="s">
        <v>533</v>
      </c>
      <c r="C1132" s="9" t="s">
        <v>533</v>
      </c>
      <c r="D1132" s="8">
        <v>45891</v>
      </c>
      <c r="E1132" s="7" t="s">
        <v>60</v>
      </c>
      <c r="F1132" s="7">
        <v>1</v>
      </c>
      <c r="G1132" s="7" t="s">
        <v>14</v>
      </c>
      <c r="H1132" s="7" t="s">
        <v>314</v>
      </c>
      <c r="J1132" s="7">
        <f t="shared" si="97"/>
        <v>1900</v>
      </c>
      <c r="K1132" s="7">
        <f t="shared" si="94"/>
        <v>1</v>
      </c>
      <c r="L1132" s="7">
        <f t="shared" si="95"/>
        <v>45891</v>
      </c>
      <c r="M1132" s="7" t="s">
        <v>537</v>
      </c>
      <c r="N1132" s="7" t="s">
        <v>922</v>
      </c>
      <c r="O1132" s="17" t="s">
        <v>682</v>
      </c>
      <c r="P1132" s="7">
        <f t="shared" si="98"/>
        <v>8</v>
      </c>
      <c r="Q1132" s="7">
        <f t="shared" si="96"/>
        <v>2025</v>
      </c>
    </row>
    <row r="1133" spans="1:17" x14ac:dyDescent="0.25">
      <c r="A1133" s="7">
        <v>2539</v>
      </c>
      <c r="B1133" s="9" t="s">
        <v>533</v>
      </c>
      <c r="C1133" s="9" t="s">
        <v>533</v>
      </c>
      <c r="D1133" s="8">
        <v>45891</v>
      </c>
      <c r="E1133" s="7" t="s">
        <v>60</v>
      </c>
      <c r="F1133" s="7">
        <v>1</v>
      </c>
      <c r="G1133" s="7" t="s">
        <v>14</v>
      </c>
      <c r="H1133" s="7" t="s">
        <v>314</v>
      </c>
      <c r="J1133" s="7">
        <f t="shared" si="97"/>
        <v>1900</v>
      </c>
      <c r="K1133" s="7">
        <f t="shared" ref="K1133:K1196" si="99">MONTH(I1133)</f>
        <v>1</v>
      </c>
      <c r="L1133" s="7">
        <f t="shared" si="95"/>
        <v>45891</v>
      </c>
      <c r="M1133" s="7" t="s">
        <v>537</v>
      </c>
      <c r="N1133" s="7" t="s">
        <v>922</v>
      </c>
      <c r="O1133" s="17" t="s">
        <v>682</v>
      </c>
      <c r="P1133" s="7">
        <f t="shared" si="98"/>
        <v>8</v>
      </c>
      <c r="Q1133" s="7">
        <f t="shared" si="96"/>
        <v>2025</v>
      </c>
    </row>
    <row r="1134" spans="1:17" x14ac:dyDescent="0.25">
      <c r="A1134" s="7">
        <v>2539</v>
      </c>
      <c r="B1134" s="9" t="s">
        <v>533</v>
      </c>
      <c r="C1134" s="9" t="s">
        <v>533</v>
      </c>
      <c r="D1134" s="8">
        <v>45891</v>
      </c>
      <c r="E1134" s="7" t="s">
        <v>60</v>
      </c>
      <c r="F1134" s="7">
        <v>1</v>
      </c>
      <c r="G1134" s="7" t="s">
        <v>14</v>
      </c>
      <c r="H1134" s="7" t="s">
        <v>314</v>
      </c>
      <c r="J1134" s="7">
        <f t="shared" si="97"/>
        <v>1900</v>
      </c>
      <c r="K1134" s="7">
        <f t="shared" si="99"/>
        <v>1</v>
      </c>
      <c r="L1134" s="7">
        <f t="shared" si="95"/>
        <v>45891</v>
      </c>
      <c r="M1134" s="7" t="s">
        <v>537</v>
      </c>
      <c r="N1134" s="7" t="s">
        <v>922</v>
      </c>
      <c r="O1134" s="17" t="s">
        <v>682</v>
      </c>
      <c r="P1134" s="7">
        <f t="shared" si="98"/>
        <v>8</v>
      </c>
      <c r="Q1134" s="7">
        <f t="shared" si="96"/>
        <v>2025</v>
      </c>
    </row>
    <row r="1135" spans="1:17" x14ac:dyDescent="0.25">
      <c r="A1135" s="7">
        <v>2539</v>
      </c>
      <c r="B1135" s="9" t="s">
        <v>533</v>
      </c>
      <c r="C1135" s="9" t="s">
        <v>533</v>
      </c>
      <c r="D1135" s="8">
        <v>45891</v>
      </c>
      <c r="E1135" s="7" t="s">
        <v>60</v>
      </c>
      <c r="F1135" s="7">
        <v>1</v>
      </c>
      <c r="G1135" s="7" t="s">
        <v>14</v>
      </c>
      <c r="H1135" s="7" t="s">
        <v>314</v>
      </c>
      <c r="J1135" s="7">
        <f t="shared" si="97"/>
        <v>1900</v>
      </c>
      <c r="K1135" s="7">
        <f t="shared" si="99"/>
        <v>1</v>
      </c>
      <c r="L1135" s="7">
        <f t="shared" ref="L1135:L1198" si="100">D1135-I1135</f>
        <v>45891</v>
      </c>
      <c r="M1135" s="7" t="s">
        <v>537</v>
      </c>
      <c r="N1135" s="7" t="s">
        <v>922</v>
      </c>
      <c r="O1135" s="17" t="s">
        <v>682</v>
      </c>
      <c r="P1135" s="7">
        <f t="shared" si="98"/>
        <v>8</v>
      </c>
      <c r="Q1135" s="7">
        <f t="shared" si="96"/>
        <v>2025</v>
      </c>
    </row>
    <row r="1136" spans="1:17" x14ac:dyDescent="0.25">
      <c r="A1136" s="7">
        <v>2539</v>
      </c>
      <c r="B1136" s="9" t="s">
        <v>533</v>
      </c>
      <c r="C1136" s="9" t="s">
        <v>533</v>
      </c>
      <c r="D1136" s="8">
        <v>45891</v>
      </c>
      <c r="E1136" s="7" t="s">
        <v>60</v>
      </c>
      <c r="F1136" s="7">
        <v>1</v>
      </c>
      <c r="G1136" s="7" t="s">
        <v>14</v>
      </c>
      <c r="H1136" s="7" t="s">
        <v>314</v>
      </c>
      <c r="J1136" s="7">
        <f t="shared" si="97"/>
        <v>1900</v>
      </c>
      <c r="K1136" s="7">
        <f t="shared" si="99"/>
        <v>1</v>
      </c>
      <c r="L1136" s="7">
        <f t="shared" si="100"/>
        <v>45891</v>
      </c>
      <c r="M1136" s="7" t="s">
        <v>537</v>
      </c>
      <c r="N1136" s="7" t="s">
        <v>922</v>
      </c>
      <c r="O1136" s="17" t="s">
        <v>682</v>
      </c>
      <c r="P1136" s="7">
        <f t="shared" si="98"/>
        <v>8</v>
      </c>
      <c r="Q1136" s="7">
        <f t="shared" si="96"/>
        <v>2025</v>
      </c>
    </row>
    <row r="1137" spans="1:17" x14ac:dyDescent="0.25">
      <c r="A1137" s="7">
        <v>2539</v>
      </c>
      <c r="B1137" s="9" t="s">
        <v>533</v>
      </c>
      <c r="C1137" s="9" t="s">
        <v>533</v>
      </c>
      <c r="D1137" s="8">
        <v>45891</v>
      </c>
      <c r="E1137" s="7" t="s">
        <v>60</v>
      </c>
      <c r="F1137" s="7">
        <v>1</v>
      </c>
      <c r="G1137" s="7" t="s">
        <v>14</v>
      </c>
      <c r="H1137" s="7" t="s">
        <v>314</v>
      </c>
      <c r="J1137" s="7">
        <f t="shared" si="97"/>
        <v>1900</v>
      </c>
      <c r="K1137" s="7">
        <f t="shared" si="99"/>
        <v>1</v>
      </c>
      <c r="L1137" s="7">
        <f t="shared" si="100"/>
        <v>45891</v>
      </c>
      <c r="M1137" s="7" t="s">
        <v>537</v>
      </c>
      <c r="N1137" s="7" t="s">
        <v>922</v>
      </c>
      <c r="O1137" s="17" t="s">
        <v>682</v>
      </c>
      <c r="P1137" s="7">
        <f t="shared" si="98"/>
        <v>8</v>
      </c>
      <c r="Q1137" s="7">
        <f t="shared" si="96"/>
        <v>2025</v>
      </c>
    </row>
    <row r="1138" spans="1:17" x14ac:dyDescent="0.25">
      <c r="A1138" s="7">
        <v>2539</v>
      </c>
      <c r="B1138" s="9" t="s">
        <v>533</v>
      </c>
      <c r="C1138" s="9" t="s">
        <v>533</v>
      </c>
      <c r="D1138" s="8">
        <v>45891</v>
      </c>
      <c r="E1138" s="7" t="s">
        <v>60</v>
      </c>
      <c r="F1138" s="7">
        <v>1</v>
      </c>
      <c r="G1138" s="7" t="s">
        <v>14</v>
      </c>
      <c r="H1138" s="7" t="s">
        <v>314</v>
      </c>
      <c r="J1138" s="7">
        <f t="shared" si="97"/>
        <v>1900</v>
      </c>
      <c r="K1138" s="7">
        <f t="shared" si="99"/>
        <v>1</v>
      </c>
      <c r="L1138" s="7">
        <f t="shared" si="100"/>
        <v>45891</v>
      </c>
      <c r="M1138" s="7" t="s">
        <v>537</v>
      </c>
      <c r="N1138" s="7" t="s">
        <v>922</v>
      </c>
      <c r="O1138" s="17" t="s">
        <v>682</v>
      </c>
      <c r="P1138" s="7">
        <f t="shared" si="98"/>
        <v>8</v>
      </c>
      <c r="Q1138" s="7">
        <f t="shared" si="96"/>
        <v>2025</v>
      </c>
    </row>
    <row r="1139" spans="1:17" x14ac:dyDescent="0.25">
      <c r="A1139" s="7">
        <v>2539</v>
      </c>
      <c r="B1139" s="9" t="s">
        <v>533</v>
      </c>
      <c r="C1139" s="9" t="s">
        <v>533</v>
      </c>
      <c r="D1139" s="8">
        <v>45891</v>
      </c>
      <c r="E1139" s="7" t="s">
        <v>60</v>
      </c>
      <c r="F1139" s="7">
        <v>1</v>
      </c>
      <c r="G1139" s="7" t="s">
        <v>14</v>
      </c>
      <c r="H1139" s="7" t="s">
        <v>314</v>
      </c>
      <c r="J1139" s="7">
        <f t="shared" si="97"/>
        <v>1900</v>
      </c>
      <c r="K1139" s="7">
        <f t="shared" si="99"/>
        <v>1</v>
      </c>
      <c r="L1139" s="7">
        <f t="shared" si="100"/>
        <v>45891</v>
      </c>
      <c r="M1139" s="7" t="s">
        <v>537</v>
      </c>
      <c r="N1139" s="7" t="s">
        <v>922</v>
      </c>
      <c r="O1139" s="17" t="s">
        <v>682</v>
      </c>
      <c r="P1139" s="7">
        <f t="shared" si="98"/>
        <v>8</v>
      </c>
      <c r="Q1139" s="7">
        <f t="shared" si="96"/>
        <v>2025</v>
      </c>
    </row>
    <row r="1140" spans="1:17" x14ac:dyDescent="0.25">
      <c r="A1140" s="7">
        <v>2539</v>
      </c>
      <c r="B1140" s="9" t="s">
        <v>533</v>
      </c>
      <c r="C1140" s="9" t="s">
        <v>533</v>
      </c>
      <c r="D1140" s="8">
        <v>45891</v>
      </c>
      <c r="E1140" s="7" t="s">
        <v>60</v>
      </c>
      <c r="F1140" s="7">
        <v>1</v>
      </c>
      <c r="G1140" s="7" t="s">
        <v>14</v>
      </c>
      <c r="H1140" s="7" t="s">
        <v>314</v>
      </c>
      <c r="J1140" s="7">
        <f t="shared" si="97"/>
        <v>1900</v>
      </c>
      <c r="K1140" s="7">
        <f t="shared" si="99"/>
        <v>1</v>
      </c>
      <c r="L1140" s="7">
        <f t="shared" si="100"/>
        <v>45891</v>
      </c>
      <c r="M1140" s="7" t="s">
        <v>537</v>
      </c>
      <c r="N1140" s="7" t="s">
        <v>922</v>
      </c>
      <c r="O1140" s="17" t="s">
        <v>682</v>
      </c>
      <c r="P1140" s="7">
        <f t="shared" si="98"/>
        <v>8</v>
      </c>
      <c r="Q1140" s="7">
        <f t="shared" si="96"/>
        <v>2025</v>
      </c>
    </row>
    <row r="1141" spans="1:17" x14ac:dyDescent="0.25">
      <c r="A1141" s="7">
        <v>2539</v>
      </c>
      <c r="B1141" s="9" t="s">
        <v>533</v>
      </c>
      <c r="C1141" s="9" t="s">
        <v>533</v>
      </c>
      <c r="D1141" s="8">
        <v>45891</v>
      </c>
      <c r="E1141" s="7" t="s">
        <v>60</v>
      </c>
      <c r="F1141" s="7">
        <v>1</v>
      </c>
      <c r="G1141" s="7" t="s">
        <v>14</v>
      </c>
      <c r="H1141" s="7" t="s">
        <v>314</v>
      </c>
      <c r="J1141" s="7">
        <f t="shared" si="97"/>
        <v>1900</v>
      </c>
      <c r="K1141" s="7">
        <f t="shared" si="99"/>
        <v>1</v>
      </c>
      <c r="L1141" s="7">
        <f t="shared" si="100"/>
        <v>45891</v>
      </c>
      <c r="M1141" s="7" t="s">
        <v>537</v>
      </c>
      <c r="N1141" s="7" t="s">
        <v>922</v>
      </c>
      <c r="O1141" s="17" t="s">
        <v>682</v>
      </c>
      <c r="P1141" s="7">
        <f t="shared" si="98"/>
        <v>8</v>
      </c>
      <c r="Q1141" s="7">
        <f t="shared" ref="Q1141:Q1204" si="101">YEAR(D1141)</f>
        <v>2025</v>
      </c>
    </row>
    <row r="1142" spans="1:17" x14ac:dyDescent="0.25">
      <c r="A1142" s="7">
        <v>2539</v>
      </c>
      <c r="B1142" s="9" t="s">
        <v>533</v>
      </c>
      <c r="C1142" s="9" t="s">
        <v>533</v>
      </c>
      <c r="D1142" s="8">
        <v>45891</v>
      </c>
      <c r="E1142" s="7" t="s">
        <v>60</v>
      </c>
      <c r="F1142" s="7">
        <v>1</v>
      </c>
      <c r="G1142" s="7" t="s">
        <v>14</v>
      </c>
      <c r="H1142" s="7" t="s">
        <v>314</v>
      </c>
      <c r="J1142" s="7">
        <f t="shared" si="97"/>
        <v>1900</v>
      </c>
      <c r="K1142" s="7">
        <f t="shared" si="99"/>
        <v>1</v>
      </c>
      <c r="L1142" s="7">
        <f t="shared" si="100"/>
        <v>45891</v>
      </c>
      <c r="M1142" s="7" t="s">
        <v>537</v>
      </c>
      <c r="N1142" s="7" t="s">
        <v>922</v>
      </c>
      <c r="O1142" s="17" t="s">
        <v>682</v>
      </c>
      <c r="P1142" s="7">
        <f t="shared" si="98"/>
        <v>8</v>
      </c>
      <c r="Q1142" s="7">
        <f t="shared" si="101"/>
        <v>2025</v>
      </c>
    </row>
    <row r="1143" spans="1:17" x14ac:dyDescent="0.25">
      <c r="A1143" s="7">
        <v>2539</v>
      </c>
      <c r="B1143" s="9" t="s">
        <v>533</v>
      </c>
      <c r="C1143" s="9" t="s">
        <v>533</v>
      </c>
      <c r="D1143" s="8">
        <v>45891</v>
      </c>
      <c r="E1143" s="7" t="s">
        <v>60</v>
      </c>
      <c r="F1143" s="7">
        <v>1</v>
      </c>
      <c r="G1143" s="7" t="s">
        <v>14</v>
      </c>
      <c r="H1143" s="7" t="s">
        <v>314</v>
      </c>
      <c r="J1143" s="7">
        <f t="shared" si="97"/>
        <v>1900</v>
      </c>
      <c r="K1143" s="7">
        <f t="shared" si="99"/>
        <v>1</v>
      </c>
      <c r="L1143" s="7">
        <f t="shared" si="100"/>
        <v>45891</v>
      </c>
      <c r="M1143" s="7" t="s">
        <v>537</v>
      </c>
      <c r="N1143" s="7" t="s">
        <v>922</v>
      </c>
      <c r="O1143" s="17" t="s">
        <v>682</v>
      </c>
      <c r="P1143" s="7">
        <f t="shared" si="98"/>
        <v>8</v>
      </c>
      <c r="Q1143" s="7">
        <f t="shared" si="101"/>
        <v>2025</v>
      </c>
    </row>
    <row r="1144" spans="1:17" x14ac:dyDescent="0.25">
      <c r="A1144" s="7">
        <v>2539</v>
      </c>
      <c r="B1144" s="9" t="s">
        <v>533</v>
      </c>
      <c r="C1144" s="9" t="s">
        <v>533</v>
      </c>
      <c r="D1144" s="8">
        <v>45891</v>
      </c>
      <c r="E1144" s="7" t="s">
        <v>60</v>
      </c>
      <c r="F1144" s="7">
        <v>1</v>
      </c>
      <c r="G1144" s="7" t="s">
        <v>14</v>
      </c>
      <c r="H1144" s="7" t="s">
        <v>314</v>
      </c>
      <c r="J1144" s="7">
        <f t="shared" si="97"/>
        <v>1900</v>
      </c>
      <c r="K1144" s="7">
        <f t="shared" si="99"/>
        <v>1</v>
      </c>
      <c r="L1144" s="7">
        <f t="shared" si="100"/>
        <v>45891</v>
      </c>
      <c r="M1144" s="7" t="s">
        <v>537</v>
      </c>
      <c r="N1144" s="7" t="s">
        <v>922</v>
      </c>
      <c r="O1144" s="17" t="s">
        <v>682</v>
      </c>
      <c r="P1144" s="7">
        <f t="shared" si="98"/>
        <v>8</v>
      </c>
      <c r="Q1144" s="7">
        <f t="shared" si="101"/>
        <v>2025</v>
      </c>
    </row>
    <row r="1145" spans="1:17" x14ac:dyDescent="0.25">
      <c r="A1145" s="7">
        <v>2539</v>
      </c>
      <c r="B1145" s="9" t="s">
        <v>533</v>
      </c>
      <c r="C1145" s="9" t="s">
        <v>533</v>
      </c>
      <c r="D1145" s="8">
        <v>45891</v>
      </c>
      <c r="E1145" s="7" t="s">
        <v>60</v>
      </c>
      <c r="F1145" s="7">
        <v>1</v>
      </c>
      <c r="G1145" s="7" t="s">
        <v>14</v>
      </c>
      <c r="H1145" s="7" t="s">
        <v>314</v>
      </c>
      <c r="J1145" s="7">
        <f t="shared" si="97"/>
        <v>1900</v>
      </c>
      <c r="K1145" s="7">
        <f t="shared" si="99"/>
        <v>1</v>
      </c>
      <c r="L1145" s="7">
        <f t="shared" si="100"/>
        <v>45891</v>
      </c>
      <c r="M1145" s="7" t="s">
        <v>537</v>
      </c>
      <c r="N1145" s="7" t="s">
        <v>922</v>
      </c>
      <c r="O1145" s="17" t="s">
        <v>682</v>
      </c>
      <c r="P1145" s="7">
        <f t="shared" si="98"/>
        <v>8</v>
      </c>
      <c r="Q1145" s="7">
        <f t="shared" si="101"/>
        <v>2025</v>
      </c>
    </row>
    <row r="1146" spans="1:17" x14ac:dyDescent="0.25">
      <c r="A1146" s="7">
        <v>2539</v>
      </c>
      <c r="B1146" s="9" t="s">
        <v>533</v>
      </c>
      <c r="C1146" s="9" t="s">
        <v>533</v>
      </c>
      <c r="D1146" s="8">
        <v>45891</v>
      </c>
      <c r="E1146" s="7" t="s">
        <v>60</v>
      </c>
      <c r="F1146" s="7">
        <v>1</v>
      </c>
      <c r="G1146" s="7" t="s">
        <v>14</v>
      </c>
      <c r="H1146" s="7" t="s">
        <v>314</v>
      </c>
      <c r="J1146" s="7">
        <f t="shared" si="97"/>
        <v>1900</v>
      </c>
      <c r="K1146" s="7">
        <f t="shared" si="99"/>
        <v>1</v>
      </c>
      <c r="L1146" s="7">
        <f t="shared" si="100"/>
        <v>45891</v>
      </c>
      <c r="M1146" s="7" t="s">
        <v>537</v>
      </c>
      <c r="N1146" s="7" t="s">
        <v>922</v>
      </c>
      <c r="O1146" s="17" t="s">
        <v>682</v>
      </c>
      <c r="P1146" s="7">
        <f t="shared" si="98"/>
        <v>8</v>
      </c>
      <c r="Q1146" s="7">
        <f t="shared" si="101"/>
        <v>2025</v>
      </c>
    </row>
    <row r="1147" spans="1:17" x14ac:dyDescent="0.25">
      <c r="A1147" s="7">
        <v>2539</v>
      </c>
      <c r="B1147" s="9" t="s">
        <v>533</v>
      </c>
      <c r="C1147" s="9" t="s">
        <v>533</v>
      </c>
      <c r="D1147" s="8">
        <v>45891</v>
      </c>
      <c r="E1147" s="7" t="s">
        <v>60</v>
      </c>
      <c r="F1147" s="7">
        <v>1</v>
      </c>
      <c r="G1147" s="7" t="s">
        <v>14</v>
      </c>
      <c r="H1147" s="7" t="s">
        <v>314</v>
      </c>
      <c r="J1147" s="7">
        <f t="shared" si="97"/>
        <v>1900</v>
      </c>
      <c r="K1147" s="7">
        <f t="shared" si="99"/>
        <v>1</v>
      </c>
      <c r="L1147" s="7">
        <f t="shared" si="100"/>
        <v>45891</v>
      </c>
      <c r="M1147" s="7" t="s">
        <v>537</v>
      </c>
      <c r="N1147" s="7" t="s">
        <v>922</v>
      </c>
      <c r="O1147" s="17" t="s">
        <v>682</v>
      </c>
      <c r="P1147" s="7">
        <f t="shared" si="98"/>
        <v>8</v>
      </c>
      <c r="Q1147" s="7">
        <f t="shared" si="101"/>
        <v>2025</v>
      </c>
    </row>
    <row r="1148" spans="1:17" x14ac:dyDescent="0.25">
      <c r="A1148" s="7">
        <v>2539</v>
      </c>
      <c r="B1148" s="9" t="s">
        <v>533</v>
      </c>
      <c r="C1148" s="9" t="s">
        <v>533</v>
      </c>
      <c r="D1148" s="8">
        <v>45891</v>
      </c>
      <c r="E1148" s="7" t="s">
        <v>60</v>
      </c>
      <c r="F1148" s="7">
        <v>1</v>
      </c>
      <c r="G1148" s="7" t="s">
        <v>14</v>
      </c>
      <c r="H1148" s="7" t="s">
        <v>314</v>
      </c>
      <c r="J1148" s="7">
        <f t="shared" si="97"/>
        <v>1900</v>
      </c>
      <c r="K1148" s="7">
        <f t="shared" si="99"/>
        <v>1</v>
      </c>
      <c r="L1148" s="7">
        <f t="shared" si="100"/>
        <v>45891</v>
      </c>
      <c r="M1148" s="7" t="s">
        <v>537</v>
      </c>
      <c r="N1148" s="7" t="s">
        <v>922</v>
      </c>
      <c r="O1148" s="17" t="s">
        <v>682</v>
      </c>
      <c r="P1148" s="7">
        <f t="shared" si="98"/>
        <v>8</v>
      </c>
      <c r="Q1148" s="7">
        <f t="shared" si="101"/>
        <v>2025</v>
      </c>
    </row>
    <row r="1149" spans="1:17" x14ac:dyDescent="0.25">
      <c r="A1149" s="7">
        <v>2539</v>
      </c>
      <c r="B1149" s="9" t="s">
        <v>533</v>
      </c>
      <c r="C1149" s="9" t="s">
        <v>533</v>
      </c>
      <c r="D1149" s="8">
        <v>45891</v>
      </c>
      <c r="E1149" s="7" t="s">
        <v>60</v>
      </c>
      <c r="F1149" s="7">
        <v>1</v>
      </c>
      <c r="G1149" s="7" t="s">
        <v>14</v>
      </c>
      <c r="H1149" s="7" t="s">
        <v>314</v>
      </c>
      <c r="J1149" s="7">
        <f t="shared" si="97"/>
        <v>1900</v>
      </c>
      <c r="K1149" s="7">
        <f t="shared" si="99"/>
        <v>1</v>
      </c>
      <c r="L1149" s="7">
        <f t="shared" si="100"/>
        <v>45891</v>
      </c>
      <c r="M1149" s="7" t="s">
        <v>537</v>
      </c>
      <c r="N1149" s="7" t="s">
        <v>922</v>
      </c>
      <c r="O1149" s="17" t="s">
        <v>682</v>
      </c>
      <c r="P1149" s="7">
        <f t="shared" si="98"/>
        <v>8</v>
      </c>
      <c r="Q1149" s="7">
        <f t="shared" si="101"/>
        <v>2025</v>
      </c>
    </row>
    <row r="1150" spans="1:17" x14ac:dyDescent="0.25">
      <c r="A1150" s="7">
        <v>2539</v>
      </c>
      <c r="B1150" s="9" t="s">
        <v>533</v>
      </c>
      <c r="C1150" s="9" t="s">
        <v>533</v>
      </c>
      <c r="D1150" s="8">
        <v>45891</v>
      </c>
      <c r="E1150" s="7" t="s">
        <v>60</v>
      </c>
      <c r="F1150" s="7">
        <v>1</v>
      </c>
      <c r="G1150" s="7" t="s">
        <v>14</v>
      </c>
      <c r="H1150" s="7" t="s">
        <v>314</v>
      </c>
      <c r="J1150" s="7">
        <f t="shared" si="97"/>
        <v>1900</v>
      </c>
      <c r="K1150" s="7">
        <f t="shared" si="99"/>
        <v>1</v>
      </c>
      <c r="L1150" s="7">
        <f t="shared" si="100"/>
        <v>45891</v>
      </c>
      <c r="M1150" s="7" t="s">
        <v>537</v>
      </c>
      <c r="N1150" s="7" t="s">
        <v>922</v>
      </c>
      <c r="O1150" s="17" t="s">
        <v>682</v>
      </c>
      <c r="P1150" s="7">
        <f t="shared" si="98"/>
        <v>8</v>
      </c>
      <c r="Q1150" s="7">
        <f t="shared" si="101"/>
        <v>2025</v>
      </c>
    </row>
    <row r="1151" spans="1:17" x14ac:dyDescent="0.25">
      <c r="A1151" s="7">
        <v>2539</v>
      </c>
      <c r="B1151" s="9" t="s">
        <v>533</v>
      </c>
      <c r="C1151" s="9" t="s">
        <v>533</v>
      </c>
      <c r="D1151" s="8">
        <v>45891</v>
      </c>
      <c r="E1151" s="7" t="s">
        <v>60</v>
      </c>
      <c r="F1151" s="7">
        <v>1</v>
      </c>
      <c r="G1151" s="7" t="s">
        <v>14</v>
      </c>
      <c r="H1151" s="7" t="s">
        <v>314</v>
      </c>
      <c r="J1151" s="7">
        <f t="shared" si="97"/>
        <v>1900</v>
      </c>
      <c r="K1151" s="7">
        <f t="shared" si="99"/>
        <v>1</v>
      </c>
      <c r="L1151" s="7">
        <f t="shared" si="100"/>
        <v>45891</v>
      </c>
      <c r="M1151" s="7" t="s">
        <v>537</v>
      </c>
      <c r="N1151" s="7" t="s">
        <v>922</v>
      </c>
      <c r="O1151" s="17" t="s">
        <v>682</v>
      </c>
      <c r="P1151" s="7">
        <f t="shared" si="98"/>
        <v>8</v>
      </c>
      <c r="Q1151" s="7">
        <f t="shared" si="101"/>
        <v>2025</v>
      </c>
    </row>
    <row r="1152" spans="1:17" x14ac:dyDescent="0.25">
      <c r="A1152" s="7">
        <v>2539</v>
      </c>
      <c r="B1152" s="9" t="s">
        <v>533</v>
      </c>
      <c r="C1152" s="9" t="s">
        <v>533</v>
      </c>
      <c r="D1152" s="8">
        <v>45891</v>
      </c>
      <c r="E1152" s="7" t="s">
        <v>60</v>
      </c>
      <c r="F1152" s="7">
        <v>1</v>
      </c>
      <c r="G1152" s="7" t="s">
        <v>14</v>
      </c>
      <c r="H1152" s="7" t="s">
        <v>314</v>
      </c>
      <c r="J1152" s="7">
        <f t="shared" si="97"/>
        <v>1900</v>
      </c>
      <c r="K1152" s="7">
        <f t="shared" si="99"/>
        <v>1</v>
      </c>
      <c r="L1152" s="7">
        <f t="shared" si="100"/>
        <v>45891</v>
      </c>
      <c r="M1152" s="7" t="s">
        <v>537</v>
      </c>
      <c r="N1152" s="7" t="s">
        <v>922</v>
      </c>
      <c r="O1152" s="17" t="s">
        <v>682</v>
      </c>
      <c r="P1152" s="7">
        <f t="shared" si="98"/>
        <v>8</v>
      </c>
      <c r="Q1152" s="7">
        <f t="shared" si="101"/>
        <v>2025</v>
      </c>
    </row>
    <row r="1153" spans="1:17" x14ac:dyDescent="0.25">
      <c r="A1153" s="7">
        <v>2539</v>
      </c>
      <c r="B1153" s="9" t="s">
        <v>533</v>
      </c>
      <c r="C1153" s="9" t="s">
        <v>533</v>
      </c>
      <c r="D1153" s="8">
        <v>45891</v>
      </c>
      <c r="E1153" s="7" t="s">
        <v>60</v>
      </c>
      <c r="F1153" s="7">
        <v>1</v>
      </c>
      <c r="G1153" s="7" t="s">
        <v>14</v>
      </c>
      <c r="H1153" s="7" t="s">
        <v>314</v>
      </c>
      <c r="J1153" s="7">
        <f t="shared" si="97"/>
        <v>1900</v>
      </c>
      <c r="K1153" s="7">
        <f t="shared" si="99"/>
        <v>1</v>
      </c>
      <c r="L1153" s="7">
        <f t="shared" si="100"/>
        <v>45891</v>
      </c>
      <c r="M1153" s="7" t="s">
        <v>537</v>
      </c>
      <c r="N1153" s="7" t="s">
        <v>922</v>
      </c>
      <c r="O1153" s="17" t="s">
        <v>682</v>
      </c>
      <c r="P1153" s="7">
        <f t="shared" si="98"/>
        <v>8</v>
      </c>
      <c r="Q1153" s="7">
        <f t="shared" si="101"/>
        <v>2025</v>
      </c>
    </row>
    <row r="1154" spans="1:17" x14ac:dyDescent="0.25">
      <c r="A1154" s="7">
        <v>2539</v>
      </c>
      <c r="B1154" s="9" t="s">
        <v>533</v>
      </c>
      <c r="C1154" s="9" t="s">
        <v>533</v>
      </c>
      <c r="D1154" s="8">
        <v>45891</v>
      </c>
      <c r="E1154" s="7" t="s">
        <v>60</v>
      </c>
      <c r="F1154" s="7">
        <v>1</v>
      </c>
      <c r="G1154" s="7" t="s">
        <v>14</v>
      </c>
      <c r="H1154" s="7" t="s">
        <v>314</v>
      </c>
      <c r="J1154" s="7">
        <f t="shared" si="97"/>
        <v>1900</v>
      </c>
      <c r="K1154" s="7">
        <f t="shared" si="99"/>
        <v>1</v>
      </c>
      <c r="L1154" s="7">
        <f t="shared" si="100"/>
        <v>45891</v>
      </c>
      <c r="M1154" s="7" t="s">
        <v>537</v>
      </c>
      <c r="N1154" s="7" t="s">
        <v>922</v>
      </c>
      <c r="O1154" s="17" t="s">
        <v>682</v>
      </c>
      <c r="P1154" s="7">
        <f t="shared" si="98"/>
        <v>8</v>
      </c>
      <c r="Q1154" s="7">
        <f t="shared" si="101"/>
        <v>2025</v>
      </c>
    </row>
    <row r="1155" spans="1:17" x14ac:dyDescent="0.25">
      <c r="A1155" s="7">
        <v>2539</v>
      </c>
      <c r="B1155" s="9" t="s">
        <v>533</v>
      </c>
      <c r="C1155" s="9" t="s">
        <v>533</v>
      </c>
      <c r="D1155" s="8">
        <v>45891</v>
      </c>
      <c r="E1155" s="7" t="s">
        <v>60</v>
      </c>
      <c r="F1155" s="7">
        <v>1</v>
      </c>
      <c r="G1155" s="7" t="s">
        <v>14</v>
      </c>
      <c r="H1155" s="7" t="s">
        <v>314</v>
      </c>
      <c r="J1155" s="7">
        <f t="shared" si="97"/>
        <v>1900</v>
      </c>
      <c r="K1155" s="7">
        <f t="shared" si="99"/>
        <v>1</v>
      </c>
      <c r="L1155" s="7">
        <f t="shared" si="100"/>
        <v>45891</v>
      </c>
      <c r="M1155" s="7" t="s">
        <v>537</v>
      </c>
      <c r="N1155" s="7" t="s">
        <v>922</v>
      </c>
      <c r="O1155" s="17" t="s">
        <v>682</v>
      </c>
      <c r="P1155" s="7">
        <f t="shared" si="98"/>
        <v>8</v>
      </c>
      <c r="Q1155" s="7">
        <f t="shared" si="101"/>
        <v>2025</v>
      </c>
    </row>
    <row r="1156" spans="1:17" x14ac:dyDescent="0.25">
      <c r="A1156" s="7">
        <v>2539</v>
      </c>
      <c r="B1156" s="9" t="s">
        <v>533</v>
      </c>
      <c r="C1156" s="9" t="s">
        <v>533</v>
      </c>
      <c r="D1156" s="8">
        <v>45891</v>
      </c>
      <c r="E1156" s="7" t="s">
        <v>60</v>
      </c>
      <c r="F1156" s="7">
        <v>1</v>
      </c>
      <c r="G1156" s="7" t="s">
        <v>14</v>
      </c>
      <c r="H1156" s="7" t="s">
        <v>314</v>
      </c>
      <c r="J1156" s="7">
        <f t="shared" si="97"/>
        <v>1900</v>
      </c>
      <c r="K1156" s="7">
        <f t="shared" si="99"/>
        <v>1</v>
      </c>
      <c r="L1156" s="7">
        <f t="shared" si="100"/>
        <v>45891</v>
      </c>
      <c r="M1156" s="7" t="s">
        <v>537</v>
      </c>
      <c r="N1156" s="7" t="s">
        <v>922</v>
      </c>
      <c r="O1156" s="17" t="s">
        <v>682</v>
      </c>
      <c r="P1156" s="7">
        <f t="shared" si="98"/>
        <v>8</v>
      </c>
      <c r="Q1156" s="7">
        <f t="shared" si="101"/>
        <v>2025</v>
      </c>
    </row>
    <row r="1157" spans="1:17" x14ac:dyDescent="0.25">
      <c r="A1157" s="7">
        <v>2539</v>
      </c>
      <c r="B1157" s="9" t="s">
        <v>533</v>
      </c>
      <c r="C1157" s="9" t="s">
        <v>533</v>
      </c>
      <c r="D1157" s="8">
        <v>45891</v>
      </c>
      <c r="E1157" s="7" t="s">
        <v>60</v>
      </c>
      <c r="F1157" s="7">
        <v>1</v>
      </c>
      <c r="G1157" s="7" t="s">
        <v>14</v>
      </c>
      <c r="H1157" s="7" t="s">
        <v>314</v>
      </c>
      <c r="J1157" s="7">
        <f t="shared" si="97"/>
        <v>1900</v>
      </c>
      <c r="K1157" s="7">
        <f t="shared" si="99"/>
        <v>1</v>
      </c>
      <c r="L1157" s="7">
        <f t="shared" si="100"/>
        <v>45891</v>
      </c>
      <c r="M1157" s="7" t="s">
        <v>537</v>
      </c>
      <c r="N1157" s="7" t="s">
        <v>922</v>
      </c>
      <c r="O1157" s="17" t="s">
        <v>682</v>
      </c>
      <c r="P1157" s="7">
        <f t="shared" si="98"/>
        <v>8</v>
      </c>
      <c r="Q1157" s="7">
        <f t="shared" si="101"/>
        <v>2025</v>
      </c>
    </row>
    <row r="1158" spans="1:17" x14ac:dyDescent="0.25">
      <c r="A1158" s="7">
        <v>2539</v>
      </c>
      <c r="B1158" s="9" t="s">
        <v>533</v>
      </c>
      <c r="C1158" s="9" t="s">
        <v>533</v>
      </c>
      <c r="D1158" s="8">
        <v>45891</v>
      </c>
      <c r="E1158" s="7" t="s">
        <v>60</v>
      </c>
      <c r="F1158" s="7">
        <v>1</v>
      </c>
      <c r="G1158" s="7" t="s">
        <v>14</v>
      </c>
      <c r="H1158" s="7" t="s">
        <v>314</v>
      </c>
      <c r="J1158" s="7">
        <f t="shared" si="97"/>
        <v>1900</v>
      </c>
      <c r="K1158" s="7">
        <f t="shared" si="99"/>
        <v>1</v>
      </c>
      <c r="L1158" s="7">
        <f t="shared" si="100"/>
        <v>45891</v>
      </c>
      <c r="M1158" s="7" t="s">
        <v>537</v>
      </c>
      <c r="N1158" s="7" t="s">
        <v>922</v>
      </c>
      <c r="O1158" s="17" t="s">
        <v>682</v>
      </c>
      <c r="P1158" s="7">
        <f t="shared" si="98"/>
        <v>8</v>
      </c>
      <c r="Q1158" s="7">
        <f t="shared" si="101"/>
        <v>2025</v>
      </c>
    </row>
    <row r="1159" spans="1:17" x14ac:dyDescent="0.25">
      <c r="A1159" s="7">
        <v>2539</v>
      </c>
      <c r="B1159" s="9" t="s">
        <v>533</v>
      </c>
      <c r="C1159" s="9" t="s">
        <v>533</v>
      </c>
      <c r="D1159" s="8">
        <v>45891</v>
      </c>
      <c r="E1159" s="7" t="s">
        <v>60</v>
      </c>
      <c r="F1159" s="7">
        <v>1</v>
      </c>
      <c r="G1159" s="7" t="s">
        <v>14</v>
      </c>
      <c r="H1159" s="7" t="s">
        <v>314</v>
      </c>
      <c r="J1159" s="7">
        <f t="shared" si="97"/>
        <v>1900</v>
      </c>
      <c r="K1159" s="7">
        <f t="shared" si="99"/>
        <v>1</v>
      </c>
      <c r="L1159" s="7">
        <f t="shared" si="100"/>
        <v>45891</v>
      </c>
      <c r="M1159" s="7" t="s">
        <v>537</v>
      </c>
      <c r="N1159" s="7" t="s">
        <v>922</v>
      </c>
      <c r="O1159" s="17" t="s">
        <v>682</v>
      </c>
      <c r="P1159" s="7">
        <f t="shared" si="98"/>
        <v>8</v>
      </c>
      <c r="Q1159" s="7">
        <f t="shared" si="101"/>
        <v>2025</v>
      </c>
    </row>
    <row r="1160" spans="1:17" x14ac:dyDescent="0.25">
      <c r="A1160" s="7">
        <v>2539</v>
      </c>
      <c r="B1160" s="9" t="s">
        <v>533</v>
      </c>
      <c r="C1160" s="9" t="s">
        <v>533</v>
      </c>
      <c r="D1160" s="8">
        <v>45891</v>
      </c>
      <c r="E1160" s="7" t="s">
        <v>60</v>
      </c>
      <c r="F1160" s="7">
        <v>1</v>
      </c>
      <c r="G1160" s="7" t="s">
        <v>14</v>
      </c>
      <c r="H1160" s="7" t="s">
        <v>314</v>
      </c>
      <c r="J1160" s="7">
        <f t="shared" si="97"/>
        <v>1900</v>
      </c>
      <c r="K1160" s="7">
        <f t="shared" si="99"/>
        <v>1</v>
      </c>
      <c r="L1160" s="7">
        <f t="shared" si="100"/>
        <v>45891</v>
      </c>
      <c r="M1160" s="7" t="s">
        <v>537</v>
      </c>
      <c r="N1160" s="7" t="s">
        <v>922</v>
      </c>
      <c r="O1160" s="17" t="s">
        <v>682</v>
      </c>
      <c r="P1160" s="7">
        <f t="shared" si="98"/>
        <v>8</v>
      </c>
      <c r="Q1160" s="7">
        <f t="shared" si="101"/>
        <v>2025</v>
      </c>
    </row>
    <row r="1161" spans="1:17" x14ac:dyDescent="0.25">
      <c r="A1161" s="7">
        <v>2539</v>
      </c>
      <c r="B1161" s="9" t="s">
        <v>533</v>
      </c>
      <c r="C1161" s="9" t="s">
        <v>533</v>
      </c>
      <c r="D1161" s="8">
        <v>45891</v>
      </c>
      <c r="E1161" s="7" t="s">
        <v>60</v>
      </c>
      <c r="F1161" s="7">
        <v>1</v>
      </c>
      <c r="G1161" s="7" t="s">
        <v>14</v>
      </c>
      <c r="H1161" s="7" t="s">
        <v>314</v>
      </c>
      <c r="J1161" s="7">
        <f t="shared" si="97"/>
        <v>1900</v>
      </c>
      <c r="K1161" s="7">
        <f t="shared" si="99"/>
        <v>1</v>
      </c>
      <c r="L1161" s="7">
        <f t="shared" si="100"/>
        <v>45891</v>
      </c>
      <c r="M1161" s="7" t="s">
        <v>537</v>
      </c>
      <c r="N1161" s="7" t="s">
        <v>922</v>
      </c>
      <c r="O1161" s="17" t="s">
        <v>682</v>
      </c>
      <c r="P1161" s="7">
        <f t="shared" si="98"/>
        <v>8</v>
      </c>
      <c r="Q1161" s="7">
        <f t="shared" si="101"/>
        <v>2025</v>
      </c>
    </row>
    <row r="1162" spans="1:17" x14ac:dyDescent="0.25">
      <c r="A1162" s="7">
        <v>2539</v>
      </c>
      <c r="B1162" s="9" t="s">
        <v>533</v>
      </c>
      <c r="C1162" s="9" t="s">
        <v>533</v>
      </c>
      <c r="D1162" s="8">
        <v>45891</v>
      </c>
      <c r="E1162" s="7" t="s">
        <v>60</v>
      </c>
      <c r="F1162" s="7">
        <v>1</v>
      </c>
      <c r="G1162" s="7" t="s">
        <v>14</v>
      </c>
      <c r="H1162" s="7" t="s">
        <v>314</v>
      </c>
      <c r="J1162" s="7">
        <f t="shared" si="97"/>
        <v>1900</v>
      </c>
      <c r="K1162" s="7">
        <f t="shared" si="99"/>
        <v>1</v>
      </c>
      <c r="L1162" s="7">
        <f t="shared" si="100"/>
        <v>45891</v>
      </c>
      <c r="M1162" s="7" t="s">
        <v>537</v>
      </c>
      <c r="N1162" s="7" t="s">
        <v>922</v>
      </c>
      <c r="O1162" s="17" t="s">
        <v>682</v>
      </c>
      <c r="P1162" s="7">
        <f t="shared" si="98"/>
        <v>8</v>
      </c>
      <c r="Q1162" s="7">
        <f t="shared" si="101"/>
        <v>2025</v>
      </c>
    </row>
    <row r="1163" spans="1:17" x14ac:dyDescent="0.25">
      <c r="A1163" s="7">
        <v>2539</v>
      </c>
      <c r="B1163" s="9" t="s">
        <v>533</v>
      </c>
      <c r="C1163" s="9" t="s">
        <v>533</v>
      </c>
      <c r="D1163" s="8">
        <v>45891</v>
      </c>
      <c r="E1163" s="7" t="s">
        <v>60</v>
      </c>
      <c r="F1163" s="7">
        <v>1</v>
      </c>
      <c r="G1163" s="7" t="s">
        <v>14</v>
      </c>
      <c r="H1163" s="7" t="s">
        <v>314</v>
      </c>
      <c r="J1163" s="7">
        <f t="shared" si="97"/>
        <v>1900</v>
      </c>
      <c r="K1163" s="7">
        <f t="shared" si="99"/>
        <v>1</v>
      </c>
      <c r="L1163" s="7">
        <f t="shared" si="100"/>
        <v>45891</v>
      </c>
      <c r="M1163" s="7" t="s">
        <v>537</v>
      </c>
      <c r="N1163" s="7" t="s">
        <v>922</v>
      </c>
      <c r="O1163" s="17" t="s">
        <v>682</v>
      </c>
      <c r="P1163" s="7">
        <f t="shared" si="98"/>
        <v>8</v>
      </c>
      <c r="Q1163" s="7">
        <f t="shared" si="101"/>
        <v>2025</v>
      </c>
    </row>
    <row r="1164" spans="1:17" x14ac:dyDescent="0.25">
      <c r="A1164" s="7">
        <v>2539</v>
      </c>
      <c r="B1164" s="9" t="s">
        <v>533</v>
      </c>
      <c r="C1164" s="9" t="s">
        <v>533</v>
      </c>
      <c r="D1164" s="8">
        <v>45891</v>
      </c>
      <c r="E1164" s="7" t="s">
        <v>60</v>
      </c>
      <c r="F1164" s="7">
        <v>1</v>
      </c>
      <c r="G1164" s="7" t="s">
        <v>14</v>
      </c>
      <c r="H1164" s="7" t="s">
        <v>314</v>
      </c>
      <c r="J1164" s="7">
        <f t="shared" si="97"/>
        <v>1900</v>
      </c>
      <c r="K1164" s="7">
        <f t="shared" si="99"/>
        <v>1</v>
      </c>
      <c r="L1164" s="7">
        <f t="shared" si="100"/>
        <v>45891</v>
      </c>
      <c r="M1164" s="7" t="s">
        <v>537</v>
      </c>
      <c r="N1164" s="7" t="s">
        <v>922</v>
      </c>
      <c r="O1164" s="17" t="s">
        <v>682</v>
      </c>
      <c r="P1164" s="7">
        <f t="shared" si="98"/>
        <v>8</v>
      </c>
      <c r="Q1164" s="7">
        <f t="shared" si="101"/>
        <v>2025</v>
      </c>
    </row>
    <row r="1165" spans="1:17" x14ac:dyDescent="0.25">
      <c r="A1165" s="7">
        <v>2539</v>
      </c>
      <c r="B1165" s="9" t="s">
        <v>533</v>
      </c>
      <c r="C1165" s="9" t="s">
        <v>533</v>
      </c>
      <c r="D1165" s="8">
        <v>45891</v>
      </c>
      <c r="E1165" s="7" t="s">
        <v>60</v>
      </c>
      <c r="F1165" s="7">
        <v>1</v>
      </c>
      <c r="G1165" s="7" t="s">
        <v>14</v>
      </c>
      <c r="H1165" s="7" t="s">
        <v>314</v>
      </c>
      <c r="J1165" s="7">
        <f t="shared" si="97"/>
        <v>1900</v>
      </c>
      <c r="K1165" s="7">
        <f t="shared" si="99"/>
        <v>1</v>
      </c>
      <c r="L1165" s="7">
        <f t="shared" si="100"/>
        <v>45891</v>
      </c>
      <c r="M1165" s="7" t="s">
        <v>537</v>
      </c>
      <c r="N1165" s="7" t="s">
        <v>922</v>
      </c>
      <c r="O1165" s="17" t="s">
        <v>682</v>
      </c>
      <c r="P1165" s="7">
        <f t="shared" si="98"/>
        <v>8</v>
      </c>
      <c r="Q1165" s="7">
        <f t="shared" si="101"/>
        <v>2025</v>
      </c>
    </row>
    <row r="1166" spans="1:17" x14ac:dyDescent="0.25">
      <c r="A1166" s="7">
        <v>2539</v>
      </c>
      <c r="B1166" s="9" t="s">
        <v>533</v>
      </c>
      <c r="C1166" s="9" t="s">
        <v>533</v>
      </c>
      <c r="D1166" s="8">
        <v>45891</v>
      </c>
      <c r="E1166" s="7" t="s">
        <v>60</v>
      </c>
      <c r="F1166" s="7">
        <v>1</v>
      </c>
      <c r="G1166" s="7" t="s">
        <v>14</v>
      </c>
      <c r="H1166" s="7" t="s">
        <v>314</v>
      </c>
      <c r="J1166" s="7">
        <f t="shared" si="97"/>
        <v>1900</v>
      </c>
      <c r="K1166" s="7">
        <f t="shared" si="99"/>
        <v>1</v>
      </c>
      <c r="L1166" s="7">
        <f t="shared" si="100"/>
        <v>45891</v>
      </c>
      <c r="M1166" s="7" t="s">
        <v>537</v>
      </c>
      <c r="N1166" s="7" t="s">
        <v>922</v>
      </c>
      <c r="O1166" s="17" t="s">
        <v>682</v>
      </c>
      <c r="P1166" s="7">
        <f t="shared" si="98"/>
        <v>8</v>
      </c>
      <c r="Q1166" s="7">
        <f t="shared" si="101"/>
        <v>2025</v>
      </c>
    </row>
    <row r="1167" spans="1:17" x14ac:dyDescent="0.25">
      <c r="A1167" s="7">
        <v>2539</v>
      </c>
      <c r="B1167" s="9" t="s">
        <v>533</v>
      </c>
      <c r="C1167" s="9" t="s">
        <v>533</v>
      </c>
      <c r="D1167" s="8">
        <v>45891</v>
      </c>
      <c r="E1167" s="7" t="s">
        <v>60</v>
      </c>
      <c r="F1167" s="7">
        <v>1</v>
      </c>
      <c r="G1167" s="7" t="s">
        <v>14</v>
      </c>
      <c r="H1167" s="7" t="s">
        <v>314</v>
      </c>
      <c r="J1167" s="7">
        <f t="shared" si="97"/>
        <v>1900</v>
      </c>
      <c r="K1167" s="7">
        <f t="shared" si="99"/>
        <v>1</v>
      </c>
      <c r="L1167" s="7">
        <f t="shared" si="100"/>
        <v>45891</v>
      </c>
      <c r="M1167" s="7" t="s">
        <v>537</v>
      </c>
      <c r="N1167" s="7" t="s">
        <v>922</v>
      </c>
      <c r="O1167" s="17" t="s">
        <v>682</v>
      </c>
      <c r="P1167" s="7">
        <f t="shared" si="98"/>
        <v>8</v>
      </c>
      <c r="Q1167" s="7">
        <f t="shared" si="101"/>
        <v>2025</v>
      </c>
    </row>
    <row r="1168" spans="1:17" x14ac:dyDescent="0.25">
      <c r="A1168" s="7">
        <v>2539</v>
      </c>
      <c r="B1168" s="9" t="s">
        <v>533</v>
      </c>
      <c r="C1168" s="9" t="s">
        <v>533</v>
      </c>
      <c r="D1168" s="8">
        <v>45891</v>
      </c>
      <c r="E1168" s="7" t="s">
        <v>60</v>
      </c>
      <c r="F1168" s="7">
        <v>1</v>
      </c>
      <c r="G1168" s="7" t="s">
        <v>14</v>
      </c>
      <c r="H1168" s="7" t="s">
        <v>314</v>
      </c>
      <c r="J1168" s="7">
        <f t="shared" si="97"/>
        <v>1900</v>
      </c>
      <c r="K1168" s="7">
        <f t="shared" si="99"/>
        <v>1</v>
      </c>
      <c r="L1168" s="7">
        <f t="shared" si="100"/>
        <v>45891</v>
      </c>
      <c r="M1168" s="7" t="s">
        <v>537</v>
      </c>
      <c r="N1168" s="7" t="s">
        <v>922</v>
      </c>
      <c r="O1168" s="17" t="s">
        <v>682</v>
      </c>
      <c r="P1168" s="7">
        <f t="shared" si="98"/>
        <v>8</v>
      </c>
      <c r="Q1168" s="7">
        <f t="shared" si="101"/>
        <v>2025</v>
      </c>
    </row>
    <row r="1169" spans="1:17" x14ac:dyDescent="0.25">
      <c r="A1169" s="7">
        <v>2539</v>
      </c>
      <c r="B1169" s="9" t="s">
        <v>533</v>
      </c>
      <c r="C1169" s="9" t="s">
        <v>533</v>
      </c>
      <c r="D1169" s="8">
        <v>45891</v>
      </c>
      <c r="E1169" s="7" t="s">
        <v>60</v>
      </c>
      <c r="F1169" s="7">
        <v>1</v>
      </c>
      <c r="G1169" s="7" t="s">
        <v>14</v>
      </c>
      <c r="H1169" s="7" t="s">
        <v>314</v>
      </c>
      <c r="J1169" s="7">
        <f t="shared" ref="J1169:J1232" si="102">YEAR(I1169)</f>
        <v>1900</v>
      </c>
      <c r="K1169" s="7">
        <f t="shared" si="99"/>
        <v>1</v>
      </c>
      <c r="L1169" s="7">
        <f t="shared" si="100"/>
        <v>45891</v>
      </c>
      <c r="M1169" s="7" t="s">
        <v>537</v>
      </c>
      <c r="N1169" s="7" t="s">
        <v>922</v>
      </c>
      <c r="O1169" s="17" t="s">
        <v>682</v>
      </c>
      <c r="P1169" s="7">
        <f t="shared" si="98"/>
        <v>8</v>
      </c>
      <c r="Q1169" s="7">
        <f t="shared" si="101"/>
        <v>2025</v>
      </c>
    </row>
    <row r="1170" spans="1:17" x14ac:dyDescent="0.25">
      <c r="A1170" s="7">
        <v>2539</v>
      </c>
      <c r="B1170" s="9" t="s">
        <v>533</v>
      </c>
      <c r="C1170" s="9" t="s">
        <v>533</v>
      </c>
      <c r="D1170" s="8">
        <v>45891</v>
      </c>
      <c r="E1170" s="7" t="s">
        <v>60</v>
      </c>
      <c r="F1170" s="7">
        <v>1</v>
      </c>
      <c r="G1170" s="7" t="s">
        <v>14</v>
      </c>
      <c r="H1170" s="7" t="s">
        <v>314</v>
      </c>
      <c r="J1170" s="7">
        <f t="shared" si="102"/>
        <v>1900</v>
      </c>
      <c r="K1170" s="7">
        <f t="shared" si="99"/>
        <v>1</v>
      </c>
      <c r="L1170" s="7">
        <f t="shared" si="100"/>
        <v>45891</v>
      </c>
      <c r="M1170" s="7" t="s">
        <v>537</v>
      </c>
      <c r="N1170" s="7" t="s">
        <v>922</v>
      </c>
      <c r="O1170" s="17" t="s">
        <v>682</v>
      </c>
      <c r="P1170" s="7">
        <f t="shared" si="98"/>
        <v>8</v>
      </c>
      <c r="Q1170" s="7">
        <f t="shared" si="101"/>
        <v>2025</v>
      </c>
    </row>
    <row r="1171" spans="1:17" x14ac:dyDescent="0.25">
      <c r="A1171" s="7">
        <v>2539</v>
      </c>
      <c r="B1171" s="9" t="s">
        <v>533</v>
      </c>
      <c r="C1171" s="9" t="s">
        <v>533</v>
      </c>
      <c r="D1171" s="8">
        <v>45891</v>
      </c>
      <c r="E1171" s="7" t="s">
        <v>60</v>
      </c>
      <c r="F1171" s="7">
        <v>1</v>
      </c>
      <c r="G1171" s="7" t="s">
        <v>14</v>
      </c>
      <c r="H1171" s="7" t="s">
        <v>314</v>
      </c>
      <c r="J1171" s="7">
        <f t="shared" si="102"/>
        <v>1900</v>
      </c>
      <c r="K1171" s="7">
        <f t="shared" si="99"/>
        <v>1</v>
      </c>
      <c r="L1171" s="7">
        <f t="shared" si="100"/>
        <v>45891</v>
      </c>
      <c r="M1171" s="7" t="s">
        <v>537</v>
      </c>
      <c r="N1171" s="7" t="s">
        <v>922</v>
      </c>
      <c r="O1171" s="17" t="s">
        <v>682</v>
      </c>
      <c r="P1171" s="7">
        <f t="shared" si="98"/>
        <v>8</v>
      </c>
      <c r="Q1171" s="7">
        <f t="shared" si="101"/>
        <v>2025</v>
      </c>
    </row>
    <row r="1172" spans="1:17" x14ac:dyDescent="0.25">
      <c r="A1172" s="7">
        <v>2539</v>
      </c>
      <c r="B1172" s="9" t="s">
        <v>533</v>
      </c>
      <c r="C1172" s="9" t="s">
        <v>533</v>
      </c>
      <c r="D1172" s="8">
        <v>45891</v>
      </c>
      <c r="E1172" s="7" t="s">
        <v>60</v>
      </c>
      <c r="F1172" s="7">
        <v>1</v>
      </c>
      <c r="G1172" s="7" t="s">
        <v>14</v>
      </c>
      <c r="H1172" s="7" t="s">
        <v>314</v>
      </c>
      <c r="J1172" s="7">
        <f t="shared" si="102"/>
        <v>1900</v>
      </c>
      <c r="K1172" s="7">
        <f t="shared" si="99"/>
        <v>1</v>
      </c>
      <c r="L1172" s="7">
        <f t="shared" si="100"/>
        <v>45891</v>
      </c>
      <c r="M1172" s="7" t="s">
        <v>537</v>
      </c>
      <c r="N1172" s="7" t="s">
        <v>922</v>
      </c>
      <c r="O1172" s="17" t="s">
        <v>682</v>
      </c>
      <c r="P1172" s="7">
        <f t="shared" si="98"/>
        <v>8</v>
      </c>
      <c r="Q1172" s="7">
        <f t="shared" si="101"/>
        <v>2025</v>
      </c>
    </row>
    <row r="1173" spans="1:17" x14ac:dyDescent="0.25">
      <c r="A1173" s="7">
        <v>2539</v>
      </c>
      <c r="B1173" s="9" t="s">
        <v>533</v>
      </c>
      <c r="C1173" s="9" t="s">
        <v>533</v>
      </c>
      <c r="D1173" s="8">
        <v>45891</v>
      </c>
      <c r="E1173" s="7" t="s">
        <v>60</v>
      </c>
      <c r="F1173" s="7">
        <v>1</v>
      </c>
      <c r="G1173" s="7" t="s">
        <v>14</v>
      </c>
      <c r="H1173" s="7" t="s">
        <v>314</v>
      </c>
      <c r="J1173" s="7">
        <f t="shared" si="102"/>
        <v>1900</v>
      </c>
      <c r="K1173" s="7">
        <f t="shared" si="99"/>
        <v>1</v>
      </c>
      <c r="L1173" s="7">
        <f t="shared" si="100"/>
        <v>45891</v>
      </c>
      <c r="M1173" s="7" t="s">
        <v>537</v>
      </c>
      <c r="N1173" s="7" t="s">
        <v>922</v>
      </c>
      <c r="O1173" s="17" t="s">
        <v>682</v>
      </c>
      <c r="P1173" s="7">
        <f t="shared" si="98"/>
        <v>8</v>
      </c>
      <c r="Q1173" s="7">
        <f t="shared" si="101"/>
        <v>2025</v>
      </c>
    </row>
    <row r="1174" spans="1:17" x14ac:dyDescent="0.25">
      <c r="A1174" s="7">
        <v>2539</v>
      </c>
      <c r="B1174" s="9" t="s">
        <v>533</v>
      </c>
      <c r="C1174" s="9" t="s">
        <v>533</v>
      </c>
      <c r="D1174" s="8">
        <v>45891</v>
      </c>
      <c r="E1174" s="7" t="s">
        <v>60</v>
      </c>
      <c r="F1174" s="7">
        <v>1</v>
      </c>
      <c r="G1174" s="7" t="s">
        <v>14</v>
      </c>
      <c r="H1174" s="7" t="s">
        <v>314</v>
      </c>
      <c r="J1174" s="7">
        <f t="shared" si="102"/>
        <v>1900</v>
      </c>
      <c r="K1174" s="7">
        <f t="shared" si="99"/>
        <v>1</v>
      </c>
      <c r="L1174" s="7">
        <f t="shared" si="100"/>
        <v>45891</v>
      </c>
      <c r="M1174" s="7" t="s">
        <v>537</v>
      </c>
      <c r="N1174" s="7" t="s">
        <v>922</v>
      </c>
      <c r="O1174" s="17" t="s">
        <v>682</v>
      </c>
      <c r="P1174" s="7">
        <f t="shared" si="98"/>
        <v>8</v>
      </c>
      <c r="Q1174" s="7">
        <f t="shared" si="101"/>
        <v>2025</v>
      </c>
    </row>
    <row r="1175" spans="1:17" x14ac:dyDescent="0.25">
      <c r="A1175" s="7">
        <v>2539</v>
      </c>
      <c r="B1175" s="9" t="s">
        <v>533</v>
      </c>
      <c r="C1175" s="9" t="s">
        <v>533</v>
      </c>
      <c r="D1175" s="8">
        <v>45891</v>
      </c>
      <c r="E1175" s="7" t="s">
        <v>60</v>
      </c>
      <c r="F1175" s="7">
        <v>1</v>
      </c>
      <c r="G1175" s="7" t="s">
        <v>14</v>
      </c>
      <c r="H1175" s="7" t="s">
        <v>314</v>
      </c>
      <c r="J1175" s="7">
        <f t="shared" si="102"/>
        <v>1900</v>
      </c>
      <c r="K1175" s="7">
        <f t="shared" si="99"/>
        <v>1</v>
      </c>
      <c r="L1175" s="7">
        <f t="shared" si="100"/>
        <v>45891</v>
      </c>
      <c r="M1175" s="7" t="s">
        <v>537</v>
      </c>
      <c r="N1175" s="7" t="s">
        <v>922</v>
      </c>
      <c r="O1175" s="17" t="s">
        <v>682</v>
      </c>
      <c r="P1175" s="7">
        <f t="shared" si="98"/>
        <v>8</v>
      </c>
      <c r="Q1175" s="7">
        <f t="shared" si="101"/>
        <v>2025</v>
      </c>
    </row>
    <row r="1176" spans="1:17" x14ac:dyDescent="0.25">
      <c r="A1176" s="7">
        <v>2539</v>
      </c>
      <c r="B1176" s="9" t="s">
        <v>533</v>
      </c>
      <c r="C1176" s="9" t="s">
        <v>533</v>
      </c>
      <c r="D1176" s="8">
        <v>45891</v>
      </c>
      <c r="E1176" s="7" t="s">
        <v>60</v>
      </c>
      <c r="F1176" s="7">
        <v>1</v>
      </c>
      <c r="G1176" s="7" t="s">
        <v>14</v>
      </c>
      <c r="H1176" s="7" t="s">
        <v>314</v>
      </c>
      <c r="J1176" s="7">
        <f t="shared" si="102"/>
        <v>1900</v>
      </c>
      <c r="K1176" s="7">
        <f t="shared" si="99"/>
        <v>1</v>
      </c>
      <c r="L1176" s="7">
        <f t="shared" si="100"/>
        <v>45891</v>
      </c>
      <c r="M1176" s="7" t="s">
        <v>537</v>
      </c>
      <c r="N1176" s="7" t="s">
        <v>922</v>
      </c>
      <c r="O1176" s="17" t="s">
        <v>682</v>
      </c>
      <c r="P1176" s="7">
        <f t="shared" si="98"/>
        <v>8</v>
      </c>
      <c r="Q1176" s="7">
        <f t="shared" si="101"/>
        <v>2025</v>
      </c>
    </row>
    <row r="1177" spans="1:17" x14ac:dyDescent="0.25">
      <c r="A1177" s="7">
        <v>2539</v>
      </c>
      <c r="B1177" s="9" t="s">
        <v>533</v>
      </c>
      <c r="C1177" s="9" t="s">
        <v>533</v>
      </c>
      <c r="D1177" s="8">
        <v>45891</v>
      </c>
      <c r="E1177" s="7" t="s">
        <v>60</v>
      </c>
      <c r="F1177" s="7">
        <v>1</v>
      </c>
      <c r="G1177" s="7" t="s">
        <v>14</v>
      </c>
      <c r="H1177" s="7" t="s">
        <v>314</v>
      </c>
      <c r="J1177" s="7">
        <f t="shared" si="102"/>
        <v>1900</v>
      </c>
      <c r="K1177" s="7">
        <f t="shared" si="99"/>
        <v>1</v>
      </c>
      <c r="L1177" s="7">
        <f t="shared" si="100"/>
        <v>45891</v>
      </c>
      <c r="M1177" s="7" t="s">
        <v>537</v>
      </c>
      <c r="N1177" s="7" t="s">
        <v>922</v>
      </c>
      <c r="O1177" s="17" t="s">
        <v>682</v>
      </c>
      <c r="P1177" s="7">
        <f t="shared" si="98"/>
        <v>8</v>
      </c>
      <c r="Q1177" s="7">
        <f t="shared" si="101"/>
        <v>2025</v>
      </c>
    </row>
    <row r="1178" spans="1:17" x14ac:dyDescent="0.25">
      <c r="A1178" s="7">
        <v>2539</v>
      </c>
      <c r="B1178" s="9" t="s">
        <v>533</v>
      </c>
      <c r="C1178" s="9" t="s">
        <v>533</v>
      </c>
      <c r="D1178" s="8">
        <v>45891</v>
      </c>
      <c r="E1178" s="7" t="s">
        <v>60</v>
      </c>
      <c r="F1178" s="7">
        <v>1</v>
      </c>
      <c r="G1178" s="7" t="s">
        <v>14</v>
      </c>
      <c r="H1178" s="7" t="s">
        <v>314</v>
      </c>
      <c r="J1178" s="7">
        <f t="shared" si="102"/>
        <v>1900</v>
      </c>
      <c r="K1178" s="7">
        <f t="shared" si="99"/>
        <v>1</v>
      </c>
      <c r="L1178" s="7">
        <f t="shared" si="100"/>
        <v>45891</v>
      </c>
      <c r="M1178" s="7" t="s">
        <v>537</v>
      </c>
      <c r="N1178" s="7" t="s">
        <v>922</v>
      </c>
      <c r="O1178" s="17" t="s">
        <v>682</v>
      </c>
      <c r="P1178" s="7">
        <f t="shared" ref="P1178:P1241" si="103">MONTH(D1178)</f>
        <v>8</v>
      </c>
      <c r="Q1178" s="7">
        <f t="shared" si="101"/>
        <v>2025</v>
      </c>
    </row>
    <row r="1179" spans="1:17" x14ac:dyDescent="0.25">
      <c r="A1179" s="7">
        <v>2539</v>
      </c>
      <c r="B1179" s="9" t="s">
        <v>533</v>
      </c>
      <c r="C1179" s="9" t="s">
        <v>533</v>
      </c>
      <c r="D1179" s="8">
        <v>45891</v>
      </c>
      <c r="E1179" s="7" t="s">
        <v>60</v>
      </c>
      <c r="F1179" s="7">
        <v>1</v>
      </c>
      <c r="G1179" s="7" t="s">
        <v>14</v>
      </c>
      <c r="H1179" s="7" t="s">
        <v>314</v>
      </c>
      <c r="J1179" s="7">
        <f t="shared" si="102"/>
        <v>1900</v>
      </c>
      <c r="K1179" s="7">
        <f t="shared" si="99"/>
        <v>1</v>
      </c>
      <c r="L1179" s="7">
        <f t="shared" si="100"/>
        <v>45891</v>
      </c>
      <c r="M1179" s="7" t="s">
        <v>537</v>
      </c>
      <c r="N1179" s="7" t="s">
        <v>922</v>
      </c>
      <c r="O1179" s="17" t="s">
        <v>682</v>
      </c>
      <c r="P1179" s="7">
        <f t="shared" si="103"/>
        <v>8</v>
      </c>
      <c r="Q1179" s="7">
        <f t="shared" si="101"/>
        <v>2025</v>
      </c>
    </row>
    <row r="1180" spans="1:17" x14ac:dyDescent="0.25">
      <c r="A1180" s="7">
        <v>2539</v>
      </c>
      <c r="B1180" s="9" t="s">
        <v>533</v>
      </c>
      <c r="C1180" s="9" t="s">
        <v>533</v>
      </c>
      <c r="D1180" s="8">
        <v>45891</v>
      </c>
      <c r="E1180" s="7" t="s">
        <v>60</v>
      </c>
      <c r="F1180" s="7">
        <v>1</v>
      </c>
      <c r="G1180" s="7" t="s">
        <v>14</v>
      </c>
      <c r="H1180" s="7" t="s">
        <v>314</v>
      </c>
      <c r="J1180" s="7">
        <f t="shared" si="102"/>
        <v>1900</v>
      </c>
      <c r="K1180" s="7">
        <f t="shared" si="99"/>
        <v>1</v>
      </c>
      <c r="L1180" s="7">
        <f t="shared" si="100"/>
        <v>45891</v>
      </c>
      <c r="M1180" s="7" t="s">
        <v>537</v>
      </c>
      <c r="N1180" s="7" t="s">
        <v>922</v>
      </c>
      <c r="O1180" s="17" t="s">
        <v>682</v>
      </c>
      <c r="P1180" s="7">
        <f t="shared" si="103"/>
        <v>8</v>
      </c>
      <c r="Q1180" s="7">
        <f t="shared" si="101"/>
        <v>2025</v>
      </c>
    </row>
    <row r="1181" spans="1:17" x14ac:dyDescent="0.25">
      <c r="A1181" s="7">
        <v>2539</v>
      </c>
      <c r="B1181" s="9" t="s">
        <v>533</v>
      </c>
      <c r="C1181" s="9" t="s">
        <v>533</v>
      </c>
      <c r="D1181" s="8">
        <v>45891</v>
      </c>
      <c r="E1181" s="7" t="s">
        <v>60</v>
      </c>
      <c r="F1181" s="7">
        <v>1</v>
      </c>
      <c r="G1181" s="7" t="s">
        <v>14</v>
      </c>
      <c r="H1181" s="7" t="s">
        <v>314</v>
      </c>
      <c r="J1181" s="7">
        <f t="shared" si="102"/>
        <v>1900</v>
      </c>
      <c r="K1181" s="7">
        <f t="shared" si="99"/>
        <v>1</v>
      </c>
      <c r="L1181" s="7">
        <f t="shared" si="100"/>
        <v>45891</v>
      </c>
      <c r="M1181" s="7" t="s">
        <v>537</v>
      </c>
      <c r="N1181" s="7" t="s">
        <v>922</v>
      </c>
      <c r="O1181" s="17" t="s">
        <v>682</v>
      </c>
      <c r="P1181" s="7">
        <f t="shared" si="103"/>
        <v>8</v>
      </c>
      <c r="Q1181" s="7">
        <f t="shared" si="101"/>
        <v>2025</v>
      </c>
    </row>
    <row r="1182" spans="1:17" x14ac:dyDescent="0.25">
      <c r="A1182" s="7">
        <v>2539</v>
      </c>
      <c r="B1182" s="9" t="s">
        <v>533</v>
      </c>
      <c r="C1182" s="9" t="s">
        <v>533</v>
      </c>
      <c r="D1182" s="8">
        <v>45891</v>
      </c>
      <c r="E1182" s="7" t="s">
        <v>60</v>
      </c>
      <c r="F1182" s="7">
        <v>1</v>
      </c>
      <c r="G1182" s="7" t="s">
        <v>14</v>
      </c>
      <c r="H1182" s="7" t="s">
        <v>314</v>
      </c>
      <c r="J1182" s="7">
        <f t="shared" si="102"/>
        <v>1900</v>
      </c>
      <c r="K1182" s="7">
        <f t="shared" si="99"/>
        <v>1</v>
      </c>
      <c r="L1182" s="7">
        <f t="shared" si="100"/>
        <v>45891</v>
      </c>
      <c r="M1182" s="7" t="s">
        <v>537</v>
      </c>
      <c r="N1182" s="7" t="s">
        <v>922</v>
      </c>
      <c r="O1182" s="17" t="s">
        <v>682</v>
      </c>
      <c r="P1182" s="7">
        <f t="shared" si="103"/>
        <v>8</v>
      </c>
      <c r="Q1182" s="7">
        <f t="shared" si="101"/>
        <v>2025</v>
      </c>
    </row>
    <row r="1183" spans="1:17" x14ac:dyDescent="0.25">
      <c r="A1183" s="7">
        <v>2539</v>
      </c>
      <c r="B1183" s="9" t="s">
        <v>533</v>
      </c>
      <c r="C1183" s="9" t="s">
        <v>533</v>
      </c>
      <c r="D1183" s="8">
        <v>45891</v>
      </c>
      <c r="E1183" s="7" t="s">
        <v>60</v>
      </c>
      <c r="F1183" s="7">
        <v>1</v>
      </c>
      <c r="G1183" s="7" t="s">
        <v>14</v>
      </c>
      <c r="H1183" s="7" t="s">
        <v>314</v>
      </c>
      <c r="J1183" s="7">
        <f t="shared" si="102"/>
        <v>1900</v>
      </c>
      <c r="K1183" s="7">
        <f t="shared" si="99"/>
        <v>1</v>
      </c>
      <c r="L1183" s="7">
        <f t="shared" si="100"/>
        <v>45891</v>
      </c>
      <c r="M1183" s="7" t="s">
        <v>537</v>
      </c>
      <c r="N1183" s="7" t="s">
        <v>922</v>
      </c>
      <c r="O1183" s="17" t="s">
        <v>682</v>
      </c>
      <c r="P1183" s="7">
        <f t="shared" si="103"/>
        <v>8</v>
      </c>
      <c r="Q1183" s="7">
        <f t="shared" si="101"/>
        <v>2025</v>
      </c>
    </row>
    <row r="1184" spans="1:17" x14ac:dyDescent="0.25">
      <c r="A1184" s="7">
        <v>2539</v>
      </c>
      <c r="B1184" s="9" t="s">
        <v>533</v>
      </c>
      <c r="C1184" s="9" t="s">
        <v>533</v>
      </c>
      <c r="D1184" s="8">
        <v>45891</v>
      </c>
      <c r="E1184" s="7" t="s">
        <v>60</v>
      </c>
      <c r="F1184" s="7">
        <v>1</v>
      </c>
      <c r="G1184" s="7" t="s">
        <v>14</v>
      </c>
      <c r="H1184" s="7" t="s">
        <v>314</v>
      </c>
      <c r="J1184" s="7">
        <f t="shared" si="102"/>
        <v>1900</v>
      </c>
      <c r="K1184" s="7">
        <f t="shared" si="99"/>
        <v>1</v>
      </c>
      <c r="L1184" s="7">
        <f t="shared" si="100"/>
        <v>45891</v>
      </c>
      <c r="M1184" s="7" t="s">
        <v>537</v>
      </c>
      <c r="N1184" s="7" t="s">
        <v>922</v>
      </c>
      <c r="O1184" s="17" t="s">
        <v>682</v>
      </c>
      <c r="P1184" s="7">
        <f t="shared" si="103"/>
        <v>8</v>
      </c>
      <c r="Q1184" s="7">
        <f t="shared" si="101"/>
        <v>2025</v>
      </c>
    </row>
    <row r="1185" spans="1:17" x14ac:dyDescent="0.25">
      <c r="A1185" s="7">
        <v>2539</v>
      </c>
      <c r="B1185" s="9" t="s">
        <v>533</v>
      </c>
      <c r="C1185" s="9" t="s">
        <v>533</v>
      </c>
      <c r="D1185" s="8">
        <v>45891</v>
      </c>
      <c r="E1185" s="7" t="s">
        <v>60</v>
      </c>
      <c r="F1185" s="7">
        <v>1</v>
      </c>
      <c r="G1185" s="7" t="s">
        <v>14</v>
      </c>
      <c r="H1185" s="7" t="s">
        <v>314</v>
      </c>
      <c r="J1185" s="7">
        <f t="shared" si="102"/>
        <v>1900</v>
      </c>
      <c r="K1185" s="7">
        <f t="shared" si="99"/>
        <v>1</v>
      </c>
      <c r="L1185" s="7">
        <f t="shared" si="100"/>
        <v>45891</v>
      </c>
      <c r="M1185" s="7" t="s">
        <v>537</v>
      </c>
      <c r="N1185" s="7" t="s">
        <v>922</v>
      </c>
      <c r="O1185" s="17" t="s">
        <v>682</v>
      </c>
      <c r="P1185" s="7">
        <f t="shared" si="103"/>
        <v>8</v>
      </c>
      <c r="Q1185" s="7">
        <f t="shared" si="101"/>
        <v>2025</v>
      </c>
    </row>
    <row r="1186" spans="1:17" x14ac:dyDescent="0.25">
      <c r="A1186" s="7">
        <v>2539</v>
      </c>
      <c r="B1186" s="9" t="s">
        <v>533</v>
      </c>
      <c r="C1186" s="9" t="s">
        <v>533</v>
      </c>
      <c r="D1186" s="8">
        <v>45891</v>
      </c>
      <c r="E1186" s="7" t="s">
        <v>60</v>
      </c>
      <c r="F1186" s="7">
        <v>1</v>
      </c>
      <c r="G1186" s="7" t="s">
        <v>14</v>
      </c>
      <c r="H1186" s="7" t="s">
        <v>314</v>
      </c>
      <c r="J1186" s="7">
        <f t="shared" si="102"/>
        <v>1900</v>
      </c>
      <c r="K1186" s="7">
        <f t="shared" si="99"/>
        <v>1</v>
      </c>
      <c r="L1186" s="7">
        <f t="shared" si="100"/>
        <v>45891</v>
      </c>
      <c r="M1186" s="7" t="s">
        <v>537</v>
      </c>
      <c r="N1186" s="7" t="s">
        <v>922</v>
      </c>
      <c r="O1186" s="17" t="s">
        <v>682</v>
      </c>
      <c r="P1186" s="7">
        <f t="shared" si="103"/>
        <v>8</v>
      </c>
      <c r="Q1186" s="7">
        <f t="shared" si="101"/>
        <v>2025</v>
      </c>
    </row>
    <row r="1187" spans="1:17" x14ac:dyDescent="0.25">
      <c r="A1187" s="7">
        <v>2539</v>
      </c>
      <c r="B1187" s="9" t="s">
        <v>533</v>
      </c>
      <c r="C1187" s="9" t="s">
        <v>533</v>
      </c>
      <c r="D1187" s="8">
        <v>45891</v>
      </c>
      <c r="E1187" s="7" t="s">
        <v>60</v>
      </c>
      <c r="F1187" s="7">
        <v>1</v>
      </c>
      <c r="G1187" s="7" t="s">
        <v>14</v>
      </c>
      <c r="H1187" s="7" t="s">
        <v>314</v>
      </c>
      <c r="J1187" s="7">
        <f t="shared" si="102"/>
        <v>1900</v>
      </c>
      <c r="K1187" s="7">
        <f t="shared" si="99"/>
        <v>1</v>
      </c>
      <c r="L1187" s="7">
        <f t="shared" si="100"/>
        <v>45891</v>
      </c>
      <c r="M1187" s="7" t="s">
        <v>537</v>
      </c>
      <c r="N1187" s="7" t="s">
        <v>922</v>
      </c>
      <c r="O1187" s="17" t="s">
        <v>682</v>
      </c>
      <c r="P1187" s="7">
        <f t="shared" si="103"/>
        <v>8</v>
      </c>
      <c r="Q1187" s="7">
        <f t="shared" si="101"/>
        <v>2025</v>
      </c>
    </row>
    <row r="1188" spans="1:17" x14ac:dyDescent="0.25">
      <c r="A1188" s="7">
        <v>2539</v>
      </c>
      <c r="B1188" s="9" t="s">
        <v>533</v>
      </c>
      <c r="C1188" s="9" t="s">
        <v>533</v>
      </c>
      <c r="D1188" s="8">
        <v>45891</v>
      </c>
      <c r="E1188" s="7" t="s">
        <v>60</v>
      </c>
      <c r="F1188" s="7">
        <v>1</v>
      </c>
      <c r="G1188" s="7" t="s">
        <v>14</v>
      </c>
      <c r="H1188" s="7" t="s">
        <v>314</v>
      </c>
      <c r="J1188" s="7">
        <f t="shared" si="102"/>
        <v>1900</v>
      </c>
      <c r="K1188" s="7">
        <f t="shared" si="99"/>
        <v>1</v>
      </c>
      <c r="L1188" s="7">
        <f t="shared" si="100"/>
        <v>45891</v>
      </c>
      <c r="M1188" s="7" t="s">
        <v>537</v>
      </c>
      <c r="N1188" s="7" t="s">
        <v>922</v>
      </c>
      <c r="O1188" s="17" t="s">
        <v>682</v>
      </c>
      <c r="P1188" s="7">
        <f t="shared" si="103"/>
        <v>8</v>
      </c>
      <c r="Q1188" s="7">
        <f t="shared" si="101"/>
        <v>2025</v>
      </c>
    </row>
    <row r="1189" spans="1:17" x14ac:dyDescent="0.25">
      <c r="A1189" s="7">
        <v>2539</v>
      </c>
      <c r="B1189" s="9" t="s">
        <v>533</v>
      </c>
      <c r="C1189" s="9" t="s">
        <v>533</v>
      </c>
      <c r="D1189" s="8">
        <v>45891</v>
      </c>
      <c r="E1189" s="7" t="s">
        <v>60</v>
      </c>
      <c r="F1189" s="7">
        <v>1</v>
      </c>
      <c r="G1189" s="7" t="s">
        <v>14</v>
      </c>
      <c r="H1189" s="7" t="s">
        <v>314</v>
      </c>
      <c r="J1189" s="7">
        <f t="shared" si="102"/>
        <v>1900</v>
      </c>
      <c r="K1189" s="7">
        <f t="shared" si="99"/>
        <v>1</v>
      </c>
      <c r="L1189" s="7">
        <f t="shared" si="100"/>
        <v>45891</v>
      </c>
      <c r="M1189" s="7" t="s">
        <v>537</v>
      </c>
      <c r="N1189" s="7" t="s">
        <v>922</v>
      </c>
      <c r="O1189" s="17" t="s">
        <v>682</v>
      </c>
      <c r="P1189" s="7">
        <f t="shared" si="103"/>
        <v>8</v>
      </c>
      <c r="Q1189" s="7">
        <f t="shared" si="101"/>
        <v>2025</v>
      </c>
    </row>
    <row r="1190" spans="1:17" x14ac:dyDescent="0.25">
      <c r="A1190" s="7">
        <v>2539</v>
      </c>
      <c r="B1190" s="9" t="s">
        <v>533</v>
      </c>
      <c r="C1190" s="9" t="s">
        <v>533</v>
      </c>
      <c r="D1190" s="8">
        <v>45891</v>
      </c>
      <c r="E1190" s="7" t="s">
        <v>60</v>
      </c>
      <c r="F1190" s="7">
        <v>1</v>
      </c>
      <c r="G1190" s="7" t="s">
        <v>14</v>
      </c>
      <c r="H1190" s="7" t="s">
        <v>314</v>
      </c>
      <c r="J1190" s="7">
        <f t="shared" si="102"/>
        <v>1900</v>
      </c>
      <c r="K1190" s="7">
        <f t="shared" si="99"/>
        <v>1</v>
      </c>
      <c r="L1190" s="7">
        <f t="shared" si="100"/>
        <v>45891</v>
      </c>
      <c r="M1190" s="7" t="s">
        <v>537</v>
      </c>
      <c r="N1190" s="7" t="s">
        <v>922</v>
      </c>
      <c r="O1190" s="17" t="s">
        <v>682</v>
      </c>
      <c r="P1190" s="7">
        <f t="shared" si="103"/>
        <v>8</v>
      </c>
      <c r="Q1190" s="7">
        <f t="shared" si="101"/>
        <v>2025</v>
      </c>
    </row>
    <row r="1191" spans="1:17" x14ac:dyDescent="0.25">
      <c r="A1191" s="7">
        <v>2539</v>
      </c>
      <c r="B1191" s="9" t="s">
        <v>533</v>
      </c>
      <c r="C1191" s="9" t="s">
        <v>533</v>
      </c>
      <c r="D1191" s="8">
        <v>45891</v>
      </c>
      <c r="E1191" s="7" t="s">
        <v>60</v>
      </c>
      <c r="F1191" s="7">
        <v>1</v>
      </c>
      <c r="G1191" s="7" t="s">
        <v>14</v>
      </c>
      <c r="H1191" s="7" t="s">
        <v>314</v>
      </c>
      <c r="J1191" s="7">
        <f t="shared" si="102"/>
        <v>1900</v>
      </c>
      <c r="K1191" s="7">
        <f t="shared" si="99"/>
        <v>1</v>
      </c>
      <c r="L1191" s="7">
        <f t="shared" si="100"/>
        <v>45891</v>
      </c>
      <c r="M1191" s="7" t="s">
        <v>537</v>
      </c>
      <c r="N1191" s="7" t="s">
        <v>922</v>
      </c>
      <c r="O1191" s="17" t="s">
        <v>682</v>
      </c>
      <c r="P1191" s="7">
        <f t="shared" si="103"/>
        <v>8</v>
      </c>
      <c r="Q1191" s="7">
        <f t="shared" si="101"/>
        <v>2025</v>
      </c>
    </row>
    <row r="1192" spans="1:17" x14ac:dyDescent="0.25">
      <c r="A1192" s="7">
        <v>2539</v>
      </c>
      <c r="B1192" s="9" t="s">
        <v>533</v>
      </c>
      <c r="C1192" s="9" t="s">
        <v>533</v>
      </c>
      <c r="D1192" s="8">
        <v>45891</v>
      </c>
      <c r="E1192" s="7" t="s">
        <v>60</v>
      </c>
      <c r="F1192" s="7">
        <v>1</v>
      </c>
      <c r="G1192" s="7" t="s">
        <v>14</v>
      </c>
      <c r="H1192" s="7" t="s">
        <v>314</v>
      </c>
      <c r="J1192" s="7">
        <f t="shared" si="102"/>
        <v>1900</v>
      </c>
      <c r="K1192" s="7">
        <f t="shared" si="99"/>
        <v>1</v>
      </c>
      <c r="L1192" s="7">
        <f t="shared" si="100"/>
        <v>45891</v>
      </c>
      <c r="M1192" s="7" t="s">
        <v>537</v>
      </c>
      <c r="N1192" s="7" t="s">
        <v>922</v>
      </c>
      <c r="O1192" s="17" t="s">
        <v>682</v>
      </c>
      <c r="P1192" s="7">
        <f t="shared" si="103"/>
        <v>8</v>
      </c>
      <c r="Q1192" s="7">
        <f t="shared" si="101"/>
        <v>2025</v>
      </c>
    </row>
    <row r="1193" spans="1:17" x14ac:dyDescent="0.25">
      <c r="A1193" s="7">
        <v>2539</v>
      </c>
      <c r="B1193" s="9" t="s">
        <v>533</v>
      </c>
      <c r="C1193" s="9" t="s">
        <v>533</v>
      </c>
      <c r="D1193" s="8">
        <v>45891</v>
      </c>
      <c r="E1193" s="7" t="s">
        <v>60</v>
      </c>
      <c r="F1193" s="7">
        <v>1</v>
      </c>
      <c r="G1193" s="7" t="s">
        <v>14</v>
      </c>
      <c r="H1193" s="7" t="s">
        <v>314</v>
      </c>
      <c r="J1193" s="7">
        <f t="shared" si="102"/>
        <v>1900</v>
      </c>
      <c r="K1193" s="7">
        <f t="shared" si="99"/>
        <v>1</v>
      </c>
      <c r="L1193" s="7">
        <f t="shared" si="100"/>
        <v>45891</v>
      </c>
      <c r="M1193" s="7" t="s">
        <v>537</v>
      </c>
      <c r="N1193" s="7" t="s">
        <v>922</v>
      </c>
      <c r="O1193" s="17" t="s">
        <v>682</v>
      </c>
      <c r="P1193" s="7">
        <f t="shared" si="103"/>
        <v>8</v>
      </c>
      <c r="Q1193" s="7">
        <f t="shared" si="101"/>
        <v>2025</v>
      </c>
    </row>
    <row r="1194" spans="1:17" x14ac:dyDescent="0.25">
      <c r="A1194" s="7">
        <v>2539</v>
      </c>
      <c r="B1194" s="9" t="s">
        <v>533</v>
      </c>
      <c r="C1194" s="9" t="s">
        <v>533</v>
      </c>
      <c r="D1194" s="8">
        <v>45891</v>
      </c>
      <c r="E1194" s="7" t="s">
        <v>60</v>
      </c>
      <c r="F1194" s="7">
        <v>1</v>
      </c>
      <c r="G1194" s="7" t="s">
        <v>14</v>
      </c>
      <c r="H1194" s="7" t="s">
        <v>314</v>
      </c>
      <c r="J1194" s="7">
        <f t="shared" si="102"/>
        <v>1900</v>
      </c>
      <c r="K1194" s="7">
        <f t="shared" si="99"/>
        <v>1</v>
      </c>
      <c r="L1194" s="7">
        <f t="shared" si="100"/>
        <v>45891</v>
      </c>
      <c r="M1194" s="7" t="s">
        <v>537</v>
      </c>
      <c r="N1194" s="7" t="s">
        <v>922</v>
      </c>
      <c r="O1194" s="17" t="s">
        <v>682</v>
      </c>
      <c r="P1194" s="7">
        <f t="shared" si="103"/>
        <v>8</v>
      </c>
      <c r="Q1194" s="7">
        <f t="shared" si="101"/>
        <v>2025</v>
      </c>
    </row>
    <row r="1195" spans="1:17" x14ac:dyDescent="0.25">
      <c r="A1195" s="7">
        <v>2539</v>
      </c>
      <c r="B1195" s="9" t="s">
        <v>533</v>
      </c>
      <c r="C1195" s="9" t="s">
        <v>533</v>
      </c>
      <c r="D1195" s="8">
        <v>45891</v>
      </c>
      <c r="E1195" s="7" t="s">
        <v>60</v>
      </c>
      <c r="F1195" s="7">
        <v>1</v>
      </c>
      <c r="G1195" s="7" t="s">
        <v>14</v>
      </c>
      <c r="H1195" s="7" t="s">
        <v>314</v>
      </c>
      <c r="J1195" s="7">
        <f t="shared" si="102"/>
        <v>1900</v>
      </c>
      <c r="K1195" s="7">
        <f t="shared" si="99"/>
        <v>1</v>
      </c>
      <c r="L1195" s="7">
        <f t="shared" si="100"/>
        <v>45891</v>
      </c>
      <c r="M1195" s="7" t="s">
        <v>537</v>
      </c>
      <c r="N1195" s="7" t="s">
        <v>922</v>
      </c>
      <c r="O1195" s="17" t="s">
        <v>682</v>
      </c>
      <c r="P1195" s="7">
        <f t="shared" si="103"/>
        <v>8</v>
      </c>
      <c r="Q1195" s="7">
        <f t="shared" si="101"/>
        <v>2025</v>
      </c>
    </row>
    <row r="1196" spans="1:17" x14ac:dyDescent="0.25">
      <c r="A1196" s="7">
        <v>2539</v>
      </c>
      <c r="B1196" s="9" t="s">
        <v>533</v>
      </c>
      <c r="C1196" s="9" t="s">
        <v>533</v>
      </c>
      <c r="D1196" s="8">
        <v>45891</v>
      </c>
      <c r="E1196" s="7" t="s">
        <v>60</v>
      </c>
      <c r="F1196" s="7">
        <v>1</v>
      </c>
      <c r="G1196" s="7" t="s">
        <v>14</v>
      </c>
      <c r="H1196" s="7" t="s">
        <v>314</v>
      </c>
      <c r="J1196" s="7">
        <f t="shared" si="102"/>
        <v>1900</v>
      </c>
      <c r="K1196" s="7">
        <f t="shared" si="99"/>
        <v>1</v>
      </c>
      <c r="L1196" s="7">
        <f t="shared" si="100"/>
        <v>45891</v>
      </c>
      <c r="M1196" s="7" t="s">
        <v>537</v>
      </c>
      <c r="N1196" s="7" t="s">
        <v>922</v>
      </c>
      <c r="O1196" s="17" t="s">
        <v>682</v>
      </c>
      <c r="P1196" s="7">
        <f t="shared" si="103"/>
        <v>8</v>
      </c>
      <c r="Q1196" s="7">
        <f t="shared" si="101"/>
        <v>2025</v>
      </c>
    </row>
    <row r="1197" spans="1:17" x14ac:dyDescent="0.25">
      <c r="A1197" s="7">
        <v>2539</v>
      </c>
      <c r="B1197" s="9" t="s">
        <v>533</v>
      </c>
      <c r="C1197" s="9" t="s">
        <v>533</v>
      </c>
      <c r="D1197" s="8">
        <v>45891</v>
      </c>
      <c r="E1197" s="7" t="s">
        <v>60</v>
      </c>
      <c r="F1197" s="7">
        <v>1</v>
      </c>
      <c r="G1197" s="7" t="s">
        <v>14</v>
      </c>
      <c r="H1197" s="7" t="s">
        <v>314</v>
      </c>
      <c r="J1197" s="7">
        <f t="shared" si="102"/>
        <v>1900</v>
      </c>
      <c r="K1197" s="7">
        <f t="shared" ref="K1197:K1260" si="104">MONTH(I1197)</f>
        <v>1</v>
      </c>
      <c r="L1197" s="7">
        <f t="shared" si="100"/>
        <v>45891</v>
      </c>
      <c r="M1197" s="7" t="s">
        <v>537</v>
      </c>
      <c r="N1197" s="7" t="s">
        <v>922</v>
      </c>
      <c r="O1197" s="17" t="s">
        <v>682</v>
      </c>
      <c r="P1197" s="7">
        <f t="shared" si="103"/>
        <v>8</v>
      </c>
      <c r="Q1197" s="7">
        <f t="shared" si="101"/>
        <v>2025</v>
      </c>
    </row>
    <row r="1198" spans="1:17" x14ac:dyDescent="0.25">
      <c r="A1198" s="7">
        <v>2539</v>
      </c>
      <c r="B1198" s="9" t="s">
        <v>533</v>
      </c>
      <c r="C1198" s="9" t="s">
        <v>533</v>
      </c>
      <c r="D1198" s="8">
        <v>45891</v>
      </c>
      <c r="E1198" s="7" t="s">
        <v>60</v>
      </c>
      <c r="F1198" s="7">
        <v>1</v>
      </c>
      <c r="G1198" s="7" t="s">
        <v>14</v>
      </c>
      <c r="H1198" s="7" t="s">
        <v>314</v>
      </c>
      <c r="J1198" s="7">
        <f t="shared" si="102"/>
        <v>1900</v>
      </c>
      <c r="K1198" s="7">
        <f t="shared" si="104"/>
        <v>1</v>
      </c>
      <c r="L1198" s="7">
        <f t="shared" si="100"/>
        <v>45891</v>
      </c>
      <c r="M1198" s="7" t="s">
        <v>537</v>
      </c>
      <c r="N1198" s="7" t="s">
        <v>922</v>
      </c>
      <c r="O1198" s="17" t="s">
        <v>682</v>
      </c>
      <c r="P1198" s="7">
        <f t="shared" si="103"/>
        <v>8</v>
      </c>
      <c r="Q1198" s="7">
        <f t="shared" si="101"/>
        <v>2025</v>
      </c>
    </row>
    <row r="1199" spans="1:17" x14ac:dyDescent="0.25">
      <c r="A1199" s="7">
        <v>2539</v>
      </c>
      <c r="B1199" s="9" t="s">
        <v>533</v>
      </c>
      <c r="C1199" s="9" t="s">
        <v>533</v>
      </c>
      <c r="D1199" s="8">
        <v>45891</v>
      </c>
      <c r="E1199" s="7" t="s">
        <v>60</v>
      </c>
      <c r="F1199" s="7">
        <v>1</v>
      </c>
      <c r="G1199" s="7" t="s">
        <v>14</v>
      </c>
      <c r="H1199" s="7" t="s">
        <v>314</v>
      </c>
      <c r="J1199" s="7">
        <f t="shared" si="102"/>
        <v>1900</v>
      </c>
      <c r="K1199" s="7">
        <f t="shared" si="104"/>
        <v>1</v>
      </c>
      <c r="L1199" s="7">
        <f t="shared" ref="L1199:L1262" si="105">D1199-I1199</f>
        <v>45891</v>
      </c>
      <c r="M1199" s="7" t="s">
        <v>537</v>
      </c>
      <c r="N1199" s="7" t="s">
        <v>922</v>
      </c>
      <c r="O1199" s="17" t="s">
        <v>682</v>
      </c>
      <c r="P1199" s="7">
        <f t="shared" si="103"/>
        <v>8</v>
      </c>
      <c r="Q1199" s="7">
        <f t="shared" si="101"/>
        <v>2025</v>
      </c>
    </row>
    <row r="1200" spans="1:17" x14ac:dyDescent="0.25">
      <c r="A1200" s="7">
        <v>2539</v>
      </c>
      <c r="B1200" s="9" t="s">
        <v>533</v>
      </c>
      <c r="C1200" s="9" t="s">
        <v>533</v>
      </c>
      <c r="D1200" s="8">
        <v>45891</v>
      </c>
      <c r="E1200" s="7" t="s">
        <v>60</v>
      </c>
      <c r="F1200" s="7">
        <v>1</v>
      </c>
      <c r="G1200" s="7" t="s">
        <v>14</v>
      </c>
      <c r="H1200" s="7" t="s">
        <v>314</v>
      </c>
      <c r="J1200" s="7">
        <f t="shared" si="102"/>
        <v>1900</v>
      </c>
      <c r="K1200" s="7">
        <f t="shared" si="104"/>
        <v>1</v>
      </c>
      <c r="L1200" s="7">
        <f t="shared" si="105"/>
        <v>45891</v>
      </c>
      <c r="M1200" s="7" t="s">
        <v>537</v>
      </c>
      <c r="N1200" s="7" t="s">
        <v>922</v>
      </c>
      <c r="O1200" s="17" t="s">
        <v>682</v>
      </c>
      <c r="P1200" s="7">
        <f t="shared" si="103"/>
        <v>8</v>
      </c>
      <c r="Q1200" s="7">
        <f t="shared" si="101"/>
        <v>2025</v>
      </c>
    </row>
    <row r="1201" spans="1:17" x14ac:dyDescent="0.25">
      <c r="A1201" s="7">
        <v>2539</v>
      </c>
      <c r="B1201" s="9" t="s">
        <v>533</v>
      </c>
      <c r="C1201" s="9" t="s">
        <v>533</v>
      </c>
      <c r="D1201" s="8">
        <v>45891</v>
      </c>
      <c r="E1201" s="7" t="s">
        <v>60</v>
      </c>
      <c r="F1201" s="7">
        <v>1</v>
      </c>
      <c r="G1201" s="7" t="s">
        <v>14</v>
      </c>
      <c r="H1201" s="7" t="s">
        <v>314</v>
      </c>
      <c r="J1201" s="7">
        <f t="shared" si="102"/>
        <v>1900</v>
      </c>
      <c r="K1201" s="7">
        <f t="shared" si="104"/>
        <v>1</v>
      </c>
      <c r="L1201" s="7">
        <f t="shared" si="105"/>
        <v>45891</v>
      </c>
      <c r="M1201" s="7" t="s">
        <v>537</v>
      </c>
      <c r="N1201" s="7" t="s">
        <v>922</v>
      </c>
      <c r="O1201" s="17" t="s">
        <v>682</v>
      </c>
      <c r="P1201" s="7">
        <f t="shared" si="103"/>
        <v>8</v>
      </c>
      <c r="Q1201" s="7">
        <f t="shared" si="101"/>
        <v>2025</v>
      </c>
    </row>
    <row r="1202" spans="1:17" x14ac:dyDescent="0.25">
      <c r="A1202" s="7">
        <v>2539</v>
      </c>
      <c r="B1202" s="9" t="s">
        <v>533</v>
      </c>
      <c r="C1202" s="9" t="s">
        <v>533</v>
      </c>
      <c r="D1202" s="8">
        <v>45891</v>
      </c>
      <c r="E1202" s="7" t="s">
        <v>60</v>
      </c>
      <c r="F1202" s="7">
        <v>1</v>
      </c>
      <c r="G1202" s="7" t="s">
        <v>14</v>
      </c>
      <c r="H1202" s="7" t="s">
        <v>314</v>
      </c>
      <c r="J1202" s="7">
        <f t="shared" si="102"/>
        <v>1900</v>
      </c>
      <c r="K1202" s="7">
        <f t="shared" si="104"/>
        <v>1</v>
      </c>
      <c r="L1202" s="7">
        <f t="shared" si="105"/>
        <v>45891</v>
      </c>
      <c r="M1202" s="7" t="s">
        <v>537</v>
      </c>
      <c r="N1202" s="7" t="s">
        <v>922</v>
      </c>
      <c r="O1202" s="17" t="s">
        <v>682</v>
      </c>
      <c r="P1202" s="7">
        <f t="shared" si="103"/>
        <v>8</v>
      </c>
      <c r="Q1202" s="7">
        <f t="shared" si="101"/>
        <v>2025</v>
      </c>
    </row>
    <row r="1203" spans="1:17" x14ac:dyDescent="0.25">
      <c r="A1203" s="7">
        <v>2539</v>
      </c>
      <c r="B1203" s="9" t="s">
        <v>533</v>
      </c>
      <c r="C1203" s="9" t="s">
        <v>533</v>
      </c>
      <c r="D1203" s="8">
        <v>45891</v>
      </c>
      <c r="E1203" s="7" t="s">
        <v>60</v>
      </c>
      <c r="F1203" s="7">
        <v>1</v>
      </c>
      <c r="G1203" s="7" t="s">
        <v>14</v>
      </c>
      <c r="H1203" s="7" t="s">
        <v>314</v>
      </c>
      <c r="J1203" s="7">
        <f t="shared" si="102"/>
        <v>1900</v>
      </c>
      <c r="K1203" s="7">
        <f t="shared" si="104"/>
        <v>1</v>
      </c>
      <c r="L1203" s="7">
        <f t="shared" si="105"/>
        <v>45891</v>
      </c>
      <c r="M1203" s="7" t="s">
        <v>537</v>
      </c>
      <c r="N1203" s="7" t="s">
        <v>922</v>
      </c>
      <c r="O1203" s="17" t="s">
        <v>682</v>
      </c>
      <c r="P1203" s="7">
        <f t="shared" si="103"/>
        <v>8</v>
      </c>
      <c r="Q1203" s="7">
        <f t="shared" si="101"/>
        <v>2025</v>
      </c>
    </row>
    <row r="1204" spans="1:17" x14ac:dyDescent="0.25">
      <c r="A1204" s="7">
        <v>2539</v>
      </c>
      <c r="B1204" s="9" t="s">
        <v>533</v>
      </c>
      <c r="C1204" s="9" t="s">
        <v>533</v>
      </c>
      <c r="D1204" s="8">
        <v>45891</v>
      </c>
      <c r="E1204" s="7" t="s">
        <v>60</v>
      </c>
      <c r="F1204" s="7">
        <v>1</v>
      </c>
      <c r="G1204" s="7" t="s">
        <v>14</v>
      </c>
      <c r="H1204" s="7" t="s">
        <v>314</v>
      </c>
      <c r="J1204" s="7">
        <f t="shared" si="102"/>
        <v>1900</v>
      </c>
      <c r="K1204" s="7">
        <f t="shared" si="104"/>
        <v>1</v>
      </c>
      <c r="L1204" s="7">
        <f t="shared" si="105"/>
        <v>45891</v>
      </c>
      <c r="M1204" s="7" t="s">
        <v>537</v>
      </c>
      <c r="N1204" s="7" t="s">
        <v>922</v>
      </c>
      <c r="O1204" s="17" t="s">
        <v>682</v>
      </c>
      <c r="P1204" s="7">
        <f t="shared" si="103"/>
        <v>8</v>
      </c>
      <c r="Q1204" s="7">
        <f t="shared" si="101"/>
        <v>2025</v>
      </c>
    </row>
    <row r="1205" spans="1:17" x14ac:dyDescent="0.25">
      <c r="A1205" s="7">
        <v>2539</v>
      </c>
      <c r="B1205" s="9" t="s">
        <v>533</v>
      </c>
      <c r="C1205" s="9" t="s">
        <v>533</v>
      </c>
      <c r="D1205" s="8">
        <v>45891</v>
      </c>
      <c r="E1205" s="7" t="s">
        <v>60</v>
      </c>
      <c r="F1205" s="7">
        <v>1</v>
      </c>
      <c r="G1205" s="7" t="s">
        <v>14</v>
      </c>
      <c r="H1205" s="7" t="s">
        <v>314</v>
      </c>
      <c r="J1205" s="7">
        <f t="shared" si="102"/>
        <v>1900</v>
      </c>
      <c r="K1205" s="7">
        <f t="shared" si="104"/>
        <v>1</v>
      </c>
      <c r="L1205" s="7">
        <f t="shared" si="105"/>
        <v>45891</v>
      </c>
      <c r="M1205" s="7" t="s">
        <v>537</v>
      </c>
      <c r="N1205" s="7" t="s">
        <v>922</v>
      </c>
      <c r="O1205" s="17" t="s">
        <v>682</v>
      </c>
      <c r="P1205" s="7">
        <f t="shared" si="103"/>
        <v>8</v>
      </c>
      <c r="Q1205" s="7">
        <f t="shared" ref="Q1205:Q1268" si="106">YEAR(D1205)</f>
        <v>2025</v>
      </c>
    </row>
    <row r="1206" spans="1:17" x14ac:dyDescent="0.25">
      <c r="A1206" s="7">
        <v>2539</v>
      </c>
      <c r="B1206" s="9" t="s">
        <v>533</v>
      </c>
      <c r="C1206" s="9" t="s">
        <v>533</v>
      </c>
      <c r="D1206" s="8">
        <v>45891</v>
      </c>
      <c r="E1206" s="7" t="s">
        <v>60</v>
      </c>
      <c r="F1206" s="7">
        <v>1</v>
      </c>
      <c r="G1206" s="7" t="s">
        <v>14</v>
      </c>
      <c r="H1206" s="7" t="s">
        <v>314</v>
      </c>
      <c r="J1206" s="7">
        <f t="shared" si="102"/>
        <v>1900</v>
      </c>
      <c r="K1206" s="7">
        <f t="shared" si="104"/>
        <v>1</v>
      </c>
      <c r="L1206" s="7">
        <f t="shared" si="105"/>
        <v>45891</v>
      </c>
      <c r="M1206" s="7" t="s">
        <v>537</v>
      </c>
      <c r="N1206" s="7" t="s">
        <v>922</v>
      </c>
      <c r="O1206" s="17" t="s">
        <v>682</v>
      </c>
      <c r="P1206" s="7">
        <f t="shared" si="103"/>
        <v>8</v>
      </c>
      <c r="Q1206" s="7">
        <f t="shared" si="106"/>
        <v>2025</v>
      </c>
    </row>
    <row r="1207" spans="1:17" x14ac:dyDescent="0.25">
      <c r="A1207" s="7">
        <v>2539</v>
      </c>
      <c r="B1207" s="9" t="s">
        <v>533</v>
      </c>
      <c r="C1207" s="9" t="s">
        <v>533</v>
      </c>
      <c r="D1207" s="8">
        <v>45891</v>
      </c>
      <c r="E1207" s="7" t="s">
        <v>60</v>
      </c>
      <c r="F1207" s="7">
        <v>1</v>
      </c>
      <c r="G1207" s="7" t="s">
        <v>14</v>
      </c>
      <c r="H1207" s="7" t="s">
        <v>314</v>
      </c>
      <c r="J1207" s="7">
        <f t="shared" si="102"/>
        <v>1900</v>
      </c>
      <c r="K1207" s="7">
        <f t="shared" si="104"/>
        <v>1</v>
      </c>
      <c r="L1207" s="7">
        <f t="shared" si="105"/>
        <v>45891</v>
      </c>
      <c r="M1207" s="7" t="s">
        <v>537</v>
      </c>
      <c r="N1207" s="7" t="s">
        <v>922</v>
      </c>
      <c r="O1207" s="17" t="s">
        <v>682</v>
      </c>
      <c r="P1207" s="7">
        <f t="shared" si="103"/>
        <v>8</v>
      </c>
      <c r="Q1207" s="7">
        <f t="shared" si="106"/>
        <v>2025</v>
      </c>
    </row>
    <row r="1208" spans="1:17" x14ac:dyDescent="0.25">
      <c r="A1208" s="7">
        <v>2539</v>
      </c>
      <c r="B1208" s="9" t="s">
        <v>533</v>
      </c>
      <c r="C1208" s="9" t="s">
        <v>533</v>
      </c>
      <c r="D1208" s="8">
        <v>45891</v>
      </c>
      <c r="E1208" s="7" t="s">
        <v>60</v>
      </c>
      <c r="F1208" s="7">
        <v>1</v>
      </c>
      <c r="G1208" s="7" t="s">
        <v>14</v>
      </c>
      <c r="H1208" s="7" t="s">
        <v>314</v>
      </c>
      <c r="J1208" s="7">
        <f t="shared" si="102"/>
        <v>1900</v>
      </c>
      <c r="K1208" s="7">
        <f t="shared" si="104"/>
        <v>1</v>
      </c>
      <c r="L1208" s="7">
        <f t="shared" si="105"/>
        <v>45891</v>
      </c>
      <c r="M1208" s="7" t="s">
        <v>537</v>
      </c>
      <c r="N1208" s="7" t="s">
        <v>922</v>
      </c>
      <c r="O1208" s="17" t="s">
        <v>682</v>
      </c>
      <c r="P1208" s="7">
        <f t="shared" si="103"/>
        <v>8</v>
      </c>
      <c r="Q1208" s="7">
        <f t="shared" si="106"/>
        <v>2025</v>
      </c>
    </row>
    <row r="1209" spans="1:17" x14ac:dyDescent="0.25">
      <c r="A1209" s="7">
        <v>2539</v>
      </c>
      <c r="B1209" s="9" t="s">
        <v>533</v>
      </c>
      <c r="C1209" s="9" t="s">
        <v>533</v>
      </c>
      <c r="D1209" s="8">
        <v>45891</v>
      </c>
      <c r="E1209" s="7" t="s">
        <v>60</v>
      </c>
      <c r="F1209" s="7">
        <v>1</v>
      </c>
      <c r="G1209" s="7" t="s">
        <v>14</v>
      </c>
      <c r="H1209" s="7" t="s">
        <v>314</v>
      </c>
      <c r="J1209" s="7">
        <f t="shared" si="102"/>
        <v>1900</v>
      </c>
      <c r="K1209" s="7">
        <f t="shared" si="104"/>
        <v>1</v>
      </c>
      <c r="L1209" s="7">
        <f t="shared" si="105"/>
        <v>45891</v>
      </c>
      <c r="M1209" s="7" t="s">
        <v>537</v>
      </c>
      <c r="N1209" s="7" t="s">
        <v>922</v>
      </c>
      <c r="O1209" s="17" t="s">
        <v>682</v>
      </c>
      <c r="P1209" s="7">
        <f t="shared" si="103"/>
        <v>8</v>
      </c>
      <c r="Q1209" s="7">
        <f t="shared" si="106"/>
        <v>2025</v>
      </c>
    </row>
    <row r="1210" spans="1:17" x14ac:dyDescent="0.25">
      <c r="A1210" s="7">
        <v>2539</v>
      </c>
      <c r="B1210" s="9" t="s">
        <v>533</v>
      </c>
      <c r="C1210" s="9" t="s">
        <v>533</v>
      </c>
      <c r="D1210" s="8">
        <v>45891</v>
      </c>
      <c r="E1210" s="7" t="s">
        <v>60</v>
      </c>
      <c r="F1210" s="7">
        <v>1</v>
      </c>
      <c r="G1210" s="7" t="s">
        <v>14</v>
      </c>
      <c r="H1210" s="7" t="s">
        <v>314</v>
      </c>
      <c r="J1210" s="7">
        <f t="shared" si="102"/>
        <v>1900</v>
      </c>
      <c r="K1210" s="7">
        <f t="shared" si="104"/>
        <v>1</v>
      </c>
      <c r="L1210" s="7">
        <f t="shared" si="105"/>
        <v>45891</v>
      </c>
      <c r="M1210" s="7" t="s">
        <v>537</v>
      </c>
      <c r="N1210" s="7" t="s">
        <v>922</v>
      </c>
      <c r="O1210" s="17" t="s">
        <v>682</v>
      </c>
      <c r="P1210" s="7">
        <f t="shared" si="103"/>
        <v>8</v>
      </c>
      <c r="Q1210" s="7">
        <f t="shared" si="106"/>
        <v>2025</v>
      </c>
    </row>
    <row r="1211" spans="1:17" x14ac:dyDescent="0.25">
      <c r="A1211" s="7">
        <v>2539</v>
      </c>
      <c r="B1211" s="9" t="s">
        <v>533</v>
      </c>
      <c r="C1211" s="9" t="s">
        <v>533</v>
      </c>
      <c r="D1211" s="8">
        <v>45891</v>
      </c>
      <c r="E1211" s="7" t="s">
        <v>60</v>
      </c>
      <c r="F1211" s="7">
        <v>1</v>
      </c>
      <c r="G1211" s="7" t="s">
        <v>14</v>
      </c>
      <c r="H1211" s="7" t="s">
        <v>314</v>
      </c>
      <c r="J1211" s="7">
        <f t="shared" si="102"/>
        <v>1900</v>
      </c>
      <c r="K1211" s="7">
        <f t="shared" si="104"/>
        <v>1</v>
      </c>
      <c r="L1211" s="7">
        <f t="shared" si="105"/>
        <v>45891</v>
      </c>
      <c r="M1211" s="7" t="s">
        <v>537</v>
      </c>
      <c r="N1211" s="7" t="s">
        <v>922</v>
      </c>
      <c r="O1211" s="17" t="s">
        <v>682</v>
      </c>
      <c r="P1211" s="7">
        <f t="shared" si="103"/>
        <v>8</v>
      </c>
      <c r="Q1211" s="7">
        <f t="shared" si="106"/>
        <v>2025</v>
      </c>
    </row>
    <row r="1212" spans="1:17" x14ac:dyDescent="0.25">
      <c r="A1212" s="7">
        <v>2539</v>
      </c>
      <c r="B1212" s="9" t="s">
        <v>533</v>
      </c>
      <c r="C1212" s="9" t="s">
        <v>533</v>
      </c>
      <c r="D1212" s="8">
        <v>45891</v>
      </c>
      <c r="E1212" s="7" t="s">
        <v>60</v>
      </c>
      <c r="F1212" s="7">
        <v>1</v>
      </c>
      <c r="G1212" s="7" t="s">
        <v>14</v>
      </c>
      <c r="H1212" s="7" t="s">
        <v>314</v>
      </c>
      <c r="J1212" s="7">
        <f t="shared" si="102"/>
        <v>1900</v>
      </c>
      <c r="K1212" s="7">
        <f t="shared" si="104"/>
        <v>1</v>
      </c>
      <c r="L1212" s="7">
        <f t="shared" si="105"/>
        <v>45891</v>
      </c>
      <c r="M1212" s="7" t="s">
        <v>537</v>
      </c>
      <c r="N1212" s="7" t="s">
        <v>922</v>
      </c>
      <c r="O1212" s="17" t="s">
        <v>682</v>
      </c>
      <c r="P1212" s="7">
        <f t="shared" si="103"/>
        <v>8</v>
      </c>
      <c r="Q1212" s="7">
        <f t="shared" si="106"/>
        <v>2025</v>
      </c>
    </row>
    <row r="1213" spans="1:17" x14ac:dyDescent="0.25">
      <c r="A1213" s="7">
        <v>2539</v>
      </c>
      <c r="B1213" s="9" t="s">
        <v>533</v>
      </c>
      <c r="C1213" s="9" t="s">
        <v>533</v>
      </c>
      <c r="D1213" s="8">
        <v>45891</v>
      </c>
      <c r="E1213" s="7" t="s">
        <v>60</v>
      </c>
      <c r="F1213" s="7">
        <v>1</v>
      </c>
      <c r="G1213" s="7" t="s">
        <v>14</v>
      </c>
      <c r="H1213" s="7" t="s">
        <v>314</v>
      </c>
      <c r="J1213" s="7">
        <f t="shared" si="102"/>
        <v>1900</v>
      </c>
      <c r="K1213" s="7">
        <f t="shared" si="104"/>
        <v>1</v>
      </c>
      <c r="L1213" s="7">
        <f t="shared" si="105"/>
        <v>45891</v>
      </c>
      <c r="M1213" s="7" t="s">
        <v>537</v>
      </c>
      <c r="N1213" s="7" t="s">
        <v>922</v>
      </c>
      <c r="O1213" s="17" t="s">
        <v>682</v>
      </c>
      <c r="P1213" s="7">
        <f t="shared" si="103"/>
        <v>8</v>
      </c>
      <c r="Q1213" s="7">
        <f t="shared" si="106"/>
        <v>2025</v>
      </c>
    </row>
    <row r="1214" spans="1:17" x14ac:dyDescent="0.25">
      <c r="A1214" s="7">
        <v>2539</v>
      </c>
      <c r="B1214" s="9" t="s">
        <v>533</v>
      </c>
      <c r="C1214" s="9" t="s">
        <v>533</v>
      </c>
      <c r="D1214" s="8">
        <v>45891</v>
      </c>
      <c r="E1214" s="7" t="s">
        <v>60</v>
      </c>
      <c r="F1214" s="7">
        <v>1</v>
      </c>
      <c r="G1214" s="7" t="s">
        <v>14</v>
      </c>
      <c r="H1214" s="7" t="s">
        <v>314</v>
      </c>
      <c r="J1214" s="7">
        <f t="shared" si="102"/>
        <v>1900</v>
      </c>
      <c r="K1214" s="7">
        <f t="shared" si="104"/>
        <v>1</v>
      </c>
      <c r="L1214" s="7">
        <f t="shared" si="105"/>
        <v>45891</v>
      </c>
      <c r="M1214" s="7" t="s">
        <v>537</v>
      </c>
      <c r="N1214" s="7" t="s">
        <v>922</v>
      </c>
      <c r="O1214" s="17" t="s">
        <v>682</v>
      </c>
      <c r="P1214" s="7">
        <f t="shared" si="103"/>
        <v>8</v>
      </c>
      <c r="Q1214" s="7">
        <f t="shared" si="106"/>
        <v>2025</v>
      </c>
    </row>
    <row r="1215" spans="1:17" x14ac:dyDescent="0.25">
      <c r="A1215" s="7">
        <v>2539</v>
      </c>
      <c r="B1215" s="9" t="s">
        <v>533</v>
      </c>
      <c r="C1215" s="9" t="s">
        <v>533</v>
      </c>
      <c r="D1215" s="8">
        <v>45891</v>
      </c>
      <c r="E1215" s="7" t="s">
        <v>60</v>
      </c>
      <c r="F1215" s="7">
        <v>1</v>
      </c>
      <c r="G1215" s="7" t="s">
        <v>14</v>
      </c>
      <c r="H1215" s="7" t="s">
        <v>314</v>
      </c>
      <c r="J1215" s="7">
        <f t="shared" si="102"/>
        <v>1900</v>
      </c>
      <c r="K1215" s="7">
        <f t="shared" si="104"/>
        <v>1</v>
      </c>
      <c r="L1215" s="7">
        <f t="shared" si="105"/>
        <v>45891</v>
      </c>
      <c r="M1215" s="7" t="s">
        <v>537</v>
      </c>
      <c r="N1215" s="7" t="s">
        <v>922</v>
      </c>
      <c r="O1215" s="17" t="s">
        <v>682</v>
      </c>
      <c r="P1215" s="7">
        <f t="shared" si="103"/>
        <v>8</v>
      </c>
      <c r="Q1215" s="7">
        <f t="shared" si="106"/>
        <v>2025</v>
      </c>
    </row>
    <row r="1216" spans="1:17" x14ac:dyDescent="0.25">
      <c r="A1216" s="7">
        <v>2539</v>
      </c>
      <c r="B1216" s="9" t="s">
        <v>533</v>
      </c>
      <c r="C1216" s="9" t="s">
        <v>533</v>
      </c>
      <c r="D1216" s="8">
        <v>45891</v>
      </c>
      <c r="E1216" s="7" t="s">
        <v>60</v>
      </c>
      <c r="F1216" s="7">
        <v>1</v>
      </c>
      <c r="G1216" s="7" t="s">
        <v>14</v>
      </c>
      <c r="H1216" s="7" t="s">
        <v>314</v>
      </c>
      <c r="J1216" s="7">
        <f t="shared" si="102"/>
        <v>1900</v>
      </c>
      <c r="K1216" s="7">
        <f t="shared" si="104"/>
        <v>1</v>
      </c>
      <c r="L1216" s="7">
        <f t="shared" si="105"/>
        <v>45891</v>
      </c>
      <c r="M1216" s="7" t="s">
        <v>537</v>
      </c>
      <c r="N1216" s="7" t="s">
        <v>922</v>
      </c>
      <c r="O1216" s="17" t="s">
        <v>682</v>
      </c>
      <c r="P1216" s="7">
        <f t="shared" si="103"/>
        <v>8</v>
      </c>
      <c r="Q1216" s="7">
        <f t="shared" si="106"/>
        <v>2025</v>
      </c>
    </row>
    <row r="1217" spans="1:17" x14ac:dyDescent="0.25">
      <c r="A1217" s="7">
        <v>2539</v>
      </c>
      <c r="B1217" s="9" t="s">
        <v>533</v>
      </c>
      <c r="C1217" s="9" t="s">
        <v>533</v>
      </c>
      <c r="D1217" s="8">
        <v>45891</v>
      </c>
      <c r="E1217" s="7" t="s">
        <v>60</v>
      </c>
      <c r="F1217" s="7">
        <v>1</v>
      </c>
      <c r="G1217" s="7" t="s">
        <v>14</v>
      </c>
      <c r="H1217" s="7" t="s">
        <v>314</v>
      </c>
      <c r="J1217" s="7">
        <f t="shared" si="102"/>
        <v>1900</v>
      </c>
      <c r="K1217" s="7">
        <f t="shared" si="104"/>
        <v>1</v>
      </c>
      <c r="L1217" s="7">
        <f t="shared" si="105"/>
        <v>45891</v>
      </c>
      <c r="M1217" s="7" t="s">
        <v>537</v>
      </c>
      <c r="N1217" s="7" t="s">
        <v>922</v>
      </c>
      <c r="O1217" s="17" t="s">
        <v>682</v>
      </c>
      <c r="P1217" s="7">
        <f t="shared" si="103"/>
        <v>8</v>
      </c>
      <c r="Q1217" s="7">
        <f t="shared" si="106"/>
        <v>2025</v>
      </c>
    </row>
    <row r="1218" spans="1:17" x14ac:dyDescent="0.25">
      <c r="A1218" s="7">
        <v>2539</v>
      </c>
      <c r="B1218" s="9" t="s">
        <v>533</v>
      </c>
      <c r="C1218" s="9" t="s">
        <v>533</v>
      </c>
      <c r="D1218" s="8">
        <v>45891</v>
      </c>
      <c r="E1218" s="7" t="s">
        <v>60</v>
      </c>
      <c r="F1218" s="7">
        <v>1</v>
      </c>
      <c r="G1218" s="7" t="s">
        <v>14</v>
      </c>
      <c r="H1218" s="7" t="s">
        <v>314</v>
      </c>
      <c r="J1218" s="7">
        <f t="shared" si="102"/>
        <v>1900</v>
      </c>
      <c r="K1218" s="7">
        <f t="shared" si="104"/>
        <v>1</v>
      </c>
      <c r="L1218" s="7">
        <f t="shared" si="105"/>
        <v>45891</v>
      </c>
      <c r="M1218" s="7" t="s">
        <v>537</v>
      </c>
      <c r="N1218" s="7" t="s">
        <v>922</v>
      </c>
      <c r="O1218" s="17" t="s">
        <v>682</v>
      </c>
      <c r="P1218" s="7">
        <f t="shared" si="103"/>
        <v>8</v>
      </c>
      <c r="Q1218" s="7">
        <f t="shared" si="106"/>
        <v>2025</v>
      </c>
    </row>
    <row r="1219" spans="1:17" x14ac:dyDescent="0.25">
      <c r="A1219" s="7">
        <v>2539</v>
      </c>
      <c r="B1219" s="9" t="s">
        <v>533</v>
      </c>
      <c r="C1219" s="9" t="s">
        <v>533</v>
      </c>
      <c r="D1219" s="8">
        <v>45891</v>
      </c>
      <c r="E1219" s="7" t="s">
        <v>60</v>
      </c>
      <c r="F1219" s="7">
        <v>1</v>
      </c>
      <c r="G1219" s="7" t="s">
        <v>14</v>
      </c>
      <c r="H1219" s="7" t="s">
        <v>314</v>
      </c>
      <c r="J1219" s="7">
        <f t="shared" si="102"/>
        <v>1900</v>
      </c>
      <c r="K1219" s="7">
        <f t="shared" si="104"/>
        <v>1</v>
      </c>
      <c r="L1219" s="7">
        <f t="shared" si="105"/>
        <v>45891</v>
      </c>
      <c r="M1219" s="7" t="s">
        <v>537</v>
      </c>
      <c r="N1219" s="7" t="s">
        <v>922</v>
      </c>
      <c r="O1219" s="17" t="s">
        <v>682</v>
      </c>
      <c r="P1219" s="7">
        <f t="shared" si="103"/>
        <v>8</v>
      </c>
      <c r="Q1219" s="7">
        <f t="shared" si="106"/>
        <v>2025</v>
      </c>
    </row>
    <row r="1220" spans="1:17" x14ac:dyDescent="0.25">
      <c r="A1220" s="7">
        <v>2539</v>
      </c>
      <c r="B1220" s="9" t="s">
        <v>533</v>
      </c>
      <c r="C1220" s="9" t="s">
        <v>533</v>
      </c>
      <c r="D1220" s="8">
        <v>45891</v>
      </c>
      <c r="E1220" s="7" t="s">
        <v>60</v>
      </c>
      <c r="F1220" s="7">
        <v>1</v>
      </c>
      <c r="G1220" s="7" t="s">
        <v>14</v>
      </c>
      <c r="H1220" s="7" t="s">
        <v>314</v>
      </c>
      <c r="J1220" s="7">
        <f t="shared" si="102"/>
        <v>1900</v>
      </c>
      <c r="K1220" s="7">
        <f t="shared" si="104"/>
        <v>1</v>
      </c>
      <c r="L1220" s="7">
        <f t="shared" si="105"/>
        <v>45891</v>
      </c>
      <c r="M1220" s="7" t="s">
        <v>537</v>
      </c>
      <c r="N1220" s="7" t="s">
        <v>922</v>
      </c>
      <c r="O1220" s="17" t="s">
        <v>682</v>
      </c>
      <c r="P1220" s="7">
        <f t="shared" si="103"/>
        <v>8</v>
      </c>
      <c r="Q1220" s="7">
        <f t="shared" si="106"/>
        <v>2025</v>
      </c>
    </row>
    <row r="1221" spans="1:17" x14ac:dyDescent="0.25">
      <c r="A1221" s="7">
        <v>2539</v>
      </c>
      <c r="B1221" s="9" t="s">
        <v>533</v>
      </c>
      <c r="C1221" s="9" t="s">
        <v>533</v>
      </c>
      <c r="D1221" s="8">
        <v>45891</v>
      </c>
      <c r="E1221" s="7" t="s">
        <v>60</v>
      </c>
      <c r="F1221" s="7">
        <v>1</v>
      </c>
      <c r="G1221" s="7" t="s">
        <v>14</v>
      </c>
      <c r="H1221" s="7" t="s">
        <v>314</v>
      </c>
      <c r="J1221" s="7">
        <f t="shared" si="102"/>
        <v>1900</v>
      </c>
      <c r="K1221" s="7">
        <f t="shared" si="104"/>
        <v>1</v>
      </c>
      <c r="L1221" s="7">
        <f t="shared" si="105"/>
        <v>45891</v>
      </c>
      <c r="M1221" s="7" t="s">
        <v>537</v>
      </c>
      <c r="N1221" s="7" t="s">
        <v>922</v>
      </c>
      <c r="O1221" s="17" t="s">
        <v>682</v>
      </c>
      <c r="P1221" s="7">
        <f t="shared" si="103"/>
        <v>8</v>
      </c>
      <c r="Q1221" s="7">
        <f t="shared" si="106"/>
        <v>2025</v>
      </c>
    </row>
    <row r="1222" spans="1:17" x14ac:dyDescent="0.25">
      <c r="A1222" s="7">
        <v>2539</v>
      </c>
      <c r="B1222" s="9" t="s">
        <v>533</v>
      </c>
      <c r="C1222" s="9" t="s">
        <v>533</v>
      </c>
      <c r="D1222" s="8">
        <v>45891</v>
      </c>
      <c r="E1222" s="7" t="s">
        <v>60</v>
      </c>
      <c r="F1222" s="7">
        <v>1</v>
      </c>
      <c r="G1222" s="7" t="s">
        <v>14</v>
      </c>
      <c r="H1222" s="7" t="s">
        <v>314</v>
      </c>
      <c r="J1222" s="7">
        <f t="shared" si="102"/>
        <v>1900</v>
      </c>
      <c r="K1222" s="7">
        <f t="shared" si="104"/>
        <v>1</v>
      </c>
      <c r="L1222" s="7">
        <f t="shared" si="105"/>
        <v>45891</v>
      </c>
      <c r="M1222" s="7" t="s">
        <v>537</v>
      </c>
      <c r="N1222" s="7" t="s">
        <v>922</v>
      </c>
      <c r="O1222" s="17" t="s">
        <v>682</v>
      </c>
      <c r="P1222" s="7">
        <f t="shared" si="103"/>
        <v>8</v>
      </c>
      <c r="Q1222" s="7">
        <f t="shared" si="106"/>
        <v>2025</v>
      </c>
    </row>
    <row r="1223" spans="1:17" x14ac:dyDescent="0.25">
      <c r="A1223" s="7">
        <v>2539</v>
      </c>
      <c r="B1223" s="9" t="s">
        <v>533</v>
      </c>
      <c r="C1223" s="9" t="s">
        <v>533</v>
      </c>
      <c r="D1223" s="8">
        <v>45891</v>
      </c>
      <c r="E1223" s="7" t="s">
        <v>60</v>
      </c>
      <c r="F1223" s="7">
        <v>1</v>
      </c>
      <c r="G1223" s="7" t="s">
        <v>14</v>
      </c>
      <c r="H1223" s="7" t="s">
        <v>314</v>
      </c>
      <c r="J1223" s="7">
        <f t="shared" si="102"/>
        <v>1900</v>
      </c>
      <c r="K1223" s="7">
        <f t="shared" si="104"/>
        <v>1</v>
      </c>
      <c r="L1223" s="7">
        <f t="shared" si="105"/>
        <v>45891</v>
      </c>
      <c r="M1223" s="7" t="s">
        <v>537</v>
      </c>
      <c r="N1223" s="7" t="s">
        <v>922</v>
      </c>
      <c r="O1223" s="17" t="s">
        <v>682</v>
      </c>
      <c r="P1223" s="7">
        <f t="shared" si="103"/>
        <v>8</v>
      </c>
      <c r="Q1223" s="7">
        <f t="shared" si="106"/>
        <v>2025</v>
      </c>
    </row>
    <row r="1224" spans="1:17" x14ac:dyDescent="0.25">
      <c r="A1224" s="7">
        <v>2539</v>
      </c>
      <c r="B1224" s="9" t="s">
        <v>533</v>
      </c>
      <c r="C1224" s="9" t="s">
        <v>533</v>
      </c>
      <c r="D1224" s="8">
        <v>45891</v>
      </c>
      <c r="E1224" s="7" t="s">
        <v>60</v>
      </c>
      <c r="F1224" s="7">
        <v>1</v>
      </c>
      <c r="G1224" s="7" t="s">
        <v>14</v>
      </c>
      <c r="H1224" s="7" t="s">
        <v>314</v>
      </c>
      <c r="J1224" s="7">
        <f t="shared" si="102"/>
        <v>1900</v>
      </c>
      <c r="K1224" s="7">
        <f t="shared" si="104"/>
        <v>1</v>
      </c>
      <c r="L1224" s="7">
        <f t="shared" si="105"/>
        <v>45891</v>
      </c>
      <c r="M1224" s="7" t="s">
        <v>537</v>
      </c>
      <c r="N1224" s="7" t="s">
        <v>922</v>
      </c>
      <c r="O1224" s="17" t="s">
        <v>682</v>
      </c>
      <c r="P1224" s="7">
        <f t="shared" si="103"/>
        <v>8</v>
      </c>
      <c r="Q1224" s="7">
        <f t="shared" si="106"/>
        <v>2025</v>
      </c>
    </row>
    <row r="1225" spans="1:17" x14ac:dyDescent="0.25">
      <c r="A1225" s="7">
        <v>2539</v>
      </c>
      <c r="B1225" s="9" t="s">
        <v>533</v>
      </c>
      <c r="C1225" s="9" t="s">
        <v>533</v>
      </c>
      <c r="D1225" s="8">
        <v>45891</v>
      </c>
      <c r="E1225" s="7" t="s">
        <v>60</v>
      </c>
      <c r="F1225" s="7">
        <v>1</v>
      </c>
      <c r="G1225" s="7" t="s">
        <v>14</v>
      </c>
      <c r="H1225" s="7" t="s">
        <v>314</v>
      </c>
      <c r="J1225" s="7">
        <f t="shared" si="102"/>
        <v>1900</v>
      </c>
      <c r="K1225" s="7">
        <f t="shared" si="104"/>
        <v>1</v>
      </c>
      <c r="L1225" s="7">
        <f t="shared" si="105"/>
        <v>45891</v>
      </c>
      <c r="M1225" s="7" t="s">
        <v>537</v>
      </c>
      <c r="N1225" s="7" t="s">
        <v>922</v>
      </c>
      <c r="O1225" s="17" t="s">
        <v>682</v>
      </c>
      <c r="P1225" s="7">
        <f t="shared" si="103"/>
        <v>8</v>
      </c>
      <c r="Q1225" s="7">
        <f t="shared" si="106"/>
        <v>2025</v>
      </c>
    </row>
    <row r="1226" spans="1:17" x14ac:dyDescent="0.25">
      <c r="A1226" s="7">
        <v>2539</v>
      </c>
      <c r="B1226" s="9" t="s">
        <v>533</v>
      </c>
      <c r="C1226" s="9" t="s">
        <v>533</v>
      </c>
      <c r="D1226" s="8">
        <v>45891</v>
      </c>
      <c r="E1226" s="7" t="s">
        <v>60</v>
      </c>
      <c r="F1226" s="7">
        <v>1</v>
      </c>
      <c r="G1226" s="7" t="s">
        <v>14</v>
      </c>
      <c r="H1226" s="7" t="s">
        <v>314</v>
      </c>
      <c r="J1226" s="7">
        <f t="shared" si="102"/>
        <v>1900</v>
      </c>
      <c r="K1226" s="7">
        <f t="shared" si="104"/>
        <v>1</v>
      </c>
      <c r="L1226" s="7">
        <f t="shared" si="105"/>
        <v>45891</v>
      </c>
      <c r="M1226" s="7" t="s">
        <v>537</v>
      </c>
      <c r="N1226" s="7" t="s">
        <v>922</v>
      </c>
      <c r="O1226" s="17" t="s">
        <v>682</v>
      </c>
      <c r="P1226" s="7">
        <f t="shared" si="103"/>
        <v>8</v>
      </c>
      <c r="Q1226" s="7">
        <f t="shared" si="106"/>
        <v>2025</v>
      </c>
    </row>
    <row r="1227" spans="1:17" x14ac:dyDescent="0.25">
      <c r="A1227" s="7">
        <v>2539</v>
      </c>
      <c r="B1227" s="9" t="s">
        <v>533</v>
      </c>
      <c r="C1227" s="9" t="s">
        <v>533</v>
      </c>
      <c r="D1227" s="8">
        <v>45891</v>
      </c>
      <c r="E1227" s="7" t="s">
        <v>60</v>
      </c>
      <c r="F1227" s="7">
        <v>1</v>
      </c>
      <c r="G1227" s="7" t="s">
        <v>14</v>
      </c>
      <c r="H1227" s="7" t="s">
        <v>314</v>
      </c>
      <c r="J1227" s="7">
        <f t="shared" si="102"/>
        <v>1900</v>
      </c>
      <c r="K1227" s="7">
        <f t="shared" si="104"/>
        <v>1</v>
      </c>
      <c r="L1227" s="7">
        <f t="shared" si="105"/>
        <v>45891</v>
      </c>
      <c r="M1227" s="7" t="s">
        <v>537</v>
      </c>
      <c r="N1227" s="7" t="s">
        <v>922</v>
      </c>
      <c r="O1227" s="17" t="s">
        <v>682</v>
      </c>
      <c r="P1227" s="7">
        <f t="shared" si="103"/>
        <v>8</v>
      </c>
      <c r="Q1227" s="7">
        <f t="shared" si="106"/>
        <v>2025</v>
      </c>
    </row>
    <row r="1228" spans="1:17" x14ac:dyDescent="0.25">
      <c r="A1228" s="7">
        <v>2539</v>
      </c>
      <c r="B1228" s="9" t="s">
        <v>533</v>
      </c>
      <c r="C1228" s="9" t="s">
        <v>533</v>
      </c>
      <c r="D1228" s="8">
        <v>45891</v>
      </c>
      <c r="E1228" s="7" t="s">
        <v>60</v>
      </c>
      <c r="F1228" s="7">
        <v>1</v>
      </c>
      <c r="G1228" s="7" t="s">
        <v>14</v>
      </c>
      <c r="H1228" s="7" t="s">
        <v>314</v>
      </c>
      <c r="J1228" s="7">
        <f t="shared" si="102"/>
        <v>1900</v>
      </c>
      <c r="K1228" s="7">
        <f t="shared" si="104"/>
        <v>1</v>
      </c>
      <c r="L1228" s="7">
        <f t="shared" si="105"/>
        <v>45891</v>
      </c>
      <c r="M1228" s="7" t="s">
        <v>537</v>
      </c>
      <c r="N1228" s="7" t="s">
        <v>922</v>
      </c>
      <c r="O1228" s="17" t="s">
        <v>682</v>
      </c>
      <c r="P1228" s="7">
        <f t="shared" si="103"/>
        <v>8</v>
      </c>
      <c r="Q1228" s="7">
        <f t="shared" si="106"/>
        <v>2025</v>
      </c>
    </row>
    <row r="1229" spans="1:17" x14ac:dyDescent="0.25">
      <c r="A1229" s="7">
        <v>2539</v>
      </c>
      <c r="B1229" s="9" t="s">
        <v>533</v>
      </c>
      <c r="C1229" s="9" t="s">
        <v>533</v>
      </c>
      <c r="D1229" s="8">
        <v>45891</v>
      </c>
      <c r="E1229" s="7" t="s">
        <v>60</v>
      </c>
      <c r="F1229" s="7">
        <v>1</v>
      </c>
      <c r="G1229" s="7" t="s">
        <v>14</v>
      </c>
      <c r="H1229" s="7" t="s">
        <v>314</v>
      </c>
      <c r="J1229" s="7">
        <f t="shared" si="102"/>
        <v>1900</v>
      </c>
      <c r="K1229" s="7">
        <f t="shared" si="104"/>
        <v>1</v>
      </c>
      <c r="L1229" s="7">
        <f t="shared" si="105"/>
        <v>45891</v>
      </c>
      <c r="M1229" s="7" t="s">
        <v>537</v>
      </c>
      <c r="N1229" s="7" t="s">
        <v>922</v>
      </c>
      <c r="O1229" s="17" t="s">
        <v>682</v>
      </c>
      <c r="P1229" s="7">
        <f t="shared" si="103"/>
        <v>8</v>
      </c>
      <c r="Q1229" s="7">
        <f t="shared" si="106"/>
        <v>2025</v>
      </c>
    </row>
    <row r="1230" spans="1:17" x14ac:dyDescent="0.25">
      <c r="A1230" s="7">
        <v>2539</v>
      </c>
      <c r="B1230" s="9" t="s">
        <v>533</v>
      </c>
      <c r="C1230" s="9" t="s">
        <v>533</v>
      </c>
      <c r="D1230" s="8">
        <v>45891</v>
      </c>
      <c r="E1230" s="7" t="s">
        <v>60</v>
      </c>
      <c r="F1230" s="7">
        <v>1</v>
      </c>
      <c r="G1230" s="7" t="s">
        <v>14</v>
      </c>
      <c r="H1230" s="7" t="s">
        <v>314</v>
      </c>
      <c r="J1230" s="7">
        <f t="shared" si="102"/>
        <v>1900</v>
      </c>
      <c r="K1230" s="7">
        <f t="shared" si="104"/>
        <v>1</v>
      </c>
      <c r="L1230" s="7">
        <f t="shared" si="105"/>
        <v>45891</v>
      </c>
      <c r="M1230" s="7" t="s">
        <v>537</v>
      </c>
      <c r="N1230" s="7" t="s">
        <v>922</v>
      </c>
      <c r="O1230" s="17" t="s">
        <v>682</v>
      </c>
      <c r="P1230" s="7">
        <f t="shared" si="103"/>
        <v>8</v>
      </c>
      <c r="Q1230" s="7">
        <f t="shared" si="106"/>
        <v>2025</v>
      </c>
    </row>
    <row r="1231" spans="1:17" x14ac:dyDescent="0.25">
      <c r="A1231" s="7">
        <v>2539</v>
      </c>
      <c r="B1231" s="9" t="s">
        <v>533</v>
      </c>
      <c r="C1231" s="9" t="s">
        <v>533</v>
      </c>
      <c r="D1231" s="8">
        <v>45891</v>
      </c>
      <c r="E1231" s="7" t="s">
        <v>60</v>
      </c>
      <c r="F1231" s="7">
        <v>1</v>
      </c>
      <c r="G1231" s="7" t="s">
        <v>14</v>
      </c>
      <c r="H1231" s="7" t="s">
        <v>314</v>
      </c>
      <c r="J1231" s="7">
        <f t="shared" si="102"/>
        <v>1900</v>
      </c>
      <c r="K1231" s="7">
        <f t="shared" si="104"/>
        <v>1</v>
      </c>
      <c r="L1231" s="7">
        <f t="shared" si="105"/>
        <v>45891</v>
      </c>
      <c r="M1231" s="7" t="s">
        <v>537</v>
      </c>
      <c r="N1231" s="7" t="s">
        <v>922</v>
      </c>
      <c r="O1231" s="17" t="s">
        <v>682</v>
      </c>
      <c r="P1231" s="7">
        <f t="shared" si="103"/>
        <v>8</v>
      </c>
      <c r="Q1231" s="7">
        <f t="shared" si="106"/>
        <v>2025</v>
      </c>
    </row>
    <row r="1232" spans="1:17" x14ac:dyDescent="0.25">
      <c r="A1232" s="7">
        <v>2539</v>
      </c>
      <c r="B1232" s="9" t="s">
        <v>533</v>
      </c>
      <c r="C1232" s="9" t="s">
        <v>533</v>
      </c>
      <c r="D1232" s="8">
        <v>45891</v>
      </c>
      <c r="E1232" s="7" t="s">
        <v>60</v>
      </c>
      <c r="F1232" s="7">
        <v>1</v>
      </c>
      <c r="G1232" s="7" t="s">
        <v>14</v>
      </c>
      <c r="H1232" s="7" t="s">
        <v>314</v>
      </c>
      <c r="J1232" s="7">
        <f t="shared" si="102"/>
        <v>1900</v>
      </c>
      <c r="K1232" s="7">
        <f t="shared" si="104"/>
        <v>1</v>
      </c>
      <c r="L1232" s="7">
        <f t="shared" si="105"/>
        <v>45891</v>
      </c>
      <c r="M1232" s="7" t="s">
        <v>537</v>
      </c>
      <c r="N1232" s="7" t="s">
        <v>922</v>
      </c>
      <c r="O1232" s="17" t="s">
        <v>682</v>
      </c>
      <c r="P1232" s="7">
        <f t="shared" si="103"/>
        <v>8</v>
      </c>
      <c r="Q1232" s="7">
        <f t="shared" si="106"/>
        <v>2025</v>
      </c>
    </row>
    <row r="1233" spans="1:17" x14ac:dyDescent="0.25">
      <c r="A1233" s="7">
        <v>2539</v>
      </c>
      <c r="B1233" s="9" t="s">
        <v>533</v>
      </c>
      <c r="C1233" s="9" t="s">
        <v>533</v>
      </c>
      <c r="D1233" s="8">
        <v>45891</v>
      </c>
      <c r="E1233" s="7" t="s">
        <v>60</v>
      </c>
      <c r="F1233" s="7">
        <v>1</v>
      </c>
      <c r="G1233" s="7" t="s">
        <v>14</v>
      </c>
      <c r="H1233" s="7" t="s">
        <v>314</v>
      </c>
      <c r="J1233" s="7">
        <f t="shared" ref="J1233:J1296" si="107">YEAR(I1233)</f>
        <v>1900</v>
      </c>
      <c r="K1233" s="7">
        <f t="shared" si="104"/>
        <v>1</v>
      </c>
      <c r="L1233" s="7">
        <f t="shared" si="105"/>
        <v>45891</v>
      </c>
      <c r="M1233" s="7" t="s">
        <v>537</v>
      </c>
      <c r="N1233" s="7" t="s">
        <v>922</v>
      </c>
      <c r="O1233" s="17" t="s">
        <v>682</v>
      </c>
      <c r="P1233" s="7">
        <f t="shared" si="103"/>
        <v>8</v>
      </c>
      <c r="Q1233" s="7">
        <f t="shared" si="106"/>
        <v>2025</v>
      </c>
    </row>
    <row r="1234" spans="1:17" x14ac:dyDescent="0.25">
      <c r="A1234" s="7">
        <v>2539</v>
      </c>
      <c r="B1234" s="9" t="s">
        <v>533</v>
      </c>
      <c r="C1234" s="9" t="s">
        <v>533</v>
      </c>
      <c r="D1234" s="8">
        <v>45891</v>
      </c>
      <c r="E1234" s="7" t="s">
        <v>60</v>
      </c>
      <c r="F1234" s="7">
        <v>1</v>
      </c>
      <c r="G1234" s="7" t="s">
        <v>14</v>
      </c>
      <c r="H1234" s="7" t="s">
        <v>314</v>
      </c>
      <c r="J1234" s="7">
        <f t="shared" si="107"/>
        <v>1900</v>
      </c>
      <c r="K1234" s="7">
        <f t="shared" si="104"/>
        <v>1</v>
      </c>
      <c r="L1234" s="7">
        <f t="shared" si="105"/>
        <v>45891</v>
      </c>
      <c r="M1234" s="7" t="s">
        <v>537</v>
      </c>
      <c r="N1234" s="7" t="s">
        <v>922</v>
      </c>
      <c r="O1234" s="17" t="s">
        <v>682</v>
      </c>
      <c r="P1234" s="7">
        <f t="shared" si="103"/>
        <v>8</v>
      </c>
      <c r="Q1234" s="7">
        <f t="shared" si="106"/>
        <v>2025</v>
      </c>
    </row>
    <row r="1235" spans="1:17" x14ac:dyDescent="0.25">
      <c r="A1235" s="7">
        <v>2539</v>
      </c>
      <c r="B1235" s="9" t="s">
        <v>533</v>
      </c>
      <c r="C1235" s="9" t="s">
        <v>533</v>
      </c>
      <c r="D1235" s="8">
        <v>45891</v>
      </c>
      <c r="E1235" s="7" t="s">
        <v>60</v>
      </c>
      <c r="F1235" s="7">
        <v>1</v>
      </c>
      <c r="G1235" s="7" t="s">
        <v>14</v>
      </c>
      <c r="H1235" s="7" t="s">
        <v>314</v>
      </c>
      <c r="J1235" s="7">
        <f t="shared" si="107"/>
        <v>1900</v>
      </c>
      <c r="K1235" s="7">
        <f t="shared" si="104"/>
        <v>1</v>
      </c>
      <c r="L1235" s="7">
        <f t="shared" si="105"/>
        <v>45891</v>
      </c>
      <c r="M1235" s="7" t="s">
        <v>537</v>
      </c>
      <c r="N1235" s="7" t="s">
        <v>922</v>
      </c>
      <c r="O1235" s="17" t="s">
        <v>682</v>
      </c>
      <c r="P1235" s="7">
        <f t="shared" si="103"/>
        <v>8</v>
      </c>
      <c r="Q1235" s="7">
        <f t="shared" si="106"/>
        <v>2025</v>
      </c>
    </row>
    <row r="1236" spans="1:17" x14ac:dyDescent="0.25">
      <c r="A1236" s="7">
        <v>2539</v>
      </c>
      <c r="B1236" s="9" t="s">
        <v>533</v>
      </c>
      <c r="C1236" s="9" t="s">
        <v>533</v>
      </c>
      <c r="D1236" s="8">
        <v>45891</v>
      </c>
      <c r="E1236" s="7" t="s">
        <v>60</v>
      </c>
      <c r="F1236" s="7">
        <v>1</v>
      </c>
      <c r="G1236" s="7" t="s">
        <v>14</v>
      </c>
      <c r="H1236" s="7" t="s">
        <v>314</v>
      </c>
      <c r="J1236" s="7">
        <f t="shared" si="107"/>
        <v>1900</v>
      </c>
      <c r="K1236" s="7">
        <f t="shared" si="104"/>
        <v>1</v>
      </c>
      <c r="L1236" s="7">
        <f t="shared" si="105"/>
        <v>45891</v>
      </c>
      <c r="M1236" s="7" t="s">
        <v>537</v>
      </c>
      <c r="N1236" s="7" t="s">
        <v>922</v>
      </c>
      <c r="O1236" s="17" t="s">
        <v>682</v>
      </c>
      <c r="P1236" s="7">
        <f t="shared" si="103"/>
        <v>8</v>
      </c>
      <c r="Q1236" s="7">
        <f t="shared" si="106"/>
        <v>2025</v>
      </c>
    </row>
    <row r="1237" spans="1:17" x14ac:dyDescent="0.25">
      <c r="A1237" s="7">
        <v>2539</v>
      </c>
      <c r="B1237" s="9" t="s">
        <v>533</v>
      </c>
      <c r="C1237" s="9" t="s">
        <v>533</v>
      </c>
      <c r="D1237" s="8">
        <v>45891</v>
      </c>
      <c r="E1237" s="7" t="s">
        <v>60</v>
      </c>
      <c r="F1237" s="7">
        <v>1</v>
      </c>
      <c r="G1237" s="7" t="s">
        <v>14</v>
      </c>
      <c r="H1237" s="7" t="s">
        <v>314</v>
      </c>
      <c r="J1237" s="7">
        <f t="shared" si="107"/>
        <v>1900</v>
      </c>
      <c r="K1237" s="7">
        <f t="shared" si="104"/>
        <v>1</v>
      </c>
      <c r="L1237" s="7">
        <f t="shared" si="105"/>
        <v>45891</v>
      </c>
      <c r="M1237" s="7" t="s">
        <v>537</v>
      </c>
      <c r="N1237" s="7" t="s">
        <v>922</v>
      </c>
      <c r="O1237" s="17" t="s">
        <v>682</v>
      </c>
      <c r="P1237" s="7">
        <f t="shared" si="103"/>
        <v>8</v>
      </c>
      <c r="Q1237" s="7">
        <f t="shared" si="106"/>
        <v>2025</v>
      </c>
    </row>
    <row r="1238" spans="1:17" x14ac:dyDescent="0.25">
      <c r="A1238" s="7">
        <v>2539</v>
      </c>
      <c r="B1238" s="9" t="s">
        <v>533</v>
      </c>
      <c r="C1238" s="9" t="s">
        <v>533</v>
      </c>
      <c r="D1238" s="8">
        <v>45891</v>
      </c>
      <c r="E1238" s="7" t="s">
        <v>60</v>
      </c>
      <c r="F1238" s="7">
        <v>1</v>
      </c>
      <c r="G1238" s="7" t="s">
        <v>14</v>
      </c>
      <c r="H1238" s="7" t="s">
        <v>314</v>
      </c>
      <c r="J1238" s="7">
        <f t="shared" si="107"/>
        <v>1900</v>
      </c>
      <c r="K1238" s="7">
        <f t="shared" si="104"/>
        <v>1</v>
      </c>
      <c r="L1238" s="7">
        <f t="shared" si="105"/>
        <v>45891</v>
      </c>
      <c r="M1238" s="7" t="s">
        <v>537</v>
      </c>
      <c r="N1238" s="7" t="s">
        <v>922</v>
      </c>
      <c r="O1238" s="17" t="s">
        <v>682</v>
      </c>
      <c r="P1238" s="7">
        <f t="shared" si="103"/>
        <v>8</v>
      </c>
      <c r="Q1238" s="7">
        <f t="shared" si="106"/>
        <v>2025</v>
      </c>
    </row>
    <row r="1239" spans="1:17" x14ac:dyDescent="0.25">
      <c r="A1239" s="7">
        <v>2539</v>
      </c>
      <c r="B1239" s="9" t="s">
        <v>533</v>
      </c>
      <c r="C1239" s="9" t="s">
        <v>533</v>
      </c>
      <c r="D1239" s="8">
        <v>45891</v>
      </c>
      <c r="E1239" s="7" t="s">
        <v>60</v>
      </c>
      <c r="F1239" s="7">
        <v>1</v>
      </c>
      <c r="G1239" s="7" t="s">
        <v>14</v>
      </c>
      <c r="H1239" s="7" t="s">
        <v>314</v>
      </c>
      <c r="J1239" s="7">
        <f t="shared" si="107"/>
        <v>1900</v>
      </c>
      <c r="K1239" s="7">
        <f t="shared" si="104"/>
        <v>1</v>
      </c>
      <c r="L1239" s="7">
        <f t="shared" si="105"/>
        <v>45891</v>
      </c>
      <c r="M1239" s="7" t="s">
        <v>537</v>
      </c>
      <c r="N1239" s="7" t="s">
        <v>922</v>
      </c>
      <c r="O1239" s="17" t="s">
        <v>682</v>
      </c>
      <c r="P1239" s="7">
        <f t="shared" si="103"/>
        <v>8</v>
      </c>
      <c r="Q1239" s="7">
        <f t="shared" si="106"/>
        <v>2025</v>
      </c>
    </row>
    <row r="1240" spans="1:17" x14ac:dyDescent="0.25">
      <c r="A1240" s="7">
        <v>2539</v>
      </c>
      <c r="B1240" s="9" t="s">
        <v>533</v>
      </c>
      <c r="C1240" s="9" t="s">
        <v>533</v>
      </c>
      <c r="D1240" s="8">
        <v>45891</v>
      </c>
      <c r="E1240" s="7" t="s">
        <v>60</v>
      </c>
      <c r="F1240" s="7">
        <v>1</v>
      </c>
      <c r="G1240" s="7" t="s">
        <v>14</v>
      </c>
      <c r="H1240" s="7" t="s">
        <v>314</v>
      </c>
      <c r="J1240" s="7">
        <f t="shared" si="107"/>
        <v>1900</v>
      </c>
      <c r="K1240" s="7">
        <f t="shared" si="104"/>
        <v>1</v>
      </c>
      <c r="L1240" s="7">
        <f t="shared" si="105"/>
        <v>45891</v>
      </c>
      <c r="M1240" s="7" t="s">
        <v>537</v>
      </c>
      <c r="N1240" s="7" t="s">
        <v>922</v>
      </c>
      <c r="O1240" s="17" t="s">
        <v>682</v>
      </c>
      <c r="P1240" s="7">
        <f t="shared" si="103"/>
        <v>8</v>
      </c>
      <c r="Q1240" s="7">
        <f t="shared" si="106"/>
        <v>2025</v>
      </c>
    </row>
    <row r="1241" spans="1:17" x14ac:dyDescent="0.25">
      <c r="A1241" s="7">
        <v>2539</v>
      </c>
      <c r="B1241" s="9" t="s">
        <v>533</v>
      </c>
      <c r="C1241" s="9" t="s">
        <v>533</v>
      </c>
      <c r="D1241" s="8">
        <v>45891</v>
      </c>
      <c r="E1241" s="7" t="s">
        <v>60</v>
      </c>
      <c r="F1241" s="7">
        <v>1</v>
      </c>
      <c r="G1241" s="7" t="s">
        <v>14</v>
      </c>
      <c r="H1241" s="7" t="s">
        <v>314</v>
      </c>
      <c r="J1241" s="7">
        <f t="shared" si="107"/>
        <v>1900</v>
      </c>
      <c r="K1241" s="7">
        <f t="shared" si="104"/>
        <v>1</v>
      </c>
      <c r="L1241" s="7">
        <f t="shared" si="105"/>
        <v>45891</v>
      </c>
      <c r="M1241" s="7" t="s">
        <v>537</v>
      </c>
      <c r="N1241" s="7" t="s">
        <v>922</v>
      </c>
      <c r="O1241" s="17" t="s">
        <v>682</v>
      </c>
      <c r="P1241" s="7">
        <f t="shared" si="103"/>
        <v>8</v>
      </c>
      <c r="Q1241" s="7">
        <f t="shared" si="106"/>
        <v>2025</v>
      </c>
    </row>
    <row r="1242" spans="1:17" x14ac:dyDescent="0.25">
      <c r="A1242" s="7">
        <v>2539</v>
      </c>
      <c r="B1242" s="9" t="s">
        <v>533</v>
      </c>
      <c r="C1242" s="9" t="s">
        <v>533</v>
      </c>
      <c r="D1242" s="8">
        <v>45891</v>
      </c>
      <c r="E1242" s="7" t="s">
        <v>60</v>
      </c>
      <c r="F1242" s="7">
        <v>1</v>
      </c>
      <c r="G1242" s="7" t="s">
        <v>14</v>
      </c>
      <c r="H1242" s="7" t="s">
        <v>314</v>
      </c>
      <c r="J1242" s="7">
        <f t="shared" si="107"/>
        <v>1900</v>
      </c>
      <c r="K1242" s="7">
        <f t="shared" si="104"/>
        <v>1</v>
      </c>
      <c r="L1242" s="7">
        <f t="shared" si="105"/>
        <v>45891</v>
      </c>
      <c r="M1242" s="7" t="s">
        <v>537</v>
      </c>
      <c r="N1242" s="7" t="s">
        <v>922</v>
      </c>
      <c r="O1242" s="17" t="s">
        <v>682</v>
      </c>
      <c r="P1242" s="7">
        <f t="shared" ref="P1242:P1305" si="108">MONTH(D1242)</f>
        <v>8</v>
      </c>
      <c r="Q1242" s="7">
        <f t="shared" si="106"/>
        <v>2025</v>
      </c>
    </row>
    <row r="1243" spans="1:17" x14ac:dyDescent="0.25">
      <c r="A1243" s="7">
        <v>2539</v>
      </c>
      <c r="B1243" s="9" t="s">
        <v>533</v>
      </c>
      <c r="C1243" s="9" t="s">
        <v>533</v>
      </c>
      <c r="D1243" s="8">
        <v>45891</v>
      </c>
      <c r="E1243" s="7" t="s">
        <v>60</v>
      </c>
      <c r="F1243" s="7">
        <v>1</v>
      </c>
      <c r="G1243" s="7" t="s">
        <v>14</v>
      </c>
      <c r="H1243" s="7" t="s">
        <v>314</v>
      </c>
      <c r="J1243" s="7">
        <f t="shared" si="107"/>
        <v>1900</v>
      </c>
      <c r="K1243" s="7">
        <f t="shared" si="104"/>
        <v>1</v>
      </c>
      <c r="L1243" s="7">
        <f t="shared" si="105"/>
        <v>45891</v>
      </c>
      <c r="M1243" s="7" t="s">
        <v>537</v>
      </c>
      <c r="N1243" s="7" t="s">
        <v>922</v>
      </c>
      <c r="O1243" s="17" t="s">
        <v>682</v>
      </c>
      <c r="P1243" s="7">
        <f t="shared" si="108"/>
        <v>8</v>
      </c>
      <c r="Q1243" s="7">
        <f t="shared" si="106"/>
        <v>2025</v>
      </c>
    </row>
    <row r="1244" spans="1:17" x14ac:dyDescent="0.25">
      <c r="A1244" s="7">
        <v>2539</v>
      </c>
      <c r="B1244" s="9" t="s">
        <v>533</v>
      </c>
      <c r="C1244" s="9" t="s">
        <v>533</v>
      </c>
      <c r="D1244" s="8">
        <v>45891</v>
      </c>
      <c r="E1244" s="7" t="s">
        <v>60</v>
      </c>
      <c r="F1244" s="7">
        <v>1</v>
      </c>
      <c r="G1244" s="7" t="s">
        <v>14</v>
      </c>
      <c r="H1244" s="7" t="s">
        <v>314</v>
      </c>
      <c r="J1244" s="7">
        <f t="shared" si="107"/>
        <v>1900</v>
      </c>
      <c r="K1244" s="7">
        <f t="shared" si="104"/>
        <v>1</v>
      </c>
      <c r="L1244" s="7">
        <f t="shared" si="105"/>
        <v>45891</v>
      </c>
      <c r="M1244" s="7" t="s">
        <v>537</v>
      </c>
      <c r="N1244" s="7" t="s">
        <v>922</v>
      </c>
      <c r="O1244" s="17" t="s">
        <v>682</v>
      </c>
      <c r="P1244" s="7">
        <f t="shared" si="108"/>
        <v>8</v>
      </c>
      <c r="Q1244" s="7">
        <f t="shared" si="106"/>
        <v>2025</v>
      </c>
    </row>
    <row r="1245" spans="1:17" x14ac:dyDescent="0.25">
      <c r="A1245" s="7">
        <v>2539</v>
      </c>
      <c r="B1245" s="9" t="s">
        <v>533</v>
      </c>
      <c r="C1245" s="9" t="s">
        <v>533</v>
      </c>
      <c r="D1245" s="8">
        <v>45891</v>
      </c>
      <c r="E1245" s="7" t="s">
        <v>60</v>
      </c>
      <c r="F1245" s="7">
        <v>1</v>
      </c>
      <c r="G1245" s="7" t="s">
        <v>14</v>
      </c>
      <c r="H1245" s="7" t="s">
        <v>314</v>
      </c>
      <c r="J1245" s="7">
        <f t="shared" si="107"/>
        <v>1900</v>
      </c>
      <c r="K1245" s="7">
        <f t="shared" si="104"/>
        <v>1</v>
      </c>
      <c r="L1245" s="7">
        <f t="shared" si="105"/>
        <v>45891</v>
      </c>
      <c r="M1245" s="7" t="s">
        <v>537</v>
      </c>
      <c r="N1245" s="7" t="s">
        <v>922</v>
      </c>
      <c r="O1245" s="17" t="s">
        <v>682</v>
      </c>
      <c r="P1245" s="7">
        <f t="shared" si="108"/>
        <v>8</v>
      </c>
      <c r="Q1245" s="7">
        <f t="shared" si="106"/>
        <v>2025</v>
      </c>
    </row>
    <row r="1246" spans="1:17" x14ac:dyDescent="0.25">
      <c r="A1246" s="7">
        <v>2539</v>
      </c>
      <c r="B1246" s="9" t="s">
        <v>533</v>
      </c>
      <c r="C1246" s="9" t="s">
        <v>533</v>
      </c>
      <c r="D1246" s="8">
        <v>45891</v>
      </c>
      <c r="E1246" s="7" t="s">
        <v>60</v>
      </c>
      <c r="F1246" s="7">
        <v>1</v>
      </c>
      <c r="G1246" s="7" t="s">
        <v>14</v>
      </c>
      <c r="H1246" s="7" t="s">
        <v>314</v>
      </c>
      <c r="J1246" s="7">
        <f t="shared" si="107"/>
        <v>1900</v>
      </c>
      <c r="K1246" s="7">
        <f t="shared" si="104"/>
        <v>1</v>
      </c>
      <c r="L1246" s="7">
        <f t="shared" si="105"/>
        <v>45891</v>
      </c>
      <c r="M1246" s="7" t="s">
        <v>537</v>
      </c>
      <c r="N1246" s="7" t="s">
        <v>922</v>
      </c>
      <c r="O1246" s="17" t="s">
        <v>682</v>
      </c>
      <c r="P1246" s="7">
        <f t="shared" si="108"/>
        <v>8</v>
      </c>
      <c r="Q1246" s="7">
        <f t="shared" si="106"/>
        <v>2025</v>
      </c>
    </row>
    <row r="1247" spans="1:17" x14ac:dyDescent="0.25">
      <c r="A1247" s="7">
        <v>2539</v>
      </c>
      <c r="B1247" s="9" t="s">
        <v>533</v>
      </c>
      <c r="C1247" s="9" t="s">
        <v>533</v>
      </c>
      <c r="D1247" s="8">
        <v>45891</v>
      </c>
      <c r="E1247" s="7" t="s">
        <v>60</v>
      </c>
      <c r="F1247" s="7">
        <v>1</v>
      </c>
      <c r="G1247" s="7" t="s">
        <v>14</v>
      </c>
      <c r="H1247" s="7" t="s">
        <v>314</v>
      </c>
      <c r="J1247" s="7">
        <f t="shared" si="107"/>
        <v>1900</v>
      </c>
      <c r="K1247" s="7">
        <f t="shared" si="104"/>
        <v>1</v>
      </c>
      <c r="L1247" s="7">
        <f t="shared" si="105"/>
        <v>45891</v>
      </c>
      <c r="M1247" s="7" t="s">
        <v>537</v>
      </c>
      <c r="N1247" s="7" t="s">
        <v>922</v>
      </c>
      <c r="O1247" s="17" t="s">
        <v>682</v>
      </c>
      <c r="P1247" s="7">
        <f t="shared" si="108"/>
        <v>8</v>
      </c>
      <c r="Q1247" s="7">
        <f t="shared" si="106"/>
        <v>2025</v>
      </c>
    </row>
    <row r="1248" spans="1:17" x14ac:dyDescent="0.25">
      <c r="A1248" s="7">
        <v>2539</v>
      </c>
      <c r="B1248" s="9" t="s">
        <v>533</v>
      </c>
      <c r="C1248" s="9" t="s">
        <v>533</v>
      </c>
      <c r="D1248" s="8">
        <v>45891</v>
      </c>
      <c r="E1248" s="7" t="s">
        <v>60</v>
      </c>
      <c r="F1248" s="7">
        <v>1</v>
      </c>
      <c r="G1248" s="7" t="s">
        <v>14</v>
      </c>
      <c r="H1248" s="7" t="s">
        <v>314</v>
      </c>
      <c r="J1248" s="7">
        <f t="shared" si="107"/>
        <v>1900</v>
      </c>
      <c r="K1248" s="7">
        <f t="shared" si="104"/>
        <v>1</v>
      </c>
      <c r="L1248" s="7">
        <f t="shared" si="105"/>
        <v>45891</v>
      </c>
      <c r="M1248" s="7" t="s">
        <v>537</v>
      </c>
      <c r="N1248" s="7" t="s">
        <v>922</v>
      </c>
      <c r="O1248" s="17" t="s">
        <v>682</v>
      </c>
      <c r="P1248" s="7">
        <f t="shared" si="108"/>
        <v>8</v>
      </c>
      <c r="Q1248" s="7">
        <f t="shared" si="106"/>
        <v>2025</v>
      </c>
    </row>
    <row r="1249" spans="1:17" x14ac:dyDescent="0.25">
      <c r="A1249" s="7">
        <v>2539</v>
      </c>
      <c r="B1249" s="9" t="s">
        <v>533</v>
      </c>
      <c r="C1249" s="9" t="s">
        <v>533</v>
      </c>
      <c r="D1249" s="8">
        <v>45891</v>
      </c>
      <c r="E1249" s="7" t="s">
        <v>60</v>
      </c>
      <c r="F1249" s="7">
        <v>1</v>
      </c>
      <c r="G1249" s="7" t="s">
        <v>14</v>
      </c>
      <c r="H1249" s="7" t="s">
        <v>314</v>
      </c>
      <c r="J1249" s="7">
        <f t="shared" si="107"/>
        <v>1900</v>
      </c>
      <c r="K1249" s="7">
        <f t="shared" si="104"/>
        <v>1</v>
      </c>
      <c r="L1249" s="7">
        <f t="shared" si="105"/>
        <v>45891</v>
      </c>
      <c r="M1249" s="7" t="s">
        <v>537</v>
      </c>
      <c r="N1249" s="7" t="s">
        <v>922</v>
      </c>
      <c r="O1249" s="17" t="s">
        <v>682</v>
      </c>
      <c r="P1249" s="7">
        <f t="shared" si="108"/>
        <v>8</v>
      </c>
      <c r="Q1249" s="7">
        <f t="shared" si="106"/>
        <v>2025</v>
      </c>
    </row>
    <row r="1250" spans="1:17" x14ac:dyDescent="0.25">
      <c r="A1250" s="7">
        <v>2539</v>
      </c>
      <c r="B1250" s="9" t="s">
        <v>533</v>
      </c>
      <c r="C1250" s="9" t="s">
        <v>533</v>
      </c>
      <c r="D1250" s="8">
        <v>45891</v>
      </c>
      <c r="E1250" s="7" t="s">
        <v>60</v>
      </c>
      <c r="F1250" s="7">
        <v>1</v>
      </c>
      <c r="G1250" s="7" t="s">
        <v>14</v>
      </c>
      <c r="H1250" s="7" t="s">
        <v>314</v>
      </c>
      <c r="J1250" s="7">
        <f t="shared" si="107"/>
        <v>1900</v>
      </c>
      <c r="K1250" s="7">
        <f t="shared" si="104"/>
        <v>1</v>
      </c>
      <c r="L1250" s="7">
        <f t="shared" si="105"/>
        <v>45891</v>
      </c>
      <c r="M1250" s="7" t="s">
        <v>537</v>
      </c>
      <c r="N1250" s="7" t="s">
        <v>922</v>
      </c>
      <c r="O1250" s="17" t="s">
        <v>682</v>
      </c>
      <c r="P1250" s="7">
        <f t="shared" si="108"/>
        <v>8</v>
      </c>
      <c r="Q1250" s="7">
        <f t="shared" si="106"/>
        <v>2025</v>
      </c>
    </row>
    <row r="1251" spans="1:17" x14ac:dyDescent="0.25">
      <c r="A1251" s="7">
        <v>2539</v>
      </c>
      <c r="B1251" s="9" t="s">
        <v>533</v>
      </c>
      <c r="C1251" s="9" t="s">
        <v>533</v>
      </c>
      <c r="D1251" s="8">
        <v>45891</v>
      </c>
      <c r="E1251" s="7" t="s">
        <v>60</v>
      </c>
      <c r="F1251" s="7">
        <v>1</v>
      </c>
      <c r="G1251" s="7" t="s">
        <v>14</v>
      </c>
      <c r="H1251" s="7" t="s">
        <v>314</v>
      </c>
      <c r="J1251" s="7">
        <f t="shared" si="107"/>
        <v>1900</v>
      </c>
      <c r="K1251" s="7">
        <f t="shared" si="104"/>
        <v>1</v>
      </c>
      <c r="L1251" s="7">
        <f t="shared" si="105"/>
        <v>45891</v>
      </c>
      <c r="M1251" s="7" t="s">
        <v>537</v>
      </c>
      <c r="N1251" s="7" t="s">
        <v>922</v>
      </c>
      <c r="O1251" s="17" t="s">
        <v>682</v>
      </c>
      <c r="P1251" s="7">
        <f t="shared" si="108"/>
        <v>8</v>
      </c>
      <c r="Q1251" s="7">
        <f t="shared" si="106"/>
        <v>2025</v>
      </c>
    </row>
    <row r="1252" spans="1:17" x14ac:dyDescent="0.25">
      <c r="A1252" s="7">
        <v>2539</v>
      </c>
      <c r="B1252" s="9" t="s">
        <v>533</v>
      </c>
      <c r="C1252" s="9" t="s">
        <v>533</v>
      </c>
      <c r="D1252" s="8">
        <v>45891</v>
      </c>
      <c r="E1252" s="7" t="s">
        <v>60</v>
      </c>
      <c r="F1252" s="7">
        <v>1</v>
      </c>
      <c r="G1252" s="7" t="s">
        <v>14</v>
      </c>
      <c r="H1252" s="7" t="s">
        <v>314</v>
      </c>
      <c r="J1252" s="7">
        <f t="shared" si="107"/>
        <v>1900</v>
      </c>
      <c r="K1252" s="7">
        <f t="shared" si="104"/>
        <v>1</v>
      </c>
      <c r="L1252" s="7">
        <f t="shared" si="105"/>
        <v>45891</v>
      </c>
      <c r="M1252" s="7" t="s">
        <v>537</v>
      </c>
      <c r="N1252" s="7" t="s">
        <v>922</v>
      </c>
      <c r="O1252" s="17" t="s">
        <v>682</v>
      </c>
      <c r="P1252" s="7">
        <f t="shared" si="108"/>
        <v>8</v>
      </c>
      <c r="Q1252" s="7">
        <f t="shared" si="106"/>
        <v>2025</v>
      </c>
    </row>
    <row r="1253" spans="1:17" x14ac:dyDescent="0.25">
      <c r="A1253" s="7">
        <v>2539</v>
      </c>
      <c r="B1253" s="9" t="s">
        <v>533</v>
      </c>
      <c r="C1253" s="9" t="s">
        <v>533</v>
      </c>
      <c r="D1253" s="8">
        <v>45891</v>
      </c>
      <c r="E1253" s="7" t="s">
        <v>60</v>
      </c>
      <c r="F1253" s="7">
        <v>1</v>
      </c>
      <c r="G1253" s="7" t="s">
        <v>14</v>
      </c>
      <c r="H1253" s="7" t="s">
        <v>314</v>
      </c>
      <c r="J1253" s="7">
        <f t="shared" si="107"/>
        <v>1900</v>
      </c>
      <c r="K1253" s="7">
        <f t="shared" si="104"/>
        <v>1</v>
      </c>
      <c r="L1253" s="7">
        <f t="shared" si="105"/>
        <v>45891</v>
      </c>
      <c r="M1253" s="7" t="s">
        <v>537</v>
      </c>
      <c r="N1253" s="7" t="s">
        <v>922</v>
      </c>
      <c r="O1253" s="17" t="s">
        <v>682</v>
      </c>
      <c r="P1253" s="7">
        <f t="shared" si="108"/>
        <v>8</v>
      </c>
      <c r="Q1253" s="7">
        <f t="shared" si="106"/>
        <v>2025</v>
      </c>
    </row>
    <row r="1254" spans="1:17" x14ac:dyDescent="0.25">
      <c r="A1254" s="7">
        <v>2539</v>
      </c>
      <c r="B1254" s="9" t="s">
        <v>533</v>
      </c>
      <c r="C1254" s="9" t="s">
        <v>533</v>
      </c>
      <c r="D1254" s="8">
        <v>45891</v>
      </c>
      <c r="E1254" s="7" t="s">
        <v>60</v>
      </c>
      <c r="F1254" s="7">
        <v>1</v>
      </c>
      <c r="G1254" s="7" t="s">
        <v>14</v>
      </c>
      <c r="H1254" s="7" t="s">
        <v>314</v>
      </c>
      <c r="J1254" s="7">
        <f t="shared" si="107"/>
        <v>1900</v>
      </c>
      <c r="K1254" s="7">
        <f t="shared" si="104"/>
        <v>1</v>
      </c>
      <c r="L1254" s="7">
        <f t="shared" si="105"/>
        <v>45891</v>
      </c>
      <c r="M1254" s="7" t="s">
        <v>537</v>
      </c>
      <c r="N1254" s="7" t="s">
        <v>922</v>
      </c>
      <c r="O1254" s="17" t="s">
        <v>682</v>
      </c>
      <c r="P1254" s="7">
        <f t="shared" si="108"/>
        <v>8</v>
      </c>
      <c r="Q1254" s="7">
        <f t="shared" si="106"/>
        <v>2025</v>
      </c>
    </row>
    <row r="1255" spans="1:17" x14ac:dyDescent="0.25">
      <c r="A1255" s="7">
        <v>2539</v>
      </c>
      <c r="B1255" s="9" t="s">
        <v>533</v>
      </c>
      <c r="C1255" s="9" t="s">
        <v>533</v>
      </c>
      <c r="D1255" s="8">
        <v>45891</v>
      </c>
      <c r="E1255" s="7" t="s">
        <v>60</v>
      </c>
      <c r="F1255" s="7">
        <v>1</v>
      </c>
      <c r="G1255" s="7" t="s">
        <v>14</v>
      </c>
      <c r="H1255" s="7" t="s">
        <v>314</v>
      </c>
      <c r="J1255" s="7">
        <f t="shared" si="107"/>
        <v>1900</v>
      </c>
      <c r="K1255" s="7">
        <f t="shared" si="104"/>
        <v>1</v>
      </c>
      <c r="L1255" s="7">
        <f t="shared" si="105"/>
        <v>45891</v>
      </c>
      <c r="M1255" s="7" t="s">
        <v>537</v>
      </c>
      <c r="N1255" s="7" t="s">
        <v>922</v>
      </c>
      <c r="O1255" s="17" t="s">
        <v>682</v>
      </c>
      <c r="P1255" s="7">
        <f t="shared" si="108"/>
        <v>8</v>
      </c>
      <c r="Q1255" s="7">
        <f t="shared" si="106"/>
        <v>2025</v>
      </c>
    </row>
    <row r="1256" spans="1:17" x14ac:dyDescent="0.25">
      <c r="A1256" s="7">
        <v>2539</v>
      </c>
      <c r="B1256" s="9" t="s">
        <v>533</v>
      </c>
      <c r="C1256" s="9" t="s">
        <v>533</v>
      </c>
      <c r="D1256" s="8">
        <v>45891</v>
      </c>
      <c r="E1256" s="7" t="s">
        <v>60</v>
      </c>
      <c r="F1256" s="7">
        <v>1</v>
      </c>
      <c r="G1256" s="7" t="s">
        <v>14</v>
      </c>
      <c r="H1256" s="7" t="s">
        <v>314</v>
      </c>
      <c r="J1256" s="7">
        <f t="shared" si="107"/>
        <v>1900</v>
      </c>
      <c r="K1256" s="7">
        <f t="shared" si="104"/>
        <v>1</v>
      </c>
      <c r="L1256" s="7">
        <f t="shared" si="105"/>
        <v>45891</v>
      </c>
      <c r="M1256" s="7" t="s">
        <v>537</v>
      </c>
      <c r="N1256" s="7" t="s">
        <v>922</v>
      </c>
      <c r="O1256" s="17" t="s">
        <v>682</v>
      </c>
      <c r="P1256" s="7">
        <f t="shared" si="108"/>
        <v>8</v>
      </c>
      <c r="Q1256" s="7">
        <f t="shared" si="106"/>
        <v>2025</v>
      </c>
    </row>
    <row r="1257" spans="1:17" x14ac:dyDescent="0.25">
      <c r="A1257" s="7">
        <v>2539</v>
      </c>
      <c r="B1257" s="9" t="s">
        <v>533</v>
      </c>
      <c r="C1257" s="9" t="s">
        <v>533</v>
      </c>
      <c r="D1257" s="8">
        <v>45891</v>
      </c>
      <c r="E1257" s="7" t="s">
        <v>60</v>
      </c>
      <c r="F1257" s="7">
        <v>1</v>
      </c>
      <c r="G1257" s="7" t="s">
        <v>14</v>
      </c>
      <c r="H1257" s="7" t="s">
        <v>314</v>
      </c>
      <c r="J1257" s="7">
        <f t="shared" si="107"/>
        <v>1900</v>
      </c>
      <c r="K1257" s="7">
        <f t="shared" si="104"/>
        <v>1</v>
      </c>
      <c r="L1257" s="7">
        <f t="shared" si="105"/>
        <v>45891</v>
      </c>
      <c r="M1257" s="7" t="s">
        <v>537</v>
      </c>
      <c r="N1257" s="7" t="s">
        <v>922</v>
      </c>
      <c r="O1257" s="17" t="s">
        <v>682</v>
      </c>
      <c r="P1257" s="7">
        <f t="shared" si="108"/>
        <v>8</v>
      </c>
      <c r="Q1257" s="7">
        <f t="shared" si="106"/>
        <v>2025</v>
      </c>
    </row>
    <row r="1258" spans="1:17" x14ac:dyDescent="0.25">
      <c r="A1258" s="7">
        <v>2539</v>
      </c>
      <c r="B1258" s="9" t="s">
        <v>533</v>
      </c>
      <c r="C1258" s="9" t="s">
        <v>533</v>
      </c>
      <c r="D1258" s="8">
        <v>45891</v>
      </c>
      <c r="E1258" s="7" t="s">
        <v>60</v>
      </c>
      <c r="F1258" s="7">
        <v>1</v>
      </c>
      <c r="G1258" s="7" t="s">
        <v>14</v>
      </c>
      <c r="H1258" s="7" t="s">
        <v>314</v>
      </c>
      <c r="J1258" s="7">
        <f t="shared" si="107"/>
        <v>1900</v>
      </c>
      <c r="K1258" s="7">
        <f t="shared" si="104"/>
        <v>1</v>
      </c>
      <c r="L1258" s="7">
        <f t="shared" si="105"/>
        <v>45891</v>
      </c>
      <c r="M1258" s="7" t="s">
        <v>537</v>
      </c>
      <c r="N1258" s="7" t="s">
        <v>922</v>
      </c>
      <c r="O1258" s="17" t="s">
        <v>682</v>
      </c>
      <c r="P1258" s="7">
        <f t="shared" si="108"/>
        <v>8</v>
      </c>
      <c r="Q1258" s="7">
        <f t="shared" si="106"/>
        <v>2025</v>
      </c>
    </row>
    <row r="1259" spans="1:17" x14ac:dyDescent="0.25">
      <c r="A1259" s="7">
        <v>2539</v>
      </c>
      <c r="B1259" s="9" t="s">
        <v>533</v>
      </c>
      <c r="C1259" s="9" t="s">
        <v>533</v>
      </c>
      <c r="D1259" s="8">
        <v>45891</v>
      </c>
      <c r="E1259" s="7" t="s">
        <v>60</v>
      </c>
      <c r="F1259" s="7">
        <v>1</v>
      </c>
      <c r="G1259" s="7" t="s">
        <v>14</v>
      </c>
      <c r="H1259" s="7" t="s">
        <v>314</v>
      </c>
      <c r="J1259" s="7">
        <f t="shared" si="107"/>
        <v>1900</v>
      </c>
      <c r="K1259" s="7">
        <f t="shared" si="104"/>
        <v>1</v>
      </c>
      <c r="L1259" s="7">
        <f t="shared" si="105"/>
        <v>45891</v>
      </c>
      <c r="M1259" s="7" t="s">
        <v>537</v>
      </c>
      <c r="N1259" s="7" t="s">
        <v>922</v>
      </c>
      <c r="O1259" s="17" t="s">
        <v>682</v>
      </c>
      <c r="P1259" s="7">
        <f t="shared" si="108"/>
        <v>8</v>
      </c>
      <c r="Q1259" s="7">
        <f t="shared" si="106"/>
        <v>2025</v>
      </c>
    </row>
    <row r="1260" spans="1:17" x14ac:dyDescent="0.25">
      <c r="A1260" s="7">
        <v>2539</v>
      </c>
      <c r="B1260" s="9" t="s">
        <v>533</v>
      </c>
      <c r="C1260" s="9" t="s">
        <v>533</v>
      </c>
      <c r="D1260" s="8">
        <v>45891</v>
      </c>
      <c r="E1260" s="7" t="s">
        <v>60</v>
      </c>
      <c r="F1260" s="7">
        <v>1</v>
      </c>
      <c r="G1260" s="7" t="s">
        <v>14</v>
      </c>
      <c r="H1260" s="7" t="s">
        <v>314</v>
      </c>
      <c r="J1260" s="7">
        <f t="shared" si="107"/>
        <v>1900</v>
      </c>
      <c r="K1260" s="7">
        <f t="shared" si="104"/>
        <v>1</v>
      </c>
      <c r="L1260" s="7">
        <f t="shared" si="105"/>
        <v>45891</v>
      </c>
      <c r="M1260" s="7" t="s">
        <v>537</v>
      </c>
      <c r="N1260" s="7" t="s">
        <v>922</v>
      </c>
      <c r="O1260" s="17" t="s">
        <v>682</v>
      </c>
      <c r="P1260" s="7">
        <f t="shared" si="108"/>
        <v>8</v>
      </c>
      <c r="Q1260" s="7">
        <f t="shared" si="106"/>
        <v>2025</v>
      </c>
    </row>
    <row r="1261" spans="1:17" x14ac:dyDescent="0.25">
      <c r="A1261" s="7">
        <v>2539</v>
      </c>
      <c r="B1261" s="9" t="s">
        <v>533</v>
      </c>
      <c r="C1261" s="9" t="s">
        <v>533</v>
      </c>
      <c r="D1261" s="8">
        <v>45891</v>
      </c>
      <c r="E1261" s="7" t="s">
        <v>60</v>
      </c>
      <c r="F1261" s="7">
        <v>1</v>
      </c>
      <c r="G1261" s="7" t="s">
        <v>14</v>
      </c>
      <c r="H1261" s="7" t="s">
        <v>314</v>
      </c>
      <c r="J1261" s="7">
        <f t="shared" si="107"/>
        <v>1900</v>
      </c>
      <c r="K1261" s="7">
        <f t="shared" ref="K1261:K1324" si="109">MONTH(I1261)</f>
        <v>1</v>
      </c>
      <c r="L1261" s="7">
        <f t="shared" si="105"/>
        <v>45891</v>
      </c>
      <c r="M1261" s="7" t="s">
        <v>537</v>
      </c>
      <c r="N1261" s="7" t="s">
        <v>922</v>
      </c>
      <c r="O1261" s="17" t="s">
        <v>682</v>
      </c>
      <c r="P1261" s="7">
        <f t="shared" si="108"/>
        <v>8</v>
      </c>
      <c r="Q1261" s="7">
        <f t="shared" si="106"/>
        <v>2025</v>
      </c>
    </row>
    <row r="1262" spans="1:17" x14ac:dyDescent="0.25">
      <c r="A1262" s="7">
        <v>2539</v>
      </c>
      <c r="B1262" s="9" t="s">
        <v>533</v>
      </c>
      <c r="C1262" s="9" t="s">
        <v>533</v>
      </c>
      <c r="D1262" s="8">
        <v>45891</v>
      </c>
      <c r="E1262" s="7" t="s">
        <v>60</v>
      </c>
      <c r="F1262" s="7">
        <v>1</v>
      </c>
      <c r="G1262" s="7" t="s">
        <v>14</v>
      </c>
      <c r="H1262" s="7" t="s">
        <v>314</v>
      </c>
      <c r="J1262" s="7">
        <f t="shared" si="107"/>
        <v>1900</v>
      </c>
      <c r="K1262" s="7">
        <f t="shared" si="109"/>
        <v>1</v>
      </c>
      <c r="L1262" s="7">
        <f t="shared" si="105"/>
        <v>45891</v>
      </c>
      <c r="M1262" s="7" t="s">
        <v>537</v>
      </c>
      <c r="N1262" s="7" t="s">
        <v>922</v>
      </c>
      <c r="O1262" s="17" t="s">
        <v>682</v>
      </c>
      <c r="P1262" s="7">
        <f t="shared" si="108"/>
        <v>8</v>
      </c>
      <c r="Q1262" s="7">
        <f t="shared" si="106"/>
        <v>2025</v>
      </c>
    </row>
    <row r="1263" spans="1:17" x14ac:dyDescent="0.25">
      <c r="A1263" s="7">
        <v>2539</v>
      </c>
      <c r="B1263" s="9" t="s">
        <v>533</v>
      </c>
      <c r="C1263" s="9" t="s">
        <v>533</v>
      </c>
      <c r="D1263" s="8">
        <v>45891</v>
      </c>
      <c r="E1263" s="7" t="s">
        <v>60</v>
      </c>
      <c r="F1263" s="7">
        <v>1</v>
      </c>
      <c r="G1263" s="7" t="s">
        <v>14</v>
      </c>
      <c r="H1263" s="7" t="s">
        <v>314</v>
      </c>
      <c r="J1263" s="7">
        <f t="shared" si="107"/>
        <v>1900</v>
      </c>
      <c r="K1263" s="7">
        <f t="shared" si="109"/>
        <v>1</v>
      </c>
      <c r="L1263" s="7">
        <f t="shared" ref="L1263:L1326" si="110">D1263-I1263</f>
        <v>45891</v>
      </c>
      <c r="M1263" s="7" t="s">
        <v>537</v>
      </c>
      <c r="N1263" s="7" t="s">
        <v>922</v>
      </c>
      <c r="O1263" s="17" t="s">
        <v>682</v>
      </c>
      <c r="P1263" s="7">
        <f t="shared" si="108"/>
        <v>8</v>
      </c>
      <c r="Q1263" s="7">
        <f t="shared" si="106"/>
        <v>2025</v>
      </c>
    </row>
    <row r="1264" spans="1:17" x14ac:dyDescent="0.25">
      <c r="A1264" s="7">
        <v>2539</v>
      </c>
      <c r="B1264" s="9" t="s">
        <v>533</v>
      </c>
      <c r="C1264" s="9" t="s">
        <v>533</v>
      </c>
      <c r="D1264" s="8">
        <v>45891</v>
      </c>
      <c r="E1264" s="7" t="s">
        <v>60</v>
      </c>
      <c r="F1264" s="7">
        <v>1</v>
      </c>
      <c r="G1264" s="7" t="s">
        <v>14</v>
      </c>
      <c r="H1264" s="7" t="s">
        <v>314</v>
      </c>
      <c r="J1264" s="7">
        <f t="shared" si="107"/>
        <v>1900</v>
      </c>
      <c r="K1264" s="7">
        <f t="shared" si="109"/>
        <v>1</v>
      </c>
      <c r="L1264" s="7">
        <f t="shared" si="110"/>
        <v>45891</v>
      </c>
      <c r="M1264" s="7" t="s">
        <v>537</v>
      </c>
      <c r="N1264" s="7" t="s">
        <v>922</v>
      </c>
      <c r="O1264" s="17" t="s">
        <v>682</v>
      </c>
      <c r="P1264" s="7">
        <f t="shared" si="108"/>
        <v>8</v>
      </c>
      <c r="Q1264" s="7">
        <f t="shared" si="106"/>
        <v>2025</v>
      </c>
    </row>
    <row r="1265" spans="1:17" x14ac:dyDescent="0.25">
      <c r="A1265" s="7">
        <v>2539</v>
      </c>
      <c r="B1265" s="9" t="s">
        <v>533</v>
      </c>
      <c r="C1265" s="9" t="s">
        <v>533</v>
      </c>
      <c r="D1265" s="8">
        <v>45891</v>
      </c>
      <c r="E1265" s="7" t="s">
        <v>60</v>
      </c>
      <c r="F1265" s="7">
        <v>1</v>
      </c>
      <c r="G1265" s="7" t="s">
        <v>14</v>
      </c>
      <c r="H1265" s="7" t="s">
        <v>314</v>
      </c>
      <c r="J1265" s="7">
        <f t="shared" si="107"/>
        <v>1900</v>
      </c>
      <c r="K1265" s="7">
        <f t="shared" si="109"/>
        <v>1</v>
      </c>
      <c r="L1265" s="7">
        <f t="shared" si="110"/>
        <v>45891</v>
      </c>
      <c r="M1265" s="7" t="s">
        <v>537</v>
      </c>
      <c r="N1265" s="7" t="s">
        <v>922</v>
      </c>
      <c r="O1265" s="17" t="s">
        <v>682</v>
      </c>
      <c r="P1265" s="7">
        <f t="shared" si="108"/>
        <v>8</v>
      </c>
      <c r="Q1265" s="7">
        <f t="shared" si="106"/>
        <v>2025</v>
      </c>
    </row>
    <row r="1266" spans="1:17" x14ac:dyDescent="0.25">
      <c r="A1266" s="7">
        <v>2539</v>
      </c>
      <c r="B1266" s="9" t="s">
        <v>533</v>
      </c>
      <c r="C1266" s="9" t="s">
        <v>533</v>
      </c>
      <c r="D1266" s="8">
        <v>45891</v>
      </c>
      <c r="E1266" s="7" t="s">
        <v>60</v>
      </c>
      <c r="F1266" s="7">
        <v>1</v>
      </c>
      <c r="G1266" s="7" t="s">
        <v>14</v>
      </c>
      <c r="H1266" s="7" t="s">
        <v>314</v>
      </c>
      <c r="J1266" s="7">
        <f t="shared" si="107"/>
        <v>1900</v>
      </c>
      <c r="K1266" s="7">
        <f t="shared" si="109"/>
        <v>1</v>
      </c>
      <c r="L1266" s="7">
        <f t="shared" si="110"/>
        <v>45891</v>
      </c>
      <c r="M1266" s="7" t="s">
        <v>537</v>
      </c>
      <c r="N1266" s="7" t="s">
        <v>922</v>
      </c>
      <c r="O1266" s="17" t="s">
        <v>682</v>
      </c>
      <c r="P1266" s="7">
        <f t="shared" si="108"/>
        <v>8</v>
      </c>
      <c r="Q1266" s="7">
        <f t="shared" si="106"/>
        <v>2025</v>
      </c>
    </row>
    <row r="1267" spans="1:17" x14ac:dyDescent="0.25">
      <c r="A1267" s="7">
        <v>2539</v>
      </c>
      <c r="B1267" s="9" t="s">
        <v>533</v>
      </c>
      <c r="C1267" s="9" t="s">
        <v>533</v>
      </c>
      <c r="D1267" s="8">
        <v>45891</v>
      </c>
      <c r="E1267" s="7" t="s">
        <v>60</v>
      </c>
      <c r="F1267" s="7">
        <v>1</v>
      </c>
      <c r="G1267" s="7" t="s">
        <v>14</v>
      </c>
      <c r="H1267" s="7" t="s">
        <v>314</v>
      </c>
      <c r="J1267" s="7">
        <f t="shared" si="107"/>
        <v>1900</v>
      </c>
      <c r="K1267" s="7">
        <f t="shared" si="109"/>
        <v>1</v>
      </c>
      <c r="L1267" s="7">
        <f t="shared" si="110"/>
        <v>45891</v>
      </c>
      <c r="M1267" s="7" t="s">
        <v>537</v>
      </c>
      <c r="N1267" s="7" t="s">
        <v>922</v>
      </c>
      <c r="O1267" s="17" t="s">
        <v>682</v>
      </c>
      <c r="P1267" s="7">
        <f t="shared" si="108"/>
        <v>8</v>
      </c>
      <c r="Q1267" s="7">
        <f t="shared" si="106"/>
        <v>2025</v>
      </c>
    </row>
    <row r="1268" spans="1:17" x14ac:dyDescent="0.25">
      <c r="A1268" s="7">
        <v>2539</v>
      </c>
      <c r="B1268" s="9" t="s">
        <v>533</v>
      </c>
      <c r="C1268" s="9" t="s">
        <v>533</v>
      </c>
      <c r="D1268" s="8">
        <v>45891</v>
      </c>
      <c r="E1268" s="7" t="s">
        <v>60</v>
      </c>
      <c r="F1268" s="7">
        <v>1</v>
      </c>
      <c r="G1268" s="7" t="s">
        <v>14</v>
      </c>
      <c r="H1268" s="7" t="s">
        <v>314</v>
      </c>
      <c r="J1268" s="7">
        <f t="shared" si="107"/>
        <v>1900</v>
      </c>
      <c r="K1268" s="7">
        <f t="shared" si="109"/>
        <v>1</v>
      </c>
      <c r="L1268" s="7">
        <f t="shared" si="110"/>
        <v>45891</v>
      </c>
      <c r="M1268" s="7" t="s">
        <v>537</v>
      </c>
      <c r="N1268" s="7" t="s">
        <v>922</v>
      </c>
      <c r="O1268" s="17" t="s">
        <v>682</v>
      </c>
      <c r="P1268" s="7">
        <f t="shared" si="108"/>
        <v>8</v>
      </c>
      <c r="Q1268" s="7">
        <f t="shared" si="106"/>
        <v>2025</v>
      </c>
    </row>
    <row r="1269" spans="1:17" x14ac:dyDescent="0.25">
      <c r="A1269" s="7">
        <v>2539</v>
      </c>
      <c r="B1269" s="9" t="s">
        <v>533</v>
      </c>
      <c r="C1269" s="9" t="s">
        <v>533</v>
      </c>
      <c r="D1269" s="8">
        <v>45891</v>
      </c>
      <c r="E1269" s="7" t="s">
        <v>60</v>
      </c>
      <c r="F1269" s="7">
        <v>1</v>
      </c>
      <c r="G1269" s="7" t="s">
        <v>14</v>
      </c>
      <c r="H1269" s="7" t="s">
        <v>314</v>
      </c>
      <c r="J1269" s="7">
        <f t="shared" si="107"/>
        <v>1900</v>
      </c>
      <c r="K1269" s="7">
        <f t="shared" si="109"/>
        <v>1</v>
      </c>
      <c r="L1269" s="7">
        <f t="shared" si="110"/>
        <v>45891</v>
      </c>
      <c r="M1269" s="7" t="s">
        <v>537</v>
      </c>
      <c r="N1269" s="7" t="s">
        <v>922</v>
      </c>
      <c r="O1269" s="17" t="s">
        <v>682</v>
      </c>
      <c r="P1269" s="7">
        <f t="shared" si="108"/>
        <v>8</v>
      </c>
      <c r="Q1269" s="7">
        <f t="shared" ref="Q1269:Q1332" si="111">YEAR(D1269)</f>
        <v>2025</v>
      </c>
    </row>
    <row r="1270" spans="1:17" x14ac:dyDescent="0.25">
      <c r="A1270" s="7">
        <v>2539</v>
      </c>
      <c r="B1270" s="9" t="s">
        <v>533</v>
      </c>
      <c r="C1270" s="9" t="s">
        <v>533</v>
      </c>
      <c r="D1270" s="8">
        <v>45891</v>
      </c>
      <c r="E1270" s="7" t="s">
        <v>60</v>
      </c>
      <c r="F1270" s="7">
        <v>1</v>
      </c>
      <c r="G1270" s="7" t="s">
        <v>14</v>
      </c>
      <c r="H1270" s="7" t="s">
        <v>314</v>
      </c>
      <c r="J1270" s="7">
        <f t="shared" si="107"/>
        <v>1900</v>
      </c>
      <c r="K1270" s="7">
        <f t="shared" si="109"/>
        <v>1</v>
      </c>
      <c r="L1270" s="7">
        <f t="shared" si="110"/>
        <v>45891</v>
      </c>
      <c r="M1270" s="7" t="s">
        <v>537</v>
      </c>
      <c r="N1270" s="7" t="s">
        <v>922</v>
      </c>
      <c r="O1270" s="17" t="s">
        <v>682</v>
      </c>
      <c r="P1270" s="7">
        <f t="shared" si="108"/>
        <v>8</v>
      </c>
      <c r="Q1270" s="7">
        <f t="shared" si="111"/>
        <v>2025</v>
      </c>
    </row>
    <row r="1271" spans="1:17" x14ac:dyDescent="0.25">
      <c r="A1271" s="7">
        <v>2539</v>
      </c>
      <c r="B1271" s="9" t="s">
        <v>533</v>
      </c>
      <c r="C1271" s="9" t="s">
        <v>533</v>
      </c>
      <c r="D1271" s="8">
        <v>45891</v>
      </c>
      <c r="E1271" s="7" t="s">
        <v>60</v>
      </c>
      <c r="F1271" s="7">
        <v>1</v>
      </c>
      <c r="G1271" s="7" t="s">
        <v>14</v>
      </c>
      <c r="H1271" s="7" t="s">
        <v>314</v>
      </c>
      <c r="J1271" s="7">
        <f t="shared" si="107"/>
        <v>1900</v>
      </c>
      <c r="K1271" s="7">
        <f t="shared" si="109"/>
        <v>1</v>
      </c>
      <c r="L1271" s="7">
        <f t="shared" si="110"/>
        <v>45891</v>
      </c>
      <c r="M1271" s="7" t="s">
        <v>537</v>
      </c>
      <c r="N1271" s="7" t="s">
        <v>922</v>
      </c>
      <c r="O1271" s="17" t="s">
        <v>682</v>
      </c>
      <c r="P1271" s="7">
        <f t="shared" si="108"/>
        <v>8</v>
      </c>
      <c r="Q1271" s="7">
        <f t="shared" si="111"/>
        <v>2025</v>
      </c>
    </row>
    <row r="1272" spans="1:17" x14ac:dyDescent="0.25">
      <c r="A1272" s="7">
        <v>2539</v>
      </c>
      <c r="B1272" s="9" t="s">
        <v>533</v>
      </c>
      <c r="C1272" s="9" t="s">
        <v>533</v>
      </c>
      <c r="D1272" s="8">
        <v>45891</v>
      </c>
      <c r="E1272" s="7" t="s">
        <v>60</v>
      </c>
      <c r="F1272" s="7">
        <v>1</v>
      </c>
      <c r="G1272" s="7" t="s">
        <v>14</v>
      </c>
      <c r="H1272" s="7" t="s">
        <v>314</v>
      </c>
      <c r="J1272" s="7">
        <f t="shared" si="107"/>
        <v>1900</v>
      </c>
      <c r="K1272" s="7">
        <f t="shared" si="109"/>
        <v>1</v>
      </c>
      <c r="L1272" s="7">
        <f t="shared" si="110"/>
        <v>45891</v>
      </c>
      <c r="M1272" s="7" t="s">
        <v>537</v>
      </c>
      <c r="N1272" s="7" t="s">
        <v>922</v>
      </c>
      <c r="O1272" s="17" t="s">
        <v>682</v>
      </c>
      <c r="P1272" s="7">
        <f t="shared" si="108"/>
        <v>8</v>
      </c>
      <c r="Q1272" s="7">
        <f t="shared" si="111"/>
        <v>2025</v>
      </c>
    </row>
    <row r="1273" spans="1:17" x14ac:dyDescent="0.25">
      <c r="A1273" s="7">
        <v>2539</v>
      </c>
      <c r="B1273" s="9" t="s">
        <v>533</v>
      </c>
      <c r="C1273" s="9" t="s">
        <v>533</v>
      </c>
      <c r="D1273" s="8">
        <v>45891</v>
      </c>
      <c r="E1273" s="7" t="s">
        <v>60</v>
      </c>
      <c r="F1273" s="7">
        <v>1</v>
      </c>
      <c r="G1273" s="7" t="s">
        <v>14</v>
      </c>
      <c r="H1273" s="7" t="s">
        <v>314</v>
      </c>
      <c r="J1273" s="7">
        <f t="shared" si="107"/>
        <v>1900</v>
      </c>
      <c r="K1273" s="7">
        <f t="shared" si="109"/>
        <v>1</v>
      </c>
      <c r="L1273" s="7">
        <f t="shared" si="110"/>
        <v>45891</v>
      </c>
      <c r="M1273" s="7" t="s">
        <v>537</v>
      </c>
      <c r="N1273" s="7" t="s">
        <v>922</v>
      </c>
      <c r="O1273" s="17" t="s">
        <v>682</v>
      </c>
      <c r="P1273" s="7">
        <f t="shared" si="108"/>
        <v>8</v>
      </c>
      <c r="Q1273" s="7">
        <f t="shared" si="111"/>
        <v>2025</v>
      </c>
    </row>
    <row r="1274" spans="1:17" x14ac:dyDescent="0.25">
      <c r="A1274" s="7">
        <v>2539</v>
      </c>
      <c r="B1274" s="9" t="s">
        <v>533</v>
      </c>
      <c r="C1274" s="9" t="s">
        <v>533</v>
      </c>
      <c r="D1274" s="8">
        <v>45891</v>
      </c>
      <c r="E1274" s="7" t="s">
        <v>60</v>
      </c>
      <c r="F1274" s="7">
        <v>1</v>
      </c>
      <c r="G1274" s="7" t="s">
        <v>14</v>
      </c>
      <c r="H1274" s="7" t="s">
        <v>314</v>
      </c>
      <c r="J1274" s="7">
        <f t="shared" si="107"/>
        <v>1900</v>
      </c>
      <c r="K1274" s="7">
        <f t="shared" si="109"/>
        <v>1</v>
      </c>
      <c r="L1274" s="7">
        <f t="shared" si="110"/>
        <v>45891</v>
      </c>
      <c r="M1274" s="7" t="s">
        <v>537</v>
      </c>
      <c r="N1274" s="7" t="s">
        <v>922</v>
      </c>
      <c r="O1274" s="17" t="s">
        <v>682</v>
      </c>
      <c r="P1274" s="7">
        <f t="shared" si="108"/>
        <v>8</v>
      </c>
      <c r="Q1274" s="7">
        <f t="shared" si="111"/>
        <v>2025</v>
      </c>
    </row>
    <row r="1275" spans="1:17" x14ac:dyDescent="0.25">
      <c r="A1275" s="7">
        <v>2539</v>
      </c>
      <c r="B1275" s="9" t="s">
        <v>533</v>
      </c>
      <c r="C1275" s="9" t="s">
        <v>533</v>
      </c>
      <c r="D1275" s="8">
        <v>45891</v>
      </c>
      <c r="E1275" s="7" t="s">
        <v>60</v>
      </c>
      <c r="F1275" s="7">
        <v>1</v>
      </c>
      <c r="G1275" s="7" t="s">
        <v>14</v>
      </c>
      <c r="H1275" s="7" t="s">
        <v>314</v>
      </c>
      <c r="J1275" s="7">
        <f t="shared" si="107"/>
        <v>1900</v>
      </c>
      <c r="K1275" s="7">
        <f t="shared" si="109"/>
        <v>1</v>
      </c>
      <c r="L1275" s="7">
        <f t="shared" si="110"/>
        <v>45891</v>
      </c>
      <c r="M1275" s="7" t="s">
        <v>537</v>
      </c>
      <c r="N1275" s="7" t="s">
        <v>922</v>
      </c>
      <c r="O1275" s="17" t="s">
        <v>682</v>
      </c>
      <c r="P1275" s="7">
        <f t="shared" si="108"/>
        <v>8</v>
      </c>
      <c r="Q1275" s="7">
        <f t="shared" si="111"/>
        <v>2025</v>
      </c>
    </row>
    <row r="1276" spans="1:17" x14ac:dyDescent="0.25">
      <c r="A1276" s="7">
        <v>2539</v>
      </c>
      <c r="B1276" s="9" t="s">
        <v>533</v>
      </c>
      <c r="C1276" s="9" t="s">
        <v>533</v>
      </c>
      <c r="D1276" s="8">
        <v>45891</v>
      </c>
      <c r="E1276" s="7" t="s">
        <v>60</v>
      </c>
      <c r="F1276" s="7">
        <v>1</v>
      </c>
      <c r="G1276" s="7" t="s">
        <v>14</v>
      </c>
      <c r="H1276" s="7" t="s">
        <v>314</v>
      </c>
      <c r="J1276" s="7">
        <f t="shared" si="107"/>
        <v>1900</v>
      </c>
      <c r="K1276" s="7">
        <f t="shared" si="109"/>
        <v>1</v>
      </c>
      <c r="L1276" s="7">
        <f t="shared" si="110"/>
        <v>45891</v>
      </c>
      <c r="M1276" s="7" t="s">
        <v>537</v>
      </c>
      <c r="N1276" s="7" t="s">
        <v>922</v>
      </c>
      <c r="O1276" s="17" t="s">
        <v>682</v>
      </c>
      <c r="P1276" s="7">
        <f t="shared" si="108"/>
        <v>8</v>
      </c>
      <c r="Q1276" s="7">
        <f t="shared" si="111"/>
        <v>2025</v>
      </c>
    </row>
    <row r="1277" spans="1:17" x14ac:dyDescent="0.25">
      <c r="A1277" s="7">
        <v>2539</v>
      </c>
      <c r="B1277" s="9" t="s">
        <v>533</v>
      </c>
      <c r="C1277" s="9" t="s">
        <v>533</v>
      </c>
      <c r="D1277" s="8">
        <v>45891</v>
      </c>
      <c r="E1277" s="7" t="s">
        <v>60</v>
      </c>
      <c r="F1277" s="7">
        <v>1</v>
      </c>
      <c r="G1277" s="7" t="s">
        <v>14</v>
      </c>
      <c r="H1277" s="7" t="s">
        <v>314</v>
      </c>
      <c r="J1277" s="7">
        <f t="shared" si="107"/>
        <v>1900</v>
      </c>
      <c r="K1277" s="7">
        <f t="shared" si="109"/>
        <v>1</v>
      </c>
      <c r="L1277" s="7">
        <f t="shared" si="110"/>
        <v>45891</v>
      </c>
      <c r="M1277" s="7" t="s">
        <v>537</v>
      </c>
      <c r="N1277" s="7" t="s">
        <v>922</v>
      </c>
      <c r="O1277" s="17" t="s">
        <v>682</v>
      </c>
      <c r="P1277" s="7">
        <f t="shared" si="108"/>
        <v>8</v>
      </c>
      <c r="Q1277" s="7">
        <f t="shared" si="111"/>
        <v>2025</v>
      </c>
    </row>
    <row r="1278" spans="1:17" x14ac:dyDescent="0.25">
      <c r="A1278" s="7">
        <v>2539</v>
      </c>
      <c r="B1278" s="9" t="s">
        <v>533</v>
      </c>
      <c r="C1278" s="9" t="s">
        <v>533</v>
      </c>
      <c r="D1278" s="8">
        <v>45891</v>
      </c>
      <c r="E1278" s="7" t="s">
        <v>60</v>
      </c>
      <c r="F1278" s="7">
        <v>1</v>
      </c>
      <c r="G1278" s="7" t="s">
        <v>14</v>
      </c>
      <c r="H1278" s="7" t="s">
        <v>314</v>
      </c>
      <c r="J1278" s="7">
        <f t="shared" si="107"/>
        <v>1900</v>
      </c>
      <c r="K1278" s="7">
        <f t="shared" si="109"/>
        <v>1</v>
      </c>
      <c r="L1278" s="7">
        <f t="shared" si="110"/>
        <v>45891</v>
      </c>
      <c r="M1278" s="7" t="s">
        <v>537</v>
      </c>
      <c r="N1278" s="7" t="s">
        <v>922</v>
      </c>
      <c r="O1278" s="17" t="s">
        <v>682</v>
      </c>
      <c r="P1278" s="7">
        <f t="shared" si="108"/>
        <v>8</v>
      </c>
      <c r="Q1278" s="7">
        <f t="shared" si="111"/>
        <v>2025</v>
      </c>
    </row>
    <row r="1279" spans="1:17" x14ac:dyDescent="0.25">
      <c r="A1279" s="7">
        <v>2539</v>
      </c>
      <c r="B1279" s="9" t="s">
        <v>533</v>
      </c>
      <c r="C1279" s="9" t="s">
        <v>533</v>
      </c>
      <c r="D1279" s="8">
        <v>45891</v>
      </c>
      <c r="E1279" s="7" t="s">
        <v>60</v>
      </c>
      <c r="F1279" s="7">
        <v>1</v>
      </c>
      <c r="G1279" s="7" t="s">
        <v>14</v>
      </c>
      <c r="H1279" s="7" t="s">
        <v>314</v>
      </c>
      <c r="J1279" s="7">
        <f t="shared" si="107"/>
        <v>1900</v>
      </c>
      <c r="K1279" s="7">
        <f t="shared" si="109"/>
        <v>1</v>
      </c>
      <c r="L1279" s="7">
        <f t="shared" si="110"/>
        <v>45891</v>
      </c>
      <c r="M1279" s="7" t="s">
        <v>537</v>
      </c>
      <c r="N1279" s="7" t="s">
        <v>922</v>
      </c>
      <c r="O1279" s="17" t="s">
        <v>682</v>
      </c>
      <c r="P1279" s="7">
        <f t="shared" si="108"/>
        <v>8</v>
      </c>
      <c r="Q1279" s="7">
        <f t="shared" si="111"/>
        <v>2025</v>
      </c>
    </row>
    <row r="1280" spans="1:17" x14ac:dyDescent="0.25">
      <c r="A1280" s="7">
        <v>2539</v>
      </c>
      <c r="B1280" s="9" t="s">
        <v>533</v>
      </c>
      <c r="C1280" s="9" t="s">
        <v>533</v>
      </c>
      <c r="D1280" s="8">
        <v>45891</v>
      </c>
      <c r="E1280" s="7" t="s">
        <v>60</v>
      </c>
      <c r="F1280" s="7">
        <v>1</v>
      </c>
      <c r="G1280" s="7" t="s">
        <v>14</v>
      </c>
      <c r="H1280" s="7" t="s">
        <v>314</v>
      </c>
      <c r="J1280" s="7">
        <f t="shared" si="107"/>
        <v>1900</v>
      </c>
      <c r="K1280" s="7">
        <f t="shared" si="109"/>
        <v>1</v>
      </c>
      <c r="L1280" s="7">
        <f t="shared" si="110"/>
        <v>45891</v>
      </c>
      <c r="M1280" s="7" t="s">
        <v>537</v>
      </c>
      <c r="N1280" s="7" t="s">
        <v>922</v>
      </c>
      <c r="O1280" s="17" t="s">
        <v>682</v>
      </c>
      <c r="P1280" s="7">
        <f t="shared" si="108"/>
        <v>8</v>
      </c>
      <c r="Q1280" s="7">
        <f t="shared" si="111"/>
        <v>2025</v>
      </c>
    </row>
    <row r="1281" spans="1:17" x14ac:dyDescent="0.25">
      <c r="A1281" s="7">
        <v>2539</v>
      </c>
      <c r="B1281" s="9" t="s">
        <v>533</v>
      </c>
      <c r="C1281" s="9" t="s">
        <v>533</v>
      </c>
      <c r="D1281" s="8">
        <v>45891</v>
      </c>
      <c r="E1281" s="7" t="s">
        <v>60</v>
      </c>
      <c r="F1281" s="7">
        <v>1</v>
      </c>
      <c r="G1281" s="7" t="s">
        <v>14</v>
      </c>
      <c r="H1281" s="7" t="s">
        <v>314</v>
      </c>
      <c r="J1281" s="7">
        <f t="shared" si="107"/>
        <v>1900</v>
      </c>
      <c r="K1281" s="7">
        <f t="shared" si="109"/>
        <v>1</v>
      </c>
      <c r="L1281" s="7">
        <f t="shared" si="110"/>
        <v>45891</v>
      </c>
      <c r="M1281" s="7" t="s">
        <v>537</v>
      </c>
      <c r="N1281" s="7" t="s">
        <v>922</v>
      </c>
      <c r="O1281" s="17" t="s">
        <v>682</v>
      </c>
      <c r="P1281" s="7">
        <f t="shared" si="108"/>
        <v>8</v>
      </c>
      <c r="Q1281" s="7">
        <f t="shared" si="111"/>
        <v>2025</v>
      </c>
    </row>
    <row r="1282" spans="1:17" x14ac:dyDescent="0.25">
      <c r="A1282" s="7">
        <v>2539</v>
      </c>
      <c r="B1282" s="9" t="s">
        <v>533</v>
      </c>
      <c r="C1282" s="9" t="s">
        <v>533</v>
      </c>
      <c r="D1282" s="8">
        <v>45891</v>
      </c>
      <c r="E1282" s="7" t="s">
        <v>60</v>
      </c>
      <c r="F1282" s="7">
        <v>1</v>
      </c>
      <c r="G1282" s="7" t="s">
        <v>14</v>
      </c>
      <c r="H1282" s="7" t="s">
        <v>314</v>
      </c>
      <c r="J1282" s="7">
        <f t="shared" si="107"/>
        <v>1900</v>
      </c>
      <c r="K1282" s="7">
        <f t="shared" si="109"/>
        <v>1</v>
      </c>
      <c r="L1282" s="7">
        <f t="shared" si="110"/>
        <v>45891</v>
      </c>
      <c r="M1282" s="7" t="s">
        <v>537</v>
      </c>
      <c r="N1282" s="7" t="s">
        <v>922</v>
      </c>
      <c r="O1282" s="17" t="s">
        <v>682</v>
      </c>
      <c r="P1282" s="7">
        <f t="shared" si="108"/>
        <v>8</v>
      </c>
      <c r="Q1282" s="7">
        <f t="shared" si="111"/>
        <v>2025</v>
      </c>
    </row>
    <row r="1283" spans="1:17" x14ac:dyDescent="0.25">
      <c r="A1283" s="7">
        <v>2539</v>
      </c>
      <c r="B1283" s="9" t="s">
        <v>533</v>
      </c>
      <c r="C1283" s="9" t="s">
        <v>533</v>
      </c>
      <c r="D1283" s="8">
        <v>45891</v>
      </c>
      <c r="E1283" s="7" t="s">
        <v>60</v>
      </c>
      <c r="F1283" s="7">
        <v>1</v>
      </c>
      <c r="G1283" s="7" t="s">
        <v>14</v>
      </c>
      <c r="H1283" s="7" t="s">
        <v>314</v>
      </c>
      <c r="J1283" s="7">
        <f t="shared" si="107"/>
        <v>1900</v>
      </c>
      <c r="K1283" s="7">
        <f t="shared" si="109"/>
        <v>1</v>
      </c>
      <c r="L1283" s="7">
        <f t="shared" si="110"/>
        <v>45891</v>
      </c>
      <c r="M1283" s="7" t="s">
        <v>537</v>
      </c>
      <c r="N1283" s="7" t="s">
        <v>922</v>
      </c>
      <c r="O1283" s="17" t="s">
        <v>682</v>
      </c>
      <c r="P1283" s="7">
        <f t="shared" si="108"/>
        <v>8</v>
      </c>
      <c r="Q1283" s="7">
        <f t="shared" si="111"/>
        <v>2025</v>
      </c>
    </row>
    <row r="1284" spans="1:17" x14ac:dyDescent="0.25">
      <c r="A1284" s="7">
        <v>2539</v>
      </c>
      <c r="B1284" s="9" t="s">
        <v>533</v>
      </c>
      <c r="C1284" s="9" t="s">
        <v>533</v>
      </c>
      <c r="D1284" s="8">
        <v>45891</v>
      </c>
      <c r="E1284" s="7" t="s">
        <v>60</v>
      </c>
      <c r="F1284" s="7">
        <v>1</v>
      </c>
      <c r="G1284" s="7" t="s">
        <v>14</v>
      </c>
      <c r="H1284" s="7" t="s">
        <v>314</v>
      </c>
      <c r="J1284" s="7">
        <f t="shared" si="107"/>
        <v>1900</v>
      </c>
      <c r="K1284" s="7">
        <f t="shared" si="109"/>
        <v>1</v>
      </c>
      <c r="L1284" s="7">
        <f t="shared" si="110"/>
        <v>45891</v>
      </c>
      <c r="M1284" s="7" t="s">
        <v>537</v>
      </c>
      <c r="N1284" s="7" t="s">
        <v>922</v>
      </c>
      <c r="O1284" s="17" t="s">
        <v>682</v>
      </c>
      <c r="P1284" s="7">
        <f t="shared" si="108"/>
        <v>8</v>
      </c>
      <c r="Q1284" s="7">
        <f t="shared" si="111"/>
        <v>2025</v>
      </c>
    </row>
    <row r="1285" spans="1:17" x14ac:dyDescent="0.25">
      <c r="A1285" s="7">
        <v>2539</v>
      </c>
      <c r="B1285" s="9" t="s">
        <v>533</v>
      </c>
      <c r="C1285" s="9" t="s">
        <v>533</v>
      </c>
      <c r="D1285" s="8">
        <v>45891</v>
      </c>
      <c r="E1285" s="7" t="s">
        <v>60</v>
      </c>
      <c r="F1285" s="7">
        <v>1</v>
      </c>
      <c r="G1285" s="7" t="s">
        <v>14</v>
      </c>
      <c r="H1285" s="7" t="s">
        <v>314</v>
      </c>
      <c r="J1285" s="7">
        <f t="shared" si="107"/>
        <v>1900</v>
      </c>
      <c r="K1285" s="7">
        <f t="shared" si="109"/>
        <v>1</v>
      </c>
      <c r="L1285" s="7">
        <f t="shared" si="110"/>
        <v>45891</v>
      </c>
      <c r="M1285" s="7" t="s">
        <v>537</v>
      </c>
      <c r="N1285" s="7" t="s">
        <v>922</v>
      </c>
      <c r="O1285" s="17" t="s">
        <v>682</v>
      </c>
      <c r="P1285" s="7">
        <f t="shared" si="108"/>
        <v>8</v>
      </c>
      <c r="Q1285" s="7">
        <f t="shared" si="111"/>
        <v>2025</v>
      </c>
    </row>
    <row r="1286" spans="1:17" x14ac:dyDescent="0.25">
      <c r="A1286" s="7">
        <v>2539</v>
      </c>
      <c r="B1286" s="9" t="s">
        <v>533</v>
      </c>
      <c r="C1286" s="9" t="s">
        <v>533</v>
      </c>
      <c r="D1286" s="8">
        <v>45891</v>
      </c>
      <c r="E1286" s="7" t="s">
        <v>60</v>
      </c>
      <c r="F1286" s="7">
        <v>1</v>
      </c>
      <c r="G1286" s="7" t="s">
        <v>14</v>
      </c>
      <c r="H1286" s="7" t="s">
        <v>314</v>
      </c>
      <c r="J1286" s="7">
        <f t="shared" si="107"/>
        <v>1900</v>
      </c>
      <c r="K1286" s="7">
        <f t="shared" si="109"/>
        <v>1</v>
      </c>
      <c r="L1286" s="7">
        <f t="shared" si="110"/>
        <v>45891</v>
      </c>
      <c r="M1286" s="7" t="s">
        <v>537</v>
      </c>
      <c r="N1286" s="7" t="s">
        <v>922</v>
      </c>
      <c r="O1286" s="17" t="s">
        <v>682</v>
      </c>
      <c r="P1286" s="7">
        <f t="shared" si="108"/>
        <v>8</v>
      </c>
      <c r="Q1286" s="7">
        <f t="shared" si="111"/>
        <v>2025</v>
      </c>
    </row>
    <row r="1287" spans="1:17" x14ac:dyDescent="0.25">
      <c r="A1287" s="7">
        <v>2539</v>
      </c>
      <c r="B1287" s="9" t="s">
        <v>533</v>
      </c>
      <c r="C1287" s="9" t="s">
        <v>533</v>
      </c>
      <c r="D1287" s="8">
        <v>45891</v>
      </c>
      <c r="E1287" s="7" t="s">
        <v>60</v>
      </c>
      <c r="F1287" s="7">
        <v>1</v>
      </c>
      <c r="G1287" s="7" t="s">
        <v>14</v>
      </c>
      <c r="H1287" s="7" t="s">
        <v>314</v>
      </c>
      <c r="J1287" s="7">
        <f t="shared" si="107"/>
        <v>1900</v>
      </c>
      <c r="K1287" s="7">
        <f t="shared" si="109"/>
        <v>1</v>
      </c>
      <c r="L1287" s="7">
        <f t="shared" si="110"/>
        <v>45891</v>
      </c>
      <c r="M1287" s="7" t="s">
        <v>537</v>
      </c>
      <c r="N1287" s="7" t="s">
        <v>922</v>
      </c>
      <c r="O1287" s="17" t="s">
        <v>682</v>
      </c>
      <c r="P1287" s="7">
        <f t="shared" si="108"/>
        <v>8</v>
      </c>
      <c r="Q1287" s="7">
        <f t="shared" si="111"/>
        <v>2025</v>
      </c>
    </row>
    <row r="1288" spans="1:17" x14ac:dyDescent="0.25">
      <c r="A1288" s="7">
        <v>2539</v>
      </c>
      <c r="B1288" s="9" t="s">
        <v>533</v>
      </c>
      <c r="C1288" s="9" t="s">
        <v>533</v>
      </c>
      <c r="D1288" s="8">
        <v>45891</v>
      </c>
      <c r="E1288" s="7" t="s">
        <v>60</v>
      </c>
      <c r="F1288" s="7">
        <v>1</v>
      </c>
      <c r="G1288" s="7" t="s">
        <v>14</v>
      </c>
      <c r="H1288" s="7" t="s">
        <v>314</v>
      </c>
      <c r="J1288" s="7">
        <f t="shared" si="107"/>
        <v>1900</v>
      </c>
      <c r="K1288" s="7">
        <f t="shared" si="109"/>
        <v>1</v>
      </c>
      <c r="L1288" s="7">
        <f t="shared" si="110"/>
        <v>45891</v>
      </c>
      <c r="M1288" s="7" t="s">
        <v>537</v>
      </c>
      <c r="N1288" s="7" t="s">
        <v>922</v>
      </c>
      <c r="O1288" s="17" t="s">
        <v>682</v>
      </c>
      <c r="P1288" s="7">
        <f t="shared" si="108"/>
        <v>8</v>
      </c>
      <c r="Q1288" s="7">
        <f t="shared" si="111"/>
        <v>2025</v>
      </c>
    </row>
    <row r="1289" spans="1:17" x14ac:dyDescent="0.25">
      <c r="A1289" s="7">
        <v>2539</v>
      </c>
      <c r="B1289" s="9" t="s">
        <v>533</v>
      </c>
      <c r="C1289" s="9" t="s">
        <v>533</v>
      </c>
      <c r="D1289" s="8">
        <v>45891</v>
      </c>
      <c r="E1289" s="7" t="s">
        <v>60</v>
      </c>
      <c r="F1289" s="7">
        <v>1</v>
      </c>
      <c r="G1289" s="7" t="s">
        <v>14</v>
      </c>
      <c r="H1289" s="7" t="s">
        <v>314</v>
      </c>
      <c r="J1289" s="7">
        <f t="shared" si="107"/>
        <v>1900</v>
      </c>
      <c r="K1289" s="7">
        <f t="shared" si="109"/>
        <v>1</v>
      </c>
      <c r="L1289" s="7">
        <f t="shared" si="110"/>
        <v>45891</v>
      </c>
      <c r="M1289" s="7" t="s">
        <v>537</v>
      </c>
      <c r="N1289" s="7" t="s">
        <v>922</v>
      </c>
      <c r="O1289" s="17" t="s">
        <v>682</v>
      </c>
      <c r="P1289" s="7">
        <f t="shared" si="108"/>
        <v>8</v>
      </c>
      <c r="Q1289" s="7">
        <f t="shared" si="111"/>
        <v>2025</v>
      </c>
    </row>
    <row r="1290" spans="1:17" x14ac:dyDescent="0.25">
      <c r="A1290" s="7">
        <v>2539</v>
      </c>
      <c r="B1290" s="9" t="s">
        <v>533</v>
      </c>
      <c r="C1290" s="9" t="s">
        <v>533</v>
      </c>
      <c r="D1290" s="8">
        <v>45891</v>
      </c>
      <c r="E1290" s="7" t="s">
        <v>60</v>
      </c>
      <c r="F1290" s="7">
        <v>1</v>
      </c>
      <c r="G1290" s="7" t="s">
        <v>14</v>
      </c>
      <c r="H1290" s="7" t="s">
        <v>314</v>
      </c>
      <c r="J1290" s="7">
        <f t="shared" si="107"/>
        <v>1900</v>
      </c>
      <c r="K1290" s="7">
        <f t="shared" si="109"/>
        <v>1</v>
      </c>
      <c r="L1290" s="7">
        <f t="shared" si="110"/>
        <v>45891</v>
      </c>
      <c r="M1290" s="7" t="s">
        <v>537</v>
      </c>
      <c r="N1290" s="7" t="s">
        <v>922</v>
      </c>
      <c r="O1290" s="17" t="s">
        <v>682</v>
      </c>
      <c r="P1290" s="7">
        <f t="shared" si="108"/>
        <v>8</v>
      </c>
      <c r="Q1290" s="7">
        <f t="shared" si="111"/>
        <v>2025</v>
      </c>
    </row>
    <row r="1291" spans="1:17" x14ac:dyDescent="0.25">
      <c r="A1291" s="7">
        <v>2539</v>
      </c>
      <c r="B1291" s="9" t="s">
        <v>533</v>
      </c>
      <c r="C1291" s="9" t="s">
        <v>533</v>
      </c>
      <c r="D1291" s="8">
        <v>45891</v>
      </c>
      <c r="E1291" s="7" t="s">
        <v>60</v>
      </c>
      <c r="F1291" s="7">
        <v>1</v>
      </c>
      <c r="G1291" s="7" t="s">
        <v>14</v>
      </c>
      <c r="H1291" s="7" t="s">
        <v>314</v>
      </c>
      <c r="J1291" s="7">
        <f t="shared" si="107"/>
        <v>1900</v>
      </c>
      <c r="K1291" s="7">
        <f t="shared" si="109"/>
        <v>1</v>
      </c>
      <c r="L1291" s="7">
        <f t="shared" si="110"/>
        <v>45891</v>
      </c>
      <c r="M1291" s="7" t="s">
        <v>537</v>
      </c>
      <c r="N1291" s="7" t="s">
        <v>922</v>
      </c>
      <c r="O1291" s="17" t="s">
        <v>682</v>
      </c>
      <c r="P1291" s="7">
        <f t="shared" si="108"/>
        <v>8</v>
      </c>
      <c r="Q1291" s="7">
        <f t="shared" si="111"/>
        <v>2025</v>
      </c>
    </row>
    <row r="1292" spans="1:17" x14ac:dyDescent="0.25">
      <c r="A1292" s="7">
        <v>2539</v>
      </c>
      <c r="B1292" s="9" t="s">
        <v>533</v>
      </c>
      <c r="C1292" s="9" t="s">
        <v>533</v>
      </c>
      <c r="D1292" s="8">
        <v>45891</v>
      </c>
      <c r="E1292" s="7" t="s">
        <v>60</v>
      </c>
      <c r="F1292" s="7">
        <v>1</v>
      </c>
      <c r="G1292" s="7" t="s">
        <v>14</v>
      </c>
      <c r="H1292" s="7" t="s">
        <v>314</v>
      </c>
      <c r="J1292" s="7">
        <f t="shared" si="107"/>
        <v>1900</v>
      </c>
      <c r="K1292" s="7">
        <f t="shared" si="109"/>
        <v>1</v>
      </c>
      <c r="L1292" s="7">
        <f t="shared" si="110"/>
        <v>45891</v>
      </c>
      <c r="M1292" s="7" t="s">
        <v>537</v>
      </c>
      <c r="N1292" s="7" t="s">
        <v>922</v>
      </c>
      <c r="O1292" s="17" t="s">
        <v>682</v>
      </c>
      <c r="P1292" s="7">
        <f t="shared" si="108"/>
        <v>8</v>
      </c>
      <c r="Q1292" s="7">
        <f t="shared" si="111"/>
        <v>2025</v>
      </c>
    </row>
    <row r="1293" spans="1:17" x14ac:dyDescent="0.25">
      <c r="A1293" s="7">
        <v>2539</v>
      </c>
      <c r="B1293" s="9" t="s">
        <v>533</v>
      </c>
      <c r="C1293" s="9" t="s">
        <v>533</v>
      </c>
      <c r="D1293" s="8">
        <v>45891</v>
      </c>
      <c r="E1293" s="7" t="s">
        <v>60</v>
      </c>
      <c r="F1293" s="7">
        <v>1</v>
      </c>
      <c r="G1293" s="7" t="s">
        <v>14</v>
      </c>
      <c r="H1293" s="7" t="s">
        <v>314</v>
      </c>
      <c r="J1293" s="7">
        <f t="shared" si="107"/>
        <v>1900</v>
      </c>
      <c r="K1293" s="7">
        <f t="shared" si="109"/>
        <v>1</v>
      </c>
      <c r="L1293" s="7">
        <f t="shared" si="110"/>
        <v>45891</v>
      </c>
      <c r="M1293" s="7" t="s">
        <v>537</v>
      </c>
      <c r="N1293" s="7" t="s">
        <v>922</v>
      </c>
      <c r="O1293" s="17" t="s">
        <v>682</v>
      </c>
      <c r="P1293" s="7">
        <f t="shared" si="108"/>
        <v>8</v>
      </c>
      <c r="Q1293" s="7">
        <f t="shared" si="111"/>
        <v>2025</v>
      </c>
    </row>
    <row r="1294" spans="1:17" x14ac:dyDescent="0.25">
      <c r="A1294" s="7">
        <v>2539</v>
      </c>
      <c r="B1294" s="9" t="s">
        <v>533</v>
      </c>
      <c r="C1294" s="9" t="s">
        <v>533</v>
      </c>
      <c r="D1294" s="8">
        <v>45891</v>
      </c>
      <c r="E1294" s="7" t="s">
        <v>60</v>
      </c>
      <c r="F1294" s="7">
        <v>1</v>
      </c>
      <c r="G1294" s="7" t="s">
        <v>14</v>
      </c>
      <c r="H1294" s="7" t="s">
        <v>314</v>
      </c>
      <c r="J1294" s="7">
        <f t="shared" si="107"/>
        <v>1900</v>
      </c>
      <c r="K1294" s="7">
        <f t="shared" si="109"/>
        <v>1</v>
      </c>
      <c r="L1294" s="7">
        <f t="shared" si="110"/>
        <v>45891</v>
      </c>
      <c r="M1294" s="7" t="s">
        <v>537</v>
      </c>
      <c r="N1294" s="7" t="s">
        <v>922</v>
      </c>
      <c r="O1294" s="17" t="s">
        <v>682</v>
      </c>
      <c r="P1294" s="7">
        <f t="shared" si="108"/>
        <v>8</v>
      </c>
      <c r="Q1294" s="7">
        <f t="shared" si="111"/>
        <v>2025</v>
      </c>
    </row>
    <row r="1295" spans="1:17" x14ac:dyDescent="0.25">
      <c r="A1295" s="7">
        <v>2539</v>
      </c>
      <c r="B1295" s="9" t="s">
        <v>533</v>
      </c>
      <c r="C1295" s="9" t="s">
        <v>533</v>
      </c>
      <c r="D1295" s="8">
        <v>45891</v>
      </c>
      <c r="E1295" s="7" t="s">
        <v>60</v>
      </c>
      <c r="F1295" s="7">
        <v>1</v>
      </c>
      <c r="G1295" s="7" t="s">
        <v>14</v>
      </c>
      <c r="H1295" s="7" t="s">
        <v>314</v>
      </c>
      <c r="J1295" s="7">
        <f t="shared" si="107"/>
        <v>1900</v>
      </c>
      <c r="K1295" s="7">
        <f t="shared" si="109"/>
        <v>1</v>
      </c>
      <c r="L1295" s="7">
        <f t="shared" si="110"/>
        <v>45891</v>
      </c>
      <c r="M1295" s="7" t="s">
        <v>537</v>
      </c>
      <c r="N1295" s="7" t="s">
        <v>922</v>
      </c>
      <c r="O1295" s="17" t="s">
        <v>682</v>
      </c>
      <c r="P1295" s="7">
        <f t="shared" si="108"/>
        <v>8</v>
      </c>
      <c r="Q1295" s="7">
        <f t="shared" si="111"/>
        <v>2025</v>
      </c>
    </row>
    <row r="1296" spans="1:17" x14ac:dyDescent="0.25">
      <c r="A1296" s="7">
        <v>2539</v>
      </c>
      <c r="B1296" s="9" t="s">
        <v>533</v>
      </c>
      <c r="C1296" s="9" t="s">
        <v>533</v>
      </c>
      <c r="D1296" s="8">
        <v>45891</v>
      </c>
      <c r="E1296" s="7" t="s">
        <v>60</v>
      </c>
      <c r="F1296" s="7">
        <v>1</v>
      </c>
      <c r="G1296" s="7" t="s">
        <v>14</v>
      </c>
      <c r="H1296" s="7" t="s">
        <v>314</v>
      </c>
      <c r="J1296" s="7">
        <f t="shared" si="107"/>
        <v>1900</v>
      </c>
      <c r="K1296" s="7">
        <f t="shared" si="109"/>
        <v>1</v>
      </c>
      <c r="L1296" s="7">
        <f t="shared" si="110"/>
        <v>45891</v>
      </c>
      <c r="M1296" s="7" t="s">
        <v>537</v>
      </c>
      <c r="N1296" s="7" t="s">
        <v>922</v>
      </c>
      <c r="O1296" s="17" t="s">
        <v>682</v>
      </c>
      <c r="P1296" s="7">
        <f t="shared" si="108"/>
        <v>8</v>
      </c>
      <c r="Q1296" s="7">
        <f t="shared" si="111"/>
        <v>2025</v>
      </c>
    </row>
    <row r="1297" spans="1:17" x14ac:dyDescent="0.25">
      <c r="A1297" s="7">
        <v>2539</v>
      </c>
      <c r="B1297" s="9" t="s">
        <v>533</v>
      </c>
      <c r="C1297" s="9" t="s">
        <v>533</v>
      </c>
      <c r="D1297" s="8">
        <v>45891</v>
      </c>
      <c r="E1297" s="7" t="s">
        <v>60</v>
      </c>
      <c r="F1297" s="7">
        <v>1</v>
      </c>
      <c r="G1297" s="7" t="s">
        <v>14</v>
      </c>
      <c r="H1297" s="7" t="s">
        <v>314</v>
      </c>
      <c r="J1297" s="7">
        <f t="shared" ref="J1297:J1360" si="112">YEAR(I1297)</f>
        <v>1900</v>
      </c>
      <c r="K1297" s="7">
        <f t="shared" si="109"/>
        <v>1</v>
      </c>
      <c r="L1297" s="7">
        <f t="shared" si="110"/>
        <v>45891</v>
      </c>
      <c r="M1297" s="7" t="s">
        <v>537</v>
      </c>
      <c r="N1297" s="7" t="s">
        <v>922</v>
      </c>
      <c r="O1297" s="17" t="s">
        <v>682</v>
      </c>
      <c r="P1297" s="7">
        <f t="shared" si="108"/>
        <v>8</v>
      </c>
      <c r="Q1297" s="7">
        <f t="shared" si="111"/>
        <v>2025</v>
      </c>
    </row>
    <row r="1298" spans="1:17" x14ac:dyDescent="0.25">
      <c r="A1298" s="7">
        <v>2539</v>
      </c>
      <c r="B1298" s="9" t="s">
        <v>533</v>
      </c>
      <c r="C1298" s="9" t="s">
        <v>533</v>
      </c>
      <c r="D1298" s="8">
        <v>45891</v>
      </c>
      <c r="E1298" s="7" t="s">
        <v>60</v>
      </c>
      <c r="F1298" s="7">
        <v>1</v>
      </c>
      <c r="G1298" s="7" t="s">
        <v>14</v>
      </c>
      <c r="H1298" s="7" t="s">
        <v>314</v>
      </c>
      <c r="J1298" s="7">
        <f t="shared" si="112"/>
        <v>1900</v>
      </c>
      <c r="K1298" s="7">
        <f t="shared" si="109"/>
        <v>1</v>
      </c>
      <c r="L1298" s="7">
        <f t="shared" si="110"/>
        <v>45891</v>
      </c>
      <c r="M1298" s="7" t="s">
        <v>537</v>
      </c>
      <c r="N1298" s="7" t="s">
        <v>922</v>
      </c>
      <c r="O1298" s="17" t="s">
        <v>682</v>
      </c>
      <c r="P1298" s="7">
        <f t="shared" si="108"/>
        <v>8</v>
      </c>
      <c r="Q1298" s="7">
        <f t="shared" si="111"/>
        <v>2025</v>
      </c>
    </row>
    <row r="1299" spans="1:17" x14ac:dyDescent="0.25">
      <c r="A1299" s="7">
        <v>2539</v>
      </c>
      <c r="B1299" s="9" t="s">
        <v>533</v>
      </c>
      <c r="C1299" s="9" t="s">
        <v>533</v>
      </c>
      <c r="D1299" s="8">
        <v>45891</v>
      </c>
      <c r="E1299" s="7" t="s">
        <v>60</v>
      </c>
      <c r="F1299" s="7">
        <v>1</v>
      </c>
      <c r="G1299" s="7" t="s">
        <v>14</v>
      </c>
      <c r="H1299" s="7" t="s">
        <v>314</v>
      </c>
      <c r="J1299" s="7">
        <f t="shared" si="112"/>
        <v>1900</v>
      </c>
      <c r="K1299" s="7">
        <f t="shared" si="109"/>
        <v>1</v>
      </c>
      <c r="L1299" s="7">
        <f t="shared" si="110"/>
        <v>45891</v>
      </c>
      <c r="M1299" s="7" t="s">
        <v>537</v>
      </c>
      <c r="N1299" s="7" t="s">
        <v>922</v>
      </c>
      <c r="O1299" s="17" t="s">
        <v>682</v>
      </c>
      <c r="P1299" s="7">
        <f t="shared" si="108"/>
        <v>8</v>
      </c>
      <c r="Q1299" s="7">
        <f t="shared" si="111"/>
        <v>2025</v>
      </c>
    </row>
    <row r="1300" spans="1:17" x14ac:dyDescent="0.25">
      <c r="A1300" s="7">
        <v>2539</v>
      </c>
      <c r="B1300" s="9" t="s">
        <v>533</v>
      </c>
      <c r="C1300" s="9" t="s">
        <v>533</v>
      </c>
      <c r="D1300" s="8">
        <v>45891</v>
      </c>
      <c r="E1300" s="7" t="s">
        <v>60</v>
      </c>
      <c r="F1300" s="7">
        <v>1</v>
      </c>
      <c r="G1300" s="7" t="s">
        <v>14</v>
      </c>
      <c r="H1300" s="7" t="s">
        <v>314</v>
      </c>
      <c r="J1300" s="7">
        <f t="shared" si="112"/>
        <v>1900</v>
      </c>
      <c r="K1300" s="7">
        <f t="shared" si="109"/>
        <v>1</v>
      </c>
      <c r="L1300" s="7">
        <f t="shared" si="110"/>
        <v>45891</v>
      </c>
      <c r="M1300" s="7" t="s">
        <v>537</v>
      </c>
      <c r="N1300" s="7" t="s">
        <v>922</v>
      </c>
      <c r="O1300" s="17" t="s">
        <v>682</v>
      </c>
      <c r="P1300" s="7">
        <f t="shared" si="108"/>
        <v>8</v>
      </c>
      <c r="Q1300" s="7">
        <f t="shared" si="111"/>
        <v>2025</v>
      </c>
    </row>
    <row r="1301" spans="1:17" x14ac:dyDescent="0.25">
      <c r="A1301" s="7">
        <v>2539</v>
      </c>
      <c r="B1301" s="9" t="s">
        <v>533</v>
      </c>
      <c r="C1301" s="9" t="s">
        <v>533</v>
      </c>
      <c r="D1301" s="8">
        <v>45891</v>
      </c>
      <c r="E1301" s="7" t="s">
        <v>60</v>
      </c>
      <c r="F1301" s="7">
        <v>1</v>
      </c>
      <c r="G1301" s="7" t="s">
        <v>14</v>
      </c>
      <c r="H1301" s="7" t="s">
        <v>314</v>
      </c>
      <c r="J1301" s="7">
        <f t="shared" si="112"/>
        <v>1900</v>
      </c>
      <c r="K1301" s="7">
        <f t="shared" si="109"/>
        <v>1</v>
      </c>
      <c r="L1301" s="7">
        <f t="shared" si="110"/>
        <v>45891</v>
      </c>
      <c r="M1301" s="7" t="s">
        <v>537</v>
      </c>
      <c r="N1301" s="7" t="s">
        <v>922</v>
      </c>
      <c r="O1301" s="17" t="s">
        <v>682</v>
      </c>
      <c r="P1301" s="7">
        <f t="shared" si="108"/>
        <v>8</v>
      </c>
      <c r="Q1301" s="7">
        <f t="shared" si="111"/>
        <v>2025</v>
      </c>
    </row>
    <row r="1302" spans="1:17" x14ac:dyDescent="0.25">
      <c r="A1302" s="7">
        <v>2539</v>
      </c>
      <c r="B1302" s="9" t="s">
        <v>533</v>
      </c>
      <c r="C1302" s="9" t="s">
        <v>533</v>
      </c>
      <c r="D1302" s="8">
        <v>45891</v>
      </c>
      <c r="E1302" s="7" t="s">
        <v>60</v>
      </c>
      <c r="F1302" s="7">
        <v>1</v>
      </c>
      <c r="G1302" s="7" t="s">
        <v>14</v>
      </c>
      <c r="H1302" s="7" t="s">
        <v>314</v>
      </c>
      <c r="J1302" s="7">
        <f t="shared" si="112"/>
        <v>1900</v>
      </c>
      <c r="K1302" s="7">
        <f t="shared" si="109"/>
        <v>1</v>
      </c>
      <c r="L1302" s="7">
        <f t="shared" si="110"/>
        <v>45891</v>
      </c>
      <c r="M1302" s="7" t="s">
        <v>537</v>
      </c>
      <c r="N1302" s="7" t="s">
        <v>922</v>
      </c>
      <c r="O1302" s="17" t="s">
        <v>682</v>
      </c>
      <c r="P1302" s="7">
        <f t="shared" si="108"/>
        <v>8</v>
      </c>
      <c r="Q1302" s="7">
        <f t="shared" si="111"/>
        <v>2025</v>
      </c>
    </row>
    <row r="1303" spans="1:17" x14ac:dyDescent="0.25">
      <c r="A1303" s="7">
        <v>2539</v>
      </c>
      <c r="B1303" s="9" t="s">
        <v>533</v>
      </c>
      <c r="C1303" s="9" t="s">
        <v>533</v>
      </c>
      <c r="D1303" s="8">
        <v>45891</v>
      </c>
      <c r="E1303" s="7" t="s">
        <v>60</v>
      </c>
      <c r="F1303" s="7">
        <v>1</v>
      </c>
      <c r="G1303" s="7" t="s">
        <v>14</v>
      </c>
      <c r="H1303" s="7" t="s">
        <v>314</v>
      </c>
      <c r="J1303" s="7">
        <f t="shared" si="112"/>
        <v>1900</v>
      </c>
      <c r="K1303" s="7">
        <f t="shared" si="109"/>
        <v>1</v>
      </c>
      <c r="L1303" s="7">
        <f t="shared" si="110"/>
        <v>45891</v>
      </c>
      <c r="M1303" s="7" t="s">
        <v>537</v>
      </c>
      <c r="N1303" s="7" t="s">
        <v>922</v>
      </c>
      <c r="O1303" s="17" t="s">
        <v>682</v>
      </c>
      <c r="P1303" s="7">
        <f t="shared" si="108"/>
        <v>8</v>
      </c>
      <c r="Q1303" s="7">
        <f t="shared" si="111"/>
        <v>2025</v>
      </c>
    </row>
    <row r="1304" spans="1:17" x14ac:dyDescent="0.25">
      <c r="A1304" s="7">
        <v>2539</v>
      </c>
      <c r="B1304" s="9" t="s">
        <v>533</v>
      </c>
      <c r="C1304" s="9" t="s">
        <v>533</v>
      </c>
      <c r="D1304" s="8">
        <v>45891</v>
      </c>
      <c r="E1304" s="7" t="s">
        <v>60</v>
      </c>
      <c r="F1304" s="7">
        <v>1</v>
      </c>
      <c r="G1304" s="7" t="s">
        <v>14</v>
      </c>
      <c r="H1304" s="7" t="s">
        <v>314</v>
      </c>
      <c r="J1304" s="7">
        <f t="shared" si="112"/>
        <v>1900</v>
      </c>
      <c r="K1304" s="7">
        <f t="shared" si="109"/>
        <v>1</v>
      </c>
      <c r="L1304" s="7">
        <f t="shared" si="110"/>
        <v>45891</v>
      </c>
      <c r="M1304" s="7" t="s">
        <v>537</v>
      </c>
      <c r="N1304" s="7" t="s">
        <v>922</v>
      </c>
      <c r="O1304" s="17" t="s">
        <v>682</v>
      </c>
      <c r="P1304" s="7">
        <f t="shared" si="108"/>
        <v>8</v>
      </c>
      <c r="Q1304" s="7">
        <f t="shared" si="111"/>
        <v>2025</v>
      </c>
    </row>
    <row r="1305" spans="1:17" x14ac:dyDescent="0.25">
      <c r="A1305" s="7">
        <v>2539</v>
      </c>
      <c r="B1305" s="9" t="s">
        <v>533</v>
      </c>
      <c r="C1305" s="9" t="s">
        <v>533</v>
      </c>
      <c r="D1305" s="8">
        <v>45891</v>
      </c>
      <c r="E1305" s="7" t="s">
        <v>60</v>
      </c>
      <c r="F1305" s="7">
        <v>1</v>
      </c>
      <c r="G1305" s="7" t="s">
        <v>14</v>
      </c>
      <c r="H1305" s="7" t="s">
        <v>314</v>
      </c>
      <c r="J1305" s="7">
        <f t="shared" si="112"/>
        <v>1900</v>
      </c>
      <c r="K1305" s="7">
        <f t="shared" si="109"/>
        <v>1</v>
      </c>
      <c r="L1305" s="7">
        <f t="shared" si="110"/>
        <v>45891</v>
      </c>
      <c r="M1305" s="7" t="s">
        <v>537</v>
      </c>
      <c r="N1305" s="7" t="s">
        <v>922</v>
      </c>
      <c r="O1305" s="17" t="s">
        <v>682</v>
      </c>
      <c r="P1305" s="7">
        <f t="shared" si="108"/>
        <v>8</v>
      </c>
      <c r="Q1305" s="7">
        <f t="shared" si="111"/>
        <v>2025</v>
      </c>
    </row>
    <row r="1306" spans="1:17" x14ac:dyDescent="0.25">
      <c r="A1306" s="7">
        <v>2539</v>
      </c>
      <c r="B1306" s="9" t="s">
        <v>533</v>
      </c>
      <c r="C1306" s="9" t="s">
        <v>533</v>
      </c>
      <c r="D1306" s="8">
        <v>45891</v>
      </c>
      <c r="E1306" s="7" t="s">
        <v>60</v>
      </c>
      <c r="F1306" s="7">
        <v>1</v>
      </c>
      <c r="G1306" s="7" t="s">
        <v>14</v>
      </c>
      <c r="H1306" s="7" t="s">
        <v>314</v>
      </c>
      <c r="J1306" s="7">
        <f t="shared" si="112"/>
        <v>1900</v>
      </c>
      <c r="K1306" s="7">
        <f t="shared" si="109"/>
        <v>1</v>
      </c>
      <c r="L1306" s="7">
        <f t="shared" si="110"/>
        <v>45891</v>
      </c>
      <c r="M1306" s="7" t="s">
        <v>537</v>
      </c>
      <c r="N1306" s="7" t="s">
        <v>922</v>
      </c>
      <c r="O1306" s="17" t="s">
        <v>682</v>
      </c>
      <c r="P1306" s="7">
        <f t="shared" ref="P1306:P1369" si="113">MONTH(D1306)</f>
        <v>8</v>
      </c>
      <c r="Q1306" s="7">
        <f t="shared" si="111"/>
        <v>2025</v>
      </c>
    </row>
    <row r="1307" spans="1:17" x14ac:dyDescent="0.25">
      <c r="A1307" s="7">
        <v>2539</v>
      </c>
      <c r="B1307" s="9" t="s">
        <v>533</v>
      </c>
      <c r="C1307" s="9" t="s">
        <v>533</v>
      </c>
      <c r="D1307" s="8">
        <v>45891</v>
      </c>
      <c r="E1307" s="7" t="s">
        <v>60</v>
      </c>
      <c r="F1307" s="7">
        <v>1</v>
      </c>
      <c r="G1307" s="7" t="s">
        <v>14</v>
      </c>
      <c r="H1307" s="7" t="s">
        <v>314</v>
      </c>
      <c r="J1307" s="7">
        <f t="shared" si="112"/>
        <v>1900</v>
      </c>
      <c r="K1307" s="7">
        <f t="shared" si="109"/>
        <v>1</v>
      </c>
      <c r="L1307" s="7">
        <f t="shared" si="110"/>
        <v>45891</v>
      </c>
      <c r="M1307" s="7" t="s">
        <v>537</v>
      </c>
      <c r="N1307" s="7" t="s">
        <v>922</v>
      </c>
      <c r="O1307" s="17" t="s">
        <v>682</v>
      </c>
      <c r="P1307" s="7">
        <f t="shared" si="113"/>
        <v>8</v>
      </c>
      <c r="Q1307" s="7">
        <f t="shared" si="111"/>
        <v>2025</v>
      </c>
    </row>
    <row r="1308" spans="1:17" x14ac:dyDescent="0.25">
      <c r="A1308" s="7">
        <v>2539</v>
      </c>
      <c r="B1308" s="9" t="s">
        <v>533</v>
      </c>
      <c r="C1308" s="9" t="s">
        <v>533</v>
      </c>
      <c r="D1308" s="8">
        <v>45891</v>
      </c>
      <c r="E1308" s="7" t="s">
        <v>60</v>
      </c>
      <c r="F1308" s="7">
        <v>1</v>
      </c>
      <c r="G1308" s="7" t="s">
        <v>14</v>
      </c>
      <c r="H1308" s="7" t="s">
        <v>314</v>
      </c>
      <c r="J1308" s="7">
        <f t="shared" si="112"/>
        <v>1900</v>
      </c>
      <c r="K1308" s="7">
        <f t="shared" si="109"/>
        <v>1</v>
      </c>
      <c r="L1308" s="7">
        <f t="shared" si="110"/>
        <v>45891</v>
      </c>
      <c r="M1308" s="7" t="s">
        <v>537</v>
      </c>
      <c r="N1308" s="7" t="s">
        <v>922</v>
      </c>
      <c r="O1308" s="17" t="s">
        <v>682</v>
      </c>
      <c r="P1308" s="7">
        <f t="shared" si="113"/>
        <v>8</v>
      </c>
      <c r="Q1308" s="7">
        <f t="shared" si="111"/>
        <v>2025</v>
      </c>
    </row>
    <row r="1309" spans="1:17" x14ac:dyDescent="0.25">
      <c r="A1309" s="7">
        <v>2539</v>
      </c>
      <c r="B1309" s="9" t="s">
        <v>533</v>
      </c>
      <c r="C1309" s="9" t="s">
        <v>533</v>
      </c>
      <c r="D1309" s="8">
        <v>45891</v>
      </c>
      <c r="E1309" s="7" t="s">
        <v>60</v>
      </c>
      <c r="F1309" s="7">
        <v>1</v>
      </c>
      <c r="G1309" s="7" t="s">
        <v>14</v>
      </c>
      <c r="H1309" s="7" t="s">
        <v>314</v>
      </c>
      <c r="J1309" s="7">
        <f t="shared" si="112"/>
        <v>1900</v>
      </c>
      <c r="K1309" s="7">
        <f t="shared" si="109"/>
        <v>1</v>
      </c>
      <c r="L1309" s="7">
        <f t="shared" si="110"/>
        <v>45891</v>
      </c>
      <c r="M1309" s="7" t="s">
        <v>537</v>
      </c>
      <c r="N1309" s="7" t="s">
        <v>922</v>
      </c>
      <c r="O1309" s="17" t="s">
        <v>682</v>
      </c>
      <c r="P1309" s="7">
        <f t="shared" si="113"/>
        <v>8</v>
      </c>
      <c r="Q1309" s="7">
        <f t="shared" si="111"/>
        <v>2025</v>
      </c>
    </row>
    <row r="1310" spans="1:17" x14ac:dyDescent="0.25">
      <c r="A1310" s="7">
        <v>2539</v>
      </c>
      <c r="B1310" s="9" t="s">
        <v>533</v>
      </c>
      <c r="C1310" s="9" t="s">
        <v>533</v>
      </c>
      <c r="D1310" s="8">
        <v>45891</v>
      </c>
      <c r="E1310" s="7" t="s">
        <v>60</v>
      </c>
      <c r="F1310" s="7">
        <v>1</v>
      </c>
      <c r="G1310" s="7" t="s">
        <v>14</v>
      </c>
      <c r="H1310" s="7" t="s">
        <v>314</v>
      </c>
      <c r="J1310" s="7">
        <f t="shared" si="112"/>
        <v>1900</v>
      </c>
      <c r="K1310" s="7">
        <f t="shared" si="109"/>
        <v>1</v>
      </c>
      <c r="L1310" s="7">
        <f t="shared" si="110"/>
        <v>45891</v>
      </c>
      <c r="M1310" s="7" t="s">
        <v>537</v>
      </c>
      <c r="N1310" s="7" t="s">
        <v>922</v>
      </c>
      <c r="O1310" s="17" t="s">
        <v>682</v>
      </c>
      <c r="P1310" s="7">
        <f t="shared" si="113"/>
        <v>8</v>
      </c>
      <c r="Q1310" s="7">
        <f t="shared" si="111"/>
        <v>2025</v>
      </c>
    </row>
    <row r="1311" spans="1:17" x14ac:dyDescent="0.25">
      <c r="A1311" s="7">
        <v>2539</v>
      </c>
      <c r="B1311" s="9" t="s">
        <v>533</v>
      </c>
      <c r="C1311" s="9" t="s">
        <v>533</v>
      </c>
      <c r="D1311" s="8">
        <v>45891</v>
      </c>
      <c r="E1311" s="7" t="s">
        <v>60</v>
      </c>
      <c r="F1311" s="7">
        <v>1</v>
      </c>
      <c r="G1311" s="7" t="s">
        <v>14</v>
      </c>
      <c r="H1311" s="7" t="s">
        <v>314</v>
      </c>
      <c r="J1311" s="7">
        <f t="shared" si="112"/>
        <v>1900</v>
      </c>
      <c r="K1311" s="7">
        <f t="shared" si="109"/>
        <v>1</v>
      </c>
      <c r="L1311" s="7">
        <f t="shared" si="110"/>
        <v>45891</v>
      </c>
      <c r="M1311" s="7" t="s">
        <v>537</v>
      </c>
      <c r="N1311" s="7" t="s">
        <v>922</v>
      </c>
      <c r="O1311" s="17" t="s">
        <v>682</v>
      </c>
      <c r="P1311" s="7">
        <f t="shared" si="113"/>
        <v>8</v>
      </c>
      <c r="Q1311" s="7">
        <f t="shared" si="111"/>
        <v>2025</v>
      </c>
    </row>
    <row r="1312" spans="1:17" x14ac:dyDescent="0.25">
      <c r="A1312" s="7">
        <v>2539</v>
      </c>
      <c r="B1312" s="9" t="s">
        <v>533</v>
      </c>
      <c r="C1312" s="9" t="s">
        <v>533</v>
      </c>
      <c r="D1312" s="8">
        <v>45891</v>
      </c>
      <c r="E1312" s="7" t="s">
        <v>60</v>
      </c>
      <c r="F1312" s="7">
        <v>1</v>
      </c>
      <c r="G1312" s="7" t="s">
        <v>14</v>
      </c>
      <c r="H1312" s="7" t="s">
        <v>314</v>
      </c>
      <c r="J1312" s="7">
        <f t="shared" si="112"/>
        <v>1900</v>
      </c>
      <c r="K1312" s="7">
        <f t="shared" si="109"/>
        <v>1</v>
      </c>
      <c r="L1312" s="7">
        <f t="shared" si="110"/>
        <v>45891</v>
      </c>
      <c r="M1312" s="7" t="s">
        <v>537</v>
      </c>
      <c r="N1312" s="7" t="s">
        <v>922</v>
      </c>
      <c r="O1312" s="17" t="s">
        <v>682</v>
      </c>
      <c r="P1312" s="7">
        <f t="shared" si="113"/>
        <v>8</v>
      </c>
      <c r="Q1312" s="7">
        <f t="shared" si="111"/>
        <v>2025</v>
      </c>
    </row>
    <row r="1313" spans="1:17" x14ac:dyDescent="0.25">
      <c r="A1313" s="7">
        <v>2540</v>
      </c>
      <c r="B1313" s="9" t="s">
        <v>317</v>
      </c>
      <c r="C1313" s="9" t="s">
        <v>542</v>
      </c>
      <c r="D1313" s="8">
        <v>45884</v>
      </c>
      <c r="E1313" s="7" t="s">
        <v>594</v>
      </c>
      <c r="F1313" s="7">
        <v>1</v>
      </c>
      <c r="G1313" s="7" t="s">
        <v>15</v>
      </c>
      <c r="H1313" s="7" t="s">
        <v>318</v>
      </c>
      <c r="J1313" s="7">
        <f t="shared" si="112"/>
        <v>1900</v>
      </c>
      <c r="K1313" s="7">
        <f t="shared" si="109"/>
        <v>1</v>
      </c>
      <c r="L1313" s="7">
        <f t="shared" si="110"/>
        <v>45884</v>
      </c>
      <c r="M1313" s="7" t="s">
        <v>556</v>
      </c>
      <c r="N1313" s="7" t="s">
        <v>580</v>
      </c>
      <c r="O1313" s="17" t="s">
        <v>680</v>
      </c>
      <c r="P1313" s="7">
        <f t="shared" si="113"/>
        <v>8</v>
      </c>
      <c r="Q1313" s="7">
        <f t="shared" si="111"/>
        <v>2025</v>
      </c>
    </row>
    <row r="1314" spans="1:17" x14ac:dyDescent="0.25">
      <c r="A1314" s="7">
        <v>2540</v>
      </c>
      <c r="B1314" s="9" t="s">
        <v>317</v>
      </c>
      <c r="C1314" s="9" t="s">
        <v>542</v>
      </c>
      <c r="D1314" s="8">
        <v>45884</v>
      </c>
      <c r="E1314" s="7" t="s">
        <v>595</v>
      </c>
      <c r="F1314" s="7">
        <v>1</v>
      </c>
      <c r="G1314" s="7" t="s">
        <v>15</v>
      </c>
      <c r="H1314" s="7" t="s">
        <v>318</v>
      </c>
      <c r="J1314" s="7">
        <f t="shared" si="112"/>
        <v>1900</v>
      </c>
      <c r="K1314" s="7">
        <f t="shared" si="109"/>
        <v>1</v>
      </c>
      <c r="L1314" s="7">
        <f t="shared" si="110"/>
        <v>45884</v>
      </c>
      <c r="M1314" s="7" t="s">
        <v>556</v>
      </c>
      <c r="N1314" s="7" t="s">
        <v>580</v>
      </c>
      <c r="O1314" s="17" t="s">
        <v>680</v>
      </c>
      <c r="P1314" s="7">
        <f t="shared" si="113"/>
        <v>8</v>
      </c>
      <c r="Q1314" s="7">
        <f t="shared" si="111"/>
        <v>2025</v>
      </c>
    </row>
    <row r="1315" spans="1:17" x14ac:dyDescent="0.25">
      <c r="A1315" s="7">
        <v>2540</v>
      </c>
      <c r="B1315" s="9" t="s">
        <v>317</v>
      </c>
      <c r="C1315" s="9" t="s">
        <v>542</v>
      </c>
      <c r="D1315" s="8">
        <v>45884</v>
      </c>
      <c r="E1315" s="7" t="s">
        <v>596</v>
      </c>
      <c r="F1315" s="7">
        <v>1</v>
      </c>
      <c r="G1315" s="7" t="s">
        <v>15</v>
      </c>
      <c r="H1315" s="7" t="s">
        <v>318</v>
      </c>
      <c r="J1315" s="7">
        <f t="shared" si="112"/>
        <v>1900</v>
      </c>
      <c r="K1315" s="7">
        <f t="shared" si="109"/>
        <v>1</v>
      </c>
      <c r="L1315" s="7">
        <f t="shared" si="110"/>
        <v>45884</v>
      </c>
      <c r="M1315" s="7" t="s">
        <v>556</v>
      </c>
      <c r="N1315" s="7" t="s">
        <v>580</v>
      </c>
      <c r="O1315" s="17" t="s">
        <v>680</v>
      </c>
      <c r="P1315" s="7">
        <f t="shared" si="113"/>
        <v>8</v>
      </c>
      <c r="Q1315" s="7">
        <f t="shared" si="111"/>
        <v>2025</v>
      </c>
    </row>
    <row r="1316" spans="1:17" x14ac:dyDescent="0.25">
      <c r="A1316" s="7">
        <v>2540</v>
      </c>
      <c r="B1316" s="9" t="s">
        <v>317</v>
      </c>
      <c r="C1316" s="9" t="s">
        <v>542</v>
      </c>
      <c r="D1316" s="8">
        <v>45884</v>
      </c>
      <c r="E1316" s="7" t="s">
        <v>597</v>
      </c>
      <c r="F1316" s="7">
        <v>1</v>
      </c>
      <c r="G1316" s="7" t="s">
        <v>15</v>
      </c>
      <c r="H1316" s="7" t="s">
        <v>318</v>
      </c>
      <c r="J1316" s="7">
        <f t="shared" si="112"/>
        <v>1900</v>
      </c>
      <c r="K1316" s="7">
        <f t="shared" si="109"/>
        <v>1</v>
      </c>
      <c r="L1316" s="7">
        <f t="shared" si="110"/>
        <v>45884</v>
      </c>
      <c r="M1316" s="7" t="s">
        <v>556</v>
      </c>
      <c r="N1316" s="7" t="s">
        <v>580</v>
      </c>
      <c r="O1316" s="17" t="s">
        <v>680</v>
      </c>
      <c r="P1316" s="7">
        <f t="shared" si="113"/>
        <v>8</v>
      </c>
      <c r="Q1316" s="7">
        <f t="shared" si="111"/>
        <v>2025</v>
      </c>
    </row>
    <row r="1317" spans="1:17" x14ac:dyDescent="0.25">
      <c r="A1317" s="7">
        <v>2540</v>
      </c>
      <c r="B1317" s="9" t="s">
        <v>317</v>
      </c>
      <c r="C1317" s="9" t="s">
        <v>542</v>
      </c>
      <c r="D1317" s="8">
        <v>45884</v>
      </c>
      <c r="E1317" s="7" t="s">
        <v>598</v>
      </c>
      <c r="F1317" s="7">
        <v>1</v>
      </c>
      <c r="G1317" s="7" t="s">
        <v>15</v>
      </c>
      <c r="H1317" s="7" t="s">
        <v>318</v>
      </c>
      <c r="J1317" s="7">
        <f t="shared" si="112"/>
        <v>1900</v>
      </c>
      <c r="K1317" s="7">
        <f t="shared" si="109"/>
        <v>1</v>
      </c>
      <c r="L1317" s="7">
        <f t="shared" si="110"/>
        <v>45884</v>
      </c>
      <c r="M1317" s="7" t="s">
        <v>556</v>
      </c>
      <c r="N1317" s="7" t="s">
        <v>580</v>
      </c>
      <c r="O1317" s="17" t="s">
        <v>680</v>
      </c>
      <c r="P1317" s="7">
        <f t="shared" si="113"/>
        <v>8</v>
      </c>
      <c r="Q1317" s="7">
        <f t="shared" si="111"/>
        <v>2025</v>
      </c>
    </row>
    <row r="1318" spans="1:17" x14ac:dyDescent="0.25">
      <c r="A1318" s="7">
        <v>2540</v>
      </c>
      <c r="B1318" s="9" t="s">
        <v>317</v>
      </c>
      <c r="C1318" s="9" t="s">
        <v>542</v>
      </c>
      <c r="D1318" s="8">
        <v>45884</v>
      </c>
      <c r="E1318" s="7" t="s">
        <v>599</v>
      </c>
      <c r="F1318" s="7">
        <v>1</v>
      </c>
      <c r="G1318" s="7" t="s">
        <v>15</v>
      </c>
      <c r="H1318" s="7" t="s">
        <v>318</v>
      </c>
      <c r="J1318" s="7">
        <f t="shared" si="112"/>
        <v>1900</v>
      </c>
      <c r="K1318" s="7">
        <f t="shared" si="109"/>
        <v>1</v>
      </c>
      <c r="L1318" s="7">
        <f t="shared" si="110"/>
        <v>45884</v>
      </c>
      <c r="M1318" s="7" t="s">
        <v>545</v>
      </c>
      <c r="N1318" s="7" t="s">
        <v>580</v>
      </c>
      <c r="O1318" s="17" t="s">
        <v>680</v>
      </c>
      <c r="P1318" s="7">
        <f t="shared" si="113"/>
        <v>8</v>
      </c>
      <c r="Q1318" s="7">
        <f t="shared" si="111"/>
        <v>2025</v>
      </c>
    </row>
    <row r="1319" spans="1:17" x14ac:dyDescent="0.25">
      <c r="A1319" s="7">
        <v>2540</v>
      </c>
      <c r="B1319" s="9" t="s">
        <v>317</v>
      </c>
      <c r="C1319" s="9" t="s">
        <v>542</v>
      </c>
      <c r="D1319" s="8">
        <v>45884</v>
      </c>
      <c r="E1319" s="7" t="s">
        <v>600</v>
      </c>
      <c r="F1319" s="7">
        <v>1</v>
      </c>
      <c r="G1319" s="7" t="s">
        <v>15</v>
      </c>
      <c r="H1319" s="7" t="s">
        <v>318</v>
      </c>
      <c r="J1319" s="7">
        <f t="shared" si="112"/>
        <v>1900</v>
      </c>
      <c r="K1319" s="7">
        <f t="shared" si="109"/>
        <v>1</v>
      </c>
      <c r="L1319" s="7">
        <f t="shared" si="110"/>
        <v>45884</v>
      </c>
      <c r="M1319" s="7" t="s">
        <v>545</v>
      </c>
      <c r="N1319" s="7" t="s">
        <v>580</v>
      </c>
      <c r="O1319" s="17" t="s">
        <v>680</v>
      </c>
      <c r="P1319" s="7">
        <f t="shared" si="113"/>
        <v>8</v>
      </c>
      <c r="Q1319" s="7">
        <f t="shared" si="111"/>
        <v>2025</v>
      </c>
    </row>
    <row r="1320" spans="1:17" x14ac:dyDescent="0.25">
      <c r="A1320" s="7">
        <v>2540</v>
      </c>
      <c r="B1320" s="9" t="s">
        <v>317</v>
      </c>
      <c r="C1320" s="9" t="s">
        <v>542</v>
      </c>
      <c r="D1320" s="8">
        <v>45884</v>
      </c>
      <c r="E1320" s="7" t="s">
        <v>601</v>
      </c>
      <c r="F1320" s="7">
        <v>1</v>
      </c>
      <c r="G1320" s="7" t="s">
        <v>15</v>
      </c>
      <c r="H1320" s="7" t="s">
        <v>318</v>
      </c>
      <c r="J1320" s="7">
        <f t="shared" si="112"/>
        <v>1900</v>
      </c>
      <c r="K1320" s="7">
        <f t="shared" si="109"/>
        <v>1</v>
      </c>
      <c r="L1320" s="7">
        <f t="shared" si="110"/>
        <v>45884</v>
      </c>
      <c r="M1320" s="7" t="s">
        <v>545</v>
      </c>
      <c r="N1320" s="7" t="s">
        <v>580</v>
      </c>
      <c r="O1320" s="17" t="s">
        <v>680</v>
      </c>
      <c r="P1320" s="7">
        <f t="shared" si="113"/>
        <v>8</v>
      </c>
      <c r="Q1320" s="7">
        <f t="shared" si="111"/>
        <v>2025</v>
      </c>
    </row>
    <row r="1321" spans="1:17" x14ac:dyDescent="0.25">
      <c r="A1321" s="7">
        <v>2540</v>
      </c>
      <c r="B1321" s="9" t="s">
        <v>317</v>
      </c>
      <c r="C1321" s="9" t="s">
        <v>542</v>
      </c>
      <c r="D1321" s="8">
        <v>45884</v>
      </c>
      <c r="E1321" s="7" t="s">
        <v>602</v>
      </c>
      <c r="F1321" s="7">
        <v>1</v>
      </c>
      <c r="G1321" s="7" t="s">
        <v>15</v>
      </c>
      <c r="H1321" s="7" t="s">
        <v>318</v>
      </c>
      <c r="J1321" s="7">
        <f t="shared" si="112"/>
        <v>1900</v>
      </c>
      <c r="K1321" s="7">
        <f t="shared" si="109"/>
        <v>1</v>
      </c>
      <c r="L1321" s="7">
        <f t="shared" si="110"/>
        <v>45884</v>
      </c>
      <c r="M1321" s="7" t="s">
        <v>545</v>
      </c>
      <c r="N1321" s="7" t="s">
        <v>580</v>
      </c>
      <c r="O1321" s="17" t="s">
        <v>680</v>
      </c>
      <c r="P1321" s="7">
        <f t="shared" si="113"/>
        <v>8</v>
      </c>
      <c r="Q1321" s="7">
        <f t="shared" si="111"/>
        <v>2025</v>
      </c>
    </row>
    <row r="1322" spans="1:17" x14ac:dyDescent="0.25">
      <c r="A1322" s="7">
        <v>2540</v>
      </c>
      <c r="B1322" s="9" t="s">
        <v>317</v>
      </c>
      <c r="C1322" s="9" t="s">
        <v>542</v>
      </c>
      <c r="D1322" s="8">
        <v>45884</v>
      </c>
      <c r="E1322" s="7" t="s">
        <v>603</v>
      </c>
      <c r="F1322" s="7">
        <v>1</v>
      </c>
      <c r="G1322" s="7" t="s">
        <v>15</v>
      </c>
      <c r="H1322" s="7" t="s">
        <v>318</v>
      </c>
      <c r="J1322" s="7">
        <f t="shared" si="112"/>
        <v>1900</v>
      </c>
      <c r="K1322" s="7">
        <f t="shared" si="109"/>
        <v>1</v>
      </c>
      <c r="L1322" s="7">
        <f t="shared" si="110"/>
        <v>45884</v>
      </c>
      <c r="M1322" s="7" t="s">
        <v>545</v>
      </c>
      <c r="N1322" s="7" t="s">
        <v>580</v>
      </c>
      <c r="O1322" s="17" t="s">
        <v>680</v>
      </c>
      <c r="P1322" s="7">
        <f t="shared" si="113"/>
        <v>8</v>
      </c>
      <c r="Q1322" s="7">
        <f t="shared" si="111"/>
        <v>2025</v>
      </c>
    </row>
    <row r="1323" spans="1:17" x14ac:dyDescent="0.25">
      <c r="A1323" s="7">
        <v>2540</v>
      </c>
      <c r="B1323" s="9" t="s">
        <v>317</v>
      </c>
      <c r="C1323" s="9" t="s">
        <v>542</v>
      </c>
      <c r="D1323" s="8">
        <v>45884</v>
      </c>
      <c r="E1323" s="7" t="s">
        <v>604</v>
      </c>
      <c r="F1323" s="7">
        <v>1</v>
      </c>
      <c r="G1323" s="7" t="s">
        <v>15</v>
      </c>
      <c r="H1323" s="7" t="s">
        <v>318</v>
      </c>
      <c r="J1323" s="7">
        <f t="shared" si="112"/>
        <v>1900</v>
      </c>
      <c r="K1323" s="7">
        <f t="shared" si="109"/>
        <v>1</v>
      </c>
      <c r="L1323" s="7">
        <f t="shared" si="110"/>
        <v>45884</v>
      </c>
      <c r="M1323" s="7" t="s">
        <v>545</v>
      </c>
      <c r="N1323" s="7" t="s">
        <v>580</v>
      </c>
      <c r="O1323" s="17" t="s">
        <v>680</v>
      </c>
      <c r="P1323" s="7">
        <f t="shared" si="113"/>
        <v>8</v>
      </c>
      <c r="Q1323" s="7">
        <f t="shared" si="111"/>
        <v>2025</v>
      </c>
    </row>
    <row r="1324" spans="1:17" x14ac:dyDescent="0.25">
      <c r="A1324" s="7">
        <v>2540</v>
      </c>
      <c r="B1324" s="9" t="s">
        <v>317</v>
      </c>
      <c r="C1324" s="9" t="s">
        <v>542</v>
      </c>
      <c r="D1324" s="8">
        <v>45884</v>
      </c>
      <c r="E1324" s="7" t="s">
        <v>605</v>
      </c>
      <c r="F1324" s="7">
        <v>1</v>
      </c>
      <c r="G1324" s="7" t="s">
        <v>15</v>
      </c>
      <c r="H1324" s="7" t="s">
        <v>318</v>
      </c>
      <c r="J1324" s="7">
        <f t="shared" si="112"/>
        <v>1900</v>
      </c>
      <c r="K1324" s="7">
        <f t="shared" si="109"/>
        <v>1</v>
      </c>
      <c r="L1324" s="7">
        <f t="shared" si="110"/>
        <v>45884</v>
      </c>
      <c r="M1324" s="7" t="s">
        <v>545</v>
      </c>
      <c r="N1324" s="7" t="s">
        <v>580</v>
      </c>
      <c r="O1324" s="17" t="s">
        <v>680</v>
      </c>
      <c r="P1324" s="7">
        <f t="shared" si="113"/>
        <v>8</v>
      </c>
      <c r="Q1324" s="7">
        <f t="shared" si="111"/>
        <v>2025</v>
      </c>
    </row>
    <row r="1325" spans="1:17" x14ac:dyDescent="0.25">
      <c r="A1325" s="7">
        <v>2540</v>
      </c>
      <c r="B1325" s="9" t="s">
        <v>317</v>
      </c>
      <c r="C1325" s="9" t="s">
        <v>542</v>
      </c>
      <c r="D1325" s="8">
        <v>45884</v>
      </c>
      <c r="E1325" s="7" t="s">
        <v>606</v>
      </c>
      <c r="F1325" s="7">
        <v>1</v>
      </c>
      <c r="G1325" s="7" t="s">
        <v>15</v>
      </c>
      <c r="H1325" s="7" t="s">
        <v>318</v>
      </c>
      <c r="J1325" s="7">
        <f t="shared" si="112"/>
        <v>1900</v>
      </c>
      <c r="K1325" s="7">
        <f t="shared" ref="K1325:K1388" si="114">MONTH(I1325)</f>
        <v>1</v>
      </c>
      <c r="L1325" s="7">
        <f t="shared" si="110"/>
        <v>45884</v>
      </c>
      <c r="M1325" s="7" t="s">
        <v>545</v>
      </c>
      <c r="N1325" s="7" t="s">
        <v>580</v>
      </c>
      <c r="O1325" s="17" t="s">
        <v>680</v>
      </c>
      <c r="P1325" s="7">
        <f t="shared" si="113"/>
        <v>8</v>
      </c>
      <c r="Q1325" s="7">
        <f t="shared" si="111"/>
        <v>2025</v>
      </c>
    </row>
    <row r="1326" spans="1:17" x14ac:dyDescent="0.25">
      <c r="A1326" s="7">
        <v>2540</v>
      </c>
      <c r="B1326" s="9" t="s">
        <v>317</v>
      </c>
      <c r="C1326" s="9" t="s">
        <v>542</v>
      </c>
      <c r="D1326" s="8">
        <v>45884</v>
      </c>
      <c r="E1326" s="7" t="s">
        <v>607</v>
      </c>
      <c r="F1326" s="7">
        <v>1</v>
      </c>
      <c r="G1326" s="7" t="s">
        <v>15</v>
      </c>
      <c r="H1326" s="7" t="s">
        <v>318</v>
      </c>
      <c r="J1326" s="7">
        <f t="shared" si="112"/>
        <v>1900</v>
      </c>
      <c r="K1326" s="7">
        <f t="shared" si="114"/>
        <v>1</v>
      </c>
      <c r="L1326" s="7">
        <f t="shared" si="110"/>
        <v>45884</v>
      </c>
      <c r="M1326" s="7" t="s">
        <v>545</v>
      </c>
      <c r="N1326" s="7" t="s">
        <v>580</v>
      </c>
      <c r="O1326" s="17" t="s">
        <v>680</v>
      </c>
      <c r="P1326" s="7">
        <f t="shared" si="113"/>
        <v>8</v>
      </c>
      <c r="Q1326" s="7">
        <f t="shared" si="111"/>
        <v>2025</v>
      </c>
    </row>
    <row r="1327" spans="1:17" x14ac:dyDescent="0.25">
      <c r="A1327" s="7">
        <v>2540</v>
      </c>
      <c r="B1327" s="9" t="s">
        <v>317</v>
      </c>
      <c r="C1327" s="9" t="s">
        <v>542</v>
      </c>
      <c r="D1327" s="8">
        <v>45884</v>
      </c>
      <c r="E1327" s="7" t="s">
        <v>608</v>
      </c>
      <c r="F1327" s="7">
        <v>1</v>
      </c>
      <c r="G1327" s="7" t="s">
        <v>15</v>
      </c>
      <c r="H1327" s="7" t="s">
        <v>318</v>
      </c>
      <c r="J1327" s="7">
        <f t="shared" si="112"/>
        <v>1900</v>
      </c>
      <c r="K1327" s="7">
        <f t="shared" si="114"/>
        <v>1</v>
      </c>
      <c r="L1327" s="7">
        <f t="shared" ref="L1327:L1390" si="115">D1327-I1327</f>
        <v>45884</v>
      </c>
      <c r="M1327" s="7" t="s">
        <v>545</v>
      </c>
      <c r="N1327" s="7" t="s">
        <v>580</v>
      </c>
      <c r="O1327" s="17" t="s">
        <v>680</v>
      </c>
      <c r="P1327" s="7">
        <f t="shared" si="113"/>
        <v>8</v>
      </c>
      <c r="Q1327" s="7">
        <f t="shared" si="111"/>
        <v>2025</v>
      </c>
    </row>
    <row r="1328" spans="1:17" x14ac:dyDescent="0.25">
      <c r="A1328" s="7">
        <v>2540</v>
      </c>
      <c r="B1328" s="9" t="s">
        <v>317</v>
      </c>
      <c r="C1328" s="9" t="s">
        <v>542</v>
      </c>
      <c r="D1328" s="8">
        <v>45884</v>
      </c>
      <c r="E1328" s="7" t="s">
        <v>609</v>
      </c>
      <c r="F1328" s="7">
        <v>1</v>
      </c>
      <c r="G1328" s="7" t="s">
        <v>15</v>
      </c>
      <c r="H1328" s="7" t="s">
        <v>318</v>
      </c>
      <c r="J1328" s="7">
        <f t="shared" si="112"/>
        <v>1900</v>
      </c>
      <c r="K1328" s="7">
        <f t="shared" si="114"/>
        <v>1</v>
      </c>
      <c r="L1328" s="7">
        <f t="shared" si="115"/>
        <v>45884</v>
      </c>
      <c r="M1328" s="7" t="s">
        <v>545</v>
      </c>
      <c r="N1328" s="7" t="s">
        <v>580</v>
      </c>
      <c r="O1328" s="17" t="s">
        <v>680</v>
      </c>
      <c r="P1328" s="7">
        <f t="shared" si="113"/>
        <v>8</v>
      </c>
      <c r="Q1328" s="7">
        <f t="shared" si="111"/>
        <v>2025</v>
      </c>
    </row>
    <row r="1329" spans="1:17" x14ac:dyDescent="0.25">
      <c r="A1329" s="7">
        <v>2540</v>
      </c>
      <c r="B1329" s="9" t="s">
        <v>317</v>
      </c>
      <c r="C1329" s="9" t="s">
        <v>542</v>
      </c>
      <c r="D1329" s="8">
        <v>45884</v>
      </c>
      <c r="E1329" s="7" t="s">
        <v>610</v>
      </c>
      <c r="F1329" s="7">
        <v>1</v>
      </c>
      <c r="G1329" s="7" t="s">
        <v>15</v>
      </c>
      <c r="H1329" s="7" t="s">
        <v>318</v>
      </c>
      <c r="J1329" s="7">
        <f t="shared" si="112"/>
        <v>1900</v>
      </c>
      <c r="K1329" s="7">
        <f t="shared" si="114"/>
        <v>1</v>
      </c>
      <c r="L1329" s="7">
        <f t="shared" si="115"/>
        <v>45884</v>
      </c>
      <c r="M1329" s="7" t="s">
        <v>545</v>
      </c>
      <c r="N1329" s="7" t="s">
        <v>580</v>
      </c>
      <c r="O1329" s="17" t="s">
        <v>680</v>
      </c>
      <c r="P1329" s="7">
        <f t="shared" si="113"/>
        <v>8</v>
      </c>
      <c r="Q1329" s="7">
        <f t="shared" si="111"/>
        <v>2025</v>
      </c>
    </row>
    <row r="1330" spans="1:17" x14ac:dyDescent="0.25">
      <c r="A1330" s="7">
        <v>2540</v>
      </c>
      <c r="B1330" s="9" t="s">
        <v>317</v>
      </c>
      <c r="C1330" s="9" t="s">
        <v>542</v>
      </c>
      <c r="D1330" s="8">
        <v>45884</v>
      </c>
      <c r="E1330" s="7" t="s">
        <v>611</v>
      </c>
      <c r="F1330" s="7">
        <v>1</v>
      </c>
      <c r="G1330" s="7" t="s">
        <v>15</v>
      </c>
      <c r="H1330" s="7" t="s">
        <v>318</v>
      </c>
      <c r="J1330" s="7">
        <f t="shared" si="112"/>
        <v>1900</v>
      </c>
      <c r="K1330" s="7">
        <f t="shared" si="114"/>
        <v>1</v>
      </c>
      <c r="L1330" s="7">
        <f t="shared" si="115"/>
        <v>45884</v>
      </c>
      <c r="M1330" s="7" t="s">
        <v>545</v>
      </c>
      <c r="N1330" s="7" t="s">
        <v>580</v>
      </c>
      <c r="O1330" s="17" t="s">
        <v>680</v>
      </c>
      <c r="P1330" s="7">
        <f t="shared" si="113"/>
        <v>8</v>
      </c>
      <c r="Q1330" s="7">
        <f t="shared" si="111"/>
        <v>2025</v>
      </c>
    </row>
    <row r="1331" spans="1:17" x14ac:dyDescent="0.25">
      <c r="A1331" s="7">
        <v>2540</v>
      </c>
      <c r="B1331" s="9" t="s">
        <v>317</v>
      </c>
      <c r="C1331" s="9" t="s">
        <v>542</v>
      </c>
      <c r="D1331" s="8">
        <v>45884</v>
      </c>
      <c r="E1331" s="7" t="s">
        <v>612</v>
      </c>
      <c r="F1331" s="7">
        <v>1</v>
      </c>
      <c r="G1331" s="7" t="s">
        <v>15</v>
      </c>
      <c r="H1331" s="7" t="s">
        <v>318</v>
      </c>
      <c r="J1331" s="7">
        <f t="shared" si="112"/>
        <v>1900</v>
      </c>
      <c r="K1331" s="7">
        <f t="shared" si="114"/>
        <v>1</v>
      </c>
      <c r="L1331" s="7">
        <f t="shared" si="115"/>
        <v>45884</v>
      </c>
      <c r="M1331" s="7" t="s">
        <v>545</v>
      </c>
      <c r="N1331" s="7" t="s">
        <v>580</v>
      </c>
      <c r="O1331" s="17" t="s">
        <v>680</v>
      </c>
      <c r="P1331" s="7">
        <f t="shared" si="113"/>
        <v>8</v>
      </c>
      <c r="Q1331" s="7">
        <f t="shared" si="111"/>
        <v>2025</v>
      </c>
    </row>
    <row r="1332" spans="1:17" x14ac:dyDescent="0.25">
      <c r="A1332" s="7">
        <v>2540</v>
      </c>
      <c r="B1332" s="9" t="s">
        <v>317</v>
      </c>
      <c r="C1332" s="9" t="s">
        <v>542</v>
      </c>
      <c r="D1332" s="8">
        <v>45884</v>
      </c>
      <c r="E1332" s="7" t="s">
        <v>613</v>
      </c>
      <c r="F1332" s="7">
        <v>1</v>
      </c>
      <c r="G1332" s="7" t="s">
        <v>15</v>
      </c>
      <c r="H1332" s="7" t="s">
        <v>318</v>
      </c>
      <c r="J1332" s="7">
        <f t="shared" si="112"/>
        <v>1900</v>
      </c>
      <c r="K1332" s="7">
        <f t="shared" si="114"/>
        <v>1</v>
      </c>
      <c r="L1332" s="7">
        <f t="shared" si="115"/>
        <v>45884</v>
      </c>
      <c r="M1332" s="7" t="s">
        <v>545</v>
      </c>
      <c r="N1332" s="7" t="s">
        <v>580</v>
      </c>
      <c r="O1332" s="17" t="s">
        <v>680</v>
      </c>
      <c r="P1332" s="7">
        <f t="shared" si="113"/>
        <v>8</v>
      </c>
      <c r="Q1332" s="7">
        <f t="shared" si="111"/>
        <v>2025</v>
      </c>
    </row>
    <row r="1333" spans="1:17" x14ac:dyDescent="0.25">
      <c r="A1333" s="7">
        <v>2540</v>
      </c>
      <c r="B1333" s="9" t="s">
        <v>317</v>
      </c>
      <c r="C1333" s="9" t="s">
        <v>542</v>
      </c>
      <c r="D1333" s="8">
        <v>45884</v>
      </c>
      <c r="E1333" s="7" t="s">
        <v>614</v>
      </c>
      <c r="F1333" s="7">
        <v>1</v>
      </c>
      <c r="G1333" s="7" t="s">
        <v>15</v>
      </c>
      <c r="H1333" s="7" t="s">
        <v>318</v>
      </c>
      <c r="J1333" s="7">
        <f t="shared" si="112"/>
        <v>1900</v>
      </c>
      <c r="K1333" s="7">
        <f t="shared" si="114"/>
        <v>1</v>
      </c>
      <c r="L1333" s="7">
        <f t="shared" si="115"/>
        <v>45884</v>
      </c>
      <c r="M1333" s="7" t="s">
        <v>545</v>
      </c>
      <c r="N1333" s="7" t="s">
        <v>580</v>
      </c>
      <c r="O1333" s="17" t="s">
        <v>680</v>
      </c>
      <c r="P1333" s="7">
        <f t="shared" si="113"/>
        <v>8</v>
      </c>
      <c r="Q1333" s="7">
        <f t="shared" ref="Q1333:Q1396" si="116">YEAR(D1333)</f>
        <v>2025</v>
      </c>
    </row>
    <row r="1334" spans="1:17" x14ac:dyDescent="0.25">
      <c r="A1334" s="7">
        <v>2540</v>
      </c>
      <c r="B1334" s="9" t="s">
        <v>317</v>
      </c>
      <c r="C1334" s="9" t="s">
        <v>542</v>
      </c>
      <c r="D1334" s="8">
        <v>45884</v>
      </c>
      <c r="E1334" s="7" t="s">
        <v>615</v>
      </c>
      <c r="F1334" s="7">
        <v>1</v>
      </c>
      <c r="G1334" s="7" t="s">
        <v>15</v>
      </c>
      <c r="H1334" s="7" t="s">
        <v>318</v>
      </c>
      <c r="J1334" s="7">
        <f t="shared" si="112"/>
        <v>1900</v>
      </c>
      <c r="K1334" s="7">
        <f t="shared" si="114"/>
        <v>1</v>
      </c>
      <c r="L1334" s="7">
        <f t="shared" si="115"/>
        <v>45884</v>
      </c>
      <c r="M1334" s="7" t="s">
        <v>545</v>
      </c>
      <c r="N1334" s="7" t="s">
        <v>580</v>
      </c>
      <c r="O1334" s="17" t="s">
        <v>680</v>
      </c>
      <c r="P1334" s="7">
        <f t="shared" si="113"/>
        <v>8</v>
      </c>
      <c r="Q1334" s="7">
        <f t="shared" si="116"/>
        <v>2025</v>
      </c>
    </row>
    <row r="1335" spans="1:17" x14ac:dyDescent="0.25">
      <c r="A1335" s="7">
        <v>2540</v>
      </c>
      <c r="B1335" s="9" t="s">
        <v>317</v>
      </c>
      <c r="C1335" s="9" t="s">
        <v>542</v>
      </c>
      <c r="D1335" s="8">
        <v>45884</v>
      </c>
      <c r="E1335" s="7" t="s">
        <v>616</v>
      </c>
      <c r="F1335" s="7">
        <v>1</v>
      </c>
      <c r="G1335" s="7" t="s">
        <v>15</v>
      </c>
      <c r="H1335" s="7" t="s">
        <v>318</v>
      </c>
      <c r="J1335" s="7">
        <f t="shared" si="112"/>
        <v>1900</v>
      </c>
      <c r="K1335" s="7">
        <f t="shared" si="114"/>
        <v>1</v>
      </c>
      <c r="L1335" s="7">
        <f t="shared" si="115"/>
        <v>45884</v>
      </c>
      <c r="M1335" s="7" t="s">
        <v>545</v>
      </c>
      <c r="N1335" s="7" t="s">
        <v>580</v>
      </c>
      <c r="O1335" s="17" t="s">
        <v>680</v>
      </c>
      <c r="P1335" s="7">
        <f t="shared" si="113"/>
        <v>8</v>
      </c>
      <c r="Q1335" s="7">
        <f t="shared" si="116"/>
        <v>2025</v>
      </c>
    </row>
    <row r="1336" spans="1:17" x14ac:dyDescent="0.25">
      <c r="A1336" s="7">
        <v>2540</v>
      </c>
      <c r="B1336" s="9" t="s">
        <v>317</v>
      </c>
      <c r="C1336" s="9" t="s">
        <v>542</v>
      </c>
      <c r="D1336" s="8">
        <v>45884</v>
      </c>
      <c r="E1336" s="7" t="s">
        <v>617</v>
      </c>
      <c r="F1336" s="7">
        <v>1</v>
      </c>
      <c r="G1336" s="7" t="s">
        <v>15</v>
      </c>
      <c r="H1336" s="7" t="s">
        <v>318</v>
      </c>
      <c r="J1336" s="7">
        <f t="shared" si="112"/>
        <v>1900</v>
      </c>
      <c r="K1336" s="7">
        <f t="shared" si="114"/>
        <v>1</v>
      </c>
      <c r="L1336" s="7">
        <f t="shared" si="115"/>
        <v>45884</v>
      </c>
      <c r="M1336" s="7" t="s">
        <v>545</v>
      </c>
      <c r="N1336" s="7" t="s">
        <v>580</v>
      </c>
      <c r="O1336" s="17" t="s">
        <v>680</v>
      </c>
      <c r="P1336" s="7">
        <f t="shared" si="113"/>
        <v>8</v>
      </c>
      <c r="Q1336" s="7">
        <f t="shared" si="116"/>
        <v>2025</v>
      </c>
    </row>
    <row r="1337" spans="1:17" x14ac:dyDescent="0.25">
      <c r="A1337" s="7">
        <v>2540</v>
      </c>
      <c r="B1337" s="9" t="s">
        <v>317</v>
      </c>
      <c r="C1337" s="9" t="s">
        <v>542</v>
      </c>
      <c r="D1337" s="8">
        <v>45884</v>
      </c>
      <c r="E1337" s="7" t="s">
        <v>618</v>
      </c>
      <c r="F1337" s="7">
        <v>1</v>
      </c>
      <c r="G1337" s="7" t="s">
        <v>15</v>
      </c>
      <c r="H1337" s="7" t="s">
        <v>318</v>
      </c>
      <c r="J1337" s="7">
        <f t="shared" si="112"/>
        <v>1900</v>
      </c>
      <c r="K1337" s="7">
        <f t="shared" si="114"/>
        <v>1</v>
      </c>
      <c r="L1337" s="7">
        <f t="shared" si="115"/>
        <v>45884</v>
      </c>
      <c r="M1337" s="7" t="s">
        <v>545</v>
      </c>
      <c r="N1337" s="7" t="s">
        <v>580</v>
      </c>
      <c r="O1337" s="17" t="s">
        <v>680</v>
      </c>
      <c r="P1337" s="7">
        <f t="shared" si="113"/>
        <v>8</v>
      </c>
      <c r="Q1337" s="7">
        <f t="shared" si="116"/>
        <v>2025</v>
      </c>
    </row>
    <row r="1338" spans="1:17" x14ac:dyDescent="0.25">
      <c r="A1338" s="7">
        <v>2540</v>
      </c>
      <c r="B1338" s="9" t="s">
        <v>317</v>
      </c>
      <c r="C1338" s="9" t="s">
        <v>542</v>
      </c>
      <c r="D1338" s="8">
        <v>45884</v>
      </c>
      <c r="E1338" s="7" t="s">
        <v>619</v>
      </c>
      <c r="F1338" s="7">
        <v>1</v>
      </c>
      <c r="G1338" s="7" t="s">
        <v>15</v>
      </c>
      <c r="H1338" s="7" t="s">
        <v>318</v>
      </c>
      <c r="J1338" s="7">
        <f t="shared" si="112"/>
        <v>1900</v>
      </c>
      <c r="K1338" s="7">
        <f t="shared" si="114"/>
        <v>1</v>
      </c>
      <c r="L1338" s="7">
        <f t="shared" si="115"/>
        <v>45884</v>
      </c>
      <c r="M1338" s="7" t="s">
        <v>545</v>
      </c>
      <c r="N1338" s="7" t="s">
        <v>580</v>
      </c>
      <c r="O1338" s="17" t="s">
        <v>680</v>
      </c>
      <c r="P1338" s="7">
        <f t="shared" si="113"/>
        <v>8</v>
      </c>
      <c r="Q1338" s="7">
        <f t="shared" si="116"/>
        <v>2025</v>
      </c>
    </row>
    <row r="1339" spans="1:17" x14ac:dyDescent="0.25">
      <c r="A1339" s="7">
        <v>2540</v>
      </c>
      <c r="B1339" s="9" t="s">
        <v>317</v>
      </c>
      <c r="C1339" s="9" t="s">
        <v>542</v>
      </c>
      <c r="D1339" s="8">
        <v>45884</v>
      </c>
      <c r="E1339" s="7" t="s">
        <v>620</v>
      </c>
      <c r="F1339" s="7">
        <v>1</v>
      </c>
      <c r="G1339" s="7" t="s">
        <v>15</v>
      </c>
      <c r="H1339" s="7" t="s">
        <v>318</v>
      </c>
      <c r="J1339" s="7">
        <f t="shared" si="112"/>
        <v>1900</v>
      </c>
      <c r="K1339" s="7">
        <f t="shared" si="114"/>
        <v>1</v>
      </c>
      <c r="L1339" s="7">
        <f t="shared" si="115"/>
        <v>45884</v>
      </c>
      <c r="M1339" s="7" t="s">
        <v>545</v>
      </c>
      <c r="N1339" s="7" t="s">
        <v>580</v>
      </c>
      <c r="O1339" s="17" t="s">
        <v>680</v>
      </c>
      <c r="P1339" s="7">
        <f t="shared" si="113"/>
        <v>8</v>
      </c>
      <c r="Q1339" s="7">
        <f t="shared" si="116"/>
        <v>2025</v>
      </c>
    </row>
    <row r="1340" spans="1:17" x14ac:dyDescent="0.25">
      <c r="A1340" s="7">
        <v>2540</v>
      </c>
      <c r="B1340" s="9" t="s">
        <v>317</v>
      </c>
      <c r="C1340" s="9" t="s">
        <v>542</v>
      </c>
      <c r="D1340" s="8">
        <v>45884</v>
      </c>
      <c r="E1340" s="7" t="s">
        <v>621</v>
      </c>
      <c r="F1340" s="7">
        <v>1</v>
      </c>
      <c r="G1340" s="7" t="s">
        <v>15</v>
      </c>
      <c r="H1340" s="7" t="s">
        <v>318</v>
      </c>
      <c r="J1340" s="7">
        <f t="shared" si="112"/>
        <v>1900</v>
      </c>
      <c r="K1340" s="7">
        <f t="shared" si="114"/>
        <v>1</v>
      </c>
      <c r="L1340" s="7">
        <f t="shared" si="115"/>
        <v>45884</v>
      </c>
      <c r="M1340" s="7" t="s">
        <v>545</v>
      </c>
      <c r="N1340" s="7" t="s">
        <v>580</v>
      </c>
      <c r="O1340" s="17" t="s">
        <v>680</v>
      </c>
      <c r="P1340" s="7">
        <f t="shared" si="113"/>
        <v>8</v>
      </c>
      <c r="Q1340" s="7">
        <f t="shared" si="116"/>
        <v>2025</v>
      </c>
    </row>
    <row r="1341" spans="1:17" x14ac:dyDescent="0.25">
      <c r="A1341" s="7">
        <v>2540</v>
      </c>
      <c r="B1341" s="9" t="s">
        <v>317</v>
      </c>
      <c r="C1341" s="9" t="s">
        <v>542</v>
      </c>
      <c r="D1341" s="8">
        <v>45884</v>
      </c>
      <c r="E1341" s="7" t="s">
        <v>622</v>
      </c>
      <c r="F1341" s="7">
        <v>1</v>
      </c>
      <c r="G1341" s="7" t="s">
        <v>15</v>
      </c>
      <c r="H1341" s="7" t="s">
        <v>318</v>
      </c>
      <c r="J1341" s="7">
        <f t="shared" si="112"/>
        <v>1900</v>
      </c>
      <c r="K1341" s="7">
        <f t="shared" si="114"/>
        <v>1</v>
      </c>
      <c r="L1341" s="7">
        <f t="shared" si="115"/>
        <v>45884</v>
      </c>
      <c r="M1341" s="7" t="s">
        <v>545</v>
      </c>
      <c r="N1341" s="7" t="s">
        <v>580</v>
      </c>
      <c r="O1341" s="17" t="s">
        <v>680</v>
      </c>
      <c r="P1341" s="7">
        <f t="shared" si="113"/>
        <v>8</v>
      </c>
      <c r="Q1341" s="7">
        <f t="shared" si="116"/>
        <v>2025</v>
      </c>
    </row>
    <row r="1342" spans="1:17" x14ac:dyDescent="0.25">
      <c r="A1342" s="7">
        <v>2540</v>
      </c>
      <c r="B1342" s="9" t="s">
        <v>317</v>
      </c>
      <c r="C1342" s="9" t="s">
        <v>542</v>
      </c>
      <c r="D1342" s="8">
        <v>45884</v>
      </c>
      <c r="E1342" s="7" t="s">
        <v>623</v>
      </c>
      <c r="F1342" s="7">
        <v>1</v>
      </c>
      <c r="G1342" s="7" t="s">
        <v>15</v>
      </c>
      <c r="H1342" s="7" t="s">
        <v>318</v>
      </c>
      <c r="J1342" s="7">
        <f t="shared" si="112"/>
        <v>1900</v>
      </c>
      <c r="K1342" s="7">
        <f t="shared" si="114"/>
        <v>1</v>
      </c>
      <c r="L1342" s="7">
        <f t="shared" si="115"/>
        <v>45884</v>
      </c>
      <c r="M1342" s="7" t="s">
        <v>545</v>
      </c>
      <c r="N1342" s="7" t="s">
        <v>580</v>
      </c>
      <c r="O1342" s="17" t="s">
        <v>680</v>
      </c>
      <c r="P1342" s="7">
        <f t="shared" si="113"/>
        <v>8</v>
      </c>
      <c r="Q1342" s="7">
        <f t="shared" si="116"/>
        <v>2025</v>
      </c>
    </row>
    <row r="1343" spans="1:17" x14ac:dyDescent="0.25">
      <c r="A1343" s="7">
        <v>2540</v>
      </c>
      <c r="B1343" s="9" t="s">
        <v>317</v>
      </c>
      <c r="C1343" s="9" t="s">
        <v>542</v>
      </c>
      <c r="D1343" s="8">
        <v>45884</v>
      </c>
      <c r="E1343" s="7" t="s">
        <v>624</v>
      </c>
      <c r="F1343" s="7">
        <v>1</v>
      </c>
      <c r="G1343" s="7" t="s">
        <v>15</v>
      </c>
      <c r="H1343" s="7" t="s">
        <v>318</v>
      </c>
      <c r="J1343" s="7">
        <f t="shared" si="112"/>
        <v>1900</v>
      </c>
      <c r="K1343" s="7">
        <f t="shared" si="114"/>
        <v>1</v>
      </c>
      <c r="L1343" s="7">
        <f t="shared" si="115"/>
        <v>45884</v>
      </c>
      <c r="M1343" s="7" t="s">
        <v>545</v>
      </c>
      <c r="N1343" s="7" t="s">
        <v>580</v>
      </c>
      <c r="O1343" s="17" t="s">
        <v>680</v>
      </c>
      <c r="P1343" s="7">
        <f t="shared" si="113"/>
        <v>8</v>
      </c>
      <c r="Q1343" s="7">
        <f t="shared" si="116"/>
        <v>2025</v>
      </c>
    </row>
    <row r="1344" spans="1:17" x14ac:dyDescent="0.25">
      <c r="A1344" s="7">
        <v>2540</v>
      </c>
      <c r="B1344" s="9" t="s">
        <v>317</v>
      </c>
      <c r="C1344" s="9" t="s">
        <v>542</v>
      </c>
      <c r="D1344" s="8">
        <v>45884</v>
      </c>
      <c r="E1344" s="7" t="s">
        <v>625</v>
      </c>
      <c r="F1344" s="7">
        <v>1</v>
      </c>
      <c r="G1344" s="7" t="s">
        <v>15</v>
      </c>
      <c r="H1344" s="7" t="s">
        <v>318</v>
      </c>
      <c r="J1344" s="7">
        <f t="shared" si="112"/>
        <v>1900</v>
      </c>
      <c r="K1344" s="7">
        <f t="shared" si="114"/>
        <v>1</v>
      </c>
      <c r="L1344" s="7">
        <f t="shared" si="115"/>
        <v>45884</v>
      </c>
      <c r="M1344" s="7" t="s">
        <v>545</v>
      </c>
      <c r="N1344" s="7" t="s">
        <v>580</v>
      </c>
      <c r="O1344" s="17" t="s">
        <v>680</v>
      </c>
      <c r="P1344" s="7">
        <f t="shared" si="113"/>
        <v>8</v>
      </c>
      <c r="Q1344" s="7">
        <f t="shared" si="116"/>
        <v>2025</v>
      </c>
    </row>
    <row r="1345" spans="1:17" x14ac:dyDescent="0.25">
      <c r="A1345" s="7">
        <v>2540</v>
      </c>
      <c r="B1345" s="9" t="s">
        <v>317</v>
      </c>
      <c r="C1345" s="9" t="s">
        <v>542</v>
      </c>
      <c r="D1345" s="8">
        <v>45884</v>
      </c>
      <c r="E1345" s="7" t="s">
        <v>626</v>
      </c>
      <c r="F1345" s="7">
        <v>1</v>
      </c>
      <c r="G1345" s="7" t="s">
        <v>15</v>
      </c>
      <c r="H1345" s="7" t="s">
        <v>318</v>
      </c>
      <c r="J1345" s="7">
        <f t="shared" si="112"/>
        <v>1900</v>
      </c>
      <c r="K1345" s="7">
        <f t="shared" si="114"/>
        <v>1</v>
      </c>
      <c r="L1345" s="7">
        <f t="shared" si="115"/>
        <v>45884</v>
      </c>
      <c r="M1345" s="7" t="s">
        <v>545</v>
      </c>
      <c r="N1345" s="7" t="s">
        <v>580</v>
      </c>
      <c r="O1345" s="17" t="s">
        <v>680</v>
      </c>
      <c r="P1345" s="7">
        <f t="shared" si="113"/>
        <v>8</v>
      </c>
      <c r="Q1345" s="7">
        <f t="shared" si="116"/>
        <v>2025</v>
      </c>
    </row>
    <row r="1346" spans="1:17" x14ac:dyDescent="0.25">
      <c r="A1346" s="7">
        <v>2540</v>
      </c>
      <c r="B1346" s="9" t="s">
        <v>317</v>
      </c>
      <c r="C1346" s="9" t="s">
        <v>542</v>
      </c>
      <c r="D1346" s="8">
        <v>45884</v>
      </c>
      <c r="E1346" s="7" t="s">
        <v>627</v>
      </c>
      <c r="F1346" s="7">
        <v>1</v>
      </c>
      <c r="G1346" s="7" t="s">
        <v>15</v>
      </c>
      <c r="H1346" s="7" t="s">
        <v>318</v>
      </c>
      <c r="J1346" s="7">
        <f t="shared" si="112"/>
        <v>1900</v>
      </c>
      <c r="K1346" s="7">
        <f t="shared" si="114"/>
        <v>1</v>
      </c>
      <c r="L1346" s="7">
        <f t="shared" si="115"/>
        <v>45884</v>
      </c>
      <c r="M1346" s="7" t="s">
        <v>545</v>
      </c>
      <c r="N1346" s="7" t="s">
        <v>580</v>
      </c>
      <c r="O1346" s="17" t="s">
        <v>680</v>
      </c>
      <c r="P1346" s="7">
        <f t="shared" si="113"/>
        <v>8</v>
      </c>
      <c r="Q1346" s="7">
        <f t="shared" si="116"/>
        <v>2025</v>
      </c>
    </row>
    <row r="1347" spans="1:17" x14ac:dyDescent="0.25">
      <c r="A1347" s="7">
        <v>2540</v>
      </c>
      <c r="B1347" s="9" t="s">
        <v>317</v>
      </c>
      <c r="C1347" s="9" t="s">
        <v>542</v>
      </c>
      <c r="D1347" s="8">
        <v>45884</v>
      </c>
      <c r="E1347" s="7" t="s">
        <v>628</v>
      </c>
      <c r="F1347" s="7">
        <v>1</v>
      </c>
      <c r="G1347" s="7" t="s">
        <v>15</v>
      </c>
      <c r="H1347" s="7" t="s">
        <v>318</v>
      </c>
      <c r="J1347" s="7">
        <f t="shared" si="112"/>
        <v>1900</v>
      </c>
      <c r="K1347" s="7">
        <f t="shared" si="114"/>
        <v>1</v>
      </c>
      <c r="L1347" s="7">
        <f t="shared" si="115"/>
        <v>45884</v>
      </c>
      <c r="M1347" s="7" t="s">
        <v>545</v>
      </c>
      <c r="N1347" s="7" t="s">
        <v>580</v>
      </c>
      <c r="O1347" s="17" t="s">
        <v>680</v>
      </c>
      <c r="P1347" s="7">
        <f t="shared" si="113"/>
        <v>8</v>
      </c>
      <c r="Q1347" s="7">
        <f t="shared" si="116"/>
        <v>2025</v>
      </c>
    </row>
    <row r="1348" spans="1:17" x14ac:dyDescent="0.25">
      <c r="A1348" s="7">
        <v>2540</v>
      </c>
      <c r="B1348" s="9" t="s">
        <v>317</v>
      </c>
      <c r="C1348" s="9" t="s">
        <v>542</v>
      </c>
      <c r="D1348" s="8">
        <v>45884</v>
      </c>
      <c r="E1348" s="7" t="s">
        <v>629</v>
      </c>
      <c r="F1348" s="7">
        <v>1</v>
      </c>
      <c r="G1348" s="7" t="s">
        <v>15</v>
      </c>
      <c r="H1348" s="7" t="s">
        <v>318</v>
      </c>
      <c r="J1348" s="7">
        <f t="shared" si="112"/>
        <v>1900</v>
      </c>
      <c r="K1348" s="7">
        <f t="shared" si="114"/>
        <v>1</v>
      </c>
      <c r="L1348" s="7">
        <f t="shared" si="115"/>
        <v>45884</v>
      </c>
      <c r="M1348" s="7" t="s">
        <v>545</v>
      </c>
      <c r="N1348" s="7" t="s">
        <v>580</v>
      </c>
      <c r="O1348" s="17" t="s">
        <v>680</v>
      </c>
      <c r="P1348" s="7">
        <f t="shared" si="113"/>
        <v>8</v>
      </c>
      <c r="Q1348" s="7">
        <f t="shared" si="116"/>
        <v>2025</v>
      </c>
    </row>
    <row r="1349" spans="1:17" x14ac:dyDescent="0.25">
      <c r="A1349" s="7">
        <v>2540</v>
      </c>
      <c r="B1349" s="9" t="s">
        <v>317</v>
      </c>
      <c r="C1349" s="9" t="s">
        <v>542</v>
      </c>
      <c r="D1349" s="8">
        <v>45884</v>
      </c>
      <c r="E1349" s="7" t="s">
        <v>630</v>
      </c>
      <c r="F1349" s="7">
        <v>1</v>
      </c>
      <c r="G1349" s="7" t="s">
        <v>15</v>
      </c>
      <c r="H1349" s="7" t="s">
        <v>318</v>
      </c>
      <c r="J1349" s="7">
        <f t="shared" si="112"/>
        <v>1900</v>
      </c>
      <c r="K1349" s="7">
        <f t="shared" si="114"/>
        <v>1</v>
      </c>
      <c r="L1349" s="7">
        <f t="shared" si="115"/>
        <v>45884</v>
      </c>
      <c r="M1349" s="7" t="s">
        <v>545</v>
      </c>
      <c r="N1349" s="7" t="s">
        <v>580</v>
      </c>
      <c r="O1349" s="17" t="s">
        <v>680</v>
      </c>
      <c r="P1349" s="7">
        <f t="shared" si="113"/>
        <v>8</v>
      </c>
      <c r="Q1349" s="7">
        <f t="shared" si="116"/>
        <v>2025</v>
      </c>
    </row>
    <row r="1350" spans="1:17" x14ac:dyDescent="0.25">
      <c r="A1350" s="7">
        <v>2540</v>
      </c>
      <c r="B1350" s="9" t="s">
        <v>317</v>
      </c>
      <c r="C1350" s="9" t="s">
        <v>542</v>
      </c>
      <c r="D1350" s="8">
        <v>45884</v>
      </c>
      <c r="E1350" s="7" t="s">
        <v>631</v>
      </c>
      <c r="F1350" s="7">
        <v>1</v>
      </c>
      <c r="G1350" s="7" t="s">
        <v>15</v>
      </c>
      <c r="H1350" s="7" t="s">
        <v>318</v>
      </c>
      <c r="J1350" s="7">
        <f t="shared" si="112"/>
        <v>1900</v>
      </c>
      <c r="K1350" s="7">
        <f t="shared" si="114"/>
        <v>1</v>
      </c>
      <c r="L1350" s="7">
        <f t="shared" si="115"/>
        <v>45884</v>
      </c>
      <c r="M1350" s="7" t="s">
        <v>545</v>
      </c>
      <c r="N1350" s="7" t="s">
        <v>580</v>
      </c>
      <c r="O1350" s="17" t="s">
        <v>680</v>
      </c>
      <c r="P1350" s="7">
        <f t="shared" si="113"/>
        <v>8</v>
      </c>
      <c r="Q1350" s="7">
        <f t="shared" si="116"/>
        <v>2025</v>
      </c>
    </row>
    <row r="1351" spans="1:17" x14ac:dyDescent="0.25">
      <c r="A1351" s="7">
        <v>2540</v>
      </c>
      <c r="B1351" s="9" t="s">
        <v>317</v>
      </c>
      <c r="C1351" s="9" t="s">
        <v>542</v>
      </c>
      <c r="D1351" s="8">
        <v>45884</v>
      </c>
      <c r="E1351" s="7" t="s">
        <v>632</v>
      </c>
      <c r="F1351" s="7">
        <v>1</v>
      </c>
      <c r="G1351" s="7" t="s">
        <v>15</v>
      </c>
      <c r="H1351" s="7" t="s">
        <v>318</v>
      </c>
      <c r="J1351" s="7">
        <f t="shared" si="112"/>
        <v>1900</v>
      </c>
      <c r="K1351" s="7">
        <f t="shared" si="114"/>
        <v>1</v>
      </c>
      <c r="L1351" s="7">
        <f t="shared" si="115"/>
        <v>45884</v>
      </c>
      <c r="M1351" s="7" t="s">
        <v>545</v>
      </c>
      <c r="N1351" s="7" t="s">
        <v>580</v>
      </c>
      <c r="O1351" s="17" t="s">
        <v>680</v>
      </c>
      <c r="P1351" s="7">
        <f t="shared" si="113"/>
        <v>8</v>
      </c>
      <c r="Q1351" s="7">
        <f t="shared" si="116"/>
        <v>2025</v>
      </c>
    </row>
    <row r="1352" spans="1:17" x14ac:dyDescent="0.25">
      <c r="A1352" s="7">
        <v>2540</v>
      </c>
      <c r="B1352" s="9" t="s">
        <v>317</v>
      </c>
      <c r="C1352" s="9" t="s">
        <v>542</v>
      </c>
      <c r="D1352" s="8">
        <v>45884</v>
      </c>
      <c r="E1352" s="7" t="s">
        <v>633</v>
      </c>
      <c r="F1352" s="7">
        <v>1</v>
      </c>
      <c r="G1352" s="7" t="s">
        <v>15</v>
      </c>
      <c r="H1352" s="7" t="s">
        <v>318</v>
      </c>
      <c r="J1352" s="7">
        <f t="shared" si="112"/>
        <v>1900</v>
      </c>
      <c r="K1352" s="7">
        <f t="shared" si="114"/>
        <v>1</v>
      </c>
      <c r="L1352" s="7">
        <f t="shared" si="115"/>
        <v>45884</v>
      </c>
      <c r="M1352" s="7" t="s">
        <v>545</v>
      </c>
      <c r="N1352" s="7" t="s">
        <v>580</v>
      </c>
      <c r="O1352" s="17" t="s">
        <v>680</v>
      </c>
      <c r="P1352" s="7">
        <f t="shared" si="113"/>
        <v>8</v>
      </c>
      <c r="Q1352" s="7">
        <f t="shared" si="116"/>
        <v>2025</v>
      </c>
    </row>
    <row r="1353" spans="1:17" x14ac:dyDescent="0.25">
      <c r="A1353" s="7">
        <v>2540</v>
      </c>
      <c r="B1353" s="9" t="s">
        <v>317</v>
      </c>
      <c r="C1353" s="9" t="s">
        <v>542</v>
      </c>
      <c r="D1353" s="8">
        <v>45884</v>
      </c>
      <c r="E1353" s="7" t="s">
        <v>634</v>
      </c>
      <c r="F1353" s="7">
        <v>1</v>
      </c>
      <c r="G1353" s="7" t="s">
        <v>15</v>
      </c>
      <c r="H1353" s="7" t="s">
        <v>318</v>
      </c>
      <c r="J1353" s="7">
        <f t="shared" si="112"/>
        <v>1900</v>
      </c>
      <c r="K1353" s="7">
        <f t="shared" si="114"/>
        <v>1</v>
      </c>
      <c r="L1353" s="7">
        <f t="shared" si="115"/>
        <v>45884</v>
      </c>
      <c r="M1353" s="7" t="s">
        <v>545</v>
      </c>
      <c r="N1353" s="7" t="s">
        <v>580</v>
      </c>
      <c r="O1353" s="17" t="s">
        <v>680</v>
      </c>
      <c r="P1353" s="7">
        <f t="shared" si="113"/>
        <v>8</v>
      </c>
      <c r="Q1353" s="7">
        <f t="shared" si="116"/>
        <v>2025</v>
      </c>
    </row>
    <row r="1354" spans="1:17" x14ac:dyDescent="0.25">
      <c r="A1354" s="7">
        <v>2540</v>
      </c>
      <c r="B1354" s="9" t="s">
        <v>317</v>
      </c>
      <c r="C1354" s="9" t="s">
        <v>542</v>
      </c>
      <c r="D1354" s="8">
        <v>45884</v>
      </c>
      <c r="E1354" s="7" t="s">
        <v>635</v>
      </c>
      <c r="F1354" s="7">
        <v>1</v>
      </c>
      <c r="G1354" s="7" t="s">
        <v>15</v>
      </c>
      <c r="H1354" s="7" t="s">
        <v>318</v>
      </c>
      <c r="J1354" s="7">
        <f t="shared" si="112"/>
        <v>1900</v>
      </c>
      <c r="K1354" s="7">
        <f t="shared" si="114"/>
        <v>1</v>
      </c>
      <c r="L1354" s="7">
        <f t="shared" si="115"/>
        <v>45884</v>
      </c>
      <c r="M1354" s="7" t="s">
        <v>545</v>
      </c>
      <c r="N1354" s="7" t="s">
        <v>580</v>
      </c>
      <c r="O1354" s="17" t="s">
        <v>680</v>
      </c>
      <c r="P1354" s="7">
        <f t="shared" si="113"/>
        <v>8</v>
      </c>
      <c r="Q1354" s="7">
        <f t="shared" si="116"/>
        <v>2025</v>
      </c>
    </row>
    <row r="1355" spans="1:17" x14ac:dyDescent="0.25">
      <c r="A1355" s="7">
        <v>2541</v>
      </c>
      <c r="B1355" s="9" t="s">
        <v>317</v>
      </c>
      <c r="C1355" s="9" t="s">
        <v>542</v>
      </c>
      <c r="D1355" s="8">
        <v>45884</v>
      </c>
      <c r="E1355" s="7" t="s">
        <v>60</v>
      </c>
      <c r="F1355" s="7">
        <v>1</v>
      </c>
      <c r="G1355" s="7" t="s">
        <v>15</v>
      </c>
      <c r="H1355" s="7" t="s">
        <v>318</v>
      </c>
      <c r="J1355" s="7">
        <f t="shared" si="112"/>
        <v>1900</v>
      </c>
      <c r="K1355" s="7">
        <f t="shared" si="114"/>
        <v>1</v>
      </c>
      <c r="L1355" s="7">
        <f t="shared" si="115"/>
        <v>45884</v>
      </c>
      <c r="M1355" s="7" t="s">
        <v>545</v>
      </c>
      <c r="O1355" s="17" t="s">
        <v>682</v>
      </c>
      <c r="P1355" s="7">
        <f t="shared" si="113"/>
        <v>8</v>
      </c>
      <c r="Q1355" s="7">
        <f t="shared" si="116"/>
        <v>2025</v>
      </c>
    </row>
    <row r="1356" spans="1:17" x14ac:dyDescent="0.25">
      <c r="A1356" s="7">
        <v>2541</v>
      </c>
      <c r="B1356" s="9" t="s">
        <v>317</v>
      </c>
      <c r="C1356" s="9" t="s">
        <v>542</v>
      </c>
      <c r="D1356" s="8">
        <v>45884</v>
      </c>
      <c r="E1356" s="7" t="s">
        <v>60</v>
      </c>
      <c r="F1356" s="7">
        <v>1</v>
      </c>
      <c r="G1356" s="7" t="s">
        <v>15</v>
      </c>
      <c r="H1356" s="7" t="s">
        <v>318</v>
      </c>
      <c r="J1356" s="7">
        <f t="shared" si="112"/>
        <v>1900</v>
      </c>
      <c r="K1356" s="7">
        <f t="shared" si="114"/>
        <v>1</v>
      </c>
      <c r="L1356" s="7">
        <f t="shared" si="115"/>
        <v>45884</v>
      </c>
      <c r="M1356" s="7" t="s">
        <v>545</v>
      </c>
      <c r="O1356" s="17" t="s">
        <v>682</v>
      </c>
      <c r="P1356" s="7">
        <f t="shared" si="113"/>
        <v>8</v>
      </c>
      <c r="Q1356" s="7">
        <f t="shared" si="116"/>
        <v>2025</v>
      </c>
    </row>
    <row r="1357" spans="1:17" x14ac:dyDescent="0.25">
      <c r="A1357" s="7">
        <v>2541</v>
      </c>
      <c r="B1357" s="9" t="s">
        <v>317</v>
      </c>
      <c r="C1357" s="9" t="s">
        <v>542</v>
      </c>
      <c r="D1357" s="8">
        <v>45884</v>
      </c>
      <c r="E1357" s="7" t="s">
        <v>60</v>
      </c>
      <c r="F1357" s="7">
        <v>1</v>
      </c>
      <c r="G1357" s="7" t="s">
        <v>15</v>
      </c>
      <c r="H1357" s="7" t="s">
        <v>318</v>
      </c>
      <c r="J1357" s="7">
        <f t="shared" si="112"/>
        <v>1900</v>
      </c>
      <c r="K1357" s="7">
        <f t="shared" si="114"/>
        <v>1</v>
      </c>
      <c r="L1357" s="7">
        <f t="shared" si="115"/>
        <v>45884</v>
      </c>
      <c r="M1357" s="7" t="s">
        <v>545</v>
      </c>
      <c r="O1357" s="17" t="s">
        <v>682</v>
      </c>
      <c r="P1357" s="7">
        <f t="shared" si="113"/>
        <v>8</v>
      </c>
      <c r="Q1357" s="7">
        <f t="shared" si="116"/>
        <v>2025</v>
      </c>
    </row>
    <row r="1358" spans="1:17" x14ac:dyDescent="0.25">
      <c r="A1358" s="7">
        <v>2541</v>
      </c>
      <c r="B1358" s="9" t="s">
        <v>317</v>
      </c>
      <c r="C1358" s="9" t="s">
        <v>542</v>
      </c>
      <c r="D1358" s="8">
        <v>45884</v>
      </c>
      <c r="E1358" s="7" t="s">
        <v>60</v>
      </c>
      <c r="F1358" s="7">
        <v>1</v>
      </c>
      <c r="G1358" s="7" t="s">
        <v>15</v>
      </c>
      <c r="H1358" s="7" t="s">
        <v>318</v>
      </c>
      <c r="J1358" s="7">
        <f t="shared" si="112"/>
        <v>1900</v>
      </c>
      <c r="K1358" s="7">
        <f t="shared" si="114"/>
        <v>1</v>
      </c>
      <c r="L1358" s="7">
        <f t="shared" si="115"/>
        <v>45884</v>
      </c>
      <c r="M1358" s="7" t="s">
        <v>545</v>
      </c>
      <c r="O1358" s="17" t="s">
        <v>682</v>
      </c>
      <c r="P1358" s="7">
        <f t="shared" si="113"/>
        <v>8</v>
      </c>
      <c r="Q1358" s="7">
        <f t="shared" si="116"/>
        <v>2025</v>
      </c>
    </row>
    <row r="1359" spans="1:17" x14ac:dyDescent="0.25">
      <c r="A1359" s="7">
        <v>2541</v>
      </c>
      <c r="B1359" s="9" t="s">
        <v>317</v>
      </c>
      <c r="C1359" s="9" t="s">
        <v>542</v>
      </c>
      <c r="D1359" s="8">
        <v>45884</v>
      </c>
      <c r="E1359" s="7" t="s">
        <v>60</v>
      </c>
      <c r="F1359" s="7">
        <v>1</v>
      </c>
      <c r="G1359" s="7" t="s">
        <v>15</v>
      </c>
      <c r="H1359" s="7" t="s">
        <v>318</v>
      </c>
      <c r="J1359" s="7">
        <f t="shared" si="112"/>
        <v>1900</v>
      </c>
      <c r="K1359" s="7">
        <f t="shared" si="114"/>
        <v>1</v>
      </c>
      <c r="L1359" s="7">
        <f t="shared" si="115"/>
        <v>45884</v>
      </c>
      <c r="M1359" s="7" t="s">
        <v>545</v>
      </c>
      <c r="O1359" s="17" t="s">
        <v>682</v>
      </c>
      <c r="P1359" s="7">
        <f t="shared" si="113"/>
        <v>8</v>
      </c>
      <c r="Q1359" s="7">
        <f t="shared" si="116"/>
        <v>2025</v>
      </c>
    </row>
    <row r="1360" spans="1:17" x14ac:dyDescent="0.25">
      <c r="A1360" s="7">
        <v>2541</v>
      </c>
      <c r="B1360" s="9" t="s">
        <v>317</v>
      </c>
      <c r="C1360" s="9" t="s">
        <v>542</v>
      </c>
      <c r="D1360" s="8">
        <v>45884</v>
      </c>
      <c r="E1360" s="7" t="s">
        <v>60</v>
      </c>
      <c r="F1360" s="7">
        <v>1</v>
      </c>
      <c r="G1360" s="7" t="s">
        <v>15</v>
      </c>
      <c r="H1360" s="7" t="s">
        <v>318</v>
      </c>
      <c r="J1360" s="7">
        <f t="shared" si="112"/>
        <v>1900</v>
      </c>
      <c r="K1360" s="7">
        <f t="shared" si="114"/>
        <v>1</v>
      </c>
      <c r="L1360" s="7">
        <f t="shared" si="115"/>
        <v>45884</v>
      </c>
      <c r="M1360" s="7" t="s">
        <v>545</v>
      </c>
      <c r="O1360" s="17" t="s">
        <v>682</v>
      </c>
      <c r="P1360" s="7">
        <f t="shared" si="113"/>
        <v>8</v>
      </c>
      <c r="Q1360" s="7">
        <f t="shared" si="116"/>
        <v>2025</v>
      </c>
    </row>
    <row r="1361" spans="1:17" x14ac:dyDescent="0.25">
      <c r="A1361" s="7">
        <v>2541</v>
      </c>
      <c r="B1361" s="9" t="s">
        <v>317</v>
      </c>
      <c r="C1361" s="9" t="s">
        <v>542</v>
      </c>
      <c r="D1361" s="8">
        <v>45884</v>
      </c>
      <c r="E1361" s="7" t="s">
        <v>60</v>
      </c>
      <c r="F1361" s="7">
        <v>1</v>
      </c>
      <c r="G1361" s="7" t="s">
        <v>15</v>
      </c>
      <c r="H1361" s="7" t="s">
        <v>318</v>
      </c>
      <c r="J1361" s="7">
        <f t="shared" ref="J1361:J1424" si="117">YEAR(I1361)</f>
        <v>1900</v>
      </c>
      <c r="K1361" s="7">
        <f t="shared" si="114"/>
        <v>1</v>
      </c>
      <c r="L1361" s="7">
        <f t="shared" si="115"/>
        <v>45884</v>
      </c>
      <c r="M1361" s="7" t="s">
        <v>545</v>
      </c>
      <c r="O1361" s="17" t="s">
        <v>682</v>
      </c>
      <c r="P1361" s="7">
        <f t="shared" si="113"/>
        <v>8</v>
      </c>
      <c r="Q1361" s="7">
        <f t="shared" si="116"/>
        <v>2025</v>
      </c>
    </row>
    <row r="1362" spans="1:17" x14ac:dyDescent="0.25">
      <c r="A1362" s="7">
        <v>2541</v>
      </c>
      <c r="B1362" s="9" t="s">
        <v>317</v>
      </c>
      <c r="C1362" s="9" t="s">
        <v>542</v>
      </c>
      <c r="D1362" s="8">
        <v>45884</v>
      </c>
      <c r="E1362" s="7" t="s">
        <v>60</v>
      </c>
      <c r="F1362" s="7">
        <v>1</v>
      </c>
      <c r="G1362" s="7" t="s">
        <v>15</v>
      </c>
      <c r="H1362" s="7" t="s">
        <v>318</v>
      </c>
      <c r="J1362" s="7">
        <f t="shared" si="117"/>
        <v>1900</v>
      </c>
      <c r="K1362" s="7">
        <f t="shared" si="114"/>
        <v>1</v>
      </c>
      <c r="L1362" s="7">
        <f t="shared" si="115"/>
        <v>45884</v>
      </c>
      <c r="M1362" s="7" t="s">
        <v>545</v>
      </c>
      <c r="O1362" s="17" t="s">
        <v>682</v>
      </c>
      <c r="P1362" s="7">
        <f t="shared" si="113"/>
        <v>8</v>
      </c>
      <c r="Q1362" s="7">
        <f t="shared" si="116"/>
        <v>2025</v>
      </c>
    </row>
    <row r="1363" spans="1:17" x14ac:dyDescent="0.25">
      <c r="A1363" s="7">
        <v>2541</v>
      </c>
      <c r="B1363" s="9" t="s">
        <v>317</v>
      </c>
      <c r="C1363" s="9" t="s">
        <v>542</v>
      </c>
      <c r="D1363" s="8">
        <v>45884</v>
      </c>
      <c r="E1363" s="7" t="s">
        <v>60</v>
      </c>
      <c r="F1363" s="7">
        <v>1</v>
      </c>
      <c r="G1363" s="7" t="s">
        <v>15</v>
      </c>
      <c r="H1363" s="7" t="s">
        <v>318</v>
      </c>
      <c r="J1363" s="7">
        <f t="shared" si="117"/>
        <v>1900</v>
      </c>
      <c r="K1363" s="7">
        <f t="shared" si="114"/>
        <v>1</v>
      </c>
      <c r="L1363" s="7">
        <f t="shared" si="115"/>
        <v>45884</v>
      </c>
      <c r="M1363" s="7" t="s">
        <v>545</v>
      </c>
      <c r="O1363" s="17" t="s">
        <v>682</v>
      </c>
      <c r="P1363" s="7">
        <f t="shared" si="113"/>
        <v>8</v>
      </c>
      <c r="Q1363" s="7">
        <f t="shared" si="116"/>
        <v>2025</v>
      </c>
    </row>
    <row r="1364" spans="1:17" x14ac:dyDescent="0.25">
      <c r="A1364" s="7">
        <v>2541</v>
      </c>
      <c r="B1364" s="9" t="s">
        <v>317</v>
      </c>
      <c r="C1364" s="9" t="s">
        <v>542</v>
      </c>
      <c r="D1364" s="8">
        <v>45884</v>
      </c>
      <c r="E1364" s="7" t="s">
        <v>60</v>
      </c>
      <c r="F1364" s="7">
        <v>1</v>
      </c>
      <c r="G1364" s="7" t="s">
        <v>15</v>
      </c>
      <c r="H1364" s="7" t="s">
        <v>318</v>
      </c>
      <c r="J1364" s="7">
        <f t="shared" si="117"/>
        <v>1900</v>
      </c>
      <c r="K1364" s="7">
        <f t="shared" si="114"/>
        <v>1</v>
      </c>
      <c r="L1364" s="7">
        <f t="shared" si="115"/>
        <v>45884</v>
      </c>
      <c r="M1364" s="7" t="s">
        <v>545</v>
      </c>
      <c r="O1364" s="17" t="s">
        <v>682</v>
      </c>
      <c r="P1364" s="7">
        <f t="shared" si="113"/>
        <v>8</v>
      </c>
      <c r="Q1364" s="7">
        <f t="shared" si="116"/>
        <v>2025</v>
      </c>
    </row>
    <row r="1365" spans="1:17" x14ac:dyDescent="0.25">
      <c r="A1365" s="7">
        <v>2541</v>
      </c>
      <c r="B1365" s="9" t="s">
        <v>317</v>
      </c>
      <c r="C1365" s="9" t="s">
        <v>542</v>
      </c>
      <c r="D1365" s="8">
        <v>45884</v>
      </c>
      <c r="E1365" s="7" t="s">
        <v>60</v>
      </c>
      <c r="F1365" s="7">
        <v>1</v>
      </c>
      <c r="G1365" s="7" t="s">
        <v>15</v>
      </c>
      <c r="H1365" s="7" t="s">
        <v>318</v>
      </c>
      <c r="J1365" s="7">
        <f t="shared" si="117"/>
        <v>1900</v>
      </c>
      <c r="K1365" s="7">
        <f t="shared" si="114"/>
        <v>1</v>
      </c>
      <c r="L1365" s="7">
        <f t="shared" si="115"/>
        <v>45884</v>
      </c>
      <c r="M1365" s="7" t="s">
        <v>545</v>
      </c>
      <c r="O1365" s="17" t="s">
        <v>682</v>
      </c>
      <c r="P1365" s="7">
        <f t="shared" si="113"/>
        <v>8</v>
      </c>
      <c r="Q1365" s="7">
        <f t="shared" si="116"/>
        <v>2025</v>
      </c>
    </row>
    <row r="1366" spans="1:17" x14ac:dyDescent="0.25">
      <c r="A1366" s="7">
        <v>2541</v>
      </c>
      <c r="B1366" s="9" t="s">
        <v>317</v>
      </c>
      <c r="C1366" s="9" t="s">
        <v>542</v>
      </c>
      <c r="D1366" s="8">
        <v>45884</v>
      </c>
      <c r="E1366" s="7" t="s">
        <v>60</v>
      </c>
      <c r="F1366" s="7">
        <v>1</v>
      </c>
      <c r="G1366" s="7" t="s">
        <v>15</v>
      </c>
      <c r="H1366" s="7" t="s">
        <v>318</v>
      </c>
      <c r="J1366" s="7">
        <f t="shared" si="117"/>
        <v>1900</v>
      </c>
      <c r="K1366" s="7">
        <f t="shared" si="114"/>
        <v>1</v>
      </c>
      <c r="L1366" s="7">
        <f t="shared" si="115"/>
        <v>45884</v>
      </c>
      <c r="M1366" s="7" t="s">
        <v>545</v>
      </c>
      <c r="O1366" s="17" t="s">
        <v>682</v>
      </c>
      <c r="P1366" s="7">
        <f t="shared" si="113"/>
        <v>8</v>
      </c>
      <c r="Q1366" s="7">
        <f t="shared" si="116"/>
        <v>2025</v>
      </c>
    </row>
    <row r="1367" spans="1:17" x14ac:dyDescent="0.25">
      <c r="A1367" s="7">
        <v>2541</v>
      </c>
      <c r="B1367" s="9" t="s">
        <v>317</v>
      </c>
      <c r="C1367" s="9" t="s">
        <v>542</v>
      </c>
      <c r="D1367" s="8">
        <v>45884</v>
      </c>
      <c r="E1367" s="7" t="s">
        <v>60</v>
      </c>
      <c r="F1367" s="7">
        <v>1</v>
      </c>
      <c r="G1367" s="7" t="s">
        <v>15</v>
      </c>
      <c r="H1367" s="7" t="s">
        <v>318</v>
      </c>
      <c r="J1367" s="7">
        <f t="shared" si="117"/>
        <v>1900</v>
      </c>
      <c r="K1367" s="7">
        <f t="shared" si="114"/>
        <v>1</v>
      </c>
      <c r="L1367" s="7">
        <f t="shared" si="115"/>
        <v>45884</v>
      </c>
      <c r="M1367" s="7" t="s">
        <v>545</v>
      </c>
      <c r="O1367" s="17" t="s">
        <v>682</v>
      </c>
      <c r="P1367" s="7">
        <f t="shared" si="113"/>
        <v>8</v>
      </c>
      <c r="Q1367" s="7">
        <f t="shared" si="116"/>
        <v>2025</v>
      </c>
    </row>
    <row r="1368" spans="1:17" x14ac:dyDescent="0.25">
      <c r="A1368" s="7">
        <v>2541</v>
      </c>
      <c r="B1368" s="9" t="s">
        <v>317</v>
      </c>
      <c r="C1368" s="9" t="s">
        <v>542</v>
      </c>
      <c r="D1368" s="8">
        <v>45884</v>
      </c>
      <c r="E1368" s="7" t="s">
        <v>60</v>
      </c>
      <c r="F1368" s="7">
        <v>1</v>
      </c>
      <c r="G1368" s="7" t="s">
        <v>15</v>
      </c>
      <c r="H1368" s="7" t="s">
        <v>318</v>
      </c>
      <c r="J1368" s="7">
        <f t="shared" si="117"/>
        <v>1900</v>
      </c>
      <c r="K1368" s="7">
        <f t="shared" si="114"/>
        <v>1</v>
      </c>
      <c r="L1368" s="7">
        <f t="shared" si="115"/>
        <v>45884</v>
      </c>
      <c r="M1368" s="7" t="s">
        <v>545</v>
      </c>
      <c r="O1368" s="17" t="s">
        <v>682</v>
      </c>
      <c r="P1368" s="7">
        <f t="shared" si="113"/>
        <v>8</v>
      </c>
      <c r="Q1368" s="7">
        <f t="shared" si="116"/>
        <v>2025</v>
      </c>
    </row>
    <row r="1369" spans="1:17" x14ac:dyDescent="0.25">
      <c r="A1369" s="7">
        <v>2541</v>
      </c>
      <c r="B1369" s="9" t="s">
        <v>317</v>
      </c>
      <c r="C1369" s="9" t="s">
        <v>542</v>
      </c>
      <c r="D1369" s="8">
        <v>45884</v>
      </c>
      <c r="E1369" s="7" t="s">
        <v>60</v>
      </c>
      <c r="F1369" s="7">
        <v>1</v>
      </c>
      <c r="G1369" s="7" t="s">
        <v>15</v>
      </c>
      <c r="H1369" s="7" t="s">
        <v>318</v>
      </c>
      <c r="J1369" s="7">
        <f t="shared" si="117"/>
        <v>1900</v>
      </c>
      <c r="K1369" s="7">
        <f t="shared" si="114"/>
        <v>1</v>
      </c>
      <c r="L1369" s="7">
        <f t="shared" si="115"/>
        <v>45884</v>
      </c>
      <c r="M1369" s="7" t="s">
        <v>545</v>
      </c>
      <c r="O1369" s="17" t="s">
        <v>682</v>
      </c>
      <c r="P1369" s="7">
        <f t="shared" si="113"/>
        <v>8</v>
      </c>
      <c r="Q1369" s="7">
        <f t="shared" si="116"/>
        <v>2025</v>
      </c>
    </row>
    <row r="1370" spans="1:17" x14ac:dyDescent="0.25">
      <c r="A1370" s="7">
        <v>2541</v>
      </c>
      <c r="B1370" s="9" t="s">
        <v>317</v>
      </c>
      <c r="C1370" s="9" t="s">
        <v>542</v>
      </c>
      <c r="D1370" s="8">
        <v>45884</v>
      </c>
      <c r="E1370" s="7" t="s">
        <v>60</v>
      </c>
      <c r="F1370" s="7">
        <v>1</v>
      </c>
      <c r="G1370" s="7" t="s">
        <v>15</v>
      </c>
      <c r="H1370" s="7" t="s">
        <v>318</v>
      </c>
      <c r="J1370" s="7">
        <f t="shared" si="117"/>
        <v>1900</v>
      </c>
      <c r="K1370" s="7">
        <f t="shared" si="114"/>
        <v>1</v>
      </c>
      <c r="L1370" s="7">
        <f t="shared" si="115"/>
        <v>45884</v>
      </c>
      <c r="M1370" s="7" t="s">
        <v>545</v>
      </c>
      <c r="O1370" s="17" t="s">
        <v>682</v>
      </c>
      <c r="P1370" s="7">
        <f t="shared" ref="P1370:P1433" si="118">MONTH(D1370)</f>
        <v>8</v>
      </c>
      <c r="Q1370" s="7">
        <f t="shared" si="116"/>
        <v>2025</v>
      </c>
    </row>
    <row r="1371" spans="1:17" x14ac:dyDescent="0.25">
      <c r="A1371" s="7">
        <v>2541</v>
      </c>
      <c r="B1371" s="9" t="s">
        <v>317</v>
      </c>
      <c r="C1371" s="9" t="s">
        <v>542</v>
      </c>
      <c r="D1371" s="8">
        <v>45884</v>
      </c>
      <c r="E1371" s="7" t="s">
        <v>60</v>
      </c>
      <c r="F1371" s="7">
        <v>1</v>
      </c>
      <c r="G1371" s="7" t="s">
        <v>15</v>
      </c>
      <c r="H1371" s="7" t="s">
        <v>318</v>
      </c>
      <c r="J1371" s="7">
        <f t="shared" si="117"/>
        <v>1900</v>
      </c>
      <c r="K1371" s="7">
        <f t="shared" si="114"/>
        <v>1</v>
      </c>
      <c r="L1371" s="7">
        <f t="shared" si="115"/>
        <v>45884</v>
      </c>
      <c r="M1371" s="7" t="s">
        <v>545</v>
      </c>
      <c r="O1371" s="17" t="s">
        <v>682</v>
      </c>
      <c r="P1371" s="7">
        <f t="shared" si="118"/>
        <v>8</v>
      </c>
      <c r="Q1371" s="7">
        <f t="shared" si="116"/>
        <v>2025</v>
      </c>
    </row>
    <row r="1372" spans="1:17" x14ac:dyDescent="0.25">
      <c r="A1372" s="7">
        <v>2541</v>
      </c>
      <c r="B1372" s="9" t="s">
        <v>317</v>
      </c>
      <c r="C1372" s="9" t="s">
        <v>542</v>
      </c>
      <c r="D1372" s="8">
        <v>45884</v>
      </c>
      <c r="E1372" s="7" t="s">
        <v>60</v>
      </c>
      <c r="F1372" s="7">
        <v>1</v>
      </c>
      <c r="G1372" s="7" t="s">
        <v>15</v>
      </c>
      <c r="H1372" s="7" t="s">
        <v>318</v>
      </c>
      <c r="J1372" s="7">
        <f t="shared" si="117"/>
        <v>1900</v>
      </c>
      <c r="K1372" s="7">
        <f t="shared" si="114"/>
        <v>1</v>
      </c>
      <c r="L1372" s="7">
        <f t="shared" si="115"/>
        <v>45884</v>
      </c>
      <c r="M1372" s="7" t="s">
        <v>545</v>
      </c>
      <c r="O1372" s="17" t="s">
        <v>682</v>
      </c>
      <c r="P1372" s="7">
        <f t="shared" si="118"/>
        <v>8</v>
      </c>
      <c r="Q1372" s="7">
        <f t="shared" si="116"/>
        <v>2025</v>
      </c>
    </row>
    <row r="1373" spans="1:17" x14ac:dyDescent="0.25">
      <c r="A1373" s="7">
        <v>2541</v>
      </c>
      <c r="B1373" s="9" t="s">
        <v>317</v>
      </c>
      <c r="C1373" s="9" t="s">
        <v>542</v>
      </c>
      <c r="D1373" s="8">
        <v>45884</v>
      </c>
      <c r="E1373" s="7" t="s">
        <v>60</v>
      </c>
      <c r="F1373" s="7">
        <v>1</v>
      </c>
      <c r="G1373" s="7" t="s">
        <v>15</v>
      </c>
      <c r="H1373" s="7" t="s">
        <v>318</v>
      </c>
      <c r="J1373" s="7">
        <f t="shared" si="117"/>
        <v>1900</v>
      </c>
      <c r="K1373" s="7">
        <f t="shared" si="114"/>
        <v>1</v>
      </c>
      <c r="L1373" s="7">
        <f t="shared" si="115"/>
        <v>45884</v>
      </c>
      <c r="M1373" s="7" t="s">
        <v>545</v>
      </c>
      <c r="O1373" s="17" t="s">
        <v>682</v>
      </c>
      <c r="P1373" s="7">
        <f t="shared" si="118"/>
        <v>8</v>
      </c>
      <c r="Q1373" s="7">
        <f t="shared" si="116"/>
        <v>2025</v>
      </c>
    </row>
    <row r="1374" spans="1:17" x14ac:dyDescent="0.25">
      <c r="A1374" s="7">
        <v>2541</v>
      </c>
      <c r="B1374" s="9" t="s">
        <v>317</v>
      </c>
      <c r="C1374" s="9" t="s">
        <v>542</v>
      </c>
      <c r="D1374" s="8">
        <v>45884</v>
      </c>
      <c r="E1374" s="7" t="s">
        <v>60</v>
      </c>
      <c r="F1374" s="7">
        <v>1</v>
      </c>
      <c r="G1374" s="7" t="s">
        <v>15</v>
      </c>
      <c r="H1374" s="7" t="s">
        <v>318</v>
      </c>
      <c r="J1374" s="7">
        <f t="shared" si="117"/>
        <v>1900</v>
      </c>
      <c r="K1374" s="7">
        <f t="shared" si="114"/>
        <v>1</v>
      </c>
      <c r="L1374" s="7">
        <f t="shared" si="115"/>
        <v>45884</v>
      </c>
      <c r="M1374" s="7" t="s">
        <v>545</v>
      </c>
      <c r="O1374" s="17" t="s">
        <v>682</v>
      </c>
      <c r="P1374" s="7">
        <f t="shared" si="118"/>
        <v>8</v>
      </c>
      <c r="Q1374" s="7">
        <f t="shared" si="116"/>
        <v>2025</v>
      </c>
    </row>
    <row r="1375" spans="1:17" x14ac:dyDescent="0.25">
      <c r="A1375" s="7">
        <v>2541</v>
      </c>
      <c r="B1375" s="9" t="s">
        <v>317</v>
      </c>
      <c r="C1375" s="9" t="s">
        <v>542</v>
      </c>
      <c r="D1375" s="8">
        <v>45884</v>
      </c>
      <c r="E1375" s="7" t="s">
        <v>60</v>
      </c>
      <c r="F1375" s="7">
        <v>1</v>
      </c>
      <c r="G1375" s="7" t="s">
        <v>15</v>
      </c>
      <c r="H1375" s="7" t="s">
        <v>318</v>
      </c>
      <c r="J1375" s="7">
        <f t="shared" si="117"/>
        <v>1900</v>
      </c>
      <c r="K1375" s="7">
        <f t="shared" si="114"/>
        <v>1</v>
      </c>
      <c r="L1375" s="7">
        <f t="shared" si="115"/>
        <v>45884</v>
      </c>
      <c r="M1375" s="7" t="s">
        <v>545</v>
      </c>
      <c r="O1375" s="17" t="s">
        <v>682</v>
      </c>
      <c r="P1375" s="7">
        <f t="shared" si="118"/>
        <v>8</v>
      </c>
      <c r="Q1375" s="7">
        <f t="shared" si="116"/>
        <v>2025</v>
      </c>
    </row>
    <row r="1376" spans="1:17" x14ac:dyDescent="0.25">
      <c r="A1376" s="7">
        <v>2541</v>
      </c>
      <c r="B1376" s="9" t="s">
        <v>317</v>
      </c>
      <c r="C1376" s="9" t="s">
        <v>542</v>
      </c>
      <c r="D1376" s="8">
        <v>45884</v>
      </c>
      <c r="E1376" s="7" t="s">
        <v>60</v>
      </c>
      <c r="F1376" s="7">
        <v>1</v>
      </c>
      <c r="G1376" s="7" t="s">
        <v>15</v>
      </c>
      <c r="H1376" s="7" t="s">
        <v>318</v>
      </c>
      <c r="J1376" s="7">
        <f t="shared" si="117"/>
        <v>1900</v>
      </c>
      <c r="K1376" s="7">
        <f t="shared" si="114"/>
        <v>1</v>
      </c>
      <c r="L1376" s="7">
        <f t="shared" si="115"/>
        <v>45884</v>
      </c>
      <c r="M1376" s="7" t="s">
        <v>545</v>
      </c>
      <c r="O1376" s="17" t="s">
        <v>682</v>
      </c>
      <c r="P1376" s="7">
        <f t="shared" si="118"/>
        <v>8</v>
      </c>
      <c r="Q1376" s="7">
        <f t="shared" si="116"/>
        <v>2025</v>
      </c>
    </row>
    <row r="1377" spans="1:17" x14ac:dyDescent="0.25">
      <c r="A1377" s="7">
        <v>2541</v>
      </c>
      <c r="B1377" s="9" t="s">
        <v>317</v>
      </c>
      <c r="C1377" s="9" t="s">
        <v>542</v>
      </c>
      <c r="D1377" s="8">
        <v>45884</v>
      </c>
      <c r="E1377" s="7" t="s">
        <v>60</v>
      </c>
      <c r="F1377" s="7">
        <v>1</v>
      </c>
      <c r="G1377" s="7" t="s">
        <v>15</v>
      </c>
      <c r="H1377" s="7" t="s">
        <v>318</v>
      </c>
      <c r="J1377" s="7">
        <f t="shared" si="117"/>
        <v>1900</v>
      </c>
      <c r="K1377" s="7">
        <f t="shared" si="114"/>
        <v>1</v>
      </c>
      <c r="L1377" s="7">
        <f t="shared" si="115"/>
        <v>45884</v>
      </c>
      <c r="M1377" s="7" t="s">
        <v>545</v>
      </c>
      <c r="O1377" s="17" t="s">
        <v>682</v>
      </c>
      <c r="P1377" s="7">
        <f t="shared" si="118"/>
        <v>8</v>
      </c>
      <c r="Q1377" s="7">
        <f t="shared" si="116"/>
        <v>2025</v>
      </c>
    </row>
    <row r="1378" spans="1:17" x14ac:dyDescent="0.25">
      <c r="A1378" s="7">
        <v>2541</v>
      </c>
      <c r="B1378" s="9" t="s">
        <v>317</v>
      </c>
      <c r="C1378" s="9" t="s">
        <v>542</v>
      </c>
      <c r="D1378" s="8">
        <v>45884</v>
      </c>
      <c r="E1378" s="7" t="s">
        <v>60</v>
      </c>
      <c r="F1378" s="7">
        <v>1</v>
      </c>
      <c r="G1378" s="7" t="s">
        <v>15</v>
      </c>
      <c r="H1378" s="7" t="s">
        <v>318</v>
      </c>
      <c r="J1378" s="7">
        <f t="shared" si="117"/>
        <v>1900</v>
      </c>
      <c r="K1378" s="7">
        <f t="shared" si="114"/>
        <v>1</v>
      </c>
      <c r="L1378" s="7">
        <f t="shared" si="115"/>
        <v>45884</v>
      </c>
      <c r="M1378" s="7" t="s">
        <v>545</v>
      </c>
      <c r="O1378" s="17" t="s">
        <v>682</v>
      </c>
      <c r="P1378" s="7">
        <f t="shared" si="118"/>
        <v>8</v>
      </c>
      <c r="Q1378" s="7">
        <f t="shared" si="116"/>
        <v>2025</v>
      </c>
    </row>
    <row r="1379" spans="1:17" x14ac:dyDescent="0.25">
      <c r="A1379" s="7">
        <v>2541</v>
      </c>
      <c r="B1379" s="9" t="s">
        <v>317</v>
      </c>
      <c r="C1379" s="9" t="s">
        <v>542</v>
      </c>
      <c r="D1379" s="8">
        <v>45884</v>
      </c>
      <c r="E1379" s="7" t="s">
        <v>60</v>
      </c>
      <c r="F1379" s="7">
        <v>1</v>
      </c>
      <c r="G1379" s="7" t="s">
        <v>15</v>
      </c>
      <c r="H1379" s="7" t="s">
        <v>318</v>
      </c>
      <c r="J1379" s="7">
        <f t="shared" si="117"/>
        <v>1900</v>
      </c>
      <c r="K1379" s="7">
        <f t="shared" si="114"/>
        <v>1</v>
      </c>
      <c r="L1379" s="7">
        <f t="shared" si="115"/>
        <v>45884</v>
      </c>
      <c r="M1379" s="7" t="s">
        <v>545</v>
      </c>
      <c r="O1379" s="17" t="s">
        <v>682</v>
      </c>
      <c r="P1379" s="7">
        <f t="shared" si="118"/>
        <v>8</v>
      </c>
      <c r="Q1379" s="7">
        <f t="shared" si="116"/>
        <v>2025</v>
      </c>
    </row>
    <row r="1380" spans="1:17" x14ac:dyDescent="0.25">
      <c r="A1380" s="7">
        <v>2541</v>
      </c>
      <c r="B1380" s="9" t="s">
        <v>317</v>
      </c>
      <c r="C1380" s="9" t="s">
        <v>542</v>
      </c>
      <c r="D1380" s="8">
        <v>45884</v>
      </c>
      <c r="E1380" s="7" t="s">
        <v>60</v>
      </c>
      <c r="F1380" s="7">
        <v>1</v>
      </c>
      <c r="G1380" s="7" t="s">
        <v>15</v>
      </c>
      <c r="H1380" s="7" t="s">
        <v>318</v>
      </c>
      <c r="J1380" s="7">
        <f t="shared" si="117"/>
        <v>1900</v>
      </c>
      <c r="K1380" s="7">
        <f t="shared" si="114"/>
        <v>1</v>
      </c>
      <c r="L1380" s="7">
        <f t="shared" si="115"/>
        <v>45884</v>
      </c>
      <c r="M1380" s="7" t="s">
        <v>545</v>
      </c>
      <c r="O1380" s="17" t="s">
        <v>682</v>
      </c>
      <c r="P1380" s="7">
        <f t="shared" si="118"/>
        <v>8</v>
      </c>
      <c r="Q1380" s="7">
        <f t="shared" si="116"/>
        <v>2025</v>
      </c>
    </row>
    <row r="1381" spans="1:17" x14ac:dyDescent="0.25">
      <c r="A1381" s="7">
        <v>2541</v>
      </c>
      <c r="B1381" s="9" t="s">
        <v>317</v>
      </c>
      <c r="C1381" s="9" t="s">
        <v>542</v>
      </c>
      <c r="D1381" s="8">
        <v>45884</v>
      </c>
      <c r="E1381" s="7" t="s">
        <v>60</v>
      </c>
      <c r="F1381" s="7">
        <v>1</v>
      </c>
      <c r="G1381" s="7" t="s">
        <v>15</v>
      </c>
      <c r="H1381" s="7" t="s">
        <v>318</v>
      </c>
      <c r="J1381" s="7">
        <f t="shared" si="117"/>
        <v>1900</v>
      </c>
      <c r="K1381" s="7">
        <f t="shared" si="114"/>
        <v>1</v>
      </c>
      <c r="L1381" s="7">
        <f t="shared" si="115"/>
        <v>45884</v>
      </c>
      <c r="M1381" s="7" t="s">
        <v>545</v>
      </c>
      <c r="O1381" s="17" t="s">
        <v>682</v>
      </c>
      <c r="P1381" s="7">
        <f t="shared" si="118"/>
        <v>8</v>
      </c>
      <c r="Q1381" s="7">
        <f t="shared" si="116"/>
        <v>2025</v>
      </c>
    </row>
    <row r="1382" spans="1:17" x14ac:dyDescent="0.25">
      <c r="A1382" s="7">
        <v>2541</v>
      </c>
      <c r="B1382" s="9" t="s">
        <v>317</v>
      </c>
      <c r="C1382" s="9" t="s">
        <v>542</v>
      </c>
      <c r="D1382" s="8">
        <v>45884</v>
      </c>
      <c r="E1382" s="7" t="s">
        <v>60</v>
      </c>
      <c r="F1382" s="7">
        <v>1</v>
      </c>
      <c r="G1382" s="7" t="s">
        <v>15</v>
      </c>
      <c r="H1382" s="7" t="s">
        <v>318</v>
      </c>
      <c r="J1382" s="7">
        <f t="shared" si="117"/>
        <v>1900</v>
      </c>
      <c r="K1382" s="7">
        <f t="shared" si="114"/>
        <v>1</v>
      </c>
      <c r="L1382" s="7">
        <f t="shared" si="115"/>
        <v>45884</v>
      </c>
      <c r="M1382" s="7" t="s">
        <v>545</v>
      </c>
      <c r="O1382" s="17" t="s">
        <v>682</v>
      </c>
      <c r="P1382" s="7">
        <f t="shared" si="118"/>
        <v>8</v>
      </c>
      <c r="Q1382" s="7">
        <f t="shared" si="116"/>
        <v>2025</v>
      </c>
    </row>
    <row r="1383" spans="1:17" x14ac:dyDescent="0.25">
      <c r="A1383" s="7">
        <v>2541</v>
      </c>
      <c r="B1383" s="9" t="s">
        <v>317</v>
      </c>
      <c r="C1383" s="9" t="s">
        <v>542</v>
      </c>
      <c r="D1383" s="8">
        <v>45884</v>
      </c>
      <c r="E1383" s="7" t="s">
        <v>60</v>
      </c>
      <c r="F1383" s="7">
        <v>1</v>
      </c>
      <c r="G1383" s="7" t="s">
        <v>15</v>
      </c>
      <c r="H1383" s="7" t="s">
        <v>318</v>
      </c>
      <c r="J1383" s="7">
        <f t="shared" si="117"/>
        <v>1900</v>
      </c>
      <c r="K1383" s="7">
        <f t="shared" si="114"/>
        <v>1</v>
      </c>
      <c r="L1383" s="7">
        <f t="shared" si="115"/>
        <v>45884</v>
      </c>
      <c r="M1383" s="7" t="s">
        <v>545</v>
      </c>
      <c r="O1383" s="17" t="s">
        <v>682</v>
      </c>
      <c r="P1383" s="7">
        <f t="shared" si="118"/>
        <v>8</v>
      </c>
      <c r="Q1383" s="7">
        <f t="shared" si="116"/>
        <v>2025</v>
      </c>
    </row>
    <row r="1384" spans="1:17" x14ac:dyDescent="0.25">
      <c r="A1384" s="7">
        <v>2541</v>
      </c>
      <c r="B1384" s="9" t="s">
        <v>317</v>
      </c>
      <c r="C1384" s="9" t="s">
        <v>542</v>
      </c>
      <c r="D1384" s="8">
        <v>45884</v>
      </c>
      <c r="E1384" s="7" t="s">
        <v>60</v>
      </c>
      <c r="F1384" s="7">
        <v>1</v>
      </c>
      <c r="G1384" s="7" t="s">
        <v>15</v>
      </c>
      <c r="H1384" s="7" t="s">
        <v>318</v>
      </c>
      <c r="J1384" s="7">
        <f t="shared" si="117"/>
        <v>1900</v>
      </c>
      <c r="K1384" s="7">
        <f t="shared" si="114"/>
        <v>1</v>
      </c>
      <c r="L1384" s="7">
        <f t="shared" si="115"/>
        <v>45884</v>
      </c>
      <c r="M1384" s="7" t="s">
        <v>545</v>
      </c>
      <c r="O1384" s="17" t="s">
        <v>682</v>
      </c>
      <c r="P1384" s="7">
        <f t="shared" si="118"/>
        <v>8</v>
      </c>
      <c r="Q1384" s="7">
        <f t="shared" si="116"/>
        <v>2025</v>
      </c>
    </row>
    <row r="1385" spans="1:17" x14ac:dyDescent="0.25">
      <c r="A1385" s="7">
        <v>2541</v>
      </c>
      <c r="B1385" s="9" t="s">
        <v>317</v>
      </c>
      <c r="C1385" s="9" t="s">
        <v>542</v>
      </c>
      <c r="D1385" s="8">
        <v>45884</v>
      </c>
      <c r="E1385" s="7" t="s">
        <v>60</v>
      </c>
      <c r="F1385" s="7">
        <v>1</v>
      </c>
      <c r="G1385" s="7" t="s">
        <v>15</v>
      </c>
      <c r="H1385" s="7" t="s">
        <v>318</v>
      </c>
      <c r="J1385" s="7">
        <f t="shared" si="117"/>
        <v>1900</v>
      </c>
      <c r="K1385" s="7">
        <f t="shared" si="114"/>
        <v>1</v>
      </c>
      <c r="L1385" s="7">
        <f t="shared" si="115"/>
        <v>45884</v>
      </c>
      <c r="M1385" s="7" t="s">
        <v>545</v>
      </c>
      <c r="O1385" s="17" t="s">
        <v>682</v>
      </c>
      <c r="P1385" s="7">
        <f t="shared" si="118"/>
        <v>8</v>
      </c>
      <c r="Q1385" s="7">
        <f t="shared" si="116"/>
        <v>2025</v>
      </c>
    </row>
    <row r="1386" spans="1:17" x14ac:dyDescent="0.25">
      <c r="A1386" s="7">
        <v>2541</v>
      </c>
      <c r="B1386" s="9" t="s">
        <v>317</v>
      </c>
      <c r="C1386" s="9" t="s">
        <v>542</v>
      </c>
      <c r="D1386" s="8">
        <v>45884</v>
      </c>
      <c r="E1386" s="7" t="s">
        <v>60</v>
      </c>
      <c r="F1386" s="7">
        <v>1</v>
      </c>
      <c r="G1386" s="7" t="s">
        <v>15</v>
      </c>
      <c r="H1386" s="7" t="s">
        <v>318</v>
      </c>
      <c r="J1386" s="7">
        <f t="shared" si="117"/>
        <v>1900</v>
      </c>
      <c r="K1386" s="7">
        <f t="shared" si="114"/>
        <v>1</v>
      </c>
      <c r="L1386" s="7">
        <f t="shared" si="115"/>
        <v>45884</v>
      </c>
      <c r="M1386" s="7" t="s">
        <v>545</v>
      </c>
      <c r="O1386" s="17" t="s">
        <v>682</v>
      </c>
      <c r="P1386" s="7">
        <f t="shared" si="118"/>
        <v>8</v>
      </c>
      <c r="Q1386" s="7">
        <f t="shared" si="116"/>
        <v>2025</v>
      </c>
    </row>
    <row r="1387" spans="1:17" x14ac:dyDescent="0.25">
      <c r="A1387" s="7">
        <v>2541</v>
      </c>
      <c r="B1387" s="9" t="s">
        <v>317</v>
      </c>
      <c r="C1387" s="9" t="s">
        <v>542</v>
      </c>
      <c r="D1387" s="8">
        <v>45884</v>
      </c>
      <c r="E1387" s="7" t="s">
        <v>60</v>
      </c>
      <c r="F1387" s="7">
        <v>1</v>
      </c>
      <c r="G1387" s="7" t="s">
        <v>15</v>
      </c>
      <c r="H1387" s="7" t="s">
        <v>318</v>
      </c>
      <c r="J1387" s="7">
        <f t="shared" si="117"/>
        <v>1900</v>
      </c>
      <c r="K1387" s="7">
        <f t="shared" si="114"/>
        <v>1</v>
      </c>
      <c r="L1387" s="7">
        <f t="shared" si="115"/>
        <v>45884</v>
      </c>
      <c r="M1387" s="7" t="s">
        <v>545</v>
      </c>
      <c r="O1387" s="17" t="s">
        <v>682</v>
      </c>
      <c r="P1387" s="7">
        <f t="shared" si="118"/>
        <v>8</v>
      </c>
      <c r="Q1387" s="7">
        <f t="shared" si="116"/>
        <v>2025</v>
      </c>
    </row>
    <row r="1388" spans="1:17" x14ac:dyDescent="0.25">
      <c r="A1388" s="7">
        <v>2541</v>
      </c>
      <c r="B1388" s="9" t="s">
        <v>317</v>
      </c>
      <c r="C1388" s="9" t="s">
        <v>542</v>
      </c>
      <c r="D1388" s="8">
        <v>45884</v>
      </c>
      <c r="E1388" s="7" t="s">
        <v>60</v>
      </c>
      <c r="F1388" s="7">
        <v>1</v>
      </c>
      <c r="G1388" s="7" t="s">
        <v>15</v>
      </c>
      <c r="H1388" s="7" t="s">
        <v>318</v>
      </c>
      <c r="J1388" s="7">
        <f t="shared" si="117"/>
        <v>1900</v>
      </c>
      <c r="K1388" s="7">
        <f t="shared" si="114"/>
        <v>1</v>
      </c>
      <c r="L1388" s="7">
        <f t="shared" si="115"/>
        <v>45884</v>
      </c>
      <c r="M1388" s="7" t="s">
        <v>545</v>
      </c>
      <c r="O1388" s="17" t="s">
        <v>682</v>
      </c>
      <c r="P1388" s="7">
        <f t="shared" si="118"/>
        <v>8</v>
      </c>
      <c r="Q1388" s="7">
        <f t="shared" si="116"/>
        <v>2025</v>
      </c>
    </row>
    <row r="1389" spans="1:17" x14ac:dyDescent="0.25">
      <c r="A1389" s="7">
        <v>2541</v>
      </c>
      <c r="B1389" s="9" t="s">
        <v>317</v>
      </c>
      <c r="C1389" s="9" t="s">
        <v>542</v>
      </c>
      <c r="D1389" s="8">
        <v>45884</v>
      </c>
      <c r="E1389" s="7" t="s">
        <v>60</v>
      </c>
      <c r="F1389" s="7">
        <v>1</v>
      </c>
      <c r="G1389" s="7" t="s">
        <v>15</v>
      </c>
      <c r="H1389" s="7" t="s">
        <v>318</v>
      </c>
      <c r="J1389" s="7">
        <f t="shared" si="117"/>
        <v>1900</v>
      </c>
      <c r="K1389" s="7">
        <f t="shared" ref="K1389:K1452" si="119">MONTH(I1389)</f>
        <v>1</v>
      </c>
      <c r="L1389" s="7">
        <f t="shared" si="115"/>
        <v>45884</v>
      </c>
      <c r="M1389" s="7" t="s">
        <v>545</v>
      </c>
      <c r="O1389" s="17" t="s">
        <v>682</v>
      </c>
      <c r="P1389" s="7">
        <f t="shared" si="118"/>
        <v>8</v>
      </c>
      <c r="Q1389" s="7">
        <f t="shared" si="116"/>
        <v>2025</v>
      </c>
    </row>
    <row r="1390" spans="1:17" x14ac:dyDescent="0.25">
      <c r="A1390" s="7">
        <v>2541</v>
      </c>
      <c r="B1390" s="9" t="s">
        <v>317</v>
      </c>
      <c r="C1390" s="9" t="s">
        <v>542</v>
      </c>
      <c r="D1390" s="8">
        <v>45884</v>
      </c>
      <c r="E1390" s="7" t="s">
        <v>60</v>
      </c>
      <c r="F1390" s="7">
        <v>1</v>
      </c>
      <c r="G1390" s="7" t="s">
        <v>15</v>
      </c>
      <c r="H1390" s="7" t="s">
        <v>318</v>
      </c>
      <c r="J1390" s="7">
        <f t="shared" si="117"/>
        <v>1900</v>
      </c>
      <c r="K1390" s="7">
        <f t="shared" si="119"/>
        <v>1</v>
      </c>
      <c r="L1390" s="7">
        <f t="shared" si="115"/>
        <v>45884</v>
      </c>
      <c r="M1390" s="7" t="s">
        <v>545</v>
      </c>
      <c r="O1390" s="17" t="s">
        <v>682</v>
      </c>
      <c r="P1390" s="7">
        <f t="shared" si="118"/>
        <v>8</v>
      </c>
      <c r="Q1390" s="7">
        <f t="shared" si="116"/>
        <v>2025</v>
      </c>
    </row>
    <row r="1391" spans="1:17" x14ac:dyDescent="0.25">
      <c r="A1391" s="7">
        <v>2541</v>
      </c>
      <c r="B1391" s="9" t="s">
        <v>317</v>
      </c>
      <c r="C1391" s="9" t="s">
        <v>542</v>
      </c>
      <c r="D1391" s="8">
        <v>45884</v>
      </c>
      <c r="E1391" s="7" t="s">
        <v>60</v>
      </c>
      <c r="F1391" s="7">
        <v>1</v>
      </c>
      <c r="G1391" s="7" t="s">
        <v>15</v>
      </c>
      <c r="H1391" s="7" t="s">
        <v>318</v>
      </c>
      <c r="J1391" s="7">
        <f t="shared" si="117"/>
        <v>1900</v>
      </c>
      <c r="K1391" s="7">
        <f t="shared" si="119"/>
        <v>1</v>
      </c>
      <c r="L1391" s="7">
        <f t="shared" ref="L1391:L1454" si="120">D1391-I1391</f>
        <v>45884</v>
      </c>
      <c r="M1391" s="7" t="s">
        <v>545</v>
      </c>
      <c r="O1391" s="17" t="s">
        <v>682</v>
      </c>
      <c r="P1391" s="7">
        <f t="shared" si="118"/>
        <v>8</v>
      </c>
      <c r="Q1391" s="7">
        <f t="shared" si="116"/>
        <v>2025</v>
      </c>
    </row>
    <row r="1392" spans="1:17" x14ac:dyDescent="0.25">
      <c r="A1392" s="7">
        <v>2541</v>
      </c>
      <c r="B1392" s="9" t="s">
        <v>317</v>
      </c>
      <c r="C1392" s="9" t="s">
        <v>542</v>
      </c>
      <c r="D1392" s="8">
        <v>45884</v>
      </c>
      <c r="E1392" s="7" t="s">
        <v>60</v>
      </c>
      <c r="F1392" s="7">
        <v>1</v>
      </c>
      <c r="G1392" s="7" t="s">
        <v>15</v>
      </c>
      <c r="H1392" s="7" t="s">
        <v>318</v>
      </c>
      <c r="J1392" s="7">
        <f t="shared" si="117"/>
        <v>1900</v>
      </c>
      <c r="K1392" s="7">
        <f t="shared" si="119"/>
        <v>1</v>
      </c>
      <c r="L1392" s="7">
        <f t="shared" si="120"/>
        <v>45884</v>
      </c>
      <c r="M1392" s="7" t="s">
        <v>545</v>
      </c>
      <c r="O1392" s="17" t="s">
        <v>682</v>
      </c>
      <c r="P1392" s="7">
        <f t="shared" si="118"/>
        <v>8</v>
      </c>
      <c r="Q1392" s="7">
        <f t="shared" si="116"/>
        <v>2025</v>
      </c>
    </row>
    <row r="1393" spans="1:17" x14ac:dyDescent="0.25">
      <c r="A1393" s="7">
        <v>2541</v>
      </c>
      <c r="B1393" s="9" t="s">
        <v>317</v>
      </c>
      <c r="C1393" s="9" t="s">
        <v>542</v>
      </c>
      <c r="D1393" s="8">
        <v>45884</v>
      </c>
      <c r="E1393" s="7" t="s">
        <v>60</v>
      </c>
      <c r="F1393" s="7">
        <v>1</v>
      </c>
      <c r="G1393" s="7" t="s">
        <v>15</v>
      </c>
      <c r="H1393" s="7" t="s">
        <v>318</v>
      </c>
      <c r="J1393" s="7">
        <f t="shared" si="117"/>
        <v>1900</v>
      </c>
      <c r="K1393" s="7">
        <f t="shared" si="119"/>
        <v>1</v>
      </c>
      <c r="L1393" s="7">
        <f t="shared" si="120"/>
        <v>45884</v>
      </c>
      <c r="M1393" s="7" t="s">
        <v>545</v>
      </c>
      <c r="O1393" s="17" t="s">
        <v>682</v>
      </c>
      <c r="P1393" s="7">
        <f t="shared" si="118"/>
        <v>8</v>
      </c>
      <c r="Q1393" s="7">
        <f t="shared" si="116"/>
        <v>2025</v>
      </c>
    </row>
    <row r="1394" spans="1:17" x14ac:dyDescent="0.25">
      <c r="A1394" s="7">
        <v>2541</v>
      </c>
      <c r="B1394" s="9" t="s">
        <v>317</v>
      </c>
      <c r="C1394" s="9" t="s">
        <v>542</v>
      </c>
      <c r="D1394" s="8">
        <v>45884</v>
      </c>
      <c r="E1394" s="7" t="s">
        <v>60</v>
      </c>
      <c r="F1394" s="7">
        <v>1</v>
      </c>
      <c r="G1394" s="7" t="s">
        <v>15</v>
      </c>
      <c r="H1394" s="7" t="s">
        <v>318</v>
      </c>
      <c r="J1394" s="7">
        <f t="shared" si="117"/>
        <v>1900</v>
      </c>
      <c r="K1394" s="7">
        <f t="shared" si="119"/>
        <v>1</v>
      </c>
      <c r="L1394" s="7">
        <f t="shared" si="120"/>
        <v>45884</v>
      </c>
      <c r="M1394" s="7" t="s">
        <v>545</v>
      </c>
      <c r="O1394" s="17" t="s">
        <v>682</v>
      </c>
      <c r="P1394" s="7">
        <f t="shared" si="118"/>
        <v>8</v>
      </c>
      <c r="Q1394" s="7">
        <f t="shared" si="116"/>
        <v>2025</v>
      </c>
    </row>
    <row r="1395" spans="1:17" x14ac:dyDescent="0.25">
      <c r="A1395" s="7">
        <v>2541</v>
      </c>
      <c r="B1395" s="9" t="s">
        <v>317</v>
      </c>
      <c r="C1395" s="9" t="s">
        <v>542</v>
      </c>
      <c r="D1395" s="8">
        <v>45884</v>
      </c>
      <c r="E1395" s="7" t="s">
        <v>60</v>
      </c>
      <c r="F1395" s="7">
        <v>1</v>
      </c>
      <c r="G1395" s="7" t="s">
        <v>15</v>
      </c>
      <c r="H1395" s="7" t="s">
        <v>318</v>
      </c>
      <c r="J1395" s="7">
        <f t="shared" si="117"/>
        <v>1900</v>
      </c>
      <c r="K1395" s="7">
        <f t="shared" si="119"/>
        <v>1</v>
      </c>
      <c r="L1395" s="7">
        <f t="shared" si="120"/>
        <v>45884</v>
      </c>
      <c r="M1395" s="7" t="s">
        <v>545</v>
      </c>
      <c r="O1395" s="17" t="s">
        <v>682</v>
      </c>
      <c r="P1395" s="7">
        <f t="shared" si="118"/>
        <v>8</v>
      </c>
      <c r="Q1395" s="7">
        <f t="shared" si="116"/>
        <v>2025</v>
      </c>
    </row>
    <row r="1396" spans="1:17" x14ac:dyDescent="0.25">
      <c r="A1396" s="7">
        <v>2541</v>
      </c>
      <c r="B1396" s="9" t="s">
        <v>317</v>
      </c>
      <c r="C1396" s="9" t="s">
        <v>542</v>
      </c>
      <c r="D1396" s="8">
        <v>45884</v>
      </c>
      <c r="E1396" s="7" t="s">
        <v>60</v>
      </c>
      <c r="F1396" s="7">
        <v>1</v>
      </c>
      <c r="G1396" s="7" t="s">
        <v>15</v>
      </c>
      <c r="H1396" s="7" t="s">
        <v>318</v>
      </c>
      <c r="J1396" s="7">
        <f t="shared" si="117"/>
        <v>1900</v>
      </c>
      <c r="K1396" s="7">
        <f t="shared" si="119"/>
        <v>1</v>
      </c>
      <c r="L1396" s="7">
        <f t="shared" si="120"/>
        <v>45884</v>
      </c>
      <c r="M1396" s="7" t="s">
        <v>545</v>
      </c>
      <c r="O1396" s="17" t="s">
        <v>682</v>
      </c>
      <c r="P1396" s="7">
        <f t="shared" si="118"/>
        <v>8</v>
      </c>
      <c r="Q1396" s="7">
        <f t="shared" si="116"/>
        <v>2025</v>
      </c>
    </row>
    <row r="1397" spans="1:17" x14ac:dyDescent="0.25">
      <c r="A1397" s="7">
        <v>2541</v>
      </c>
      <c r="B1397" s="9" t="s">
        <v>317</v>
      </c>
      <c r="C1397" s="9" t="s">
        <v>542</v>
      </c>
      <c r="D1397" s="8">
        <v>45884</v>
      </c>
      <c r="E1397" s="7" t="s">
        <v>60</v>
      </c>
      <c r="F1397" s="7">
        <v>1</v>
      </c>
      <c r="G1397" s="7" t="s">
        <v>15</v>
      </c>
      <c r="H1397" s="7" t="s">
        <v>318</v>
      </c>
      <c r="J1397" s="7">
        <f t="shared" si="117"/>
        <v>1900</v>
      </c>
      <c r="K1397" s="7">
        <f t="shared" si="119"/>
        <v>1</v>
      </c>
      <c r="L1397" s="7">
        <f t="shared" si="120"/>
        <v>45884</v>
      </c>
      <c r="M1397" s="7" t="s">
        <v>545</v>
      </c>
      <c r="O1397" s="17" t="s">
        <v>682</v>
      </c>
      <c r="P1397" s="7">
        <f t="shared" si="118"/>
        <v>8</v>
      </c>
      <c r="Q1397" s="7">
        <f t="shared" ref="Q1397:Q1460" si="121">YEAR(D1397)</f>
        <v>2025</v>
      </c>
    </row>
    <row r="1398" spans="1:17" x14ac:dyDescent="0.25">
      <c r="A1398" s="7">
        <v>2541</v>
      </c>
      <c r="B1398" s="9" t="s">
        <v>317</v>
      </c>
      <c r="C1398" s="9" t="s">
        <v>542</v>
      </c>
      <c r="D1398" s="8">
        <v>45884</v>
      </c>
      <c r="E1398" s="7" t="s">
        <v>60</v>
      </c>
      <c r="F1398" s="7">
        <v>1</v>
      </c>
      <c r="G1398" s="7" t="s">
        <v>15</v>
      </c>
      <c r="H1398" s="7" t="s">
        <v>318</v>
      </c>
      <c r="J1398" s="7">
        <f t="shared" si="117"/>
        <v>1900</v>
      </c>
      <c r="K1398" s="7">
        <f t="shared" si="119"/>
        <v>1</v>
      </c>
      <c r="L1398" s="7">
        <f t="shared" si="120"/>
        <v>45884</v>
      </c>
      <c r="M1398" s="7" t="s">
        <v>545</v>
      </c>
      <c r="O1398" s="17" t="s">
        <v>682</v>
      </c>
      <c r="P1398" s="7">
        <f t="shared" si="118"/>
        <v>8</v>
      </c>
      <c r="Q1398" s="7">
        <f t="shared" si="121"/>
        <v>2025</v>
      </c>
    </row>
    <row r="1399" spans="1:17" x14ac:dyDescent="0.25">
      <c r="A1399" s="7">
        <v>2541</v>
      </c>
      <c r="B1399" s="9" t="s">
        <v>317</v>
      </c>
      <c r="C1399" s="9" t="s">
        <v>542</v>
      </c>
      <c r="D1399" s="8">
        <v>45884</v>
      </c>
      <c r="E1399" s="7" t="s">
        <v>60</v>
      </c>
      <c r="F1399" s="7">
        <v>1</v>
      </c>
      <c r="G1399" s="7" t="s">
        <v>15</v>
      </c>
      <c r="H1399" s="7" t="s">
        <v>318</v>
      </c>
      <c r="J1399" s="7">
        <f t="shared" si="117"/>
        <v>1900</v>
      </c>
      <c r="K1399" s="7">
        <f t="shared" si="119"/>
        <v>1</v>
      </c>
      <c r="L1399" s="7">
        <f t="shared" si="120"/>
        <v>45884</v>
      </c>
      <c r="M1399" s="7" t="s">
        <v>545</v>
      </c>
      <c r="O1399" s="17" t="s">
        <v>682</v>
      </c>
      <c r="P1399" s="7">
        <f t="shared" si="118"/>
        <v>8</v>
      </c>
      <c r="Q1399" s="7">
        <f t="shared" si="121"/>
        <v>2025</v>
      </c>
    </row>
    <row r="1400" spans="1:17" x14ac:dyDescent="0.25">
      <c r="A1400" s="7">
        <v>2541</v>
      </c>
      <c r="B1400" s="9" t="s">
        <v>317</v>
      </c>
      <c r="C1400" s="9" t="s">
        <v>542</v>
      </c>
      <c r="D1400" s="8">
        <v>45884</v>
      </c>
      <c r="E1400" s="7" t="s">
        <v>60</v>
      </c>
      <c r="F1400" s="7">
        <v>1</v>
      </c>
      <c r="G1400" s="7" t="s">
        <v>15</v>
      </c>
      <c r="H1400" s="7" t="s">
        <v>318</v>
      </c>
      <c r="J1400" s="7">
        <f t="shared" si="117"/>
        <v>1900</v>
      </c>
      <c r="K1400" s="7">
        <f t="shared" si="119"/>
        <v>1</v>
      </c>
      <c r="L1400" s="7">
        <f t="shared" si="120"/>
        <v>45884</v>
      </c>
      <c r="M1400" s="7" t="s">
        <v>545</v>
      </c>
      <c r="O1400" s="17" t="s">
        <v>682</v>
      </c>
      <c r="P1400" s="7">
        <f t="shared" si="118"/>
        <v>8</v>
      </c>
      <c r="Q1400" s="7">
        <f t="shared" si="121"/>
        <v>2025</v>
      </c>
    </row>
    <row r="1401" spans="1:17" x14ac:dyDescent="0.25">
      <c r="A1401" s="7">
        <v>2541</v>
      </c>
      <c r="B1401" s="9" t="s">
        <v>317</v>
      </c>
      <c r="C1401" s="9" t="s">
        <v>542</v>
      </c>
      <c r="D1401" s="8">
        <v>45884</v>
      </c>
      <c r="E1401" s="7" t="s">
        <v>60</v>
      </c>
      <c r="F1401" s="7">
        <v>1</v>
      </c>
      <c r="G1401" s="7" t="s">
        <v>15</v>
      </c>
      <c r="H1401" s="7" t="s">
        <v>318</v>
      </c>
      <c r="J1401" s="7">
        <f t="shared" si="117"/>
        <v>1900</v>
      </c>
      <c r="K1401" s="7">
        <f t="shared" si="119"/>
        <v>1</v>
      </c>
      <c r="L1401" s="7">
        <f t="shared" si="120"/>
        <v>45884</v>
      </c>
      <c r="M1401" s="7" t="s">
        <v>545</v>
      </c>
      <c r="O1401" s="17" t="s">
        <v>682</v>
      </c>
      <c r="P1401" s="7">
        <f t="shared" si="118"/>
        <v>8</v>
      </c>
      <c r="Q1401" s="7">
        <f t="shared" si="121"/>
        <v>2025</v>
      </c>
    </row>
    <row r="1402" spans="1:17" x14ac:dyDescent="0.25">
      <c r="A1402" s="7">
        <v>2541</v>
      </c>
      <c r="B1402" s="9" t="s">
        <v>317</v>
      </c>
      <c r="C1402" s="9" t="s">
        <v>542</v>
      </c>
      <c r="D1402" s="8">
        <v>45884</v>
      </c>
      <c r="E1402" s="7" t="s">
        <v>60</v>
      </c>
      <c r="F1402" s="7">
        <v>1</v>
      </c>
      <c r="G1402" s="7" t="s">
        <v>15</v>
      </c>
      <c r="H1402" s="7" t="s">
        <v>318</v>
      </c>
      <c r="J1402" s="7">
        <f t="shared" si="117"/>
        <v>1900</v>
      </c>
      <c r="K1402" s="7">
        <f t="shared" si="119"/>
        <v>1</v>
      </c>
      <c r="L1402" s="7">
        <f t="shared" si="120"/>
        <v>45884</v>
      </c>
      <c r="M1402" s="7" t="s">
        <v>545</v>
      </c>
      <c r="O1402" s="17" t="s">
        <v>682</v>
      </c>
      <c r="P1402" s="7">
        <f t="shared" si="118"/>
        <v>8</v>
      </c>
      <c r="Q1402" s="7">
        <f t="shared" si="121"/>
        <v>2025</v>
      </c>
    </row>
    <row r="1403" spans="1:17" x14ac:dyDescent="0.25">
      <c r="A1403" s="7">
        <v>2541</v>
      </c>
      <c r="B1403" s="9" t="s">
        <v>317</v>
      </c>
      <c r="C1403" s="9" t="s">
        <v>542</v>
      </c>
      <c r="D1403" s="8">
        <v>45884</v>
      </c>
      <c r="E1403" s="7" t="s">
        <v>60</v>
      </c>
      <c r="F1403" s="7">
        <v>1</v>
      </c>
      <c r="G1403" s="7" t="s">
        <v>15</v>
      </c>
      <c r="H1403" s="7" t="s">
        <v>318</v>
      </c>
      <c r="J1403" s="7">
        <f t="shared" si="117"/>
        <v>1900</v>
      </c>
      <c r="K1403" s="7">
        <f t="shared" si="119"/>
        <v>1</v>
      </c>
      <c r="L1403" s="7">
        <f t="shared" si="120"/>
        <v>45884</v>
      </c>
      <c r="M1403" s="7" t="s">
        <v>545</v>
      </c>
      <c r="O1403" s="17" t="s">
        <v>682</v>
      </c>
      <c r="P1403" s="7">
        <f t="shared" si="118"/>
        <v>8</v>
      </c>
      <c r="Q1403" s="7">
        <f t="shared" si="121"/>
        <v>2025</v>
      </c>
    </row>
    <row r="1404" spans="1:17" x14ac:dyDescent="0.25">
      <c r="A1404" s="7">
        <v>2541</v>
      </c>
      <c r="B1404" s="9" t="s">
        <v>317</v>
      </c>
      <c r="C1404" s="9" t="s">
        <v>542</v>
      </c>
      <c r="D1404" s="8">
        <v>45884</v>
      </c>
      <c r="E1404" s="7" t="s">
        <v>60</v>
      </c>
      <c r="F1404" s="7">
        <v>1</v>
      </c>
      <c r="G1404" s="7" t="s">
        <v>15</v>
      </c>
      <c r="H1404" s="7" t="s">
        <v>318</v>
      </c>
      <c r="J1404" s="7">
        <f t="shared" si="117"/>
        <v>1900</v>
      </c>
      <c r="K1404" s="7">
        <f t="shared" si="119"/>
        <v>1</v>
      </c>
      <c r="L1404" s="7">
        <f t="shared" si="120"/>
        <v>45884</v>
      </c>
      <c r="M1404" s="7" t="s">
        <v>545</v>
      </c>
      <c r="O1404" s="17" t="s">
        <v>682</v>
      </c>
      <c r="P1404" s="7">
        <f t="shared" si="118"/>
        <v>8</v>
      </c>
      <c r="Q1404" s="7">
        <f t="shared" si="121"/>
        <v>2025</v>
      </c>
    </row>
    <row r="1405" spans="1:17" x14ac:dyDescent="0.25">
      <c r="A1405" s="7">
        <v>2541</v>
      </c>
      <c r="B1405" s="9" t="s">
        <v>317</v>
      </c>
      <c r="C1405" s="9" t="s">
        <v>542</v>
      </c>
      <c r="D1405" s="8">
        <v>45884</v>
      </c>
      <c r="E1405" s="7" t="s">
        <v>60</v>
      </c>
      <c r="F1405" s="7">
        <v>1</v>
      </c>
      <c r="G1405" s="7" t="s">
        <v>15</v>
      </c>
      <c r="H1405" s="7" t="s">
        <v>318</v>
      </c>
      <c r="J1405" s="7">
        <f t="shared" si="117"/>
        <v>1900</v>
      </c>
      <c r="K1405" s="7">
        <f t="shared" si="119"/>
        <v>1</v>
      </c>
      <c r="L1405" s="7">
        <f t="shared" si="120"/>
        <v>45884</v>
      </c>
      <c r="M1405" s="7" t="s">
        <v>545</v>
      </c>
      <c r="O1405" s="17" t="s">
        <v>682</v>
      </c>
      <c r="P1405" s="7">
        <f t="shared" si="118"/>
        <v>8</v>
      </c>
      <c r="Q1405" s="7">
        <f t="shared" si="121"/>
        <v>2025</v>
      </c>
    </row>
    <row r="1406" spans="1:17" x14ac:dyDescent="0.25">
      <c r="A1406" s="7">
        <v>2541</v>
      </c>
      <c r="B1406" s="9" t="s">
        <v>317</v>
      </c>
      <c r="C1406" s="9" t="s">
        <v>542</v>
      </c>
      <c r="D1406" s="8">
        <v>45884</v>
      </c>
      <c r="E1406" s="7" t="s">
        <v>60</v>
      </c>
      <c r="F1406" s="7">
        <v>1</v>
      </c>
      <c r="G1406" s="7" t="s">
        <v>15</v>
      </c>
      <c r="H1406" s="7" t="s">
        <v>318</v>
      </c>
      <c r="J1406" s="7">
        <f t="shared" si="117"/>
        <v>1900</v>
      </c>
      <c r="K1406" s="7">
        <f t="shared" si="119"/>
        <v>1</v>
      </c>
      <c r="L1406" s="7">
        <f t="shared" si="120"/>
        <v>45884</v>
      </c>
      <c r="M1406" s="7" t="s">
        <v>545</v>
      </c>
      <c r="O1406" s="17" t="s">
        <v>682</v>
      </c>
      <c r="P1406" s="7">
        <f t="shared" si="118"/>
        <v>8</v>
      </c>
      <c r="Q1406" s="7">
        <f t="shared" si="121"/>
        <v>2025</v>
      </c>
    </row>
    <row r="1407" spans="1:17" x14ac:dyDescent="0.25">
      <c r="A1407" s="7">
        <v>2541</v>
      </c>
      <c r="B1407" s="9" t="s">
        <v>317</v>
      </c>
      <c r="C1407" s="9" t="s">
        <v>542</v>
      </c>
      <c r="D1407" s="8">
        <v>45884</v>
      </c>
      <c r="E1407" s="7" t="s">
        <v>60</v>
      </c>
      <c r="F1407" s="7">
        <v>1</v>
      </c>
      <c r="G1407" s="7" t="s">
        <v>15</v>
      </c>
      <c r="H1407" s="7" t="s">
        <v>318</v>
      </c>
      <c r="J1407" s="7">
        <f t="shared" si="117"/>
        <v>1900</v>
      </c>
      <c r="K1407" s="7">
        <f t="shared" si="119"/>
        <v>1</v>
      </c>
      <c r="L1407" s="7">
        <f t="shared" si="120"/>
        <v>45884</v>
      </c>
      <c r="M1407" s="7" t="s">
        <v>545</v>
      </c>
      <c r="O1407" s="17" t="s">
        <v>682</v>
      </c>
      <c r="P1407" s="7">
        <f t="shared" si="118"/>
        <v>8</v>
      </c>
      <c r="Q1407" s="7">
        <f t="shared" si="121"/>
        <v>2025</v>
      </c>
    </row>
    <row r="1408" spans="1:17" x14ac:dyDescent="0.25">
      <c r="A1408" s="7">
        <v>2541</v>
      </c>
      <c r="B1408" s="9" t="s">
        <v>317</v>
      </c>
      <c r="C1408" s="9" t="s">
        <v>542</v>
      </c>
      <c r="D1408" s="8">
        <v>45884</v>
      </c>
      <c r="E1408" s="7" t="s">
        <v>60</v>
      </c>
      <c r="F1408" s="7">
        <v>1</v>
      </c>
      <c r="G1408" s="7" t="s">
        <v>15</v>
      </c>
      <c r="H1408" s="7" t="s">
        <v>318</v>
      </c>
      <c r="J1408" s="7">
        <f t="shared" si="117"/>
        <v>1900</v>
      </c>
      <c r="K1408" s="7">
        <f t="shared" si="119"/>
        <v>1</v>
      </c>
      <c r="L1408" s="7">
        <f t="shared" si="120"/>
        <v>45884</v>
      </c>
      <c r="M1408" s="7" t="s">
        <v>545</v>
      </c>
      <c r="O1408" s="17" t="s">
        <v>682</v>
      </c>
      <c r="P1408" s="7">
        <f t="shared" si="118"/>
        <v>8</v>
      </c>
      <c r="Q1408" s="7">
        <f t="shared" si="121"/>
        <v>2025</v>
      </c>
    </row>
    <row r="1409" spans="1:17" x14ac:dyDescent="0.25">
      <c r="A1409" s="7">
        <v>2541</v>
      </c>
      <c r="B1409" s="9" t="s">
        <v>317</v>
      </c>
      <c r="C1409" s="9" t="s">
        <v>542</v>
      </c>
      <c r="D1409" s="8">
        <v>45884</v>
      </c>
      <c r="E1409" s="7" t="s">
        <v>60</v>
      </c>
      <c r="F1409" s="7">
        <v>1</v>
      </c>
      <c r="G1409" s="7" t="s">
        <v>15</v>
      </c>
      <c r="H1409" s="7" t="s">
        <v>318</v>
      </c>
      <c r="J1409" s="7">
        <f t="shared" si="117"/>
        <v>1900</v>
      </c>
      <c r="K1409" s="7">
        <f t="shared" si="119"/>
        <v>1</v>
      </c>
      <c r="L1409" s="7">
        <f t="shared" si="120"/>
        <v>45884</v>
      </c>
      <c r="M1409" s="7" t="s">
        <v>545</v>
      </c>
      <c r="O1409" s="17" t="s">
        <v>682</v>
      </c>
      <c r="P1409" s="7">
        <f t="shared" si="118"/>
        <v>8</v>
      </c>
      <c r="Q1409" s="7">
        <f t="shared" si="121"/>
        <v>2025</v>
      </c>
    </row>
    <row r="1410" spans="1:17" x14ac:dyDescent="0.25">
      <c r="A1410" s="7">
        <v>2541</v>
      </c>
      <c r="B1410" s="9" t="s">
        <v>317</v>
      </c>
      <c r="C1410" s="9" t="s">
        <v>542</v>
      </c>
      <c r="D1410" s="8">
        <v>45884</v>
      </c>
      <c r="E1410" s="7" t="s">
        <v>60</v>
      </c>
      <c r="F1410" s="7">
        <v>1</v>
      </c>
      <c r="G1410" s="7" t="s">
        <v>15</v>
      </c>
      <c r="H1410" s="7" t="s">
        <v>318</v>
      </c>
      <c r="J1410" s="7">
        <f t="shared" si="117"/>
        <v>1900</v>
      </c>
      <c r="K1410" s="7">
        <f t="shared" si="119"/>
        <v>1</v>
      </c>
      <c r="L1410" s="7">
        <f t="shared" si="120"/>
        <v>45884</v>
      </c>
      <c r="M1410" s="7" t="s">
        <v>545</v>
      </c>
      <c r="O1410" s="17" t="s">
        <v>682</v>
      </c>
      <c r="P1410" s="7">
        <f t="shared" si="118"/>
        <v>8</v>
      </c>
      <c r="Q1410" s="7">
        <f t="shared" si="121"/>
        <v>2025</v>
      </c>
    </row>
    <row r="1411" spans="1:17" x14ac:dyDescent="0.25">
      <c r="A1411" s="7">
        <v>2541</v>
      </c>
      <c r="B1411" s="9" t="s">
        <v>317</v>
      </c>
      <c r="C1411" s="9" t="s">
        <v>542</v>
      </c>
      <c r="D1411" s="8">
        <v>45884</v>
      </c>
      <c r="E1411" s="7" t="s">
        <v>60</v>
      </c>
      <c r="F1411" s="7">
        <v>1</v>
      </c>
      <c r="G1411" s="7" t="s">
        <v>15</v>
      </c>
      <c r="H1411" s="7" t="s">
        <v>318</v>
      </c>
      <c r="J1411" s="7">
        <f t="shared" si="117"/>
        <v>1900</v>
      </c>
      <c r="K1411" s="7">
        <f t="shared" si="119"/>
        <v>1</v>
      </c>
      <c r="L1411" s="7">
        <f t="shared" si="120"/>
        <v>45884</v>
      </c>
      <c r="M1411" s="7" t="s">
        <v>545</v>
      </c>
      <c r="O1411" s="17" t="s">
        <v>682</v>
      </c>
      <c r="P1411" s="7">
        <f t="shared" si="118"/>
        <v>8</v>
      </c>
      <c r="Q1411" s="7">
        <f t="shared" si="121"/>
        <v>2025</v>
      </c>
    </row>
    <row r="1412" spans="1:17" x14ac:dyDescent="0.25">
      <c r="A1412" s="7">
        <v>2541</v>
      </c>
      <c r="B1412" s="9" t="s">
        <v>317</v>
      </c>
      <c r="C1412" s="9" t="s">
        <v>542</v>
      </c>
      <c r="D1412" s="8">
        <v>45884</v>
      </c>
      <c r="E1412" s="7" t="s">
        <v>60</v>
      </c>
      <c r="F1412" s="7">
        <v>1</v>
      </c>
      <c r="G1412" s="7" t="s">
        <v>15</v>
      </c>
      <c r="H1412" s="7" t="s">
        <v>318</v>
      </c>
      <c r="J1412" s="7">
        <f t="shared" si="117"/>
        <v>1900</v>
      </c>
      <c r="K1412" s="7">
        <f t="shared" si="119"/>
        <v>1</v>
      </c>
      <c r="L1412" s="7">
        <f t="shared" si="120"/>
        <v>45884</v>
      </c>
      <c r="M1412" s="7" t="s">
        <v>545</v>
      </c>
      <c r="O1412" s="17" t="s">
        <v>682</v>
      </c>
      <c r="P1412" s="7">
        <f t="shared" si="118"/>
        <v>8</v>
      </c>
      <c r="Q1412" s="7">
        <f t="shared" si="121"/>
        <v>2025</v>
      </c>
    </row>
    <row r="1413" spans="1:17" x14ac:dyDescent="0.25">
      <c r="A1413" s="7">
        <v>2541</v>
      </c>
      <c r="B1413" s="9" t="s">
        <v>317</v>
      </c>
      <c r="C1413" s="9" t="s">
        <v>542</v>
      </c>
      <c r="D1413" s="8">
        <v>45884</v>
      </c>
      <c r="E1413" s="7" t="s">
        <v>60</v>
      </c>
      <c r="F1413" s="7">
        <v>1</v>
      </c>
      <c r="G1413" s="7" t="s">
        <v>15</v>
      </c>
      <c r="H1413" s="7" t="s">
        <v>318</v>
      </c>
      <c r="J1413" s="7">
        <f t="shared" si="117"/>
        <v>1900</v>
      </c>
      <c r="K1413" s="7">
        <f t="shared" si="119"/>
        <v>1</v>
      </c>
      <c r="L1413" s="7">
        <f t="shared" si="120"/>
        <v>45884</v>
      </c>
      <c r="M1413" s="7" t="s">
        <v>545</v>
      </c>
      <c r="O1413" s="17" t="s">
        <v>682</v>
      </c>
      <c r="P1413" s="7">
        <f t="shared" si="118"/>
        <v>8</v>
      </c>
      <c r="Q1413" s="7">
        <f t="shared" si="121"/>
        <v>2025</v>
      </c>
    </row>
    <row r="1414" spans="1:17" x14ac:dyDescent="0.25">
      <c r="A1414" s="7">
        <v>2541</v>
      </c>
      <c r="B1414" s="9" t="s">
        <v>317</v>
      </c>
      <c r="C1414" s="9" t="s">
        <v>542</v>
      </c>
      <c r="D1414" s="8">
        <v>45884</v>
      </c>
      <c r="E1414" s="7" t="s">
        <v>60</v>
      </c>
      <c r="F1414" s="7">
        <v>1</v>
      </c>
      <c r="G1414" s="7" t="s">
        <v>15</v>
      </c>
      <c r="H1414" s="7" t="s">
        <v>318</v>
      </c>
      <c r="J1414" s="7">
        <f t="shared" si="117"/>
        <v>1900</v>
      </c>
      <c r="K1414" s="7">
        <f t="shared" si="119"/>
        <v>1</v>
      </c>
      <c r="L1414" s="7">
        <f t="shared" si="120"/>
        <v>45884</v>
      </c>
      <c r="M1414" s="7" t="s">
        <v>545</v>
      </c>
      <c r="O1414" s="17" t="s">
        <v>682</v>
      </c>
      <c r="P1414" s="7">
        <f t="shared" si="118"/>
        <v>8</v>
      </c>
      <c r="Q1414" s="7">
        <f t="shared" si="121"/>
        <v>2025</v>
      </c>
    </row>
    <row r="1415" spans="1:17" x14ac:dyDescent="0.25">
      <c r="A1415" s="7">
        <v>2541</v>
      </c>
      <c r="B1415" s="9" t="s">
        <v>317</v>
      </c>
      <c r="C1415" s="9" t="s">
        <v>542</v>
      </c>
      <c r="D1415" s="8">
        <v>45884</v>
      </c>
      <c r="E1415" s="7" t="s">
        <v>60</v>
      </c>
      <c r="F1415" s="7">
        <v>1</v>
      </c>
      <c r="G1415" s="7" t="s">
        <v>15</v>
      </c>
      <c r="H1415" s="7" t="s">
        <v>318</v>
      </c>
      <c r="J1415" s="7">
        <f t="shared" si="117"/>
        <v>1900</v>
      </c>
      <c r="K1415" s="7">
        <f t="shared" si="119"/>
        <v>1</v>
      </c>
      <c r="L1415" s="7">
        <f t="shared" si="120"/>
        <v>45884</v>
      </c>
      <c r="M1415" s="7" t="s">
        <v>545</v>
      </c>
      <c r="O1415" s="17" t="s">
        <v>682</v>
      </c>
      <c r="P1415" s="7">
        <f t="shared" si="118"/>
        <v>8</v>
      </c>
      <c r="Q1415" s="7">
        <f t="shared" si="121"/>
        <v>2025</v>
      </c>
    </row>
    <row r="1416" spans="1:17" x14ac:dyDescent="0.25">
      <c r="A1416" s="7">
        <v>2541</v>
      </c>
      <c r="B1416" s="9" t="s">
        <v>317</v>
      </c>
      <c r="C1416" s="9" t="s">
        <v>542</v>
      </c>
      <c r="D1416" s="8">
        <v>45884</v>
      </c>
      <c r="E1416" s="7" t="s">
        <v>60</v>
      </c>
      <c r="F1416" s="7">
        <v>1</v>
      </c>
      <c r="G1416" s="7" t="s">
        <v>15</v>
      </c>
      <c r="H1416" s="7" t="s">
        <v>318</v>
      </c>
      <c r="J1416" s="7">
        <f t="shared" si="117"/>
        <v>1900</v>
      </c>
      <c r="K1416" s="7">
        <f t="shared" si="119"/>
        <v>1</v>
      </c>
      <c r="L1416" s="7">
        <f t="shared" si="120"/>
        <v>45884</v>
      </c>
      <c r="M1416" s="7" t="s">
        <v>545</v>
      </c>
      <c r="O1416" s="17" t="s">
        <v>682</v>
      </c>
      <c r="P1416" s="7">
        <f t="shared" si="118"/>
        <v>8</v>
      </c>
      <c r="Q1416" s="7">
        <f t="shared" si="121"/>
        <v>2025</v>
      </c>
    </row>
    <row r="1417" spans="1:17" x14ac:dyDescent="0.25">
      <c r="A1417" s="7">
        <v>2541</v>
      </c>
      <c r="B1417" s="9" t="s">
        <v>317</v>
      </c>
      <c r="C1417" s="9" t="s">
        <v>542</v>
      </c>
      <c r="D1417" s="8">
        <v>45884</v>
      </c>
      <c r="E1417" s="7" t="s">
        <v>60</v>
      </c>
      <c r="F1417" s="7">
        <v>1</v>
      </c>
      <c r="G1417" s="7" t="s">
        <v>15</v>
      </c>
      <c r="H1417" s="7" t="s">
        <v>318</v>
      </c>
      <c r="J1417" s="7">
        <f t="shared" si="117"/>
        <v>1900</v>
      </c>
      <c r="K1417" s="7">
        <f t="shared" si="119"/>
        <v>1</v>
      </c>
      <c r="L1417" s="7">
        <f t="shared" si="120"/>
        <v>45884</v>
      </c>
      <c r="M1417" s="7" t="s">
        <v>545</v>
      </c>
      <c r="O1417" s="17" t="s">
        <v>682</v>
      </c>
      <c r="P1417" s="7">
        <f t="shared" si="118"/>
        <v>8</v>
      </c>
      <c r="Q1417" s="7">
        <f t="shared" si="121"/>
        <v>2025</v>
      </c>
    </row>
    <row r="1418" spans="1:17" x14ac:dyDescent="0.25">
      <c r="A1418" s="7">
        <v>2541</v>
      </c>
      <c r="B1418" s="9" t="s">
        <v>317</v>
      </c>
      <c r="C1418" s="9" t="s">
        <v>542</v>
      </c>
      <c r="D1418" s="8">
        <v>45884</v>
      </c>
      <c r="E1418" s="7" t="s">
        <v>60</v>
      </c>
      <c r="F1418" s="7">
        <v>1</v>
      </c>
      <c r="G1418" s="7" t="s">
        <v>15</v>
      </c>
      <c r="H1418" s="7" t="s">
        <v>318</v>
      </c>
      <c r="J1418" s="7">
        <f t="shared" si="117"/>
        <v>1900</v>
      </c>
      <c r="K1418" s="7">
        <f t="shared" si="119"/>
        <v>1</v>
      </c>
      <c r="L1418" s="7">
        <f t="shared" si="120"/>
        <v>45884</v>
      </c>
      <c r="M1418" s="7" t="s">
        <v>545</v>
      </c>
      <c r="O1418" s="17" t="s">
        <v>682</v>
      </c>
      <c r="P1418" s="7">
        <f t="shared" si="118"/>
        <v>8</v>
      </c>
      <c r="Q1418" s="7">
        <f t="shared" si="121"/>
        <v>2025</v>
      </c>
    </row>
    <row r="1419" spans="1:17" x14ac:dyDescent="0.25">
      <c r="A1419" s="7">
        <v>2541</v>
      </c>
      <c r="B1419" s="9" t="s">
        <v>317</v>
      </c>
      <c r="C1419" s="9" t="s">
        <v>542</v>
      </c>
      <c r="D1419" s="8">
        <v>45884</v>
      </c>
      <c r="E1419" s="7" t="s">
        <v>60</v>
      </c>
      <c r="F1419" s="7">
        <v>1</v>
      </c>
      <c r="G1419" s="7" t="s">
        <v>15</v>
      </c>
      <c r="H1419" s="7" t="s">
        <v>318</v>
      </c>
      <c r="J1419" s="7">
        <f t="shared" si="117"/>
        <v>1900</v>
      </c>
      <c r="K1419" s="7">
        <f t="shared" si="119"/>
        <v>1</v>
      </c>
      <c r="L1419" s="7">
        <f t="shared" si="120"/>
        <v>45884</v>
      </c>
      <c r="M1419" s="7" t="s">
        <v>545</v>
      </c>
      <c r="O1419" s="17" t="s">
        <v>682</v>
      </c>
      <c r="P1419" s="7">
        <f t="shared" si="118"/>
        <v>8</v>
      </c>
      <c r="Q1419" s="7">
        <f t="shared" si="121"/>
        <v>2025</v>
      </c>
    </row>
    <row r="1420" spans="1:17" x14ac:dyDescent="0.25">
      <c r="A1420" s="7">
        <v>2541</v>
      </c>
      <c r="B1420" s="9" t="s">
        <v>317</v>
      </c>
      <c r="C1420" s="9" t="s">
        <v>542</v>
      </c>
      <c r="D1420" s="8">
        <v>45884</v>
      </c>
      <c r="E1420" s="7" t="s">
        <v>60</v>
      </c>
      <c r="F1420" s="7">
        <v>1</v>
      </c>
      <c r="G1420" s="7" t="s">
        <v>15</v>
      </c>
      <c r="H1420" s="7" t="s">
        <v>318</v>
      </c>
      <c r="J1420" s="7">
        <f t="shared" si="117"/>
        <v>1900</v>
      </c>
      <c r="K1420" s="7">
        <f t="shared" si="119"/>
        <v>1</v>
      </c>
      <c r="L1420" s="7">
        <f t="shared" si="120"/>
        <v>45884</v>
      </c>
      <c r="M1420" s="7" t="s">
        <v>545</v>
      </c>
      <c r="O1420" s="17" t="s">
        <v>682</v>
      </c>
      <c r="P1420" s="7">
        <f t="shared" si="118"/>
        <v>8</v>
      </c>
      <c r="Q1420" s="7">
        <f t="shared" si="121"/>
        <v>2025</v>
      </c>
    </row>
    <row r="1421" spans="1:17" x14ac:dyDescent="0.25">
      <c r="A1421" s="7">
        <v>2541</v>
      </c>
      <c r="B1421" s="9" t="s">
        <v>317</v>
      </c>
      <c r="C1421" s="9" t="s">
        <v>542</v>
      </c>
      <c r="D1421" s="8">
        <v>45884</v>
      </c>
      <c r="E1421" s="7" t="s">
        <v>60</v>
      </c>
      <c r="F1421" s="7">
        <v>1</v>
      </c>
      <c r="G1421" s="7" t="s">
        <v>15</v>
      </c>
      <c r="H1421" s="7" t="s">
        <v>318</v>
      </c>
      <c r="J1421" s="7">
        <f t="shared" si="117"/>
        <v>1900</v>
      </c>
      <c r="K1421" s="7">
        <f t="shared" si="119"/>
        <v>1</v>
      </c>
      <c r="L1421" s="7">
        <f t="shared" si="120"/>
        <v>45884</v>
      </c>
      <c r="M1421" s="7" t="s">
        <v>545</v>
      </c>
      <c r="O1421" s="17" t="s">
        <v>682</v>
      </c>
      <c r="P1421" s="7">
        <f t="shared" si="118"/>
        <v>8</v>
      </c>
      <c r="Q1421" s="7">
        <f t="shared" si="121"/>
        <v>2025</v>
      </c>
    </row>
    <row r="1422" spans="1:17" x14ac:dyDescent="0.25">
      <c r="A1422" s="7">
        <v>2541</v>
      </c>
      <c r="B1422" s="9" t="s">
        <v>317</v>
      </c>
      <c r="C1422" s="9" t="s">
        <v>542</v>
      </c>
      <c r="D1422" s="8">
        <v>45884</v>
      </c>
      <c r="E1422" s="7" t="s">
        <v>60</v>
      </c>
      <c r="F1422" s="7">
        <v>1</v>
      </c>
      <c r="G1422" s="7" t="s">
        <v>15</v>
      </c>
      <c r="H1422" s="7" t="s">
        <v>318</v>
      </c>
      <c r="J1422" s="7">
        <f t="shared" si="117"/>
        <v>1900</v>
      </c>
      <c r="K1422" s="7">
        <f t="shared" si="119"/>
        <v>1</v>
      </c>
      <c r="L1422" s="7">
        <f t="shared" si="120"/>
        <v>45884</v>
      </c>
      <c r="M1422" s="7" t="s">
        <v>545</v>
      </c>
      <c r="O1422" s="17" t="s">
        <v>682</v>
      </c>
      <c r="P1422" s="7">
        <f t="shared" si="118"/>
        <v>8</v>
      </c>
      <c r="Q1422" s="7">
        <f t="shared" si="121"/>
        <v>2025</v>
      </c>
    </row>
    <row r="1423" spans="1:17" x14ac:dyDescent="0.25">
      <c r="A1423" s="7">
        <v>2541</v>
      </c>
      <c r="B1423" s="9" t="s">
        <v>317</v>
      </c>
      <c r="C1423" s="9" t="s">
        <v>542</v>
      </c>
      <c r="D1423" s="8">
        <v>45884</v>
      </c>
      <c r="E1423" s="7" t="s">
        <v>60</v>
      </c>
      <c r="F1423" s="7">
        <v>1</v>
      </c>
      <c r="G1423" s="7" t="s">
        <v>15</v>
      </c>
      <c r="H1423" s="7" t="s">
        <v>318</v>
      </c>
      <c r="J1423" s="7">
        <f t="shared" si="117"/>
        <v>1900</v>
      </c>
      <c r="K1423" s="7">
        <f t="shared" si="119"/>
        <v>1</v>
      </c>
      <c r="L1423" s="7">
        <f t="shared" si="120"/>
        <v>45884</v>
      </c>
      <c r="M1423" s="7" t="s">
        <v>545</v>
      </c>
      <c r="O1423" s="17" t="s">
        <v>682</v>
      </c>
      <c r="P1423" s="7">
        <f t="shared" si="118"/>
        <v>8</v>
      </c>
      <c r="Q1423" s="7">
        <f t="shared" si="121"/>
        <v>2025</v>
      </c>
    </row>
    <row r="1424" spans="1:17" x14ac:dyDescent="0.25">
      <c r="A1424" s="7">
        <v>2541</v>
      </c>
      <c r="B1424" s="9" t="s">
        <v>317</v>
      </c>
      <c r="C1424" s="9" t="s">
        <v>542</v>
      </c>
      <c r="D1424" s="8">
        <v>45884</v>
      </c>
      <c r="E1424" s="7" t="s">
        <v>60</v>
      </c>
      <c r="F1424" s="7">
        <v>1</v>
      </c>
      <c r="G1424" s="7" t="s">
        <v>15</v>
      </c>
      <c r="H1424" s="7" t="s">
        <v>318</v>
      </c>
      <c r="J1424" s="7">
        <f t="shared" si="117"/>
        <v>1900</v>
      </c>
      <c r="K1424" s="7">
        <f t="shared" si="119"/>
        <v>1</v>
      </c>
      <c r="L1424" s="7">
        <f t="shared" si="120"/>
        <v>45884</v>
      </c>
      <c r="M1424" s="7" t="s">
        <v>545</v>
      </c>
      <c r="O1424" s="17" t="s">
        <v>682</v>
      </c>
      <c r="P1424" s="7">
        <f t="shared" si="118"/>
        <v>8</v>
      </c>
      <c r="Q1424" s="7">
        <f t="shared" si="121"/>
        <v>2025</v>
      </c>
    </row>
    <row r="1425" spans="1:17" x14ac:dyDescent="0.25">
      <c r="A1425" s="7">
        <v>2541</v>
      </c>
      <c r="B1425" s="9" t="s">
        <v>317</v>
      </c>
      <c r="C1425" s="9" t="s">
        <v>542</v>
      </c>
      <c r="D1425" s="8">
        <v>45884</v>
      </c>
      <c r="E1425" s="7" t="s">
        <v>60</v>
      </c>
      <c r="F1425" s="7">
        <v>1</v>
      </c>
      <c r="G1425" s="7" t="s">
        <v>15</v>
      </c>
      <c r="H1425" s="7" t="s">
        <v>318</v>
      </c>
      <c r="J1425" s="7">
        <f t="shared" ref="J1425:J1488" si="122">YEAR(I1425)</f>
        <v>1900</v>
      </c>
      <c r="K1425" s="7">
        <f t="shared" si="119"/>
        <v>1</v>
      </c>
      <c r="L1425" s="7">
        <f t="shared" si="120"/>
        <v>45884</v>
      </c>
      <c r="M1425" s="7" t="s">
        <v>545</v>
      </c>
      <c r="O1425" s="17" t="s">
        <v>682</v>
      </c>
      <c r="P1425" s="7">
        <f t="shared" si="118"/>
        <v>8</v>
      </c>
      <c r="Q1425" s="7">
        <f t="shared" si="121"/>
        <v>2025</v>
      </c>
    </row>
    <row r="1426" spans="1:17" x14ac:dyDescent="0.25">
      <c r="A1426" s="7">
        <v>2541</v>
      </c>
      <c r="B1426" s="9" t="s">
        <v>317</v>
      </c>
      <c r="C1426" s="9" t="s">
        <v>542</v>
      </c>
      <c r="D1426" s="8">
        <v>45884</v>
      </c>
      <c r="E1426" s="7" t="s">
        <v>60</v>
      </c>
      <c r="F1426" s="7">
        <v>1</v>
      </c>
      <c r="G1426" s="7" t="s">
        <v>15</v>
      </c>
      <c r="H1426" s="7" t="s">
        <v>318</v>
      </c>
      <c r="J1426" s="7">
        <f t="shared" si="122"/>
        <v>1900</v>
      </c>
      <c r="K1426" s="7">
        <f t="shared" si="119"/>
        <v>1</v>
      </c>
      <c r="L1426" s="7">
        <f t="shared" si="120"/>
        <v>45884</v>
      </c>
      <c r="M1426" s="7" t="s">
        <v>545</v>
      </c>
      <c r="O1426" s="17" t="s">
        <v>682</v>
      </c>
      <c r="P1426" s="7">
        <f t="shared" si="118"/>
        <v>8</v>
      </c>
      <c r="Q1426" s="7">
        <f t="shared" si="121"/>
        <v>2025</v>
      </c>
    </row>
    <row r="1427" spans="1:17" x14ac:dyDescent="0.25">
      <c r="A1427" s="7">
        <v>2541</v>
      </c>
      <c r="B1427" s="9" t="s">
        <v>317</v>
      </c>
      <c r="C1427" s="9" t="s">
        <v>542</v>
      </c>
      <c r="D1427" s="8">
        <v>45884</v>
      </c>
      <c r="E1427" s="7" t="s">
        <v>60</v>
      </c>
      <c r="F1427" s="7">
        <v>1</v>
      </c>
      <c r="G1427" s="7" t="s">
        <v>15</v>
      </c>
      <c r="H1427" s="7" t="s">
        <v>318</v>
      </c>
      <c r="J1427" s="7">
        <f t="shared" si="122"/>
        <v>1900</v>
      </c>
      <c r="K1427" s="7">
        <f t="shared" si="119"/>
        <v>1</v>
      </c>
      <c r="L1427" s="7">
        <f t="shared" si="120"/>
        <v>45884</v>
      </c>
      <c r="M1427" s="7" t="s">
        <v>545</v>
      </c>
      <c r="O1427" s="17" t="s">
        <v>682</v>
      </c>
      <c r="P1427" s="7">
        <f t="shared" si="118"/>
        <v>8</v>
      </c>
      <c r="Q1427" s="7">
        <f t="shared" si="121"/>
        <v>2025</v>
      </c>
    </row>
    <row r="1428" spans="1:17" x14ac:dyDescent="0.25">
      <c r="A1428" s="7">
        <v>2541</v>
      </c>
      <c r="B1428" s="9" t="s">
        <v>317</v>
      </c>
      <c r="C1428" s="9" t="s">
        <v>542</v>
      </c>
      <c r="D1428" s="8">
        <v>45884</v>
      </c>
      <c r="E1428" s="7" t="s">
        <v>60</v>
      </c>
      <c r="F1428" s="7">
        <v>1</v>
      </c>
      <c r="G1428" s="7" t="s">
        <v>15</v>
      </c>
      <c r="H1428" s="7" t="s">
        <v>318</v>
      </c>
      <c r="J1428" s="7">
        <f t="shared" si="122"/>
        <v>1900</v>
      </c>
      <c r="K1428" s="7">
        <f t="shared" si="119"/>
        <v>1</v>
      </c>
      <c r="L1428" s="7">
        <f t="shared" si="120"/>
        <v>45884</v>
      </c>
      <c r="M1428" s="7" t="s">
        <v>545</v>
      </c>
      <c r="O1428" s="17" t="s">
        <v>682</v>
      </c>
      <c r="P1428" s="7">
        <f t="shared" si="118"/>
        <v>8</v>
      </c>
      <c r="Q1428" s="7">
        <f t="shared" si="121"/>
        <v>2025</v>
      </c>
    </row>
    <row r="1429" spans="1:17" x14ac:dyDescent="0.25">
      <c r="A1429" s="7">
        <v>2541</v>
      </c>
      <c r="B1429" s="9" t="s">
        <v>317</v>
      </c>
      <c r="C1429" s="9" t="s">
        <v>542</v>
      </c>
      <c r="D1429" s="8">
        <v>45884</v>
      </c>
      <c r="E1429" s="7" t="s">
        <v>60</v>
      </c>
      <c r="F1429" s="7">
        <v>1</v>
      </c>
      <c r="G1429" s="7" t="s">
        <v>15</v>
      </c>
      <c r="H1429" s="7" t="s">
        <v>318</v>
      </c>
      <c r="J1429" s="7">
        <f t="shared" si="122"/>
        <v>1900</v>
      </c>
      <c r="K1429" s="7">
        <f t="shared" si="119"/>
        <v>1</v>
      </c>
      <c r="L1429" s="7">
        <f t="shared" si="120"/>
        <v>45884</v>
      </c>
      <c r="M1429" s="7" t="s">
        <v>545</v>
      </c>
      <c r="O1429" s="17" t="s">
        <v>682</v>
      </c>
      <c r="P1429" s="7">
        <f t="shared" si="118"/>
        <v>8</v>
      </c>
      <c r="Q1429" s="7">
        <f t="shared" si="121"/>
        <v>2025</v>
      </c>
    </row>
    <row r="1430" spans="1:17" x14ac:dyDescent="0.25">
      <c r="A1430" s="7">
        <v>2541</v>
      </c>
      <c r="B1430" s="9" t="s">
        <v>317</v>
      </c>
      <c r="C1430" s="9" t="s">
        <v>542</v>
      </c>
      <c r="D1430" s="8">
        <v>45884</v>
      </c>
      <c r="E1430" s="7" t="s">
        <v>60</v>
      </c>
      <c r="F1430" s="7">
        <v>1</v>
      </c>
      <c r="G1430" s="7" t="s">
        <v>15</v>
      </c>
      <c r="H1430" s="7" t="s">
        <v>318</v>
      </c>
      <c r="J1430" s="7">
        <f t="shared" si="122"/>
        <v>1900</v>
      </c>
      <c r="K1430" s="7">
        <f t="shared" si="119"/>
        <v>1</v>
      </c>
      <c r="L1430" s="7">
        <f t="shared" si="120"/>
        <v>45884</v>
      </c>
      <c r="M1430" s="7" t="s">
        <v>545</v>
      </c>
      <c r="O1430" s="17" t="s">
        <v>682</v>
      </c>
      <c r="P1430" s="7">
        <f t="shared" si="118"/>
        <v>8</v>
      </c>
      <c r="Q1430" s="7">
        <f t="shared" si="121"/>
        <v>2025</v>
      </c>
    </row>
    <row r="1431" spans="1:17" x14ac:dyDescent="0.25">
      <c r="A1431" s="7">
        <v>2541</v>
      </c>
      <c r="B1431" s="9" t="s">
        <v>317</v>
      </c>
      <c r="C1431" s="9" t="s">
        <v>542</v>
      </c>
      <c r="D1431" s="8">
        <v>45884</v>
      </c>
      <c r="E1431" s="7" t="s">
        <v>60</v>
      </c>
      <c r="F1431" s="7">
        <v>1</v>
      </c>
      <c r="G1431" s="7" t="s">
        <v>15</v>
      </c>
      <c r="H1431" s="7" t="s">
        <v>318</v>
      </c>
      <c r="J1431" s="7">
        <f t="shared" si="122"/>
        <v>1900</v>
      </c>
      <c r="K1431" s="7">
        <f t="shared" si="119"/>
        <v>1</v>
      </c>
      <c r="L1431" s="7">
        <f t="shared" si="120"/>
        <v>45884</v>
      </c>
      <c r="M1431" s="7" t="s">
        <v>545</v>
      </c>
      <c r="O1431" s="17" t="s">
        <v>682</v>
      </c>
      <c r="P1431" s="7">
        <f t="shared" si="118"/>
        <v>8</v>
      </c>
      <c r="Q1431" s="7">
        <f t="shared" si="121"/>
        <v>2025</v>
      </c>
    </row>
    <row r="1432" spans="1:17" x14ac:dyDescent="0.25">
      <c r="A1432" s="7">
        <v>2541</v>
      </c>
      <c r="B1432" s="9" t="s">
        <v>317</v>
      </c>
      <c r="C1432" s="9" t="s">
        <v>542</v>
      </c>
      <c r="D1432" s="8">
        <v>45884</v>
      </c>
      <c r="E1432" s="7" t="s">
        <v>60</v>
      </c>
      <c r="F1432" s="7">
        <v>1</v>
      </c>
      <c r="G1432" s="7" t="s">
        <v>15</v>
      </c>
      <c r="H1432" s="7" t="s">
        <v>318</v>
      </c>
      <c r="J1432" s="7">
        <f t="shared" si="122"/>
        <v>1900</v>
      </c>
      <c r="K1432" s="7">
        <f t="shared" si="119"/>
        <v>1</v>
      </c>
      <c r="L1432" s="7">
        <f t="shared" si="120"/>
        <v>45884</v>
      </c>
      <c r="M1432" s="7" t="s">
        <v>545</v>
      </c>
      <c r="O1432" s="17" t="s">
        <v>682</v>
      </c>
      <c r="P1432" s="7">
        <f t="shared" si="118"/>
        <v>8</v>
      </c>
      <c r="Q1432" s="7">
        <f t="shared" si="121"/>
        <v>2025</v>
      </c>
    </row>
    <row r="1433" spans="1:17" x14ac:dyDescent="0.25">
      <c r="A1433" s="7">
        <v>2541</v>
      </c>
      <c r="B1433" s="9" t="s">
        <v>317</v>
      </c>
      <c r="C1433" s="9" t="s">
        <v>542</v>
      </c>
      <c r="D1433" s="8">
        <v>45884</v>
      </c>
      <c r="E1433" s="7" t="s">
        <v>60</v>
      </c>
      <c r="F1433" s="7">
        <v>1</v>
      </c>
      <c r="G1433" s="7" t="s">
        <v>15</v>
      </c>
      <c r="H1433" s="7" t="s">
        <v>318</v>
      </c>
      <c r="J1433" s="7">
        <f t="shared" si="122"/>
        <v>1900</v>
      </c>
      <c r="K1433" s="7">
        <f t="shared" si="119"/>
        <v>1</v>
      </c>
      <c r="L1433" s="7">
        <f t="shared" si="120"/>
        <v>45884</v>
      </c>
      <c r="M1433" s="7" t="s">
        <v>545</v>
      </c>
      <c r="O1433" s="17" t="s">
        <v>682</v>
      </c>
      <c r="P1433" s="7">
        <f t="shared" si="118"/>
        <v>8</v>
      </c>
      <c r="Q1433" s="7">
        <f t="shared" si="121"/>
        <v>2025</v>
      </c>
    </row>
    <row r="1434" spans="1:17" x14ac:dyDescent="0.25">
      <c r="A1434" s="7">
        <v>2541</v>
      </c>
      <c r="B1434" s="9" t="s">
        <v>317</v>
      </c>
      <c r="C1434" s="9" t="s">
        <v>542</v>
      </c>
      <c r="D1434" s="8">
        <v>45884</v>
      </c>
      <c r="E1434" s="7" t="s">
        <v>60</v>
      </c>
      <c r="F1434" s="7">
        <v>1</v>
      </c>
      <c r="G1434" s="7" t="s">
        <v>15</v>
      </c>
      <c r="H1434" s="7" t="s">
        <v>318</v>
      </c>
      <c r="J1434" s="7">
        <f t="shared" si="122"/>
        <v>1900</v>
      </c>
      <c r="K1434" s="7">
        <f t="shared" si="119"/>
        <v>1</v>
      </c>
      <c r="L1434" s="7">
        <f t="shared" si="120"/>
        <v>45884</v>
      </c>
      <c r="M1434" s="7" t="s">
        <v>545</v>
      </c>
      <c r="O1434" s="17" t="s">
        <v>682</v>
      </c>
      <c r="P1434" s="7">
        <f t="shared" ref="P1434:P1497" si="123">MONTH(D1434)</f>
        <v>8</v>
      </c>
      <c r="Q1434" s="7">
        <f t="shared" si="121"/>
        <v>2025</v>
      </c>
    </row>
    <row r="1435" spans="1:17" x14ac:dyDescent="0.25">
      <c r="A1435" s="7">
        <v>2541</v>
      </c>
      <c r="B1435" s="9" t="s">
        <v>317</v>
      </c>
      <c r="C1435" s="9" t="s">
        <v>542</v>
      </c>
      <c r="D1435" s="8">
        <v>45884</v>
      </c>
      <c r="E1435" s="7" t="s">
        <v>60</v>
      </c>
      <c r="F1435" s="7">
        <v>1</v>
      </c>
      <c r="G1435" s="7" t="s">
        <v>15</v>
      </c>
      <c r="H1435" s="7" t="s">
        <v>318</v>
      </c>
      <c r="J1435" s="7">
        <f t="shared" si="122"/>
        <v>1900</v>
      </c>
      <c r="K1435" s="7">
        <f t="shared" si="119"/>
        <v>1</v>
      </c>
      <c r="L1435" s="7">
        <f t="shared" si="120"/>
        <v>45884</v>
      </c>
      <c r="M1435" s="7" t="s">
        <v>545</v>
      </c>
      <c r="O1435" s="17" t="s">
        <v>682</v>
      </c>
      <c r="P1435" s="7">
        <f t="shared" si="123"/>
        <v>8</v>
      </c>
      <c r="Q1435" s="7">
        <f t="shared" si="121"/>
        <v>2025</v>
      </c>
    </row>
    <row r="1436" spans="1:17" x14ac:dyDescent="0.25">
      <c r="A1436" s="7">
        <v>2541</v>
      </c>
      <c r="B1436" s="9" t="s">
        <v>317</v>
      </c>
      <c r="C1436" s="9" t="s">
        <v>542</v>
      </c>
      <c r="D1436" s="8">
        <v>45884</v>
      </c>
      <c r="E1436" s="7" t="s">
        <v>60</v>
      </c>
      <c r="F1436" s="7">
        <v>1</v>
      </c>
      <c r="G1436" s="7" t="s">
        <v>15</v>
      </c>
      <c r="H1436" s="7" t="s">
        <v>318</v>
      </c>
      <c r="J1436" s="7">
        <f t="shared" si="122"/>
        <v>1900</v>
      </c>
      <c r="K1436" s="7">
        <f t="shared" si="119"/>
        <v>1</v>
      </c>
      <c r="L1436" s="7">
        <f t="shared" si="120"/>
        <v>45884</v>
      </c>
      <c r="M1436" s="7" t="s">
        <v>545</v>
      </c>
      <c r="O1436" s="17" t="s">
        <v>682</v>
      </c>
      <c r="P1436" s="7">
        <f t="shared" si="123"/>
        <v>8</v>
      </c>
      <c r="Q1436" s="7">
        <f t="shared" si="121"/>
        <v>2025</v>
      </c>
    </row>
    <row r="1437" spans="1:17" x14ac:dyDescent="0.25">
      <c r="A1437" s="7">
        <v>2541</v>
      </c>
      <c r="B1437" s="9" t="s">
        <v>317</v>
      </c>
      <c r="C1437" s="9" t="s">
        <v>542</v>
      </c>
      <c r="D1437" s="8">
        <v>45884</v>
      </c>
      <c r="E1437" s="7" t="s">
        <v>60</v>
      </c>
      <c r="F1437" s="7">
        <v>1</v>
      </c>
      <c r="G1437" s="7" t="s">
        <v>15</v>
      </c>
      <c r="H1437" s="7" t="s">
        <v>318</v>
      </c>
      <c r="J1437" s="7">
        <f t="shared" si="122"/>
        <v>1900</v>
      </c>
      <c r="K1437" s="7">
        <f t="shared" si="119"/>
        <v>1</v>
      </c>
      <c r="L1437" s="7">
        <f t="shared" si="120"/>
        <v>45884</v>
      </c>
      <c r="M1437" s="7" t="s">
        <v>545</v>
      </c>
      <c r="O1437" s="17" t="s">
        <v>682</v>
      </c>
      <c r="P1437" s="7">
        <f t="shared" si="123"/>
        <v>8</v>
      </c>
      <c r="Q1437" s="7">
        <f t="shared" si="121"/>
        <v>2025</v>
      </c>
    </row>
    <row r="1438" spans="1:17" x14ac:dyDescent="0.25">
      <c r="A1438" s="7">
        <v>2541</v>
      </c>
      <c r="B1438" s="9" t="s">
        <v>317</v>
      </c>
      <c r="C1438" s="9" t="s">
        <v>542</v>
      </c>
      <c r="D1438" s="8">
        <v>45884</v>
      </c>
      <c r="E1438" s="7" t="s">
        <v>60</v>
      </c>
      <c r="F1438" s="7">
        <v>1</v>
      </c>
      <c r="G1438" s="7" t="s">
        <v>15</v>
      </c>
      <c r="H1438" s="7" t="s">
        <v>318</v>
      </c>
      <c r="J1438" s="7">
        <f t="shared" si="122"/>
        <v>1900</v>
      </c>
      <c r="K1438" s="7">
        <f t="shared" si="119"/>
        <v>1</v>
      </c>
      <c r="L1438" s="7">
        <f t="shared" si="120"/>
        <v>45884</v>
      </c>
      <c r="M1438" s="7" t="s">
        <v>545</v>
      </c>
      <c r="O1438" s="17" t="s">
        <v>682</v>
      </c>
      <c r="P1438" s="7">
        <f t="shared" si="123"/>
        <v>8</v>
      </c>
      <c r="Q1438" s="7">
        <f t="shared" si="121"/>
        <v>2025</v>
      </c>
    </row>
    <row r="1439" spans="1:17" x14ac:dyDescent="0.25">
      <c r="A1439" s="7">
        <v>2541</v>
      </c>
      <c r="B1439" s="9" t="s">
        <v>317</v>
      </c>
      <c r="C1439" s="9" t="s">
        <v>542</v>
      </c>
      <c r="D1439" s="8">
        <v>45884</v>
      </c>
      <c r="E1439" s="7" t="s">
        <v>60</v>
      </c>
      <c r="F1439" s="7">
        <v>1</v>
      </c>
      <c r="G1439" s="7" t="s">
        <v>15</v>
      </c>
      <c r="H1439" s="7" t="s">
        <v>318</v>
      </c>
      <c r="J1439" s="7">
        <f t="shared" si="122"/>
        <v>1900</v>
      </c>
      <c r="K1439" s="7">
        <f t="shared" si="119"/>
        <v>1</v>
      </c>
      <c r="L1439" s="7">
        <f t="shared" si="120"/>
        <v>45884</v>
      </c>
      <c r="M1439" s="7" t="s">
        <v>545</v>
      </c>
      <c r="O1439" s="17" t="s">
        <v>682</v>
      </c>
      <c r="P1439" s="7">
        <f t="shared" si="123"/>
        <v>8</v>
      </c>
      <c r="Q1439" s="7">
        <f t="shared" si="121"/>
        <v>2025</v>
      </c>
    </row>
    <row r="1440" spans="1:17" x14ac:dyDescent="0.25">
      <c r="A1440" s="7">
        <v>2541</v>
      </c>
      <c r="B1440" s="9" t="s">
        <v>317</v>
      </c>
      <c r="C1440" s="9" t="s">
        <v>542</v>
      </c>
      <c r="D1440" s="8">
        <v>45884</v>
      </c>
      <c r="E1440" s="7" t="s">
        <v>60</v>
      </c>
      <c r="F1440" s="7">
        <v>1</v>
      </c>
      <c r="G1440" s="7" t="s">
        <v>15</v>
      </c>
      <c r="H1440" s="7" t="s">
        <v>318</v>
      </c>
      <c r="J1440" s="7">
        <f t="shared" si="122"/>
        <v>1900</v>
      </c>
      <c r="K1440" s="7">
        <f t="shared" si="119"/>
        <v>1</v>
      </c>
      <c r="L1440" s="7">
        <f t="shared" si="120"/>
        <v>45884</v>
      </c>
      <c r="M1440" s="7" t="s">
        <v>545</v>
      </c>
      <c r="O1440" s="17" t="s">
        <v>682</v>
      </c>
      <c r="P1440" s="7">
        <f t="shared" si="123"/>
        <v>8</v>
      </c>
      <c r="Q1440" s="7">
        <f t="shared" si="121"/>
        <v>2025</v>
      </c>
    </row>
    <row r="1441" spans="1:17" x14ac:dyDescent="0.25">
      <c r="A1441" s="7">
        <v>2541</v>
      </c>
      <c r="B1441" s="9" t="s">
        <v>317</v>
      </c>
      <c r="C1441" s="9" t="s">
        <v>542</v>
      </c>
      <c r="D1441" s="8">
        <v>45884</v>
      </c>
      <c r="E1441" s="7" t="s">
        <v>60</v>
      </c>
      <c r="F1441" s="7">
        <v>1</v>
      </c>
      <c r="G1441" s="7" t="s">
        <v>15</v>
      </c>
      <c r="H1441" s="7" t="s">
        <v>318</v>
      </c>
      <c r="J1441" s="7">
        <f t="shared" si="122"/>
        <v>1900</v>
      </c>
      <c r="K1441" s="7">
        <f t="shared" si="119"/>
        <v>1</v>
      </c>
      <c r="L1441" s="7">
        <f t="shared" si="120"/>
        <v>45884</v>
      </c>
      <c r="M1441" s="7" t="s">
        <v>545</v>
      </c>
      <c r="O1441" s="17" t="s">
        <v>682</v>
      </c>
      <c r="P1441" s="7">
        <f t="shared" si="123"/>
        <v>8</v>
      </c>
      <c r="Q1441" s="7">
        <f t="shared" si="121"/>
        <v>2025</v>
      </c>
    </row>
    <row r="1442" spans="1:17" x14ac:dyDescent="0.25">
      <c r="A1442" s="7">
        <v>2541</v>
      </c>
      <c r="B1442" s="9" t="s">
        <v>317</v>
      </c>
      <c r="C1442" s="9" t="s">
        <v>542</v>
      </c>
      <c r="D1442" s="8">
        <v>45884</v>
      </c>
      <c r="E1442" s="7" t="s">
        <v>60</v>
      </c>
      <c r="F1442" s="7">
        <v>1</v>
      </c>
      <c r="G1442" s="7" t="s">
        <v>15</v>
      </c>
      <c r="H1442" s="7" t="s">
        <v>318</v>
      </c>
      <c r="J1442" s="7">
        <f t="shared" si="122"/>
        <v>1900</v>
      </c>
      <c r="K1442" s="7">
        <f t="shared" si="119"/>
        <v>1</v>
      </c>
      <c r="L1442" s="7">
        <f t="shared" si="120"/>
        <v>45884</v>
      </c>
      <c r="M1442" s="7" t="s">
        <v>545</v>
      </c>
      <c r="O1442" s="17" t="s">
        <v>682</v>
      </c>
      <c r="P1442" s="7">
        <f t="shared" si="123"/>
        <v>8</v>
      </c>
      <c r="Q1442" s="7">
        <f t="shared" si="121"/>
        <v>2025</v>
      </c>
    </row>
    <row r="1443" spans="1:17" x14ac:dyDescent="0.25">
      <c r="A1443" s="7">
        <v>2541</v>
      </c>
      <c r="B1443" s="9" t="s">
        <v>317</v>
      </c>
      <c r="C1443" s="9" t="s">
        <v>542</v>
      </c>
      <c r="D1443" s="8">
        <v>45884</v>
      </c>
      <c r="E1443" s="7" t="s">
        <v>60</v>
      </c>
      <c r="F1443" s="7">
        <v>1</v>
      </c>
      <c r="G1443" s="7" t="s">
        <v>15</v>
      </c>
      <c r="H1443" s="7" t="s">
        <v>318</v>
      </c>
      <c r="J1443" s="7">
        <f t="shared" si="122"/>
        <v>1900</v>
      </c>
      <c r="K1443" s="7">
        <f t="shared" si="119"/>
        <v>1</v>
      </c>
      <c r="L1443" s="7">
        <f t="shared" si="120"/>
        <v>45884</v>
      </c>
      <c r="M1443" s="7" t="s">
        <v>545</v>
      </c>
      <c r="O1443" s="17" t="s">
        <v>682</v>
      </c>
      <c r="P1443" s="7">
        <f t="shared" si="123"/>
        <v>8</v>
      </c>
      <c r="Q1443" s="7">
        <f t="shared" si="121"/>
        <v>2025</v>
      </c>
    </row>
    <row r="1444" spans="1:17" x14ac:dyDescent="0.25">
      <c r="A1444" s="7">
        <v>2541</v>
      </c>
      <c r="B1444" s="9" t="s">
        <v>317</v>
      </c>
      <c r="C1444" s="9" t="s">
        <v>542</v>
      </c>
      <c r="D1444" s="8">
        <v>45884</v>
      </c>
      <c r="E1444" s="7" t="s">
        <v>60</v>
      </c>
      <c r="F1444" s="7">
        <v>1</v>
      </c>
      <c r="G1444" s="7" t="s">
        <v>15</v>
      </c>
      <c r="H1444" s="7" t="s">
        <v>318</v>
      </c>
      <c r="J1444" s="7">
        <f t="shared" si="122"/>
        <v>1900</v>
      </c>
      <c r="K1444" s="7">
        <f t="shared" si="119"/>
        <v>1</v>
      </c>
      <c r="L1444" s="7">
        <f t="shared" si="120"/>
        <v>45884</v>
      </c>
      <c r="M1444" s="7" t="s">
        <v>545</v>
      </c>
      <c r="O1444" s="17" t="s">
        <v>682</v>
      </c>
      <c r="P1444" s="7">
        <f t="shared" si="123"/>
        <v>8</v>
      </c>
      <c r="Q1444" s="7">
        <f t="shared" si="121"/>
        <v>2025</v>
      </c>
    </row>
    <row r="1445" spans="1:17" x14ac:dyDescent="0.25">
      <c r="A1445" s="7">
        <v>2541</v>
      </c>
      <c r="B1445" s="9" t="s">
        <v>317</v>
      </c>
      <c r="C1445" s="9" t="s">
        <v>542</v>
      </c>
      <c r="D1445" s="8">
        <v>45884</v>
      </c>
      <c r="E1445" s="7" t="s">
        <v>60</v>
      </c>
      <c r="F1445" s="7">
        <v>1</v>
      </c>
      <c r="G1445" s="7" t="s">
        <v>15</v>
      </c>
      <c r="H1445" s="7" t="s">
        <v>318</v>
      </c>
      <c r="J1445" s="7">
        <f t="shared" si="122"/>
        <v>1900</v>
      </c>
      <c r="K1445" s="7">
        <f t="shared" si="119"/>
        <v>1</v>
      </c>
      <c r="L1445" s="7">
        <f t="shared" si="120"/>
        <v>45884</v>
      </c>
      <c r="M1445" s="7" t="s">
        <v>545</v>
      </c>
      <c r="O1445" s="17" t="s">
        <v>682</v>
      </c>
      <c r="P1445" s="7">
        <f t="shared" si="123"/>
        <v>8</v>
      </c>
      <c r="Q1445" s="7">
        <f t="shared" si="121"/>
        <v>2025</v>
      </c>
    </row>
    <row r="1446" spans="1:17" x14ac:dyDescent="0.25">
      <c r="A1446" s="7">
        <v>2541</v>
      </c>
      <c r="B1446" s="9" t="s">
        <v>317</v>
      </c>
      <c r="C1446" s="9" t="s">
        <v>542</v>
      </c>
      <c r="D1446" s="8">
        <v>45884</v>
      </c>
      <c r="E1446" s="7" t="s">
        <v>60</v>
      </c>
      <c r="F1446" s="7">
        <v>1</v>
      </c>
      <c r="G1446" s="7" t="s">
        <v>15</v>
      </c>
      <c r="H1446" s="7" t="s">
        <v>318</v>
      </c>
      <c r="J1446" s="7">
        <f t="shared" si="122"/>
        <v>1900</v>
      </c>
      <c r="K1446" s="7">
        <f t="shared" si="119"/>
        <v>1</v>
      </c>
      <c r="L1446" s="7">
        <f t="shared" si="120"/>
        <v>45884</v>
      </c>
      <c r="M1446" s="7" t="s">
        <v>545</v>
      </c>
      <c r="O1446" s="17" t="s">
        <v>682</v>
      </c>
      <c r="P1446" s="7">
        <f t="shared" si="123"/>
        <v>8</v>
      </c>
      <c r="Q1446" s="7">
        <f t="shared" si="121"/>
        <v>2025</v>
      </c>
    </row>
    <row r="1447" spans="1:17" x14ac:dyDescent="0.25">
      <c r="A1447" s="7">
        <v>2541</v>
      </c>
      <c r="B1447" s="9" t="s">
        <v>317</v>
      </c>
      <c r="C1447" s="9" t="s">
        <v>542</v>
      </c>
      <c r="D1447" s="8">
        <v>45884</v>
      </c>
      <c r="E1447" s="7" t="s">
        <v>60</v>
      </c>
      <c r="F1447" s="7">
        <v>1</v>
      </c>
      <c r="G1447" s="7" t="s">
        <v>15</v>
      </c>
      <c r="H1447" s="7" t="s">
        <v>318</v>
      </c>
      <c r="J1447" s="7">
        <f t="shared" si="122"/>
        <v>1900</v>
      </c>
      <c r="K1447" s="7">
        <f t="shared" si="119"/>
        <v>1</v>
      </c>
      <c r="L1447" s="7">
        <f t="shared" si="120"/>
        <v>45884</v>
      </c>
      <c r="M1447" s="7" t="s">
        <v>545</v>
      </c>
      <c r="O1447" s="17" t="s">
        <v>682</v>
      </c>
      <c r="P1447" s="7">
        <f t="shared" si="123"/>
        <v>8</v>
      </c>
      <c r="Q1447" s="7">
        <f t="shared" si="121"/>
        <v>2025</v>
      </c>
    </row>
    <row r="1448" spans="1:17" x14ac:dyDescent="0.25">
      <c r="A1448" s="7">
        <v>2541</v>
      </c>
      <c r="B1448" s="9" t="s">
        <v>317</v>
      </c>
      <c r="C1448" s="9" t="s">
        <v>542</v>
      </c>
      <c r="D1448" s="8">
        <v>45884</v>
      </c>
      <c r="E1448" s="7" t="s">
        <v>60</v>
      </c>
      <c r="F1448" s="7">
        <v>1</v>
      </c>
      <c r="G1448" s="7" t="s">
        <v>15</v>
      </c>
      <c r="H1448" s="7" t="s">
        <v>318</v>
      </c>
      <c r="J1448" s="7">
        <f t="shared" si="122"/>
        <v>1900</v>
      </c>
      <c r="K1448" s="7">
        <f t="shared" si="119"/>
        <v>1</v>
      </c>
      <c r="L1448" s="7">
        <f t="shared" si="120"/>
        <v>45884</v>
      </c>
      <c r="M1448" s="7" t="s">
        <v>545</v>
      </c>
      <c r="O1448" s="17" t="s">
        <v>682</v>
      </c>
      <c r="P1448" s="7">
        <f t="shared" si="123"/>
        <v>8</v>
      </c>
      <c r="Q1448" s="7">
        <f t="shared" si="121"/>
        <v>2025</v>
      </c>
    </row>
    <row r="1449" spans="1:17" x14ac:dyDescent="0.25">
      <c r="A1449" s="7">
        <v>2541</v>
      </c>
      <c r="B1449" s="9" t="s">
        <v>317</v>
      </c>
      <c r="C1449" s="9" t="s">
        <v>542</v>
      </c>
      <c r="D1449" s="8">
        <v>45884</v>
      </c>
      <c r="E1449" s="7" t="s">
        <v>60</v>
      </c>
      <c r="F1449" s="7">
        <v>1</v>
      </c>
      <c r="G1449" s="7" t="s">
        <v>15</v>
      </c>
      <c r="H1449" s="7" t="s">
        <v>318</v>
      </c>
      <c r="J1449" s="7">
        <f t="shared" si="122"/>
        <v>1900</v>
      </c>
      <c r="K1449" s="7">
        <f t="shared" si="119"/>
        <v>1</v>
      </c>
      <c r="L1449" s="7">
        <f t="shared" si="120"/>
        <v>45884</v>
      </c>
      <c r="M1449" s="7" t="s">
        <v>545</v>
      </c>
      <c r="O1449" s="17" t="s">
        <v>682</v>
      </c>
      <c r="P1449" s="7">
        <f t="shared" si="123"/>
        <v>8</v>
      </c>
      <c r="Q1449" s="7">
        <f t="shared" si="121"/>
        <v>2025</v>
      </c>
    </row>
    <row r="1450" spans="1:17" x14ac:dyDescent="0.25">
      <c r="A1450" s="7">
        <v>2541</v>
      </c>
      <c r="B1450" s="9" t="s">
        <v>317</v>
      </c>
      <c r="C1450" s="9" t="s">
        <v>542</v>
      </c>
      <c r="D1450" s="8">
        <v>45884</v>
      </c>
      <c r="E1450" s="7" t="s">
        <v>60</v>
      </c>
      <c r="F1450" s="7">
        <v>1</v>
      </c>
      <c r="G1450" s="7" t="s">
        <v>15</v>
      </c>
      <c r="H1450" s="7" t="s">
        <v>318</v>
      </c>
      <c r="J1450" s="7">
        <f t="shared" si="122"/>
        <v>1900</v>
      </c>
      <c r="K1450" s="7">
        <f t="shared" si="119"/>
        <v>1</v>
      </c>
      <c r="L1450" s="7">
        <f t="shared" si="120"/>
        <v>45884</v>
      </c>
      <c r="M1450" s="7" t="s">
        <v>545</v>
      </c>
      <c r="O1450" s="17" t="s">
        <v>682</v>
      </c>
      <c r="P1450" s="7">
        <f t="shared" si="123"/>
        <v>8</v>
      </c>
      <c r="Q1450" s="7">
        <f t="shared" si="121"/>
        <v>2025</v>
      </c>
    </row>
    <row r="1451" spans="1:17" x14ac:dyDescent="0.25">
      <c r="A1451" s="7">
        <v>2542</v>
      </c>
      <c r="B1451" s="9" t="s">
        <v>540</v>
      </c>
      <c r="C1451" s="9" t="s">
        <v>540</v>
      </c>
      <c r="D1451" s="8">
        <v>45897</v>
      </c>
      <c r="E1451" s="7" t="s">
        <v>60</v>
      </c>
      <c r="F1451" s="7">
        <v>1</v>
      </c>
      <c r="G1451" s="7" t="s">
        <v>14</v>
      </c>
      <c r="H1451" s="7" t="s">
        <v>492</v>
      </c>
      <c r="J1451" s="7">
        <f t="shared" si="122"/>
        <v>1900</v>
      </c>
      <c r="K1451" s="7">
        <f t="shared" si="119"/>
        <v>1</v>
      </c>
      <c r="L1451" s="7">
        <f t="shared" si="120"/>
        <v>45897</v>
      </c>
      <c r="M1451" s="7" t="s">
        <v>502</v>
      </c>
      <c r="N1451" s="7" t="s">
        <v>579</v>
      </c>
      <c r="O1451" s="17" t="s">
        <v>682</v>
      </c>
      <c r="P1451" s="7">
        <f t="shared" si="123"/>
        <v>8</v>
      </c>
      <c r="Q1451" s="7">
        <f t="shared" si="121"/>
        <v>2025</v>
      </c>
    </row>
    <row r="1452" spans="1:17" x14ac:dyDescent="0.25">
      <c r="A1452" s="7">
        <v>2542</v>
      </c>
      <c r="B1452" s="9" t="s">
        <v>540</v>
      </c>
      <c r="C1452" s="9" t="s">
        <v>540</v>
      </c>
      <c r="D1452" s="8">
        <v>45897</v>
      </c>
      <c r="E1452" s="7" t="s">
        <v>60</v>
      </c>
      <c r="F1452" s="7">
        <v>1</v>
      </c>
      <c r="G1452" s="7" t="s">
        <v>14</v>
      </c>
      <c r="H1452" s="7" t="s">
        <v>492</v>
      </c>
      <c r="J1452" s="7">
        <f t="shared" si="122"/>
        <v>1900</v>
      </c>
      <c r="K1452" s="7">
        <f t="shared" si="119"/>
        <v>1</v>
      </c>
      <c r="L1452" s="7">
        <f t="shared" si="120"/>
        <v>45897</v>
      </c>
      <c r="M1452" s="7" t="s">
        <v>502</v>
      </c>
      <c r="N1452" s="7" t="s">
        <v>579</v>
      </c>
      <c r="O1452" s="17" t="s">
        <v>682</v>
      </c>
      <c r="P1452" s="7">
        <f t="shared" si="123"/>
        <v>8</v>
      </c>
      <c r="Q1452" s="7">
        <f t="shared" si="121"/>
        <v>2025</v>
      </c>
    </row>
    <row r="1453" spans="1:17" x14ac:dyDescent="0.25">
      <c r="A1453" s="7">
        <v>2542</v>
      </c>
      <c r="B1453" s="9" t="s">
        <v>540</v>
      </c>
      <c r="C1453" s="9" t="s">
        <v>540</v>
      </c>
      <c r="D1453" s="8">
        <v>45897</v>
      </c>
      <c r="E1453" s="7" t="s">
        <v>60</v>
      </c>
      <c r="F1453" s="7">
        <v>1</v>
      </c>
      <c r="G1453" s="7" t="s">
        <v>14</v>
      </c>
      <c r="H1453" s="7" t="s">
        <v>492</v>
      </c>
      <c r="J1453" s="7">
        <f t="shared" si="122"/>
        <v>1900</v>
      </c>
      <c r="K1453" s="7">
        <f t="shared" ref="K1453:K1516" si="124">MONTH(I1453)</f>
        <v>1</v>
      </c>
      <c r="L1453" s="7">
        <f t="shared" si="120"/>
        <v>45897</v>
      </c>
      <c r="M1453" s="7" t="s">
        <v>502</v>
      </c>
      <c r="N1453" s="7" t="s">
        <v>579</v>
      </c>
      <c r="O1453" s="17" t="s">
        <v>682</v>
      </c>
      <c r="P1453" s="7">
        <f t="shared" si="123"/>
        <v>8</v>
      </c>
      <c r="Q1453" s="7">
        <f t="shared" si="121"/>
        <v>2025</v>
      </c>
    </row>
    <row r="1454" spans="1:17" x14ac:dyDescent="0.25">
      <c r="A1454" s="7">
        <v>2542</v>
      </c>
      <c r="B1454" s="9" t="s">
        <v>540</v>
      </c>
      <c r="C1454" s="9" t="s">
        <v>540</v>
      </c>
      <c r="D1454" s="8">
        <v>45897</v>
      </c>
      <c r="E1454" s="7" t="s">
        <v>60</v>
      </c>
      <c r="F1454" s="7">
        <v>1</v>
      </c>
      <c r="G1454" s="7" t="s">
        <v>14</v>
      </c>
      <c r="H1454" s="7" t="s">
        <v>492</v>
      </c>
      <c r="J1454" s="7">
        <f t="shared" si="122"/>
        <v>1900</v>
      </c>
      <c r="K1454" s="7">
        <f t="shared" si="124"/>
        <v>1</v>
      </c>
      <c r="L1454" s="7">
        <f t="shared" si="120"/>
        <v>45897</v>
      </c>
      <c r="M1454" s="7" t="s">
        <v>502</v>
      </c>
      <c r="N1454" s="7" t="s">
        <v>579</v>
      </c>
      <c r="O1454" s="17" t="s">
        <v>682</v>
      </c>
      <c r="P1454" s="7">
        <f t="shared" si="123"/>
        <v>8</v>
      </c>
      <c r="Q1454" s="7">
        <f t="shared" si="121"/>
        <v>2025</v>
      </c>
    </row>
    <row r="1455" spans="1:17" x14ac:dyDescent="0.25">
      <c r="A1455" s="7">
        <v>2542</v>
      </c>
      <c r="B1455" s="9" t="s">
        <v>540</v>
      </c>
      <c r="C1455" s="9" t="s">
        <v>540</v>
      </c>
      <c r="D1455" s="8">
        <v>45897</v>
      </c>
      <c r="E1455" s="7" t="s">
        <v>60</v>
      </c>
      <c r="F1455" s="7">
        <v>1</v>
      </c>
      <c r="G1455" s="7" t="s">
        <v>14</v>
      </c>
      <c r="H1455" s="7" t="s">
        <v>492</v>
      </c>
      <c r="J1455" s="7">
        <f t="shared" si="122"/>
        <v>1900</v>
      </c>
      <c r="K1455" s="7">
        <f t="shared" si="124"/>
        <v>1</v>
      </c>
      <c r="L1455" s="7">
        <f t="shared" ref="L1455:L1518" si="125">D1455-I1455</f>
        <v>45897</v>
      </c>
      <c r="M1455" s="7" t="s">
        <v>502</v>
      </c>
      <c r="N1455" s="7" t="s">
        <v>579</v>
      </c>
      <c r="O1455" s="17" t="s">
        <v>682</v>
      </c>
      <c r="P1455" s="7">
        <f t="shared" si="123"/>
        <v>8</v>
      </c>
      <c r="Q1455" s="7">
        <f t="shared" si="121"/>
        <v>2025</v>
      </c>
    </row>
    <row r="1456" spans="1:17" x14ac:dyDescent="0.25">
      <c r="A1456" s="7">
        <v>2542</v>
      </c>
      <c r="B1456" s="9" t="s">
        <v>540</v>
      </c>
      <c r="C1456" s="9" t="s">
        <v>540</v>
      </c>
      <c r="D1456" s="8">
        <v>45897</v>
      </c>
      <c r="E1456" s="7" t="s">
        <v>60</v>
      </c>
      <c r="F1456" s="7">
        <v>1</v>
      </c>
      <c r="G1456" s="7" t="s">
        <v>14</v>
      </c>
      <c r="H1456" s="7" t="s">
        <v>492</v>
      </c>
      <c r="J1456" s="7">
        <f t="shared" si="122"/>
        <v>1900</v>
      </c>
      <c r="K1456" s="7">
        <f t="shared" si="124"/>
        <v>1</v>
      </c>
      <c r="L1456" s="7">
        <f t="shared" si="125"/>
        <v>45897</v>
      </c>
      <c r="M1456" s="7" t="s">
        <v>502</v>
      </c>
      <c r="N1456" s="7" t="s">
        <v>579</v>
      </c>
      <c r="O1456" s="17" t="s">
        <v>682</v>
      </c>
      <c r="P1456" s="7">
        <f t="shared" si="123"/>
        <v>8</v>
      </c>
      <c r="Q1456" s="7">
        <f t="shared" si="121"/>
        <v>2025</v>
      </c>
    </row>
    <row r="1457" spans="1:17" x14ac:dyDescent="0.25">
      <c r="A1457" s="7">
        <v>2542</v>
      </c>
      <c r="B1457" s="9" t="s">
        <v>540</v>
      </c>
      <c r="C1457" s="9" t="s">
        <v>540</v>
      </c>
      <c r="D1457" s="8">
        <v>45897</v>
      </c>
      <c r="E1457" s="7" t="s">
        <v>60</v>
      </c>
      <c r="F1457" s="7">
        <v>1</v>
      </c>
      <c r="G1457" s="7" t="s">
        <v>14</v>
      </c>
      <c r="H1457" s="7" t="s">
        <v>492</v>
      </c>
      <c r="J1457" s="7">
        <f t="shared" si="122"/>
        <v>1900</v>
      </c>
      <c r="K1457" s="7">
        <f t="shared" si="124"/>
        <v>1</v>
      </c>
      <c r="L1457" s="7">
        <f t="shared" si="125"/>
        <v>45897</v>
      </c>
      <c r="M1457" s="7" t="s">
        <v>502</v>
      </c>
      <c r="N1457" s="7" t="s">
        <v>579</v>
      </c>
      <c r="O1457" s="17" t="s">
        <v>682</v>
      </c>
      <c r="P1457" s="7">
        <f t="shared" si="123"/>
        <v>8</v>
      </c>
      <c r="Q1457" s="7">
        <f t="shared" si="121"/>
        <v>2025</v>
      </c>
    </row>
    <row r="1458" spans="1:17" x14ac:dyDescent="0.25">
      <c r="A1458" s="7">
        <v>2542</v>
      </c>
      <c r="B1458" s="9" t="s">
        <v>540</v>
      </c>
      <c r="C1458" s="9" t="s">
        <v>540</v>
      </c>
      <c r="D1458" s="8">
        <v>45897</v>
      </c>
      <c r="E1458" s="7" t="s">
        <v>60</v>
      </c>
      <c r="F1458" s="7">
        <v>1</v>
      </c>
      <c r="G1458" s="7" t="s">
        <v>14</v>
      </c>
      <c r="H1458" s="7" t="s">
        <v>492</v>
      </c>
      <c r="J1458" s="7">
        <f t="shared" si="122"/>
        <v>1900</v>
      </c>
      <c r="K1458" s="7">
        <f t="shared" si="124"/>
        <v>1</v>
      </c>
      <c r="L1458" s="7">
        <f t="shared" si="125"/>
        <v>45897</v>
      </c>
      <c r="M1458" s="7" t="s">
        <v>502</v>
      </c>
      <c r="N1458" s="7" t="s">
        <v>579</v>
      </c>
      <c r="O1458" s="17" t="s">
        <v>682</v>
      </c>
      <c r="P1458" s="7">
        <f t="shared" si="123"/>
        <v>8</v>
      </c>
      <c r="Q1458" s="7">
        <f t="shared" si="121"/>
        <v>2025</v>
      </c>
    </row>
    <row r="1459" spans="1:17" x14ac:dyDescent="0.25">
      <c r="A1459" s="7">
        <v>2542</v>
      </c>
      <c r="B1459" s="9" t="s">
        <v>540</v>
      </c>
      <c r="C1459" s="9" t="s">
        <v>540</v>
      </c>
      <c r="D1459" s="8">
        <v>45897</v>
      </c>
      <c r="E1459" s="7" t="s">
        <v>60</v>
      </c>
      <c r="F1459" s="7">
        <v>1</v>
      </c>
      <c r="G1459" s="7" t="s">
        <v>14</v>
      </c>
      <c r="H1459" s="7" t="s">
        <v>492</v>
      </c>
      <c r="J1459" s="7">
        <f t="shared" si="122"/>
        <v>1900</v>
      </c>
      <c r="K1459" s="7">
        <f t="shared" si="124"/>
        <v>1</v>
      </c>
      <c r="L1459" s="7">
        <f t="shared" si="125"/>
        <v>45897</v>
      </c>
      <c r="M1459" s="7" t="s">
        <v>502</v>
      </c>
      <c r="N1459" s="7" t="s">
        <v>579</v>
      </c>
      <c r="O1459" s="17" t="s">
        <v>682</v>
      </c>
      <c r="P1459" s="7">
        <f t="shared" si="123"/>
        <v>8</v>
      </c>
      <c r="Q1459" s="7">
        <f t="shared" si="121"/>
        <v>2025</v>
      </c>
    </row>
    <row r="1460" spans="1:17" x14ac:dyDescent="0.25">
      <c r="A1460" s="7">
        <v>2542</v>
      </c>
      <c r="B1460" s="9" t="s">
        <v>540</v>
      </c>
      <c r="C1460" s="9" t="s">
        <v>540</v>
      </c>
      <c r="D1460" s="8">
        <v>45897</v>
      </c>
      <c r="E1460" s="7" t="s">
        <v>60</v>
      </c>
      <c r="F1460" s="7">
        <v>1</v>
      </c>
      <c r="G1460" s="7" t="s">
        <v>14</v>
      </c>
      <c r="H1460" s="7" t="s">
        <v>492</v>
      </c>
      <c r="J1460" s="7">
        <f t="shared" si="122"/>
        <v>1900</v>
      </c>
      <c r="K1460" s="7">
        <f t="shared" si="124"/>
        <v>1</v>
      </c>
      <c r="L1460" s="7">
        <f t="shared" si="125"/>
        <v>45897</v>
      </c>
      <c r="M1460" s="7" t="s">
        <v>502</v>
      </c>
      <c r="N1460" s="7" t="s">
        <v>579</v>
      </c>
      <c r="O1460" s="17" t="s">
        <v>682</v>
      </c>
      <c r="P1460" s="7">
        <f t="shared" si="123"/>
        <v>8</v>
      </c>
      <c r="Q1460" s="7">
        <f t="shared" si="121"/>
        <v>2025</v>
      </c>
    </row>
    <row r="1461" spans="1:17" x14ac:dyDescent="0.25">
      <c r="A1461" s="7">
        <v>2542</v>
      </c>
      <c r="B1461" s="9" t="s">
        <v>540</v>
      </c>
      <c r="C1461" s="9" t="s">
        <v>540</v>
      </c>
      <c r="D1461" s="8">
        <v>45897</v>
      </c>
      <c r="E1461" s="7" t="s">
        <v>60</v>
      </c>
      <c r="F1461" s="7">
        <v>1</v>
      </c>
      <c r="G1461" s="7" t="s">
        <v>14</v>
      </c>
      <c r="H1461" s="7" t="s">
        <v>492</v>
      </c>
      <c r="J1461" s="7">
        <f t="shared" si="122"/>
        <v>1900</v>
      </c>
      <c r="K1461" s="7">
        <f t="shared" si="124"/>
        <v>1</v>
      </c>
      <c r="L1461" s="7">
        <f t="shared" si="125"/>
        <v>45897</v>
      </c>
      <c r="M1461" s="7" t="s">
        <v>502</v>
      </c>
      <c r="N1461" s="7" t="s">
        <v>579</v>
      </c>
      <c r="O1461" s="17" t="s">
        <v>682</v>
      </c>
      <c r="P1461" s="7">
        <f t="shared" si="123"/>
        <v>8</v>
      </c>
      <c r="Q1461" s="7">
        <f t="shared" ref="Q1461:Q1524" si="126">YEAR(D1461)</f>
        <v>2025</v>
      </c>
    </row>
    <row r="1462" spans="1:17" x14ac:dyDescent="0.25">
      <c r="A1462" s="7">
        <v>2542</v>
      </c>
      <c r="B1462" s="9" t="s">
        <v>540</v>
      </c>
      <c r="C1462" s="9" t="s">
        <v>540</v>
      </c>
      <c r="D1462" s="8">
        <v>45897</v>
      </c>
      <c r="E1462" s="7" t="s">
        <v>60</v>
      </c>
      <c r="F1462" s="7">
        <v>1</v>
      </c>
      <c r="G1462" s="7" t="s">
        <v>14</v>
      </c>
      <c r="H1462" s="7" t="s">
        <v>492</v>
      </c>
      <c r="J1462" s="7">
        <f t="shared" si="122"/>
        <v>1900</v>
      </c>
      <c r="K1462" s="7">
        <f t="shared" si="124"/>
        <v>1</v>
      </c>
      <c r="L1462" s="7">
        <f t="shared" si="125"/>
        <v>45897</v>
      </c>
      <c r="M1462" s="7" t="s">
        <v>502</v>
      </c>
      <c r="N1462" s="7" t="s">
        <v>579</v>
      </c>
      <c r="O1462" s="17" t="s">
        <v>682</v>
      </c>
      <c r="P1462" s="7">
        <f t="shared" si="123"/>
        <v>8</v>
      </c>
      <c r="Q1462" s="7">
        <f t="shared" si="126"/>
        <v>2025</v>
      </c>
    </row>
    <row r="1463" spans="1:17" x14ac:dyDescent="0.25">
      <c r="A1463" s="7">
        <v>2542</v>
      </c>
      <c r="B1463" s="9" t="s">
        <v>540</v>
      </c>
      <c r="C1463" s="9" t="s">
        <v>540</v>
      </c>
      <c r="D1463" s="8">
        <v>45897</v>
      </c>
      <c r="E1463" s="7" t="s">
        <v>60</v>
      </c>
      <c r="F1463" s="7">
        <v>1</v>
      </c>
      <c r="G1463" s="7" t="s">
        <v>14</v>
      </c>
      <c r="H1463" s="7" t="s">
        <v>492</v>
      </c>
      <c r="J1463" s="7">
        <f t="shared" si="122"/>
        <v>1900</v>
      </c>
      <c r="K1463" s="7">
        <f t="shared" si="124"/>
        <v>1</v>
      </c>
      <c r="L1463" s="7">
        <f t="shared" si="125"/>
        <v>45897</v>
      </c>
      <c r="M1463" s="7" t="s">
        <v>502</v>
      </c>
      <c r="N1463" s="7" t="s">
        <v>579</v>
      </c>
      <c r="O1463" s="17" t="s">
        <v>682</v>
      </c>
      <c r="P1463" s="7">
        <f t="shared" si="123"/>
        <v>8</v>
      </c>
      <c r="Q1463" s="7">
        <f t="shared" si="126"/>
        <v>2025</v>
      </c>
    </row>
    <row r="1464" spans="1:17" x14ac:dyDescent="0.25">
      <c r="A1464" s="7">
        <v>2542</v>
      </c>
      <c r="B1464" s="9" t="s">
        <v>540</v>
      </c>
      <c r="C1464" s="9" t="s">
        <v>540</v>
      </c>
      <c r="D1464" s="8">
        <v>45897</v>
      </c>
      <c r="E1464" s="7" t="s">
        <v>60</v>
      </c>
      <c r="F1464" s="7">
        <v>1</v>
      </c>
      <c r="G1464" s="7" t="s">
        <v>14</v>
      </c>
      <c r="H1464" s="7" t="s">
        <v>492</v>
      </c>
      <c r="J1464" s="7">
        <f t="shared" si="122"/>
        <v>1900</v>
      </c>
      <c r="K1464" s="7">
        <f t="shared" si="124"/>
        <v>1</v>
      </c>
      <c r="L1464" s="7">
        <f t="shared" si="125"/>
        <v>45897</v>
      </c>
      <c r="M1464" s="7" t="s">
        <v>502</v>
      </c>
      <c r="N1464" s="7" t="s">
        <v>579</v>
      </c>
      <c r="O1464" s="17" t="s">
        <v>682</v>
      </c>
      <c r="P1464" s="7">
        <f t="shared" si="123"/>
        <v>8</v>
      </c>
      <c r="Q1464" s="7">
        <f t="shared" si="126"/>
        <v>2025</v>
      </c>
    </row>
    <row r="1465" spans="1:17" x14ac:dyDescent="0.25">
      <c r="A1465" s="7">
        <v>2542</v>
      </c>
      <c r="B1465" s="9" t="s">
        <v>540</v>
      </c>
      <c r="C1465" s="9" t="s">
        <v>540</v>
      </c>
      <c r="D1465" s="8">
        <v>45897</v>
      </c>
      <c r="E1465" s="7" t="s">
        <v>60</v>
      </c>
      <c r="F1465" s="7">
        <v>1</v>
      </c>
      <c r="G1465" s="7" t="s">
        <v>14</v>
      </c>
      <c r="H1465" s="7" t="s">
        <v>492</v>
      </c>
      <c r="J1465" s="7">
        <f t="shared" si="122"/>
        <v>1900</v>
      </c>
      <c r="K1465" s="7">
        <f t="shared" si="124"/>
        <v>1</v>
      </c>
      <c r="L1465" s="7">
        <f t="shared" si="125"/>
        <v>45897</v>
      </c>
      <c r="M1465" s="7" t="s">
        <v>502</v>
      </c>
      <c r="N1465" s="7" t="s">
        <v>579</v>
      </c>
      <c r="O1465" s="17" t="s">
        <v>682</v>
      </c>
      <c r="P1465" s="7">
        <f t="shared" si="123"/>
        <v>8</v>
      </c>
      <c r="Q1465" s="7">
        <f t="shared" si="126"/>
        <v>2025</v>
      </c>
    </row>
    <row r="1466" spans="1:17" x14ac:dyDescent="0.25">
      <c r="A1466" s="7">
        <v>2542</v>
      </c>
      <c r="B1466" s="9" t="s">
        <v>540</v>
      </c>
      <c r="C1466" s="9" t="s">
        <v>540</v>
      </c>
      <c r="D1466" s="8">
        <v>45897</v>
      </c>
      <c r="E1466" s="7" t="s">
        <v>60</v>
      </c>
      <c r="F1466" s="7">
        <v>1</v>
      </c>
      <c r="G1466" s="7" t="s">
        <v>14</v>
      </c>
      <c r="H1466" s="7" t="s">
        <v>492</v>
      </c>
      <c r="J1466" s="7">
        <f t="shared" si="122"/>
        <v>1900</v>
      </c>
      <c r="K1466" s="7">
        <f t="shared" si="124"/>
        <v>1</v>
      </c>
      <c r="L1466" s="7">
        <f t="shared" si="125"/>
        <v>45897</v>
      </c>
      <c r="M1466" s="7" t="s">
        <v>502</v>
      </c>
      <c r="N1466" s="7" t="s">
        <v>579</v>
      </c>
      <c r="O1466" s="17" t="s">
        <v>682</v>
      </c>
      <c r="P1466" s="7">
        <f t="shared" si="123"/>
        <v>8</v>
      </c>
      <c r="Q1466" s="7">
        <f t="shared" si="126"/>
        <v>2025</v>
      </c>
    </row>
    <row r="1467" spans="1:17" x14ac:dyDescent="0.25">
      <c r="A1467" s="7">
        <v>2542</v>
      </c>
      <c r="B1467" s="9" t="s">
        <v>540</v>
      </c>
      <c r="C1467" s="9" t="s">
        <v>540</v>
      </c>
      <c r="D1467" s="8">
        <v>45897</v>
      </c>
      <c r="E1467" s="7" t="s">
        <v>60</v>
      </c>
      <c r="F1467" s="7">
        <v>1</v>
      </c>
      <c r="G1467" s="7" t="s">
        <v>14</v>
      </c>
      <c r="H1467" s="7" t="s">
        <v>492</v>
      </c>
      <c r="J1467" s="7">
        <f t="shared" si="122"/>
        <v>1900</v>
      </c>
      <c r="K1467" s="7">
        <f t="shared" si="124"/>
        <v>1</v>
      </c>
      <c r="L1467" s="7">
        <f t="shared" si="125"/>
        <v>45897</v>
      </c>
      <c r="M1467" s="7" t="s">
        <v>502</v>
      </c>
      <c r="N1467" s="7" t="s">
        <v>579</v>
      </c>
      <c r="O1467" s="17" t="s">
        <v>682</v>
      </c>
      <c r="P1467" s="7">
        <f t="shared" si="123"/>
        <v>8</v>
      </c>
      <c r="Q1467" s="7">
        <f t="shared" si="126"/>
        <v>2025</v>
      </c>
    </row>
    <row r="1468" spans="1:17" x14ac:dyDescent="0.25">
      <c r="A1468" s="7">
        <v>2542</v>
      </c>
      <c r="B1468" s="9" t="s">
        <v>540</v>
      </c>
      <c r="C1468" s="9" t="s">
        <v>540</v>
      </c>
      <c r="D1468" s="8">
        <v>45897</v>
      </c>
      <c r="E1468" s="7" t="s">
        <v>60</v>
      </c>
      <c r="F1468" s="7">
        <v>1</v>
      </c>
      <c r="G1468" s="7" t="s">
        <v>14</v>
      </c>
      <c r="H1468" s="7" t="s">
        <v>492</v>
      </c>
      <c r="J1468" s="7">
        <f t="shared" si="122"/>
        <v>1900</v>
      </c>
      <c r="K1468" s="7">
        <f t="shared" si="124"/>
        <v>1</v>
      </c>
      <c r="L1468" s="7">
        <f t="shared" si="125"/>
        <v>45897</v>
      </c>
      <c r="M1468" s="7" t="s">
        <v>502</v>
      </c>
      <c r="N1468" s="7" t="s">
        <v>579</v>
      </c>
      <c r="O1468" s="17" t="s">
        <v>682</v>
      </c>
      <c r="P1468" s="7">
        <f t="shared" si="123"/>
        <v>8</v>
      </c>
      <c r="Q1468" s="7">
        <f t="shared" si="126"/>
        <v>2025</v>
      </c>
    </row>
    <row r="1469" spans="1:17" x14ac:dyDescent="0.25">
      <c r="A1469" s="7">
        <v>2542</v>
      </c>
      <c r="B1469" s="9" t="s">
        <v>540</v>
      </c>
      <c r="C1469" s="9" t="s">
        <v>540</v>
      </c>
      <c r="D1469" s="8">
        <v>45897</v>
      </c>
      <c r="E1469" s="7" t="s">
        <v>60</v>
      </c>
      <c r="F1469" s="7">
        <v>1</v>
      </c>
      <c r="G1469" s="7" t="s">
        <v>14</v>
      </c>
      <c r="H1469" s="7" t="s">
        <v>492</v>
      </c>
      <c r="J1469" s="7">
        <f t="shared" si="122"/>
        <v>1900</v>
      </c>
      <c r="K1469" s="7">
        <f t="shared" si="124"/>
        <v>1</v>
      </c>
      <c r="L1469" s="7">
        <f t="shared" si="125"/>
        <v>45897</v>
      </c>
      <c r="M1469" s="7" t="s">
        <v>502</v>
      </c>
      <c r="N1469" s="7" t="s">
        <v>579</v>
      </c>
      <c r="O1469" s="17" t="s">
        <v>682</v>
      </c>
      <c r="P1469" s="7">
        <f t="shared" si="123"/>
        <v>8</v>
      </c>
      <c r="Q1469" s="7">
        <f t="shared" si="126"/>
        <v>2025</v>
      </c>
    </row>
    <row r="1470" spans="1:17" x14ac:dyDescent="0.25">
      <c r="A1470" s="7">
        <v>2542</v>
      </c>
      <c r="B1470" s="9" t="s">
        <v>540</v>
      </c>
      <c r="C1470" s="9" t="s">
        <v>540</v>
      </c>
      <c r="D1470" s="8">
        <v>45897</v>
      </c>
      <c r="E1470" s="7" t="s">
        <v>60</v>
      </c>
      <c r="F1470" s="7">
        <v>1</v>
      </c>
      <c r="G1470" s="7" t="s">
        <v>14</v>
      </c>
      <c r="H1470" s="7" t="s">
        <v>492</v>
      </c>
      <c r="J1470" s="7">
        <f t="shared" si="122"/>
        <v>1900</v>
      </c>
      <c r="K1470" s="7">
        <f t="shared" si="124"/>
        <v>1</v>
      </c>
      <c r="L1470" s="7">
        <f t="shared" si="125"/>
        <v>45897</v>
      </c>
      <c r="M1470" s="7" t="s">
        <v>502</v>
      </c>
      <c r="N1470" s="7" t="s">
        <v>579</v>
      </c>
      <c r="O1470" s="17" t="s">
        <v>682</v>
      </c>
      <c r="P1470" s="7">
        <f t="shared" si="123"/>
        <v>8</v>
      </c>
      <c r="Q1470" s="7">
        <f t="shared" si="126"/>
        <v>2025</v>
      </c>
    </row>
    <row r="1471" spans="1:17" x14ac:dyDescent="0.25">
      <c r="A1471" s="7">
        <v>2542</v>
      </c>
      <c r="B1471" s="9" t="s">
        <v>540</v>
      </c>
      <c r="C1471" s="9" t="s">
        <v>540</v>
      </c>
      <c r="D1471" s="8">
        <v>45897</v>
      </c>
      <c r="E1471" s="7" t="s">
        <v>60</v>
      </c>
      <c r="F1471" s="7">
        <v>1</v>
      </c>
      <c r="G1471" s="7" t="s">
        <v>14</v>
      </c>
      <c r="H1471" s="7" t="s">
        <v>492</v>
      </c>
      <c r="J1471" s="7">
        <f t="shared" si="122"/>
        <v>1900</v>
      </c>
      <c r="K1471" s="7">
        <f t="shared" si="124"/>
        <v>1</v>
      </c>
      <c r="L1471" s="7">
        <f t="shared" si="125"/>
        <v>45897</v>
      </c>
      <c r="M1471" s="7" t="s">
        <v>502</v>
      </c>
      <c r="N1471" s="7" t="s">
        <v>579</v>
      </c>
      <c r="O1471" s="17" t="s">
        <v>682</v>
      </c>
      <c r="P1471" s="7">
        <f t="shared" si="123"/>
        <v>8</v>
      </c>
      <c r="Q1471" s="7">
        <f t="shared" si="126"/>
        <v>2025</v>
      </c>
    </row>
    <row r="1472" spans="1:17" x14ac:dyDescent="0.25">
      <c r="A1472" s="7">
        <v>2542</v>
      </c>
      <c r="B1472" s="9" t="s">
        <v>540</v>
      </c>
      <c r="C1472" s="9" t="s">
        <v>540</v>
      </c>
      <c r="D1472" s="8">
        <v>45897</v>
      </c>
      <c r="E1472" s="7" t="s">
        <v>60</v>
      </c>
      <c r="F1472" s="7">
        <v>1</v>
      </c>
      <c r="G1472" s="7" t="s">
        <v>14</v>
      </c>
      <c r="H1472" s="7" t="s">
        <v>492</v>
      </c>
      <c r="J1472" s="7">
        <f t="shared" si="122"/>
        <v>1900</v>
      </c>
      <c r="K1472" s="7">
        <f t="shared" si="124"/>
        <v>1</v>
      </c>
      <c r="L1472" s="7">
        <f t="shared" si="125"/>
        <v>45897</v>
      </c>
      <c r="M1472" s="7" t="s">
        <v>502</v>
      </c>
      <c r="N1472" s="7" t="s">
        <v>579</v>
      </c>
      <c r="O1472" s="17" t="s">
        <v>682</v>
      </c>
      <c r="P1472" s="7">
        <f t="shared" si="123"/>
        <v>8</v>
      </c>
      <c r="Q1472" s="7">
        <f t="shared" si="126"/>
        <v>2025</v>
      </c>
    </row>
    <row r="1473" spans="1:17" x14ac:dyDescent="0.25">
      <c r="A1473" s="7">
        <v>2542</v>
      </c>
      <c r="B1473" s="9" t="s">
        <v>540</v>
      </c>
      <c r="C1473" s="9" t="s">
        <v>540</v>
      </c>
      <c r="D1473" s="8">
        <v>45897</v>
      </c>
      <c r="E1473" s="7" t="s">
        <v>60</v>
      </c>
      <c r="F1473" s="7">
        <v>1</v>
      </c>
      <c r="G1473" s="7" t="s">
        <v>14</v>
      </c>
      <c r="H1473" s="7" t="s">
        <v>492</v>
      </c>
      <c r="J1473" s="7">
        <f t="shared" si="122"/>
        <v>1900</v>
      </c>
      <c r="K1473" s="7">
        <f t="shared" si="124"/>
        <v>1</v>
      </c>
      <c r="L1473" s="7">
        <f t="shared" si="125"/>
        <v>45897</v>
      </c>
      <c r="M1473" s="7" t="s">
        <v>502</v>
      </c>
      <c r="N1473" s="7" t="s">
        <v>579</v>
      </c>
      <c r="O1473" s="17" t="s">
        <v>682</v>
      </c>
      <c r="P1473" s="7">
        <f t="shared" si="123"/>
        <v>8</v>
      </c>
      <c r="Q1473" s="7">
        <f t="shared" si="126"/>
        <v>2025</v>
      </c>
    </row>
    <row r="1474" spans="1:17" x14ac:dyDescent="0.25">
      <c r="A1474" s="7">
        <v>2542</v>
      </c>
      <c r="B1474" s="9" t="s">
        <v>540</v>
      </c>
      <c r="C1474" s="9" t="s">
        <v>540</v>
      </c>
      <c r="D1474" s="8">
        <v>45897</v>
      </c>
      <c r="E1474" s="7" t="s">
        <v>60</v>
      </c>
      <c r="F1474" s="7">
        <v>1</v>
      </c>
      <c r="G1474" s="7" t="s">
        <v>14</v>
      </c>
      <c r="H1474" s="7" t="s">
        <v>492</v>
      </c>
      <c r="J1474" s="7">
        <f t="shared" si="122"/>
        <v>1900</v>
      </c>
      <c r="K1474" s="7">
        <f t="shared" si="124"/>
        <v>1</v>
      </c>
      <c r="L1474" s="7">
        <f t="shared" si="125"/>
        <v>45897</v>
      </c>
      <c r="M1474" s="7" t="s">
        <v>502</v>
      </c>
      <c r="N1474" s="7" t="s">
        <v>579</v>
      </c>
      <c r="O1474" s="17" t="s">
        <v>682</v>
      </c>
      <c r="P1474" s="7">
        <f t="shared" si="123"/>
        <v>8</v>
      </c>
      <c r="Q1474" s="7">
        <f t="shared" si="126"/>
        <v>2025</v>
      </c>
    </row>
    <row r="1475" spans="1:17" x14ac:dyDescent="0.25">
      <c r="A1475" s="7">
        <v>2542</v>
      </c>
      <c r="B1475" s="9" t="s">
        <v>540</v>
      </c>
      <c r="C1475" s="9" t="s">
        <v>540</v>
      </c>
      <c r="D1475" s="8">
        <v>45897</v>
      </c>
      <c r="E1475" s="7" t="s">
        <v>60</v>
      </c>
      <c r="F1475" s="7">
        <v>1</v>
      </c>
      <c r="G1475" s="7" t="s">
        <v>14</v>
      </c>
      <c r="H1475" s="7" t="s">
        <v>492</v>
      </c>
      <c r="J1475" s="7">
        <f t="shared" si="122"/>
        <v>1900</v>
      </c>
      <c r="K1475" s="7">
        <f t="shared" si="124"/>
        <v>1</v>
      </c>
      <c r="L1475" s="7">
        <f t="shared" si="125"/>
        <v>45897</v>
      </c>
      <c r="M1475" s="7" t="s">
        <v>502</v>
      </c>
      <c r="N1475" s="7" t="s">
        <v>579</v>
      </c>
      <c r="O1475" s="17" t="s">
        <v>682</v>
      </c>
      <c r="P1475" s="7">
        <f t="shared" si="123"/>
        <v>8</v>
      </c>
      <c r="Q1475" s="7">
        <f t="shared" si="126"/>
        <v>2025</v>
      </c>
    </row>
    <row r="1476" spans="1:17" x14ac:dyDescent="0.25">
      <c r="A1476" s="7">
        <v>2542</v>
      </c>
      <c r="B1476" s="9" t="s">
        <v>540</v>
      </c>
      <c r="C1476" s="9" t="s">
        <v>540</v>
      </c>
      <c r="D1476" s="8">
        <v>45897</v>
      </c>
      <c r="E1476" s="7" t="s">
        <v>60</v>
      </c>
      <c r="F1476" s="7">
        <v>1</v>
      </c>
      <c r="G1476" s="7" t="s">
        <v>14</v>
      </c>
      <c r="H1476" s="7" t="s">
        <v>492</v>
      </c>
      <c r="J1476" s="7">
        <f t="shared" si="122"/>
        <v>1900</v>
      </c>
      <c r="K1476" s="7">
        <f t="shared" si="124"/>
        <v>1</v>
      </c>
      <c r="L1476" s="7">
        <f t="shared" si="125"/>
        <v>45897</v>
      </c>
      <c r="M1476" s="7" t="s">
        <v>502</v>
      </c>
      <c r="N1476" s="7" t="s">
        <v>579</v>
      </c>
      <c r="O1476" s="17" t="s">
        <v>682</v>
      </c>
      <c r="P1476" s="7">
        <f t="shared" si="123"/>
        <v>8</v>
      </c>
      <c r="Q1476" s="7">
        <f t="shared" si="126"/>
        <v>2025</v>
      </c>
    </row>
    <row r="1477" spans="1:17" x14ac:dyDescent="0.25">
      <c r="A1477" s="7">
        <v>2542</v>
      </c>
      <c r="B1477" s="9" t="s">
        <v>540</v>
      </c>
      <c r="C1477" s="9" t="s">
        <v>540</v>
      </c>
      <c r="D1477" s="8">
        <v>45897</v>
      </c>
      <c r="E1477" s="7" t="s">
        <v>60</v>
      </c>
      <c r="F1477" s="7">
        <v>1</v>
      </c>
      <c r="G1477" s="7" t="s">
        <v>14</v>
      </c>
      <c r="H1477" s="7" t="s">
        <v>492</v>
      </c>
      <c r="J1477" s="7">
        <f t="shared" si="122"/>
        <v>1900</v>
      </c>
      <c r="K1477" s="7">
        <f t="shared" si="124"/>
        <v>1</v>
      </c>
      <c r="L1477" s="7">
        <f t="shared" si="125"/>
        <v>45897</v>
      </c>
      <c r="M1477" s="7" t="s">
        <v>502</v>
      </c>
      <c r="N1477" s="7" t="s">
        <v>579</v>
      </c>
      <c r="O1477" s="17" t="s">
        <v>682</v>
      </c>
      <c r="P1477" s="7">
        <f t="shared" si="123"/>
        <v>8</v>
      </c>
      <c r="Q1477" s="7">
        <f t="shared" si="126"/>
        <v>2025</v>
      </c>
    </row>
    <row r="1478" spans="1:17" x14ac:dyDescent="0.25">
      <c r="A1478" s="7">
        <v>2542</v>
      </c>
      <c r="B1478" s="9" t="s">
        <v>540</v>
      </c>
      <c r="C1478" s="9" t="s">
        <v>540</v>
      </c>
      <c r="D1478" s="8">
        <v>45897</v>
      </c>
      <c r="E1478" s="7" t="s">
        <v>60</v>
      </c>
      <c r="F1478" s="7">
        <v>1</v>
      </c>
      <c r="G1478" s="7" t="s">
        <v>14</v>
      </c>
      <c r="H1478" s="7" t="s">
        <v>492</v>
      </c>
      <c r="J1478" s="7">
        <f t="shared" si="122"/>
        <v>1900</v>
      </c>
      <c r="K1478" s="7">
        <f t="shared" si="124"/>
        <v>1</v>
      </c>
      <c r="L1478" s="7">
        <f t="shared" si="125"/>
        <v>45897</v>
      </c>
      <c r="M1478" s="7" t="s">
        <v>502</v>
      </c>
      <c r="N1478" s="7" t="s">
        <v>579</v>
      </c>
      <c r="O1478" s="17" t="s">
        <v>682</v>
      </c>
      <c r="P1478" s="7">
        <f t="shared" si="123"/>
        <v>8</v>
      </c>
      <c r="Q1478" s="7">
        <f t="shared" si="126"/>
        <v>2025</v>
      </c>
    </row>
    <row r="1479" spans="1:17" x14ac:dyDescent="0.25">
      <c r="A1479" s="7">
        <v>2542</v>
      </c>
      <c r="B1479" s="9" t="s">
        <v>540</v>
      </c>
      <c r="C1479" s="9" t="s">
        <v>540</v>
      </c>
      <c r="D1479" s="8">
        <v>45897</v>
      </c>
      <c r="E1479" s="7" t="s">
        <v>60</v>
      </c>
      <c r="F1479" s="7">
        <v>1</v>
      </c>
      <c r="G1479" s="7" t="s">
        <v>14</v>
      </c>
      <c r="H1479" s="7" t="s">
        <v>492</v>
      </c>
      <c r="J1479" s="7">
        <f t="shared" si="122"/>
        <v>1900</v>
      </c>
      <c r="K1479" s="7">
        <f t="shared" si="124"/>
        <v>1</v>
      </c>
      <c r="L1479" s="7">
        <f t="shared" si="125"/>
        <v>45897</v>
      </c>
      <c r="M1479" s="7" t="s">
        <v>502</v>
      </c>
      <c r="N1479" s="7" t="s">
        <v>579</v>
      </c>
      <c r="O1479" s="17" t="s">
        <v>682</v>
      </c>
      <c r="P1479" s="7">
        <f t="shared" si="123"/>
        <v>8</v>
      </c>
      <c r="Q1479" s="7">
        <f t="shared" si="126"/>
        <v>2025</v>
      </c>
    </row>
    <row r="1480" spans="1:17" x14ac:dyDescent="0.25">
      <c r="A1480" s="7">
        <v>2542</v>
      </c>
      <c r="B1480" s="9" t="s">
        <v>540</v>
      </c>
      <c r="C1480" s="9" t="s">
        <v>540</v>
      </c>
      <c r="D1480" s="8">
        <v>45897</v>
      </c>
      <c r="E1480" s="7" t="s">
        <v>60</v>
      </c>
      <c r="F1480" s="7">
        <v>1</v>
      </c>
      <c r="G1480" s="7" t="s">
        <v>14</v>
      </c>
      <c r="H1480" s="7" t="s">
        <v>492</v>
      </c>
      <c r="J1480" s="7">
        <f t="shared" si="122"/>
        <v>1900</v>
      </c>
      <c r="K1480" s="7">
        <f t="shared" si="124"/>
        <v>1</v>
      </c>
      <c r="L1480" s="7">
        <f t="shared" si="125"/>
        <v>45897</v>
      </c>
      <c r="M1480" s="7" t="s">
        <v>502</v>
      </c>
      <c r="N1480" s="7" t="s">
        <v>579</v>
      </c>
      <c r="O1480" s="17" t="s">
        <v>682</v>
      </c>
      <c r="P1480" s="7">
        <f t="shared" si="123"/>
        <v>8</v>
      </c>
      <c r="Q1480" s="7">
        <f t="shared" si="126"/>
        <v>2025</v>
      </c>
    </row>
    <row r="1481" spans="1:17" x14ac:dyDescent="0.25">
      <c r="A1481" s="7">
        <v>2542</v>
      </c>
      <c r="B1481" s="9" t="s">
        <v>540</v>
      </c>
      <c r="C1481" s="9" t="s">
        <v>540</v>
      </c>
      <c r="D1481" s="8">
        <v>45897</v>
      </c>
      <c r="E1481" s="7" t="s">
        <v>60</v>
      </c>
      <c r="F1481" s="7">
        <v>1</v>
      </c>
      <c r="G1481" s="7" t="s">
        <v>14</v>
      </c>
      <c r="H1481" s="7" t="s">
        <v>492</v>
      </c>
      <c r="J1481" s="7">
        <f t="shared" si="122"/>
        <v>1900</v>
      </c>
      <c r="K1481" s="7">
        <f t="shared" si="124"/>
        <v>1</v>
      </c>
      <c r="L1481" s="7">
        <f t="shared" si="125"/>
        <v>45897</v>
      </c>
      <c r="M1481" s="7" t="s">
        <v>502</v>
      </c>
      <c r="N1481" s="7" t="s">
        <v>579</v>
      </c>
      <c r="O1481" s="17" t="s">
        <v>682</v>
      </c>
      <c r="P1481" s="7">
        <f t="shared" si="123"/>
        <v>8</v>
      </c>
      <c r="Q1481" s="7">
        <f t="shared" si="126"/>
        <v>2025</v>
      </c>
    </row>
    <row r="1482" spans="1:17" x14ac:dyDescent="0.25">
      <c r="A1482" s="7">
        <v>2542</v>
      </c>
      <c r="B1482" s="9" t="s">
        <v>540</v>
      </c>
      <c r="C1482" s="9" t="s">
        <v>540</v>
      </c>
      <c r="D1482" s="8">
        <v>45897</v>
      </c>
      <c r="E1482" s="7" t="s">
        <v>60</v>
      </c>
      <c r="F1482" s="7">
        <v>1</v>
      </c>
      <c r="G1482" s="7" t="s">
        <v>14</v>
      </c>
      <c r="H1482" s="7" t="s">
        <v>492</v>
      </c>
      <c r="J1482" s="7">
        <f t="shared" si="122"/>
        <v>1900</v>
      </c>
      <c r="K1482" s="7">
        <f t="shared" si="124"/>
        <v>1</v>
      </c>
      <c r="L1482" s="7">
        <f t="shared" si="125"/>
        <v>45897</v>
      </c>
      <c r="M1482" s="7" t="s">
        <v>502</v>
      </c>
      <c r="N1482" s="7" t="s">
        <v>579</v>
      </c>
      <c r="O1482" s="17" t="s">
        <v>682</v>
      </c>
      <c r="P1482" s="7">
        <f t="shared" si="123"/>
        <v>8</v>
      </c>
      <c r="Q1482" s="7">
        <f t="shared" si="126"/>
        <v>2025</v>
      </c>
    </row>
    <row r="1483" spans="1:17" x14ac:dyDescent="0.25">
      <c r="A1483" s="7">
        <v>2542</v>
      </c>
      <c r="B1483" s="9" t="s">
        <v>540</v>
      </c>
      <c r="C1483" s="9" t="s">
        <v>540</v>
      </c>
      <c r="D1483" s="8">
        <v>45897</v>
      </c>
      <c r="E1483" s="7" t="s">
        <v>60</v>
      </c>
      <c r="F1483" s="7">
        <v>1</v>
      </c>
      <c r="G1483" s="7" t="s">
        <v>14</v>
      </c>
      <c r="H1483" s="7" t="s">
        <v>492</v>
      </c>
      <c r="J1483" s="7">
        <f t="shared" si="122"/>
        <v>1900</v>
      </c>
      <c r="K1483" s="7">
        <f t="shared" si="124"/>
        <v>1</v>
      </c>
      <c r="L1483" s="7">
        <f t="shared" si="125"/>
        <v>45897</v>
      </c>
      <c r="M1483" s="7" t="s">
        <v>502</v>
      </c>
      <c r="N1483" s="7" t="s">
        <v>579</v>
      </c>
      <c r="O1483" s="17" t="s">
        <v>682</v>
      </c>
      <c r="P1483" s="7">
        <f t="shared" si="123"/>
        <v>8</v>
      </c>
      <c r="Q1483" s="7">
        <f t="shared" si="126"/>
        <v>2025</v>
      </c>
    </row>
    <row r="1484" spans="1:17" x14ac:dyDescent="0.25">
      <c r="A1484" s="7">
        <v>2542</v>
      </c>
      <c r="B1484" s="9" t="s">
        <v>540</v>
      </c>
      <c r="C1484" s="9" t="s">
        <v>540</v>
      </c>
      <c r="D1484" s="8">
        <v>45897</v>
      </c>
      <c r="E1484" s="7" t="s">
        <v>60</v>
      </c>
      <c r="F1484" s="7">
        <v>1</v>
      </c>
      <c r="G1484" s="7" t="s">
        <v>14</v>
      </c>
      <c r="H1484" s="7" t="s">
        <v>492</v>
      </c>
      <c r="J1484" s="7">
        <f t="shared" si="122"/>
        <v>1900</v>
      </c>
      <c r="K1484" s="7">
        <f t="shared" si="124"/>
        <v>1</v>
      </c>
      <c r="L1484" s="7">
        <f t="shared" si="125"/>
        <v>45897</v>
      </c>
      <c r="M1484" s="7" t="s">
        <v>502</v>
      </c>
      <c r="N1484" s="7" t="s">
        <v>579</v>
      </c>
      <c r="O1484" s="17" t="s">
        <v>682</v>
      </c>
      <c r="P1484" s="7">
        <f t="shared" si="123"/>
        <v>8</v>
      </c>
      <c r="Q1484" s="7">
        <f t="shared" si="126"/>
        <v>2025</v>
      </c>
    </row>
    <row r="1485" spans="1:17" x14ac:dyDescent="0.25">
      <c r="A1485" s="7">
        <v>2542</v>
      </c>
      <c r="B1485" s="9" t="s">
        <v>540</v>
      </c>
      <c r="C1485" s="9" t="s">
        <v>540</v>
      </c>
      <c r="D1485" s="8">
        <v>45897</v>
      </c>
      <c r="E1485" s="7" t="s">
        <v>60</v>
      </c>
      <c r="F1485" s="7">
        <v>1</v>
      </c>
      <c r="G1485" s="7" t="s">
        <v>14</v>
      </c>
      <c r="H1485" s="7" t="s">
        <v>492</v>
      </c>
      <c r="J1485" s="7">
        <f t="shared" si="122"/>
        <v>1900</v>
      </c>
      <c r="K1485" s="7">
        <f t="shared" si="124"/>
        <v>1</v>
      </c>
      <c r="L1485" s="7">
        <f t="shared" si="125"/>
        <v>45897</v>
      </c>
      <c r="M1485" s="7" t="s">
        <v>502</v>
      </c>
      <c r="N1485" s="7" t="s">
        <v>579</v>
      </c>
      <c r="O1485" s="17" t="s">
        <v>682</v>
      </c>
      <c r="P1485" s="7">
        <f t="shared" si="123"/>
        <v>8</v>
      </c>
      <c r="Q1485" s="7">
        <f t="shared" si="126"/>
        <v>2025</v>
      </c>
    </row>
    <row r="1486" spans="1:17" x14ac:dyDescent="0.25">
      <c r="A1486" s="7">
        <v>2542</v>
      </c>
      <c r="B1486" s="9" t="s">
        <v>540</v>
      </c>
      <c r="C1486" s="9" t="s">
        <v>540</v>
      </c>
      <c r="D1486" s="8">
        <v>45897</v>
      </c>
      <c r="E1486" s="7" t="s">
        <v>60</v>
      </c>
      <c r="F1486" s="7">
        <v>1</v>
      </c>
      <c r="G1486" s="7" t="s">
        <v>14</v>
      </c>
      <c r="H1486" s="7" t="s">
        <v>492</v>
      </c>
      <c r="J1486" s="7">
        <f t="shared" si="122"/>
        <v>1900</v>
      </c>
      <c r="K1486" s="7">
        <f t="shared" si="124"/>
        <v>1</v>
      </c>
      <c r="L1486" s="7">
        <f t="shared" si="125"/>
        <v>45897</v>
      </c>
      <c r="M1486" s="7" t="s">
        <v>502</v>
      </c>
      <c r="N1486" s="7" t="s">
        <v>579</v>
      </c>
      <c r="O1486" s="17" t="s">
        <v>682</v>
      </c>
      <c r="P1486" s="7">
        <f t="shared" si="123"/>
        <v>8</v>
      </c>
      <c r="Q1486" s="7">
        <f t="shared" si="126"/>
        <v>2025</v>
      </c>
    </row>
    <row r="1487" spans="1:17" x14ac:dyDescent="0.25">
      <c r="A1487" s="7">
        <v>2542</v>
      </c>
      <c r="B1487" s="9" t="s">
        <v>540</v>
      </c>
      <c r="C1487" s="9" t="s">
        <v>540</v>
      </c>
      <c r="D1487" s="8">
        <v>45897</v>
      </c>
      <c r="E1487" s="7" t="s">
        <v>60</v>
      </c>
      <c r="F1487" s="7">
        <v>1</v>
      </c>
      <c r="G1487" s="7" t="s">
        <v>14</v>
      </c>
      <c r="H1487" s="7" t="s">
        <v>492</v>
      </c>
      <c r="J1487" s="7">
        <f t="shared" si="122"/>
        <v>1900</v>
      </c>
      <c r="K1487" s="7">
        <f t="shared" si="124"/>
        <v>1</v>
      </c>
      <c r="L1487" s="7">
        <f t="shared" si="125"/>
        <v>45897</v>
      </c>
      <c r="M1487" s="7" t="s">
        <v>502</v>
      </c>
      <c r="N1487" s="7" t="s">
        <v>579</v>
      </c>
      <c r="O1487" s="17" t="s">
        <v>682</v>
      </c>
      <c r="P1487" s="7">
        <f t="shared" si="123"/>
        <v>8</v>
      </c>
      <c r="Q1487" s="7">
        <f t="shared" si="126"/>
        <v>2025</v>
      </c>
    </row>
    <row r="1488" spans="1:17" x14ac:dyDescent="0.25">
      <c r="A1488" s="7">
        <v>2542</v>
      </c>
      <c r="B1488" s="9" t="s">
        <v>540</v>
      </c>
      <c r="C1488" s="9" t="s">
        <v>540</v>
      </c>
      <c r="D1488" s="8">
        <v>45897</v>
      </c>
      <c r="E1488" s="7" t="s">
        <v>60</v>
      </c>
      <c r="F1488" s="7">
        <v>1</v>
      </c>
      <c r="G1488" s="7" t="s">
        <v>14</v>
      </c>
      <c r="H1488" s="7" t="s">
        <v>492</v>
      </c>
      <c r="J1488" s="7">
        <f t="shared" si="122"/>
        <v>1900</v>
      </c>
      <c r="K1488" s="7">
        <f t="shared" si="124"/>
        <v>1</v>
      </c>
      <c r="L1488" s="7">
        <f t="shared" si="125"/>
        <v>45897</v>
      </c>
      <c r="M1488" s="7" t="s">
        <v>502</v>
      </c>
      <c r="N1488" s="7" t="s">
        <v>579</v>
      </c>
      <c r="O1488" s="17" t="s">
        <v>682</v>
      </c>
      <c r="P1488" s="7">
        <f t="shared" si="123"/>
        <v>8</v>
      </c>
      <c r="Q1488" s="7">
        <f t="shared" si="126"/>
        <v>2025</v>
      </c>
    </row>
    <row r="1489" spans="1:17" x14ac:dyDescent="0.25">
      <c r="A1489" s="7">
        <v>2542</v>
      </c>
      <c r="B1489" s="9" t="s">
        <v>540</v>
      </c>
      <c r="C1489" s="9" t="s">
        <v>540</v>
      </c>
      <c r="D1489" s="8">
        <v>45897</v>
      </c>
      <c r="E1489" s="7" t="s">
        <v>60</v>
      </c>
      <c r="F1489" s="7">
        <v>1</v>
      </c>
      <c r="G1489" s="7" t="s">
        <v>14</v>
      </c>
      <c r="H1489" s="7" t="s">
        <v>492</v>
      </c>
      <c r="J1489" s="7">
        <f t="shared" ref="J1489:J1552" si="127">YEAR(I1489)</f>
        <v>1900</v>
      </c>
      <c r="K1489" s="7">
        <f t="shared" si="124"/>
        <v>1</v>
      </c>
      <c r="L1489" s="7">
        <f t="shared" si="125"/>
        <v>45897</v>
      </c>
      <c r="M1489" s="7" t="s">
        <v>502</v>
      </c>
      <c r="N1489" s="7" t="s">
        <v>579</v>
      </c>
      <c r="O1489" s="17" t="s">
        <v>682</v>
      </c>
      <c r="P1489" s="7">
        <f t="shared" si="123"/>
        <v>8</v>
      </c>
      <c r="Q1489" s="7">
        <f t="shared" si="126"/>
        <v>2025</v>
      </c>
    </row>
    <row r="1490" spans="1:17" x14ac:dyDescent="0.25">
      <c r="A1490" s="7">
        <v>2542</v>
      </c>
      <c r="B1490" s="9" t="s">
        <v>540</v>
      </c>
      <c r="C1490" s="9" t="s">
        <v>540</v>
      </c>
      <c r="D1490" s="8">
        <v>45897</v>
      </c>
      <c r="E1490" s="7" t="s">
        <v>60</v>
      </c>
      <c r="F1490" s="7">
        <v>1</v>
      </c>
      <c r="G1490" s="7" t="s">
        <v>14</v>
      </c>
      <c r="H1490" s="7" t="s">
        <v>492</v>
      </c>
      <c r="J1490" s="7">
        <f t="shared" si="127"/>
        <v>1900</v>
      </c>
      <c r="K1490" s="7">
        <f t="shared" si="124"/>
        <v>1</v>
      </c>
      <c r="L1490" s="7">
        <f t="shared" si="125"/>
        <v>45897</v>
      </c>
      <c r="M1490" s="7" t="s">
        <v>502</v>
      </c>
      <c r="N1490" s="7" t="s">
        <v>579</v>
      </c>
      <c r="O1490" s="17" t="s">
        <v>682</v>
      </c>
      <c r="P1490" s="7">
        <f t="shared" si="123"/>
        <v>8</v>
      </c>
      <c r="Q1490" s="7">
        <f t="shared" si="126"/>
        <v>2025</v>
      </c>
    </row>
    <row r="1491" spans="1:17" x14ac:dyDescent="0.25">
      <c r="A1491" s="7">
        <v>2542</v>
      </c>
      <c r="B1491" s="9" t="s">
        <v>540</v>
      </c>
      <c r="C1491" s="9" t="s">
        <v>540</v>
      </c>
      <c r="D1491" s="8">
        <v>45897</v>
      </c>
      <c r="E1491" s="7" t="s">
        <v>60</v>
      </c>
      <c r="F1491" s="7">
        <v>1</v>
      </c>
      <c r="G1491" s="7" t="s">
        <v>14</v>
      </c>
      <c r="H1491" s="7" t="s">
        <v>492</v>
      </c>
      <c r="J1491" s="7">
        <f t="shared" si="127"/>
        <v>1900</v>
      </c>
      <c r="K1491" s="7">
        <f t="shared" si="124"/>
        <v>1</v>
      </c>
      <c r="L1491" s="7">
        <f t="shared" si="125"/>
        <v>45897</v>
      </c>
      <c r="M1491" s="7" t="s">
        <v>502</v>
      </c>
      <c r="N1491" s="7" t="s">
        <v>579</v>
      </c>
      <c r="O1491" s="17" t="s">
        <v>682</v>
      </c>
      <c r="P1491" s="7">
        <f t="shared" si="123"/>
        <v>8</v>
      </c>
      <c r="Q1491" s="7">
        <f t="shared" si="126"/>
        <v>2025</v>
      </c>
    </row>
    <row r="1492" spans="1:17" x14ac:dyDescent="0.25">
      <c r="A1492" s="7">
        <v>2542</v>
      </c>
      <c r="B1492" s="9" t="s">
        <v>540</v>
      </c>
      <c r="C1492" s="9" t="s">
        <v>540</v>
      </c>
      <c r="D1492" s="8">
        <v>45897</v>
      </c>
      <c r="E1492" s="7" t="s">
        <v>60</v>
      </c>
      <c r="F1492" s="7">
        <v>1</v>
      </c>
      <c r="G1492" s="7" t="s">
        <v>14</v>
      </c>
      <c r="H1492" s="7" t="s">
        <v>492</v>
      </c>
      <c r="J1492" s="7">
        <f t="shared" si="127"/>
        <v>1900</v>
      </c>
      <c r="K1492" s="7">
        <f t="shared" si="124"/>
        <v>1</v>
      </c>
      <c r="L1492" s="7">
        <f t="shared" si="125"/>
        <v>45897</v>
      </c>
      <c r="M1492" s="7" t="s">
        <v>502</v>
      </c>
      <c r="N1492" s="7" t="s">
        <v>579</v>
      </c>
      <c r="O1492" s="17" t="s">
        <v>682</v>
      </c>
      <c r="P1492" s="7">
        <f t="shared" si="123"/>
        <v>8</v>
      </c>
      <c r="Q1492" s="7">
        <f t="shared" si="126"/>
        <v>2025</v>
      </c>
    </row>
    <row r="1493" spans="1:17" x14ac:dyDescent="0.25">
      <c r="A1493" s="7">
        <v>2542</v>
      </c>
      <c r="B1493" s="9" t="s">
        <v>540</v>
      </c>
      <c r="C1493" s="9" t="s">
        <v>540</v>
      </c>
      <c r="D1493" s="8">
        <v>45897</v>
      </c>
      <c r="E1493" s="7" t="s">
        <v>60</v>
      </c>
      <c r="F1493" s="7">
        <v>1</v>
      </c>
      <c r="G1493" s="7" t="s">
        <v>14</v>
      </c>
      <c r="H1493" s="7" t="s">
        <v>492</v>
      </c>
      <c r="J1493" s="7">
        <f t="shared" si="127"/>
        <v>1900</v>
      </c>
      <c r="K1493" s="7">
        <f t="shared" si="124"/>
        <v>1</v>
      </c>
      <c r="L1493" s="7">
        <f t="shared" si="125"/>
        <v>45897</v>
      </c>
      <c r="M1493" s="7" t="s">
        <v>502</v>
      </c>
      <c r="N1493" s="7" t="s">
        <v>579</v>
      </c>
      <c r="O1493" s="17" t="s">
        <v>682</v>
      </c>
      <c r="P1493" s="7">
        <f t="shared" si="123"/>
        <v>8</v>
      </c>
      <c r="Q1493" s="7">
        <f t="shared" si="126"/>
        <v>2025</v>
      </c>
    </row>
    <row r="1494" spans="1:17" x14ac:dyDescent="0.25">
      <c r="A1494" s="7">
        <v>2542</v>
      </c>
      <c r="B1494" s="9" t="s">
        <v>540</v>
      </c>
      <c r="C1494" s="9" t="s">
        <v>540</v>
      </c>
      <c r="D1494" s="8">
        <v>45897</v>
      </c>
      <c r="E1494" s="7" t="s">
        <v>60</v>
      </c>
      <c r="F1494" s="7">
        <v>1</v>
      </c>
      <c r="G1494" s="7" t="s">
        <v>14</v>
      </c>
      <c r="H1494" s="7" t="s">
        <v>492</v>
      </c>
      <c r="J1494" s="7">
        <f t="shared" si="127"/>
        <v>1900</v>
      </c>
      <c r="K1494" s="7">
        <f t="shared" si="124"/>
        <v>1</v>
      </c>
      <c r="L1494" s="7">
        <f t="shared" si="125"/>
        <v>45897</v>
      </c>
      <c r="M1494" s="7" t="s">
        <v>502</v>
      </c>
      <c r="N1494" s="7" t="s">
        <v>579</v>
      </c>
      <c r="O1494" s="17" t="s">
        <v>682</v>
      </c>
      <c r="P1494" s="7">
        <f t="shared" si="123"/>
        <v>8</v>
      </c>
      <c r="Q1494" s="7">
        <f t="shared" si="126"/>
        <v>2025</v>
      </c>
    </row>
    <row r="1495" spans="1:17" x14ac:dyDescent="0.25">
      <c r="A1495" s="7">
        <v>2542</v>
      </c>
      <c r="B1495" s="9" t="s">
        <v>540</v>
      </c>
      <c r="C1495" s="9" t="s">
        <v>540</v>
      </c>
      <c r="D1495" s="8">
        <v>45897</v>
      </c>
      <c r="E1495" s="7" t="s">
        <v>60</v>
      </c>
      <c r="F1495" s="7">
        <v>1</v>
      </c>
      <c r="G1495" s="7" t="s">
        <v>14</v>
      </c>
      <c r="H1495" s="7" t="s">
        <v>492</v>
      </c>
      <c r="J1495" s="7">
        <f t="shared" si="127"/>
        <v>1900</v>
      </c>
      <c r="K1495" s="7">
        <f t="shared" si="124"/>
        <v>1</v>
      </c>
      <c r="L1495" s="7">
        <f t="shared" si="125"/>
        <v>45897</v>
      </c>
      <c r="M1495" s="7" t="s">
        <v>502</v>
      </c>
      <c r="N1495" s="7" t="s">
        <v>579</v>
      </c>
      <c r="O1495" s="17" t="s">
        <v>682</v>
      </c>
      <c r="P1495" s="7">
        <f t="shared" si="123"/>
        <v>8</v>
      </c>
      <c r="Q1495" s="7">
        <f t="shared" si="126"/>
        <v>2025</v>
      </c>
    </row>
    <row r="1496" spans="1:17" x14ac:dyDescent="0.25">
      <c r="A1496" s="7">
        <v>2542</v>
      </c>
      <c r="B1496" s="9" t="s">
        <v>540</v>
      </c>
      <c r="C1496" s="9" t="s">
        <v>540</v>
      </c>
      <c r="D1496" s="8">
        <v>45897</v>
      </c>
      <c r="E1496" s="7" t="s">
        <v>60</v>
      </c>
      <c r="F1496" s="7">
        <v>1</v>
      </c>
      <c r="G1496" s="7" t="s">
        <v>14</v>
      </c>
      <c r="H1496" s="7" t="s">
        <v>492</v>
      </c>
      <c r="J1496" s="7">
        <f t="shared" si="127"/>
        <v>1900</v>
      </c>
      <c r="K1496" s="7">
        <f t="shared" si="124"/>
        <v>1</v>
      </c>
      <c r="L1496" s="7">
        <f t="shared" si="125"/>
        <v>45897</v>
      </c>
      <c r="M1496" s="7" t="s">
        <v>502</v>
      </c>
      <c r="N1496" s="7" t="s">
        <v>579</v>
      </c>
      <c r="O1496" s="17" t="s">
        <v>682</v>
      </c>
      <c r="P1496" s="7">
        <f t="shared" si="123"/>
        <v>8</v>
      </c>
      <c r="Q1496" s="7">
        <f t="shared" si="126"/>
        <v>2025</v>
      </c>
    </row>
    <row r="1497" spans="1:17" x14ac:dyDescent="0.25">
      <c r="A1497" s="7">
        <v>2542</v>
      </c>
      <c r="B1497" s="9" t="s">
        <v>540</v>
      </c>
      <c r="C1497" s="9" t="s">
        <v>540</v>
      </c>
      <c r="D1497" s="8">
        <v>45897</v>
      </c>
      <c r="E1497" s="7" t="s">
        <v>60</v>
      </c>
      <c r="F1497" s="7">
        <v>1</v>
      </c>
      <c r="G1497" s="7" t="s">
        <v>14</v>
      </c>
      <c r="H1497" s="7" t="s">
        <v>492</v>
      </c>
      <c r="J1497" s="7">
        <f t="shared" si="127"/>
        <v>1900</v>
      </c>
      <c r="K1497" s="7">
        <f t="shared" si="124"/>
        <v>1</v>
      </c>
      <c r="L1497" s="7">
        <f t="shared" si="125"/>
        <v>45897</v>
      </c>
      <c r="M1497" s="7" t="s">
        <v>502</v>
      </c>
      <c r="N1497" s="7" t="s">
        <v>579</v>
      </c>
      <c r="O1497" s="17" t="s">
        <v>682</v>
      </c>
      <c r="P1497" s="7">
        <f t="shared" si="123"/>
        <v>8</v>
      </c>
      <c r="Q1497" s="7">
        <f t="shared" si="126"/>
        <v>2025</v>
      </c>
    </row>
    <row r="1498" spans="1:17" x14ac:dyDescent="0.25">
      <c r="A1498" s="7">
        <v>2542</v>
      </c>
      <c r="B1498" s="9" t="s">
        <v>540</v>
      </c>
      <c r="C1498" s="9" t="s">
        <v>540</v>
      </c>
      <c r="D1498" s="8">
        <v>45897</v>
      </c>
      <c r="E1498" s="7" t="s">
        <v>60</v>
      </c>
      <c r="F1498" s="7">
        <v>1</v>
      </c>
      <c r="G1498" s="7" t="s">
        <v>14</v>
      </c>
      <c r="H1498" s="7" t="s">
        <v>492</v>
      </c>
      <c r="J1498" s="7">
        <f t="shared" si="127"/>
        <v>1900</v>
      </c>
      <c r="K1498" s="7">
        <f t="shared" si="124"/>
        <v>1</v>
      </c>
      <c r="L1498" s="7">
        <f t="shared" si="125"/>
        <v>45897</v>
      </c>
      <c r="M1498" s="7" t="s">
        <v>502</v>
      </c>
      <c r="N1498" s="7" t="s">
        <v>579</v>
      </c>
      <c r="O1498" s="17" t="s">
        <v>682</v>
      </c>
      <c r="P1498" s="7">
        <f t="shared" ref="P1498:P1561" si="128">MONTH(D1498)</f>
        <v>8</v>
      </c>
      <c r="Q1498" s="7">
        <f t="shared" si="126"/>
        <v>2025</v>
      </c>
    </row>
    <row r="1499" spans="1:17" x14ac:dyDescent="0.25">
      <c r="A1499" s="7">
        <v>2542</v>
      </c>
      <c r="B1499" s="9" t="s">
        <v>540</v>
      </c>
      <c r="C1499" s="9" t="s">
        <v>540</v>
      </c>
      <c r="D1499" s="8">
        <v>45897</v>
      </c>
      <c r="E1499" s="7" t="s">
        <v>60</v>
      </c>
      <c r="F1499" s="7">
        <v>1</v>
      </c>
      <c r="G1499" s="7" t="s">
        <v>14</v>
      </c>
      <c r="H1499" s="7" t="s">
        <v>492</v>
      </c>
      <c r="J1499" s="7">
        <f t="shared" si="127"/>
        <v>1900</v>
      </c>
      <c r="K1499" s="7">
        <f t="shared" si="124"/>
        <v>1</v>
      </c>
      <c r="L1499" s="7">
        <f t="shared" si="125"/>
        <v>45897</v>
      </c>
      <c r="M1499" s="7" t="s">
        <v>502</v>
      </c>
      <c r="N1499" s="7" t="s">
        <v>579</v>
      </c>
      <c r="O1499" s="17" t="s">
        <v>682</v>
      </c>
      <c r="P1499" s="7">
        <f t="shared" si="128"/>
        <v>8</v>
      </c>
      <c r="Q1499" s="7">
        <f t="shared" si="126"/>
        <v>2025</v>
      </c>
    </row>
    <row r="1500" spans="1:17" x14ac:dyDescent="0.25">
      <c r="A1500" s="7">
        <v>2542</v>
      </c>
      <c r="B1500" s="9" t="s">
        <v>540</v>
      </c>
      <c r="C1500" s="9" t="s">
        <v>540</v>
      </c>
      <c r="D1500" s="8">
        <v>45897</v>
      </c>
      <c r="E1500" s="7" t="s">
        <v>60</v>
      </c>
      <c r="F1500" s="7">
        <v>1</v>
      </c>
      <c r="G1500" s="7" t="s">
        <v>14</v>
      </c>
      <c r="H1500" s="7" t="s">
        <v>492</v>
      </c>
      <c r="J1500" s="7">
        <f t="shared" si="127"/>
        <v>1900</v>
      </c>
      <c r="K1500" s="7">
        <f t="shared" si="124"/>
        <v>1</v>
      </c>
      <c r="L1500" s="7">
        <f t="shared" si="125"/>
        <v>45897</v>
      </c>
      <c r="M1500" s="7" t="s">
        <v>502</v>
      </c>
      <c r="N1500" s="7" t="s">
        <v>579</v>
      </c>
      <c r="O1500" s="17" t="s">
        <v>682</v>
      </c>
      <c r="P1500" s="7">
        <f t="shared" si="128"/>
        <v>8</v>
      </c>
      <c r="Q1500" s="7">
        <f t="shared" si="126"/>
        <v>2025</v>
      </c>
    </row>
    <row r="1501" spans="1:17" x14ac:dyDescent="0.25">
      <c r="A1501" s="7">
        <v>2542</v>
      </c>
      <c r="B1501" s="9" t="s">
        <v>540</v>
      </c>
      <c r="C1501" s="9" t="s">
        <v>540</v>
      </c>
      <c r="D1501" s="8">
        <v>45897</v>
      </c>
      <c r="E1501" s="7" t="s">
        <v>60</v>
      </c>
      <c r="F1501" s="7">
        <v>1</v>
      </c>
      <c r="G1501" s="7" t="s">
        <v>14</v>
      </c>
      <c r="H1501" s="7" t="s">
        <v>492</v>
      </c>
      <c r="J1501" s="7">
        <f t="shared" si="127"/>
        <v>1900</v>
      </c>
      <c r="K1501" s="7">
        <f t="shared" si="124"/>
        <v>1</v>
      </c>
      <c r="L1501" s="7">
        <f t="shared" si="125"/>
        <v>45897</v>
      </c>
      <c r="M1501" s="7" t="s">
        <v>502</v>
      </c>
      <c r="N1501" s="7" t="s">
        <v>579</v>
      </c>
      <c r="O1501" s="17" t="s">
        <v>682</v>
      </c>
      <c r="P1501" s="7">
        <f t="shared" si="128"/>
        <v>8</v>
      </c>
      <c r="Q1501" s="7">
        <f t="shared" si="126"/>
        <v>2025</v>
      </c>
    </row>
    <row r="1502" spans="1:17" x14ac:dyDescent="0.25">
      <c r="A1502" s="7">
        <v>2542</v>
      </c>
      <c r="B1502" s="9" t="s">
        <v>540</v>
      </c>
      <c r="C1502" s="9" t="s">
        <v>540</v>
      </c>
      <c r="D1502" s="8">
        <v>45897</v>
      </c>
      <c r="E1502" s="7" t="s">
        <v>60</v>
      </c>
      <c r="F1502" s="7">
        <v>1</v>
      </c>
      <c r="G1502" s="7" t="s">
        <v>14</v>
      </c>
      <c r="H1502" s="7" t="s">
        <v>492</v>
      </c>
      <c r="J1502" s="7">
        <f t="shared" si="127"/>
        <v>1900</v>
      </c>
      <c r="K1502" s="7">
        <f t="shared" si="124"/>
        <v>1</v>
      </c>
      <c r="L1502" s="7">
        <f t="shared" si="125"/>
        <v>45897</v>
      </c>
      <c r="M1502" s="7" t="s">
        <v>502</v>
      </c>
      <c r="N1502" s="7" t="s">
        <v>579</v>
      </c>
      <c r="O1502" s="17" t="s">
        <v>682</v>
      </c>
      <c r="P1502" s="7">
        <f t="shared" si="128"/>
        <v>8</v>
      </c>
      <c r="Q1502" s="7">
        <f t="shared" si="126"/>
        <v>2025</v>
      </c>
    </row>
    <row r="1503" spans="1:17" x14ac:dyDescent="0.25">
      <c r="A1503" s="7">
        <v>2542</v>
      </c>
      <c r="B1503" s="9" t="s">
        <v>540</v>
      </c>
      <c r="C1503" s="9" t="s">
        <v>540</v>
      </c>
      <c r="D1503" s="8">
        <v>45897</v>
      </c>
      <c r="E1503" s="7" t="s">
        <v>60</v>
      </c>
      <c r="F1503" s="7">
        <v>1</v>
      </c>
      <c r="G1503" s="7" t="s">
        <v>14</v>
      </c>
      <c r="H1503" s="7" t="s">
        <v>492</v>
      </c>
      <c r="J1503" s="7">
        <f t="shared" si="127"/>
        <v>1900</v>
      </c>
      <c r="K1503" s="7">
        <f t="shared" si="124"/>
        <v>1</v>
      </c>
      <c r="L1503" s="7">
        <f t="shared" si="125"/>
        <v>45897</v>
      </c>
      <c r="M1503" s="7" t="s">
        <v>502</v>
      </c>
      <c r="N1503" s="7" t="s">
        <v>579</v>
      </c>
      <c r="O1503" s="17" t="s">
        <v>682</v>
      </c>
      <c r="P1503" s="7">
        <f t="shared" si="128"/>
        <v>8</v>
      </c>
      <c r="Q1503" s="7">
        <f t="shared" si="126"/>
        <v>2025</v>
      </c>
    </row>
    <row r="1504" spans="1:17" x14ac:dyDescent="0.25">
      <c r="A1504" s="7">
        <v>2542</v>
      </c>
      <c r="B1504" s="9" t="s">
        <v>540</v>
      </c>
      <c r="C1504" s="9" t="s">
        <v>540</v>
      </c>
      <c r="D1504" s="8">
        <v>45897</v>
      </c>
      <c r="E1504" s="7" t="s">
        <v>60</v>
      </c>
      <c r="F1504" s="7">
        <v>1</v>
      </c>
      <c r="G1504" s="7" t="s">
        <v>14</v>
      </c>
      <c r="H1504" s="7" t="s">
        <v>492</v>
      </c>
      <c r="J1504" s="7">
        <f t="shared" si="127"/>
        <v>1900</v>
      </c>
      <c r="K1504" s="7">
        <f t="shared" si="124"/>
        <v>1</v>
      </c>
      <c r="L1504" s="7">
        <f t="shared" si="125"/>
        <v>45897</v>
      </c>
      <c r="M1504" s="7" t="s">
        <v>502</v>
      </c>
      <c r="N1504" s="7" t="s">
        <v>579</v>
      </c>
      <c r="O1504" s="17" t="s">
        <v>682</v>
      </c>
      <c r="P1504" s="7">
        <f t="shared" si="128"/>
        <v>8</v>
      </c>
      <c r="Q1504" s="7">
        <f t="shared" si="126"/>
        <v>2025</v>
      </c>
    </row>
    <row r="1505" spans="1:17" x14ac:dyDescent="0.25">
      <c r="A1505" s="7">
        <v>2542</v>
      </c>
      <c r="B1505" s="9" t="s">
        <v>540</v>
      </c>
      <c r="C1505" s="9" t="s">
        <v>540</v>
      </c>
      <c r="D1505" s="8">
        <v>45897</v>
      </c>
      <c r="E1505" s="7" t="s">
        <v>60</v>
      </c>
      <c r="F1505" s="7">
        <v>1</v>
      </c>
      <c r="G1505" s="7" t="s">
        <v>14</v>
      </c>
      <c r="H1505" s="7" t="s">
        <v>492</v>
      </c>
      <c r="J1505" s="7">
        <f t="shared" si="127"/>
        <v>1900</v>
      </c>
      <c r="K1505" s="7">
        <f t="shared" si="124"/>
        <v>1</v>
      </c>
      <c r="L1505" s="7">
        <f t="shared" si="125"/>
        <v>45897</v>
      </c>
      <c r="M1505" s="7" t="s">
        <v>502</v>
      </c>
      <c r="N1505" s="7" t="s">
        <v>579</v>
      </c>
      <c r="O1505" s="17" t="s">
        <v>682</v>
      </c>
      <c r="P1505" s="7">
        <f t="shared" si="128"/>
        <v>8</v>
      </c>
      <c r="Q1505" s="7">
        <f t="shared" si="126"/>
        <v>2025</v>
      </c>
    </row>
    <row r="1506" spans="1:17" x14ac:dyDescent="0.25">
      <c r="A1506" s="7">
        <v>2542</v>
      </c>
      <c r="B1506" s="9" t="s">
        <v>540</v>
      </c>
      <c r="C1506" s="9" t="s">
        <v>540</v>
      </c>
      <c r="D1506" s="8">
        <v>45897</v>
      </c>
      <c r="E1506" s="7" t="s">
        <v>60</v>
      </c>
      <c r="F1506" s="7">
        <v>1</v>
      </c>
      <c r="G1506" s="7" t="s">
        <v>14</v>
      </c>
      <c r="H1506" s="7" t="s">
        <v>492</v>
      </c>
      <c r="J1506" s="7">
        <f t="shared" si="127"/>
        <v>1900</v>
      </c>
      <c r="K1506" s="7">
        <f t="shared" si="124"/>
        <v>1</v>
      </c>
      <c r="L1506" s="7">
        <f t="shared" si="125"/>
        <v>45897</v>
      </c>
      <c r="M1506" s="7" t="s">
        <v>502</v>
      </c>
      <c r="N1506" s="7" t="s">
        <v>579</v>
      </c>
      <c r="O1506" s="17" t="s">
        <v>682</v>
      </c>
      <c r="P1506" s="7">
        <f t="shared" si="128"/>
        <v>8</v>
      </c>
      <c r="Q1506" s="7">
        <f t="shared" si="126"/>
        <v>2025</v>
      </c>
    </row>
    <row r="1507" spans="1:17" x14ac:dyDescent="0.25">
      <c r="A1507" s="7">
        <v>2542</v>
      </c>
      <c r="B1507" s="9" t="s">
        <v>540</v>
      </c>
      <c r="C1507" s="9" t="s">
        <v>540</v>
      </c>
      <c r="D1507" s="8">
        <v>45897</v>
      </c>
      <c r="E1507" s="7" t="s">
        <v>60</v>
      </c>
      <c r="F1507" s="7">
        <v>1</v>
      </c>
      <c r="G1507" s="7" t="s">
        <v>14</v>
      </c>
      <c r="H1507" s="7" t="s">
        <v>492</v>
      </c>
      <c r="J1507" s="7">
        <f t="shared" si="127"/>
        <v>1900</v>
      </c>
      <c r="K1507" s="7">
        <f t="shared" si="124"/>
        <v>1</v>
      </c>
      <c r="L1507" s="7">
        <f t="shared" si="125"/>
        <v>45897</v>
      </c>
      <c r="M1507" s="7" t="s">
        <v>502</v>
      </c>
      <c r="N1507" s="7" t="s">
        <v>579</v>
      </c>
      <c r="O1507" s="17" t="s">
        <v>682</v>
      </c>
      <c r="P1507" s="7">
        <f t="shared" si="128"/>
        <v>8</v>
      </c>
      <c r="Q1507" s="7">
        <f t="shared" si="126"/>
        <v>2025</v>
      </c>
    </row>
    <row r="1508" spans="1:17" x14ac:dyDescent="0.25">
      <c r="A1508" s="7">
        <v>2542</v>
      </c>
      <c r="B1508" s="9" t="s">
        <v>540</v>
      </c>
      <c r="C1508" s="9" t="s">
        <v>540</v>
      </c>
      <c r="D1508" s="8">
        <v>45897</v>
      </c>
      <c r="E1508" s="7" t="s">
        <v>60</v>
      </c>
      <c r="F1508" s="7">
        <v>1</v>
      </c>
      <c r="G1508" s="7" t="s">
        <v>14</v>
      </c>
      <c r="H1508" s="7" t="s">
        <v>492</v>
      </c>
      <c r="J1508" s="7">
        <f t="shared" si="127"/>
        <v>1900</v>
      </c>
      <c r="K1508" s="7">
        <f t="shared" si="124"/>
        <v>1</v>
      </c>
      <c r="L1508" s="7">
        <f t="shared" si="125"/>
        <v>45897</v>
      </c>
      <c r="M1508" s="7" t="s">
        <v>502</v>
      </c>
      <c r="N1508" s="7" t="s">
        <v>579</v>
      </c>
      <c r="O1508" s="17" t="s">
        <v>682</v>
      </c>
      <c r="P1508" s="7">
        <f t="shared" si="128"/>
        <v>8</v>
      </c>
      <c r="Q1508" s="7">
        <f t="shared" si="126"/>
        <v>2025</v>
      </c>
    </row>
    <row r="1509" spans="1:17" x14ac:dyDescent="0.25">
      <c r="A1509" s="7">
        <v>2542</v>
      </c>
      <c r="B1509" s="9" t="s">
        <v>540</v>
      </c>
      <c r="C1509" s="9" t="s">
        <v>540</v>
      </c>
      <c r="D1509" s="8">
        <v>45897</v>
      </c>
      <c r="E1509" s="7" t="s">
        <v>60</v>
      </c>
      <c r="F1509" s="7">
        <v>1</v>
      </c>
      <c r="G1509" s="7" t="s">
        <v>14</v>
      </c>
      <c r="H1509" s="7" t="s">
        <v>492</v>
      </c>
      <c r="J1509" s="7">
        <f t="shared" si="127"/>
        <v>1900</v>
      </c>
      <c r="K1509" s="7">
        <f t="shared" si="124"/>
        <v>1</v>
      </c>
      <c r="L1509" s="7">
        <f t="shared" si="125"/>
        <v>45897</v>
      </c>
      <c r="M1509" s="7" t="s">
        <v>502</v>
      </c>
      <c r="N1509" s="7" t="s">
        <v>579</v>
      </c>
      <c r="O1509" s="17" t="s">
        <v>682</v>
      </c>
      <c r="P1509" s="7">
        <f t="shared" si="128"/>
        <v>8</v>
      </c>
      <c r="Q1509" s="7">
        <f t="shared" si="126"/>
        <v>2025</v>
      </c>
    </row>
    <row r="1510" spans="1:17" x14ac:dyDescent="0.25">
      <c r="A1510" s="7">
        <v>2542</v>
      </c>
      <c r="B1510" s="9" t="s">
        <v>540</v>
      </c>
      <c r="C1510" s="9" t="s">
        <v>540</v>
      </c>
      <c r="D1510" s="8">
        <v>45897</v>
      </c>
      <c r="E1510" s="7" t="s">
        <v>60</v>
      </c>
      <c r="F1510" s="7">
        <v>1</v>
      </c>
      <c r="G1510" s="7" t="s">
        <v>14</v>
      </c>
      <c r="H1510" s="7" t="s">
        <v>492</v>
      </c>
      <c r="J1510" s="7">
        <f t="shared" si="127"/>
        <v>1900</v>
      </c>
      <c r="K1510" s="7">
        <f t="shared" si="124"/>
        <v>1</v>
      </c>
      <c r="L1510" s="7">
        <f t="shared" si="125"/>
        <v>45897</v>
      </c>
      <c r="M1510" s="7" t="s">
        <v>502</v>
      </c>
      <c r="N1510" s="7" t="s">
        <v>579</v>
      </c>
      <c r="O1510" s="17" t="s">
        <v>682</v>
      </c>
      <c r="P1510" s="7">
        <f t="shared" si="128"/>
        <v>8</v>
      </c>
      <c r="Q1510" s="7">
        <f t="shared" si="126"/>
        <v>2025</v>
      </c>
    </row>
    <row r="1511" spans="1:17" x14ac:dyDescent="0.25">
      <c r="A1511" s="7">
        <v>2542</v>
      </c>
      <c r="B1511" s="9" t="s">
        <v>540</v>
      </c>
      <c r="C1511" s="9" t="s">
        <v>540</v>
      </c>
      <c r="D1511" s="8">
        <v>45897</v>
      </c>
      <c r="E1511" s="7" t="s">
        <v>60</v>
      </c>
      <c r="F1511" s="7">
        <v>1</v>
      </c>
      <c r="G1511" s="7" t="s">
        <v>14</v>
      </c>
      <c r="H1511" s="7" t="s">
        <v>492</v>
      </c>
      <c r="J1511" s="7">
        <f t="shared" si="127"/>
        <v>1900</v>
      </c>
      <c r="K1511" s="7">
        <f t="shared" si="124"/>
        <v>1</v>
      </c>
      <c r="L1511" s="7">
        <f t="shared" si="125"/>
        <v>45897</v>
      </c>
      <c r="M1511" s="7" t="s">
        <v>502</v>
      </c>
      <c r="N1511" s="7" t="s">
        <v>579</v>
      </c>
      <c r="O1511" s="17" t="s">
        <v>682</v>
      </c>
      <c r="P1511" s="7">
        <f t="shared" si="128"/>
        <v>8</v>
      </c>
      <c r="Q1511" s="7">
        <f t="shared" si="126"/>
        <v>2025</v>
      </c>
    </row>
    <row r="1512" spans="1:17" x14ac:dyDescent="0.25">
      <c r="A1512" s="7">
        <v>2542</v>
      </c>
      <c r="B1512" s="9" t="s">
        <v>540</v>
      </c>
      <c r="C1512" s="9" t="s">
        <v>540</v>
      </c>
      <c r="D1512" s="8">
        <v>45897</v>
      </c>
      <c r="E1512" s="7" t="s">
        <v>60</v>
      </c>
      <c r="F1512" s="7">
        <v>1</v>
      </c>
      <c r="G1512" s="7" t="s">
        <v>14</v>
      </c>
      <c r="H1512" s="7" t="s">
        <v>492</v>
      </c>
      <c r="J1512" s="7">
        <f t="shared" si="127"/>
        <v>1900</v>
      </c>
      <c r="K1512" s="7">
        <f t="shared" si="124"/>
        <v>1</v>
      </c>
      <c r="L1512" s="7">
        <f t="shared" si="125"/>
        <v>45897</v>
      </c>
      <c r="M1512" s="7" t="s">
        <v>502</v>
      </c>
      <c r="N1512" s="7" t="s">
        <v>579</v>
      </c>
      <c r="O1512" s="17" t="s">
        <v>682</v>
      </c>
      <c r="P1512" s="7">
        <f t="shared" si="128"/>
        <v>8</v>
      </c>
      <c r="Q1512" s="7">
        <f t="shared" si="126"/>
        <v>2025</v>
      </c>
    </row>
    <row r="1513" spans="1:17" x14ac:dyDescent="0.25">
      <c r="A1513" s="7">
        <v>2542</v>
      </c>
      <c r="B1513" s="9" t="s">
        <v>540</v>
      </c>
      <c r="C1513" s="9" t="s">
        <v>540</v>
      </c>
      <c r="D1513" s="8">
        <v>45897</v>
      </c>
      <c r="E1513" s="7" t="s">
        <v>60</v>
      </c>
      <c r="F1513" s="7">
        <v>1</v>
      </c>
      <c r="G1513" s="7" t="s">
        <v>14</v>
      </c>
      <c r="H1513" s="7" t="s">
        <v>492</v>
      </c>
      <c r="J1513" s="7">
        <f t="shared" si="127"/>
        <v>1900</v>
      </c>
      <c r="K1513" s="7">
        <f t="shared" si="124"/>
        <v>1</v>
      </c>
      <c r="L1513" s="7">
        <f t="shared" si="125"/>
        <v>45897</v>
      </c>
      <c r="M1513" s="7" t="s">
        <v>502</v>
      </c>
      <c r="N1513" s="7" t="s">
        <v>579</v>
      </c>
      <c r="O1513" s="17" t="s">
        <v>682</v>
      </c>
      <c r="P1513" s="7">
        <f t="shared" si="128"/>
        <v>8</v>
      </c>
      <c r="Q1513" s="7">
        <f t="shared" si="126"/>
        <v>2025</v>
      </c>
    </row>
    <row r="1514" spans="1:17" x14ac:dyDescent="0.25">
      <c r="A1514" s="7">
        <v>2542</v>
      </c>
      <c r="B1514" s="9" t="s">
        <v>540</v>
      </c>
      <c r="C1514" s="9" t="s">
        <v>540</v>
      </c>
      <c r="D1514" s="8">
        <v>45897</v>
      </c>
      <c r="E1514" s="7" t="s">
        <v>60</v>
      </c>
      <c r="F1514" s="7">
        <v>1</v>
      </c>
      <c r="G1514" s="7" t="s">
        <v>14</v>
      </c>
      <c r="H1514" s="7" t="s">
        <v>492</v>
      </c>
      <c r="J1514" s="7">
        <f t="shared" si="127"/>
        <v>1900</v>
      </c>
      <c r="K1514" s="7">
        <f t="shared" si="124"/>
        <v>1</v>
      </c>
      <c r="L1514" s="7">
        <f t="shared" si="125"/>
        <v>45897</v>
      </c>
      <c r="M1514" s="7" t="s">
        <v>502</v>
      </c>
      <c r="N1514" s="7" t="s">
        <v>579</v>
      </c>
      <c r="O1514" s="17" t="s">
        <v>682</v>
      </c>
      <c r="P1514" s="7">
        <f t="shared" si="128"/>
        <v>8</v>
      </c>
      <c r="Q1514" s="7">
        <f t="shared" si="126"/>
        <v>2025</v>
      </c>
    </row>
    <row r="1515" spans="1:17" x14ac:dyDescent="0.25">
      <c r="A1515" s="7">
        <v>2542</v>
      </c>
      <c r="B1515" s="9" t="s">
        <v>540</v>
      </c>
      <c r="C1515" s="9" t="s">
        <v>540</v>
      </c>
      <c r="D1515" s="8">
        <v>45897</v>
      </c>
      <c r="E1515" s="7" t="s">
        <v>60</v>
      </c>
      <c r="F1515" s="7">
        <v>1</v>
      </c>
      <c r="G1515" s="7" t="s">
        <v>14</v>
      </c>
      <c r="H1515" s="7" t="s">
        <v>492</v>
      </c>
      <c r="J1515" s="7">
        <f t="shared" si="127"/>
        <v>1900</v>
      </c>
      <c r="K1515" s="7">
        <f t="shared" si="124"/>
        <v>1</v>
      </c>
      <c r="L1515" s="7">
        <f t="shared" si="125"/>
        <v>45897</v>
      </c>
      <c r="M1515" s="7" t="s">
        <v>502</v>
      </c>
      <c r="N1515" s="7" t="s">
        <v>579</v>
      </c>
      <c r="O1515" s="17" t="s">
        <v>682</v>
      </c>
      <c r="P1515" s="7">
        <f t="shared" si="128"/>
        <v>8</v>
      </c>
      <c r="Q1515" s="7">
        <f t="shared" si="126"/>
        <v>2025</v>
      </c>
    </row>
    <row r="1516" spans="1:17" x14ac:dyDescent="0.25">
      <c r="A1516" s="7">
        <v>2542</v>
      </c>
      <c r="B1516" s="9" t="s">
        <v>540</v>
      </c>
      <c r="C1516" s="9" t="s">
        <v>540</v>
      </c>
      <c r="D1516" s="8">
        <v>45897</v>
      </c>
      <c r="E1516" s="7" t="s">
        <v>60</v>
      </c>
      <c r="F1516" s="7">
        <v>1</v>
      </c>
      <c r="G1516" s="7" t="s">
        <v>14</v>
      </c>
      <c r="H1516" s="7" t="s">
        <v>492</v>
      </c>
      <c r="J1516" s="7">
        <f t="shared" si="127"/>
        <v>1900</v>
      </c>
      <c r="K1516" s="7">
        <f t="shared" si="124"/>
        <v>1</v>
      </c>
      <c r="L1516" s="7">
        <f t="shared" si="125"/>
        <v>45897</v>
      </c>
      <c r="M1516" s="7" t="s">
        <v>502</v>
      </c>
      <c r="N1516" s="7" t="s">
        <v>579</v>
      </c>
      <c r="O1516" s="17" t="s">
        <v>682</v>
      </c>
      <c r="P1516" s="7">
        <f t="shared" si="128"/>
        <v>8</v>
      </c>
      <c r="Q1516" s="7">
        <f t="shared" si="126"/>
        <v>2025</v>
      </c>
    </row>
    <row r="1517" spans="1:17" x14ac:dyDescent="0.25">
      <c r="A1517" s="7">
        <v>2542</v>
      </c>
      <c r="B1517" s="9" t="s">
        <v>540</v>
      </c>
      <c r="C1517" s="9" t="s">
        <v>540</v>
      </c>
      <c r="D1517" s="8">
        <v>45897</v>
      </c>
      <c r="E1517" s="7" t="s">
        <v>60</v>
      </c>
      <c r="F1517" s="7">
        <v>1</v>
      </c>
      <c r="G1517" s="7" t="s">
        <v>14</v>
      </c>
      <c r="H1517" s="7" t="s">
        <v>492</v>
      </c>
      <c r="J1517" s="7">
        <f t="shared" si="127"/>
        <v>1900</v>
      </c>
      <c r="K1517" s="7">
        <f t="shared" ref="K1517:K1580" si="129">MONTH(I1517)</f>
        <v>1</v>
      </c>
      <c r="L1517" s="7">
        <f t="shared" si="125"/>
        <v>45897</v>
      </c>
      <c r="M1517" s="7" t="s">
        <v>502</v>
      </c>
      <c r="N1517" s="7" t="s">
        <v>579</v>
      </c>
      <c r="O1517" s="17" t="s">
        <v>682</v>
      </c>
      <c r="P1517" s="7">
        <f t="shared" si="128"/>
        <v>8</v>
      </c>
      <c r="Q1517" s="7">
        <f t="shared" si="126"/>
        <v>2025</v>
      </c>
    </row>
    <row r="1518" spans="1:17" x14ac:dyDescent="0.25">
      <c r="A1518" s="7">
        <v>2542</v>
      </c>
      <c r="B1518" s="9" t="s">
        <v>540</v>
      </c>
      <c r="C1518" s="9" t="s">
        <v>540</v>
      </c>
      <c r="D1518" s="8">
        <v>45897</v>
      </c>
      <c r="E1518" s="7" t="s">
        <v>60</v>
      </c>
      <c r="F1518" s="7">
        <v>1</v>
      </c>
      <c r="G1518" s="7" t="s">
        <v>14</v>
      </c>
      <c r="H1518" s="7" t="s">
        <v>492</v>
      </c>
      <c r="J1518" s="7">
        <f t="shared" si="127"/>
        <v>1900</v>
      </c>
      <c r="K1518" s="7">
        <f t="shared" si="129"/>
        <v>1</v>
      </c>
      <c r="L1518" s="7">
        <f t="shared" si="125"/>
        <v>45897</v>
      </c>
      <c r="M1518" s="7" t="s">
        <v>502</v>
      </c>
      <c r="N1518" s="7" t="s">
        <v>579</v>
      </c>
      <c r="O1518" s="17" t="s">
        <v>682</v>
      </c>
      <c r="P1518" s="7">
        <f t="shared" si="128"/>
        <v>8</v>
      </c>
      <c r="Q1518" s="7">
        <f t="shared" si="126"/>
        <v>2025</v>
      </c>
    </row>
    <row r="1519" spans="1:17" x14ac:dyDescent="0.25">
      <c r="A1519" s="7">
        <v>2542</v>
      </c>
      <c r="B1519" s="9" t="s">
        <v>540</v>
      </c>
      <c r="C1519" s="9" t="s">
        <v>540</v>
      </c>
      <c r="D1519" s="8">
        <v>45897</v>
      </c>
      <c r="E1519" s="7" t="s">
        <v>60</v>
      </c>
      <c r="F1519" s="7">
        <v>1</v>
      </c>
      <c r="G1519" s="7" t="s">
        <v>14</v>
      </c>
      <c r="H1519" s="7" t="s">
        <v>492</v>
      </c>
      <c r="J1519" s="7">
        <f t="shared" si="127"/>
        <v>1900</v>
      </c>
      <c r="K1519" s="7">
        <f t="shared" si="129"/>
        <v>1</v>
      </c>
      <c r="L1519" s="7">
        <f t="shared" ref="L1519:L1582" si="130">D1519-I1519</f>
        <v>45897</v>
      </c>
      <c r="M1519" s="7" t="s">
        <v>502</v>
      </c>
      <c r="N1519" s="7" t="s">
        <v>579</v>
      </c>
      <c r="O1519" s="17" t="s">
        <v>682</v>
      </c>
      <c r="P1519" s="7">
        <f t="shared" si="128"/>
        <v>8</v>
      </c>
      <c r="Q1519" s="7">
        <f t="shared" si="126"/>
        <v>2025</v>
      </c>
    </row>
    <row r="1520" spans="1:17" x14ac:dyDescent="0.25">
      <c r="A1520" s="7">
        <v>2542</v>
      </c>
      <c r="B1520" s="9" t="s">
        <v>540</v>
      </c>
      <c r="C1520" s="9" t="s">
        <v>540</v>
      </c>
      <c r="D1520" s="8">
        <v>45897</v>
      </c>
      <c r="E1520" s="7" t="s">
        <v>60</v>
      </c>
      <c r="F1520" s="7">
        <v>1</v>
      </c>
      <c r="G1520" s="7" t="s">
        <v>14</v>
      </c>
      <c r="H1520" s="7" t="s">
        <v>492</v>
      </c>
      <c r="J1520" s="7">
        <f t="shared" si="127"/>
        <v>1900</v>
      </c>
      <c r="K1520" s="7">
        <f t="shared" si="129"/>
        <v>1</v>
      </c>
      <c r="L1520" s="7">
        <f t="shared" si="130"/>
        <v>45897</v>
      </c>
      <c r="M1520" s="7" t="s">
        <v>502</v>
      </c>
      <c r="N1520" s="7" t="s">
        <v>579</v>
      </c>
      <c r="O1520" s="17" t="s">
        <v>682</v>
      </c>
      <c r="P1520" s="7">
        <f t="shared" si="128"/>
        <v>8</v>
      </c>
      <c r="Q1520" s="7">
        <f t="shared" si="126"/>
        <v>2025</v>
      </c>
    </row>
    <row r="1521" spans="1:17" x14ac:dyDescent="0.25">
      <c r="A1521" s="7">
        <v>2542</v>
      </c>
      <c r="B1521" s="9" t="s">
        <v>540</v>
      </c>
      <c r="C1521" s="9" t="s">
        <v>540</v>
      </c>
      <c r="D1521" s="8">
        <v>45897</v>
      </c>
      <c r="E1521" s="7" t="s">
        <v>60</v>
      </c>
      <c r="F1521" s="7">
        <v>1</v>
      </c>
      <c r="G1521" s="7" t="s">
        <v>14</v>
      </c>
      <c r="H1521" s="7" t="s">
        <v>492</v>
      </c>
      <c r="J1521" s="7">
        <f t="shared" si="127"/>
        <v>1900</v>
      </c>
      <c r="K1521" s="7">
        <f t="shared" si="129"/>
        <v>1</v>
      </c>
      <c r="L1521" s="7">
        <f t="shared" si="130"/>
        <v>45897</v>
      </c>
      <c r="M1521" s="7" t="s">
        <v>502</v>
      </c>
      <c r="N1521" s="7" t="s">
        <v>579</v>
      </c>
      <c r="O1521" s="17" t="s">
        <v>682</v>
      </c>
      <c r="P1521" s="7">
        <f t="shared" si="128"/>
        <v>8</v>
      </c>
      <c r="Q1521" s="7">
        <f t="shared" si="126"/>
        <v>2025</v>
      </c>
    </row>
    <row r="1522" spans="1:17" x14ac:dyDescent="0.25">
      <c r="A1522" s="7">
        <v>2542</v>
      </c>
      <c r="B1522" s="9" t="s">
        <v>540</v>
      </c>
      <c r="C1522" s="9" t="s">
        <v>540</v>
      </c>
      <c r="D1522" s="8">
        <v>45897</v>
      </c>
      <c r="E1522" s="7" t="s">
        <v>60</v>
      </c>
      <c r="F1522" s="7">
        <v>1</v>
      </c>
      <c r="G1522" s="7" t="s">
        <v>14</v>
      </c>
      <c r="H1522" s="7" t="s">
        <v>492</v>
      </c>
      <c r="J1522" s="7">
        <f t="shared" si="127"/>
        <v>1900</v>
      </c>
      <c r="K1522" s="7">
        <f t="shared" si="129"/>
        <v>1</v>
      </c>
      <c r="L1522" s="7">
        <f t="shared" si="130"/>
        <v>45897</v>
      </c>
      <c r="M1522" s="7" t="s">
        <v>502</v>
      </c>
      <c r="N1522" s="7" t="s">
        <v>579</v>
      </c>
      <c r="O1522" s="17" t="s">
        <v>682</v>
      </c>
      <c r="P1522" s="7">
        <f t="shared" si="128"/>
        <v>8</v>
      </c>
      <c r="Q1522" s="7">
        <f t="shared" si="126"/>
        <v>2025</v>
      </c>
    </row>
    <row r="1523" spans="1:17" x14ac:dyDescent="0.25">
      <c r="A1523" s="7">
        <v>2542</v>
      </c>
      <c r="B1523" s="9" t="s">
        <v>540</v>
      </c>
      <c r="C1523" s="9" t="s">
        <v>540</v>
      </c>
      <c r="D1523" s="8">
        <v>45897</v>
      </c>
      <c r="E1523" s="7" t="s">
        <v>60</v>
      </c>
      <c r="F1523" s="7">
        <v>1</v>
      </c>
      <c r="G1523" s="7" t="s">
        <v>14</v>
      </c>
      <c r="H1523" s="7" t="s">
        <v>492</v>
      </c>
      <c r="J1523" s="7">
        <f t="shared" si="127"/>
        <v>1900</v>
      </c>
      <c r="K1523" s="7">
        <f t="shared" si="129"/>
        <v>1</v>
      </c>
      <c r="L1523" s="7">
        <f t="shared" si="130"/>
        <v>45897</v>
      </c>
      <c r="M1523" s="7" t="s">
        <v>502</v>
      </c>
      <c r="N1523" s="7" t="s">
        <v>579</v>
      </c>
      <c r="O1523" s="17" t="s">
        <v>682</v>
      </c>
      <c r="P1523" s="7">
        <f t="shared" si="128"/>
        <v>8</v>
      </c>
      <c r="Q1523" s="7">
        <f t="shared" si="126"/>
        <v>2025</v>
      </c>
    </row>
    <row r="1524" spans="1:17" x14ac:dyDescent="0.25">
      <c r="A1524" s="7">
        <v>2542</v>
      </c>
      <c r="B1524" s="9" t="s">
        <v>540</v>
      </c>
      <c r="C1524" s="9" t="s">
        <v>540</v>
      </c>
      <c r="D1524" s="8">
        <v>45897</v>
      </c>
      <c r="E1524" s="7" t="s">
        <v>60</v>
      </c>
      <c r="F1524" s="7">
        <v>1</v>
      </c>
      <c r="G1524" s="7" t="s">
        <v>14</v>
      </c>
      <c r="H1524" s="7" t="s">
        <v>492</v>
      </c>
      <c r="J1524" s="7">
        <f t="shared" si="127"/>
        <v>1900</v>
      </c>
      <c r="K1524" s="7">
        <f t="shared" si="129"/>
        <v>1</v>
      </c>
      <c r="L1524" s="7">
        <f t="shared" si="130"/>
        <v>45897</v>
      </c>
      <c r="M1524" s="7" t="s">
        <v>502</v>
      </c>
      <c r="N1524" s="7" t="s">
        <v>579</v>
      </c>
      <c r="O1524" s="17" t="s">
        <v>682</v>
      </c>
      <c r="P1524" s="7">
        <f t="shared" si="128"/>
        <v>8</v>
      </c>
      <c r="Q1524" s="7">
        <f t="shared" si="126"/>
        <v>2025</v>
      </c>
    </row>
    <row r="1525" spans="1:17" x14ac:dyDescent="0.25">
      <c r="A1525" s="7">
        <v>2542</v>
      </c>
      <c r="B1525" s="9" t="s">
        <v>540</v>
      </c>
      <c r="C1525" s="9" t="s">
        <v>540</v>
      </c>
      <c r="D1525" s="8">
        <v>45897</v>
      </c>
      <c r="E1525" s="7" t="s">
        <v>60</v>
      </c>
      <c r="F1525" s="7">
        <v>1</v>
      </c>
      <c r="G1525" s="7" t="s">
        <v>14</v>
      </c>
      <c r="H1525" s="7" t="s">
        <v>492</v>
      </c>
      <c r="J1525" s="7">
        <f t="shared" si="127"/>
        <v>1900</v>
      </c>
      <c r="K1525" s="7">
        <f t="shared" si="129"/>
        <v>1</v>
      </c>
      <c r="L1525" s="7">
        <f t="shared" si="130"/>
        <v>45897</v>
      </c>
      <c r="M1525" s="7" t="s">
        <v>502</v>
      </c>
      <c r="N1525" s="7" t="s">
        <v>579</v>
      </c>
      <c r="O1525" s="17" t="s">
        <v>682</v>
      </c>
      <c r="P1525" s="7">
        <f t="shared" si="128"/>
        <v>8</v>
      </c>
      <c r="Q1525" s="7">
        <f t="shared" ref="Q1525:Q1588" si="131">YEAR(D1525)</f>
        <v>2025</v>
      </c>
    </row>
    <row r="1526" spans="1:17" x14ac:dyDescent="0.25">
      <c r="A1526" s="7">
        <v>2542</v>
      </c>
      <c r="B1526" s="9" t="s">
        <v>540</v>
      </c>
      <c r="C1526" s="9" t="s">
        <v>540</v>
      </c>
      <c r="D1526" s="8">
        <v>45897</v>
      </c>
      <c r="E1526" s="7" t="s">
        <v>60</v>
      </c>
      <c r="F1526" s="7">
        <v>1</v>
      </c>
      <c r="G1526" s="7" t="s">
        <v>14</v>
      </c>
      <c r="H1526" s="7" t="s">
        <v>492</v>
      </c>
      <c r="J1526" s="7">
        <f t="shared" si="127"/>
        <v>1900</v>
      </c>
      <c r="K1526" s="7">
        <f t="shared" si="129"/>
        <v>1</v>
      </c>
      <c r="L1526" s="7">
        <f t="shared" si="130"/>
        <v>45897</v>
      </c>
      <c r="M1526" s="7" t="s">
        <v>502</v>
      </c>
      <c r="N1526" s="7" t="s">
        <v>579</v>
      </c>
      <c r="O1526" s="17" t="s">
        <v>682</v>
      </c>
      <c r="P1526" s="7">
        <f t="shared" si="128"/>
        <v>8</v>
      </c>
      <c r="Q1526" s="7">
        <f t="shared" si="131"/>
        <v>2025</v>
      </c>
    </row>
    <row r="1527" spans="1:17" x14ac:dyDescent="0.25">
      <c r="A1527" s="7">
        <v>2542</v>
      </c>
      <c r="B1527" s="9" t="s">
        <v>540</v>
      </c>
      <c r="C1527" s="9" t="s">
        <v>540</v>
      </c>
      <c r="D1527" s="8">
        <v>45897</v>
      </c>
      <c r="E1527" s="7" t="s">
        <v>60</v>
      </c>
      <c r="F1527" s="7">
        <v>1</v>
      </c>
      <c r="G1527" s="7" t="s">
        <v>14</v>
      </c>
      <c r="H1527" s="7" t="s">
        <v>492</v>
      </c>
      <c r="J1527" s="7">
        <f t="shared" si="127"/>
        <v>1900</v>
      </c>
      <c r="K1527" s="7">
        <f t="shared" si="129"/>
        <v>1</v>
      </c>
      <c r="L1527" s="7">
        <f t="shared" si="130"/>
        <v>45897</v>
      </c>
      <c r="M1527" s="7" t="s">
        <v>502</v>
      </c>
      <c r="N1527" s="7" t="s">
        <v>579</v>
      </c>
      <c r="O1527" s="17" t="s">
        <v>682</v>
      </c>
      <c r="P1527" s="7">
        <f t="shared" si="128"/>
        <v>8</v>
      </c>
      <c r="Q1527" s="7">
        <f t="shared" si="131"/>
        <v>2025</v>
      </c>
    </row>
    <row r="1528" spans="1:17" x14ac:dyDescent="0.25">
      <c r="A1528" s="7">
        <v>2542</v>
      </c>
      <c r="B1528" s="9" t="s">
        <v>540</v>
      </c>
      <c r="C1528" s="9" t="s">
        <v>540</v>
      </c>
      <c r="D1528" s="8">
        <v>45897</v>
      </c>
      <c r="E1528" s="7" t="s">
        <v>60</v>
      </c>
      <c r="F1528" s="7">
        <v>1</v>
      </c>
      <c r="G1528" s="7" t="s">
        <v>14</v>
      </c>
      <c r="H1528" s="7" t="s">
        <v>492</v>
      </c>
      <c r="J1528" s="7">
        <f t="shared" si="127"/>
        <v>1900</v>
      </c>
      <c r="K1528" s="7">
        <f t="shared" si="129"/>
        <v>1</v>
      </c>
      <c r="L1528" s="7">
        <f t="shared" si="130"/>
        <v>45897</v>
      </c>
      <c r="M1528" s="7" t="s">
        <v>502</v>
      </c>
      <c r="N1528" s="7" t="s">
        <v>579</v>
      </c>
      <c r="O1528" s="17" t="s">
        <v>682</v>
      </c>
      <c r="P1528" s="7">
        <f t="shared" si="128"/>
        <v>8</v>
      </c>
      <c r="Q1528" s="7">
        <f t="shared" si="131"/>
        <v>2025</v>
      </c>
    </row>
    <row r="1529" spans="1:17" x14ac:dyDescent="0.25">
      <c r="A1529" s="7">
        <v>2542</v>
      </c>
      <c r="B1529" s="9" t="s">
        <v>540</v>
      </c>
      <c r="C1529" s="9" t="s">
        <v>540</v>
      </c>
      <c r="D1529" s="8">
        <v>45897</v>
      </c>
      <c r="E1529" s="7" t="s">
        <v>60</v>
      </c>
      <c r="F1529" s="7">
        <v>1</v>
      </c>
      <c r="G1529" s="7" t="s">
        <v>14</v>
      </c>
      <c r="H1529" s="7" t="s">
        <v>492</v>
      </c>
      <c r="J1529" s="7">
        <f t="shared" si="127"/>
        <v>1900</v>
      </c>
      <c r="K1529" s="7">
        <f t="shared" si="129"/>
        <v>1</v>
      </c>
      <c r="L1529" s="7">
        <f t="shared" si="130"/>
        <v>45897</v>
      </c>
      <c r="M1529" s="7" t="s">
        <v>502</v>
      </c>
      <c r="N1529" s="7" t="s">
        <v>579</v>
      </c>
      <c r="O1529" s="17" t="s">
        <v>682</v>
      </c>
      <c r="P1529" s="7">
        <f t="shared" si="128"/>
        <v>8</v>
      </c>
      <c r="Q1529" s="7">
        <f t="shared" si="131"/>
        <v>2025</v>
      </c>
    </row>
    <row r="1530" spans="1:17" x14ac:dyDescent="0.25">
      <c r="A1530" s="7">
        <v>2542</v>
      </c>
      <c r="B1530" s="9" t="s">
        <v>540</v>
      </c>
      <c r="C1530" s="9" t="s">
        <v>540</v>
      </c>
      <c r="D1530" s="8">
        <v>45897</v>
      </c>
      <c r="E1530" s="7" t="s">
        <v>60</v>
      </c>
      <c r="F1530" s="7">
        <v>1</v>
      </c>
      <c r="G1530" s="7" t="s">
        <v>14</v>
      </c>
      <c r="H1530" s="7" t="s">
        <v>492</v>
      </c>
      <c r="J1530" s="7">
        <f t="shared" si="127"/>
        <v>1900</v>
      </c>
      <c r="K1530" s="7">
        <f t="shared" si="129"/>
        <v>1</v>
      </c>
      <c r="L1530" s="7">
        <f t="shared" si="130"/>
        <v>45897</v>
      </c>
      <c r="M1530" s="7" t="s">
        <v>502</v>
      </c>
      <c r="N1530" s="7" t="s">
        <v>579</v>
      </c>
      <c r="O1530" s="17" t="s">
        <v>682</v>
      </c>
      <c r="P1530" s="7">
        <f t="shared" si="128"/>
        <v>8</v>
      </c>
      <c r="Q1530" s="7">
        <f t="shared" si="131"/>
        <v>2025</v>
      </c>
    </row>
    <row r="1531" spans="1:17" x14ac:dyDescent="0.25">
      <c r="A1531" s="7">
        <v>2542</v>
      </c>
      <c r="B1531" s="9" t="s">
        <v>540</v>
      </c>
      <c r="C1531" s="9" t="s">
        <v>540</v>
      </c>
      <c r="D1531" s="8">
        <v>45897</v>
      </c>
      <c r="E1531" s="7" t="s">
        <v>60</v>
      </c>
      <c r="F1531" s="7">
        <v>1</v>
      </c>
      <c r="G1531" s="7" t="s">
        <v>14</v>
      </c>
      <c r="H1531" s="7" t="s">
        <v>492</v>
      </c>
      <c r="J1531" s="7">
        <f t="shared" si="127"/>
        <v>1900</v>
      </c>
      <c r="K1531" s="7">
        <f t="shared" si="129"/>
        <v>1</v>
      </c>
      <c r="L1531" s="7">
        <f t="shared" si="130"/>
        <v>45897</v>
      </c>
      <c r="M1531" s="7" t="s">
        <v>502</v>
      </c>
      <c r="N1531" s="7" t="s">
        <v>579</v>
      </c>
      <c r="O1531" s="17" t="s">
        <v>682</v>
      </c>
      <c r="P1531" s="7">
        <f t="shared" si="128"/>
        <v>8</v>
      </c>
      <c r="Q1531" s="7">
        <f t="shared" si="131"/>
        <v>2025</v>
      </c>
    </row>
    <row r="1532" spans="1:17" x14ac:dyDescent="0.25">
      <c r="A1532" s="7">
        <v>2542</v>
      </c>
      <c r="B1532" s="9" t="s">
        <v>540</v>
      </c>
      <c r="C1532" s="9" t="s">
        <v>540</v>
      </c>
      <c r="D1532" s="8">
        <v>45897</v>
      </c>
      <c r="E1532" s="7" t="s">
        <v>60</v>
      </c>
      <c r="F1532" s="7">
        <v>1</v>
      </c>
      <c r="G1532" s="7" t="s">
        <v>14</v>
      </c>
      <c r="H1532" s="7" t="s">
        <v>492</v>
      </c>
      <c r="J1532" s="7">
        <f t="shared" si="127"/>
        <v>1900</v>
      </c>
      <c r="K1532" s="7">
        <f t="shared" si="129"/>
        <v>1</v>
      </c>
      <c r="L1532" s="7">
        <f t="shared" si="130"/>
        <v>45897</v>
      </c>
      <c r="M1532" s="7" t="s">
        <v>502</v>
      </c>
      <c r="N1532" s="7" t="s">
        <v>579</v>
      </c>
      <c r="O1532" s="17" t="s">
        <v>682</v>
      </c>
      <c r="P1532" s="7">
        <f t="shared" si="128"/>
        <v>8</v>
      </c>
      <c r="Q1532" s="7">
        <f t="shared" si="131"/>
        <v>2025</v>
      </c>
    </row>
    <row r="1533" spans="1:17" x14ac:dyDescent="0.25">
      <c r="A1533" s="7">
        <v>2542</v>
      </c>
      <c r="B1533" s="9" t="s">
        <v>540</v>
      </c>
      <c r="C1533" s="9" t="s">
        <v>540</v>
      </c>
      <c r="D1533" s="8">
        <v>45897</v>
      </c>
      <c r="E1533" s="7" t="s">
        <v>60</v>
      </c>
      <c r="F1533" s="7">
        <v>1</v>
      </c>
      <c r="G1533" s="7" t="s">
        <v>14</v>
      </c>
      <c r="H1533" s="7" t="s">
        <v>492</v>
      </c>
      <c r="J1533" s="7">
        <f t="shared" si="127"/>
        <v>1900</v>
      </c>
      <c r="K1533" s="7">
        <f t="shared" si="129"/>
        <v>1</v>
      </c>
      <c r="L1533" s="7">
        <f t="shared" si="130"/>
        <v>45897</v>
      </c>
      <c r="M1533" s="7" t="s">
        <v>502</v>
      </c>
      <c r="N1533" s="7" t="s">
        <v>579</v>
      </c>
      <c r="O1533" s="17" t="s">
        <v>682</v>
      </c>
      <c r="P1533" s="7">
        <f t="shared" si="128"/>
        <v>8</v>
      </c>
      <c r="Q1533" s="7">
        <f t="shared" si="131"/>
        <v>2025</v>
      </c>
    </row>
    <row r="1534" spans="1:17" x14ac:dyDescent="0.25">
      <c r="A1534" s="7">
        <v>2542</v>
      </c>
      <c r="B1534" s="9" t="s">
        <v>540</v>
      </c>
      <c r="C1534" s="9" t="s">
        <v>540</v>
      </c>
      <c r="D1534" s="8">
        <v>45897</v>
      </c>
      <c r="E1534" s="7" t="s">
        <v>60</v>
      </c>
      <c r="F1534" s="7">
        <v>1</v>
      </c>
      <c r="G1534" s="7" t="s">
        <v>14</v>
      </c>
      <c r="H1534" s="7" t="s">
        <v>492</v>
      </c>
      <c r="J1534" s="7">
        <f t="shared" si="127"/>
        <v>1900</v>
      </c>
      <c r="K1534" s="7">
        <f t="shared" si="129"/>
        <v>1</v>
      </c>
      <c r="L1534" s="7">
        <f t="shared" si="130"/>
        <v>45897</v>
      </c>
      <c r="M1534" s="7" t="s">
        <v>502</v>
      </c>
      <c r="N1534" s="7" t="s">
        <v>579</v>
      </c>
      <c r="O1534" s="17" t="s">
        <v>682</v>
      </c>
      <c r="P1534" s="7">
        <f t="shared" si="128"/>
        <v>8</v>
      </c>
      <c r="Q1534" s="7">
        <f t="shared" si="131"/>
        <v>2025</v>
      </c>
    </row>
    <row r="1535" spans="1:17" x14ac:dyDescent="0.25">
      <c r="A1535" s="7">
        <v>2542</v>
      </c>
      <c r="B1535" s="9" t="s">
        <v>540</v>
      </c>
      <c r="C1535" s="9" t="s">
        <v>540</v>
      </c>
      <c r="D1535" s="8">
        <v>45897</v>
      </c>
      <c r="E1535" s="7" t="s">
        <v>60</v>
      </c>
      <c r="F1535" s="7">
        <v>1</v>
      </c>
      <c r="G1535" s="7" t="s">
        <v>14</v>
      </c>
      <c r="H1535" s="7" t="s">
        <v>492</v>
      </c>
      <c r="J1535" s="7">
        <f t="shared" si="127"/>
        <v>1900</v>
      </c>
      <c r="K1535" s="7">
        <f t="shared" si="129"/>
        <v>1</v>
      </c>
      <c r="L1535" s="7">
        <f t="shared" si="130"/>
        <v>45897</v>
      </c>
      <c r="M1535" s="7" t="s">
        <v>502</v>
      </c>
      <c r="N1535" s="7" t="s">
        <v>579</v>
      </c>
      <c r="O1535" s="17" t="s">
        <v>682</v>
      </c>
      <c r="P1535" s="7">
        <f t="shared" si="128"/>
        <v>8</v>
      </c>
      <c r="Q1535" s="7">
        <f t="shared" si="131"/>
        <v>2025</v>
      </c>
    </row>
    <row r="1536" spans="1:17" x14ac:dyDescent="0.25">
      <c r="A1536" s="7">
        <v>2542</v>
      </c>
      <c r="B1536" s="9" t="s">
        <v>540</v>
      </c>
      <c r="C1536" s="9" t="s">
        <v>540</v>
      </c>
      <c r="D1536" s="8">
        <v>45897</v>
      </c>
      <c r="E1536" s="7" t="s">
        <v>60</v>
      </c>
      <c r="F1536" s="7">
        <v>1</v>
      </c>
      <c r="G1536" s="7" t="s">
        <v>14</v>
      </c>
      <c r="H1536" s="7" t="s">
        <v>492</v>
      </c>
      <c r="J1536" s="7">
        <f t="shared" si="127"/>
        <v>1900</v>
      </c>
      <c r="K1536" s="7">
        <f t="shared" si="129"/>
        <v>1</v>
      </c>
      <c r="L1536" s="7">
        <f t="shared" si="130"/>
        <v>45897</v>
      </c>
      <c r="M1536" s="7" t="s">
        <v>502</v>
      </c>
      <c r="N1536" s="7" t="s">
        <v>579</v>
      </c>
      <c r="O1536" s="17" t="s">
        <v>682</v>
      </c>
      <c r="P1536" s="7">
        <f t="shared" si="128"/>
        <v>8</v>
      </c>
      <c r="Q1536" s="7">
        <f t="shared" si="131"/>
        <v>2025</v>
      </c>
    </row>
    <row r="1537" spans="1:17" x14ac:dyDescent="0.25">
      <c r="A1537" s="7">
        <v>2542</v>
      </c>
      <c r="B1537" s="9" t="s">
        <v>540</v>
      </c>
      <c r="C1537" s="9" t="s">
        <v>540</v>
      </c>
      <c r="D1537" s="8">
        <v>45897</v>
      </c>
      <c r="E1537" s="7" t="s">
        <v>60</v>
      </c>
      <c r="F1537" s="7">
        <v>1</v>
      </c>
      <c r="G1537" s="7" t="s">
        <v>14</v>
      </c>
      <c r="H1537" s="7" t="s">
        <v>492</v>
      </c>
      <c r="J1537" s="7">
        <f t="shared" si="127"/>
        <v>1900</v>
      </c>
      <c r="K1537" s="7">
        <f t="shared" si="129"/>
        <v>1</v>
      </c>
      <c r="L1537" s="7">
        <f t="shared" si="130"/>
        <v>45897</v>
      </c>
      <c r="M1537" s="7" t="s">
        <v>502</v>
      </c>
      <c r="N1537" s="7" t="s">
        <v>579</v>
      </c>
      <c r="O1537" s="17" t="s">
        <v>682</v>
      </c>
      <c r="P1537" s="7">
        <f t="shared" si="128"/>
        <v>8</v>
      </c>
      <c r="Q1537" s="7">
        <f t="shared" si="131"/>
        <v>2025</v>
      </c>
    </row>
    <row r="1538" spans="1:17" x14ac:dyDescent="0.25">
      <c r="A1538" s="7">
        <v>2542</v>
      </c>
      <c r="B1538" s="9" t="s">
        <v>540</v>
      </c>
      <c r="C1538" s="9" t="s">
        <v>540</v>
      </c>
      <c r="D1538" s="8">
        <v>45897</v>
      </c>
      <c r="E1538" s="7" t="s">
        <v>60</v>
      </c>
      <c r="F1538" s="7">
        <v>1</v>
      </c>
      <c r="G1538" s="7" t="s">
        <v>14</v>
      </c>
      <c r="H1538" s="7" t="s">
        <v>492</v>
      </c>
      <c r="J1538" s="7">
        <f t="shared" si="127"/>
        <v>1900</v>
      </c>
      <c r="K1538" s="7">
        <f t="shared" si="129"/>
        <v>1</v>
      </c>
      <c r="L1538" s="7">
        <f t="shared" si="130"/>
        <v>45897</v>
      </c>
      <c r="M1538" s="7" t="s">
        <v>502</v>
      </c>
      <c r="N1538" s="7" t="s">
        <v>579</v>
      </c>
      <c r="O1538" s="17" t="s">
        <v>682</v>
      </c>
      <c r="P1538" s="7">
        <f t="shared" si="128"/>
        <v>8</v>
      </c>
      <c r="Q1538" s="7">
        <f t="shared" si="131"/>
        <v>2025</v>
      </c>
    </row>
    <row r="1539" spans="1:17" x14ac:dyDescent="0.25">
      <c r="A1539" s="7">
        <v>2542</v>
      </c>
      <c r="B1539" s="9" t="s">
        <v>540</v>
      </c>
      <c r="C1539" s="9" t="s">
        <v>540</v>
      </c>
      <c r="D1539" s="8">
        <v>45897</v>
      </c>
      <c r="E1539" s="7" t="s">
        <v>60</v>
      </c>
      <c r="F1539" s="7">
        <v>1</v>
      </c>
      <c r="G1539" s="7" t="s">
        <v>14</v>
      </c>
      <c r="H1539" s="7" t="s">
        <v>492</v>
      </c>
      <c r="J1539" s="7">
        <f t="shared" si="127"/>
        <v>1900</v>
      </c>
      <c r="K1539" s="7">
        <f t="shared" si="129"/>
        <v>1</v>
      </c>
      <c r="L1539" s="7">
        <f t="shared" si="130"/>
        <v>45897</v>
      </c>
      <c r="M1539" s="7" t="s">
        <v>502</v>
      </c>
      <c r="N1539" s="7" t="s">
        <v>579</v>
      </c>
      <c r="O1539" s="17" t="s">
        <v>682</v>
      </c>
      <c r="P1539" s="7">
        <f t="shared" si="128"/>
        <v>8</v>
      </c>
      <c r="Q1539" s="7">
        <f t="shared" si="131"/>
        <v>2025</v>
      </c>
    </row>
    <row r="1540" spans="1:17" x14ac:dyDescent="0.25">
      <c r="A1540" s="7">
        <v>2542</v>
      </c>
      <c r="B1540" s="9" t="s">
        <v>540</v>
      </c>
      <c r="C1540" s="9" t="s">
        <v>540</v>
      </c>
      <c r="D1540" s="8">
        <v>45897</v>
      </c>
      <c r="E1540" s="7" t="s">
        <v>60</v>
      </c>
      <c r="F1540" s="7">
        <v>1</v>
      </c>
      <c r="G1540" s="7" t="s">
        <v>14</v>
      </c>
      <c r="H1540" s="7" t="s">
        <v>492</v>
      </c>
      <c r="J1540" s="7">
        <f t="shared" si="127"/>
        <v>1900</v>
      </c>
      <c r="K1540" s="7">
        <f t="shared" si="129"/>
        <v>1</v>
      </c>
      <c r="L1540" s="7">
        <f t="shared" si="130"/>
        <v>45897</v>
      </c>
      <c r="M1540" s="7" t="s">
        <v>502</v>
      </c>
      <c r="N1540" s="7" t="s">
        <v>579</v>
      </c>
      <c r="O1540" s="17" t="s">
        <v>682</v>
      </c>
      <c r="P1540" s="7">
        <f t="shared" si="128"/>
        <v>8</v>
      </c>
      <c r="Q1540" s="7">
        <f t="shared" si="131"/>
        <v>2025</v>
      </c>
    </row>
    <row r="1541" spans="1:17" x14ac:dyDescent="0.25">
      <c r="A1541" s="7">
        <v>2542</v>
      </c>
      <c r="B1541" s="9" t="s">
        <v>540</v>
      </c>
      <c r="C1541" s="9" t="s">
        <v>540</v>
      </c>
      <c r="D1541" s="8">
        <v>45897</v>
      </c>
      <c r="E1541" s="7" t="s">
        <v>60</v>
      </c>
      <c r="F1541" s="7">
        <v>1</v>
      </c>
      <c r="G1541" s="7" t="s">
        <v>14</v>
      </c>
      <c r="H1541" s="7" t="s">
        <v>492</v>
      </c>
      <c r="J1541" s="7">
        <f t="shared" si="127"/>
        <v>1900</v>
      </c>
      <c r="K1541" s="7">
        <f t="shared" si="129"/>
        <v>1</v>
      </c>
      <c r="L1541" s="7">
        <f t="shared" si="130"/>
        <v>45897</v>
      </c>
      <c r="M1541" s="7" t="s">
        <v>502</v>
      </c>
      <c r="N1541" s="7" t="s">
        <v>579</v>
      </c>
      <c r="O1541" s="17" t="s">
        <v>682</v>
      </c>
      <c r="P1541" s="7">
        <f t="shared" si="128"/>
        <v>8</v>
      </c>
      <c r="Q1541" s="7">
        <f t="shared" si="131"/>
        <v>2025</v>
      </c>
    </row>
    <row r="1542" spans="1:17" x14ac:dyDescent="0.25">
      <c r="A1542" s="7">
        <v>2542</v>
      </c>
      <c r="B1542" s="9" t="s">
        <v>540</v>
      </c>
      <c r="C1542" s="9" t="s">
        <v>540</v>
      </c>
      <c r="D1542" s="8">
        <v>45897</v>
      </c>
      <c r="E1542" s="7" t="s">
        <v>60</v>
      </c>
      <c r="F1542" s="7">
        <v>1</v>
      </c>
      <c r="G1542" s="7" t="s">
        <v>14</v>
      </c>
      <c r="H1542" s="7" t="s">
        <v>492</v>
      </c>
      <c r="J1542" s="7">
        <f t="shared" si="127"/>
        <v>1900</v>
      </c>
      <c r="K1542" s="7">
        <f t="shared" si="129"/>
        <v>1</v>
      </c>
      <c r="L1542" s="7">
        <f t="shared" si="130"/>
        <v>45897</v>
      </c>
      <c r="M1542" s="7" t="s">
        <v>502</v>
      </c>
      <c r="N1542" s="7" t="s">
        <v>579</v>
      </c>
      <c r="O1542" s="17" t="s">
        <v>682</v>
      </c>
      <c r="P1542" s="7">
        <f t="shared" si="128"/>
        <v>8</v>
      </c>
      <c r="Q1542" s="7">
        <f t="shared" si="131"/>
        <v>2025</v>
      </c>
    </row>
    <row r="1543" spans="1:17" x14ac:dyDescent="0.25">
      <c r="A1543" s="7">
        <v>2542</v>
      </c>
      <c r="B1543" s="9" t="s">
        <v>540</v>
      </c>
      <c r="C1543" s="9" t="s">
        <v>540</v>
      </c>
      <c r="D1543" s="8">
        <v>45897</v>
      </c>
      <c r="E1543" s="7" t="s">
        <v>60</v>
      </c>
      <c r="F1543" s="7">
        <v>1</v>
      </c>
      <c r="G1543" s="7" t="s">
        <v>14</v>
      </c>
      <c r="H1543" s="7" t="s">
        <v>492</v>
      </c>
      <c r="J1543" s="7">
        <f t="shared" si="127"/>
        <v>1900</v>
      </c>
      <c r="K1543" s="7">
        <f t="shared" si="129"/>
        <v>1</v>
      </c>
      <c r="L1543" s="7">
        <f t="shared" si="130"/>
        <v>45897</v>
      </c>
      <c r="M1543" s="7" t="s">
        <v>502</v>
      </c>
      <c r="N1543" s="7" t="s">
        <v>579</v>
      </c>
      <c r="O1543" s="17" t="s">
        <v>682</v>
      </c>
      <c r="P1543" s="7">
        <f t="shared" si="128"/>
        <v>8</v>
      </c>
      <c r="Q1543" s="7">
        <f t="shared" si="131"/>
        <v>2025</v>
      </c>
    </row>
    <row r="1544" spans="1:17" x14ac:dyDescent="0.25">
      <c r="A1544" s="7">
        <v>2542</v>
      </c>
      <c r="B1544" s="9" t="s">
        <v>540</v>
      </c>
      <c r="C1544" s="9" t="s">
        <v>540</v>
      </c>
      <c r="D1544" s="8">
        <v>45897</v>
      </c>
      <c r="E1544" s="7" t="s">
        <v>60</v>
      </c>
      <c r="F1544" s="7">
        <v>1</v>
      </c>
      <c r="G1544" s="7" t="s">
        <v>14</v>
      </c>
      <c r="H1544" s="7" t="s">
        <v>492</v>
      </c>
      <c r="J1544" s="7">
        <f t="shared" si="127"/>
        <v>1900</v>
      </c>
      <c r="K1544" s="7">
        <f t="shared" si="129"/>
        <v>1</v>
      </c>
      <c r="L1544" s="7">
        <f t="shared" si="130"/>
        <v>45897</v>
      </c>
      <c r="M1544" s="7" t="s">
        <v>502</v>
      </c>
      <c r="N1544" s="7" t="s">
        <v>579</v>
      </c>
      <c r="O1544" s="17" t="s">
        <v>682</v>
      </c>
      <c r="P1544" s="7">
        <f t="shared" si="128"/>
        <v>8</v>
      </c>
      <c r="Q1544" s="7">
        <f t="shared" si="131"/>
        <v>2025</v>
      </c>
    </row>
    <row r="1545" spans="1:17" x14ac:dyDescent="0.25">
      <c r="A1545" s="7">
        <v>2542</v>
      </c>
      <c r="B1545" s="9" t="s">
        <v>540</v>
      </c>
      <c r="C1545" s="9" t="s">
        <v>540</v>
      </c>
      <c r="D1545" s="8">
        <v>45897</v>
      </c>
      <c r="E1545" s="7" t="s">
        <v>60</v>
      </c>
      <c r="F1545" s="7">
        <v>1</v>
      </c>
      <c r="G1545" s="7" t="s">
        <v>14</v>
      </c>
      <c r="H1545" s="7" t="s">
        <v>492</v>
      </c>
      <c r="J1545" s="7">
        <f t="shared" si="127"/>
        <v>1900</v>
      </c>
      <c r="K1545" s="7">
        <f t="shared" si="129"/>
        <v>1</v>
      </c>
      <c r="L1545" s="7">
        <f t="shared" si="130"/>
        <v>45897</v>
      </c>
      <c r="M1545" s="7" t="s">
        <v>502</v>
      </c>
      <c r="N1545" s="7" t="s">
        <v>579</v>
      </c>
      <c r="O1545" s="17" t="s">
        <v>682</v>
      </c>
      <c r="P1545" s="7">
        <f t="shared" si="128"/>
        <v>8</v>
      </c>
      <c r="Q1545" s="7">
        <f t="shared" si="131"/>
        <v>2025</v>
      </c>
    </row>
    <row r="1546" spans="1:17" x14ac:dyDescent="0.25">
      <c r="A1546" s="7">
        <v>2542</v>
      </c>
      <c r="B1546" s="9" t="s">
        <v>540</v>
      </c>
      <c r="C1546" s="9" t="s">
        <v>540</v>
      </c>
      <c r="D1546" s="8">
        <v>45897</v>
      </c>
      <c r="E1546" s="7" t="s">
        <v>60</v>
      </c>
      <c r="F1546" s="7">
        <v>1</v>
      </c>
      <c r="G1546" s="7" t="s">
        <v>14</v>
      </c>
      <c r="H1546" s="7" t="s">
        <v>492</v>
      </c>
      <c r="J1546" s="7">
        <f t="shared" si="127"/>
        <v>1900</v>
      </c>
      <c r="K1546" s="7">
        <f t="shared" si="129"/>
        <v>1</v>
      </c>
      <c r="L1546" s="7">
        <f t="shared" si="130"/>
        <v>45897</v>
      </c>
      <c r="M1546" s="7" t="s">
        <v>502</v>
      </c>
      <c r="N1546" s="7" t="s">
        <v>579</v>
      </c>
      <c r="O1546" s="17" t="s">
        <v>682</v>
      </c>
      <c r="P1546" s="7">
        <f t="shared" si="128"/>
        <v>8</v>
      </c>
      <c r="Q1546" s="7">
        <f t="shared" si="131"/>
        <v>2025</v>
      </c>
    </row>
    <row r="1547" spans="1:17" x14ac:dyDescent="0.25">
      <c r="A1547" s="7">
        <v>2542</v>
      </c>
      <c r="B1547" s="9" t="s">
        <v>540</v>
      </c>
      <c r="C1547" s="9" t="s">
        <v>540</v>
      </c>
      <c r="D1547" s="8">
        <v>45897</v>
      </c>
      <c r="E1547" s="7" t="s">
        <v>60</v>
      </c>
      <c r="F1547" s="7">
        <v>1</v>
      </c>
      <c r="G1547" s="7" t="s">
        <v>14</v>
      </c>
      <c r="H1547" s="7" t="s">
        <v>492</v>
      </c>
      <c r="J1547" s="7">
        <f t="shared" si="127"/>
        <v>1900</v>
      </c>
      <c r="K1547" s="7">
        <f t="shared" si="129"/>
        <v>1</v>
      </c>
      <c r="L1547" s="7">
        <f t="shared" si="130"/>
        <v>45897</v>
      </c>
      <c r="M1547" s="7" t="s">
        <v>502</v>
      </c>
      <c r="N1547" s="7" t="s">
        <v>579</v>
      </c>
      <c r="O1547" s="17" t="s">
        <v>682</v>
      </c>
      <c r="P1547" s="7">
        <f t="shared" si="128"/>
        <v>8</v>
      </c>
      <c r="Q1547" s="7">
        <f t="shared" si="131"/>
        <v>2025</v>
      </c>
    </row>
    <row r="1548" spans="1:17" x14ac:dyDescent="0.25">
      <c r="A1548" s="7">
        <v>2542</v>
      </c>
      <c r="B1548" s="9" t="s">
        <v>540</v>
      </c>
      <c r="C1548" s="9" t="s">
        <v>540</v>
      </c>
      <c r="D1548" s="8">
        <v>45897</v>
      </c>
      <c r="E1548" s="7" t="s">
        <v>60</v>
      </c>
      <c r="F1548" s="7">
        <v>1</v>
      </c>
      <c r="G1548" s="7" t="s">
        <v>14</v>
      </c>
      <c r="H1548" s="7" t="s">
        <v>492</v>
      </c>
      <c r="J1548" s="7">
        <f t="shared" si="127"/>
        <v>1900</v>
      </c>
      <c r="K1548" s="7">
        <f t="shared" si="129"/>
        <v>1</v>
      </c>
      <c r="L1548" s="7">
        <f t="shared" si="130"/>
        <v>45897</v>
      </c>
      <c r="M1548" s="7" t="s">
        <v>502</v>
      </c>
      <c r="N1548" s="7" t="s">
        <v>579</v>
      </c>
      <c r="O1548" s="17" t="s">
        <v>682</v>
      </c>
      <c r="P1548" s="7">
        <f t="shared" si="128"/>
        <v>8</v>
      </c>
      <c r="Q1548" s="7">
        <f t="shared" si="131"/>
        <v>2025</v>
      </c>
    </row>
    <row r="1549" spans="1:17" x14ac:dyDescent="0.25">
      <c r="A1549" s="7">
        <v>2542</v>
      </c>
      <c r="B1549" s="9" t="s">
        <v>540</v>
      </c>
      <c r="C1549" s="9" t="s">
        <v>540</v>
      </c>
      <c r="D1549" s="8">
        <v>45897</v>
      </c>
      <c r="E1549" s="7" t="s">
        <v>60</v>
      </c>
      <c r="F1549" s="7">
        <v>1</v>
      </c>
      <c r="G1549" s="7" t="s">
        <v>14</v>
      </c>
      <c r="H1549" s="7" t="s">
        <v>492</v>
      </c>
      <c r="J1549" s="7">
        <f t="shared" si="127"/>
        <v>1900</v>
      </c>
      <c r="K1549" s="7">
        <f t="shared" si="129"/>
        <v>1</v>
      </c>
      <c r="L1549" s="7">
        <f t="shared" si="130"/>
        <v>45897</v>
      </c>
      <c r="M1549" s="7" t="s">
        <v>502</v>
      </c>
      <c r="N1549" s="7" t="s">
        <v>579</v>
      </c>
      <c r="O1549" s="17" t="s">
        <v>682</v>
      </c>
      <c r="P1549" s="7">
        <f t="shared" si="128"/>
        <v>8</v>
      </c>
      <c r="Q1549" s="7">
        <f t="shared" si="131"/>
        <v>2025</v>
      </c>
    </row>
    <row r="1550" spans="1:17" x14ac:dyDescent="0.25">
      <c r="A1550" s="7">
        <v>2542</v>
      </c>
      <c r="B1550" s="9" t="s">
        <v>540</v>
      </c>
      <c r="C1550" s="9" t="s">
        <v>540</v>
      </c>
      <c r="D1550" s="8">
        <v>45897</v>
      </c>
      <c r="E1550" s="7" t="s">
        <v>60</v>
      </c>
      <c r="F1550" s="7">
        <v>1</v>
      </c>
      <c r="G1550" s="7" t="s">
        <v>14</v>
      </c>
      <c r="H1550" s="7" t="s">
        <v>492</v>
      </c>
      <c r="J1550" s="7">
        <f t="shared" si="127"/>
        <v>1900</v>
      </c>
      <c r="K1550" s="7">
        <f t="shared" si="129"/>
        <v>1</v>
      </c>
      <c r="L1550" s="7">
        <f t="shared" si="130"/>
        <v>45897</v>
      </c>
      <c r="M1550" s="7" t="s">
        <v>502</v>
      </c>
      <c r="N1550" s="7" t="s">
        <v>579</v>
      </c>
      <c r="O1550" s="17" t="s">
        <v>682</v>
      </c>
      <c r="P1550" s="7">
        <f t="shared" si="128"/>
        <v>8</v>
      </c>
      <c r="Q1550" s="7">
        <f t="shared" si="131"/>
        <v>2025</v>
      </c>
    </row>
    <row r="1551" spans="1:17" x14ac:dyDescent="0.25">
      <c r="A1551" s="7">
        <v>2542</v>
      </c>
      <c r="B1551" s="9" t="s">
        <v>540</v>
      </c>
      <c r="C1551" s="9" t="s">
        <v>540</v>
      </c>
      <c r="D1551" s="8">
        <v>45897</v>
      </c>
      <c r="E1551" s="7" t="s">
        <v>60</v>
      </c>
      <c r="F1551" s="7">
        <v>1</v>
      </c>
      <c r="G1551" s="7" t="s">
        <v>14</v>
      </c>
      <c r="H1551" s="7" t="s">
        <v>492</v>
      </c>
      <c r="J1551" s="7">
        <f t="shared" si="127"/>
        <v>1900</v>
      </c>
      <c r="K1551" s="7">
        <f t="shared" si="129"/>
        <v>1</v>
      </c>
      <c r="L1551" s="7">
        <f t="shared" si="130"/>
        <v>45897</v>
      </c>
      <c r="M1551" s="7" t="s">
        <v>502</v>
      </c>
      <c r="N1551" s="7" t="s">
        <v>579</v>
      </c>
      <c r="O1551" s="17" t="s">
        <v>682</v>
      </c>
      <c r="P1551" s="7">
        <f t="shared" si="128"/>
        <v>8</v>
      </c>
      <c r="Q1551" s="7">
        <f t="shared" si="131"/>
        <v>2025</v>
      </c>
    </row>
    <row r="1552" spans="1:17" x14ac:dyDescent="0.25">
      <c r="A1552" s="7">
        <v>2542</v>
      </c>
      <c r="B1552" s="9" t="s">
        <v>540</v>
      </c>
      <c r="C1552" s="9" t="s">
        <v>540</v>
      </c>
      <c r="D1552" s="8">
        <v>45897</v>
      </c>
      <c r="E1552" s="7" t="s">
        <v>60</v>
      </c>
      <c r="F1552" s="7">
        <v>1</v>
      </c>
      <c r="G1552" s="7" t="s">
        <v>14</v>
      </c>
      <c r="H1552" s="7" t="s">
        <v>492</v>
      </c>
      <c r="J1552" s="7">
        <f t="shared" si="127"/>
        <v>1900</v>
      </c>
      <c r="K1552" s="7">
        <f t="shared" si="129"/>
        <v>1</v>
      </c>
      <c r="L1552" s="7">
        <f t="shared" si="130"/>
        <v>45897</v>
      </c>
      <c r="M1552" s="7" t="s">
        <v>502</v>
      </c>
      <c r="N1552" s="7" t="s">
        <v>579</v>
      </c>
      <c r="O1552" s="17" t="s">
        <v>682</v>
      </c>
      <c r="P1552" s="7">
        <f t="shared" si="128"/>
        <v>8</v>
      </c>
      <c r="Q1552" s="7">
        <f t="shared" si="131"/>
        <v>2025</v>
      </c>
    </row>
    <row r="1553" spans="1:17" x14ac:dyDescent="0.25">
      <c r="A1553" s="7">
        <v>2542</v>
      </c>
      <c r="B1553" s="9" t="s">
        <v>540</v>
      </c>
      <c r="C1553" s="9" t="s">
        <v>540</v>
      </c>
      <c r="D1553" s="8">
        <v>45897</v>
      </c>
      <c r="E1553" s="7" t="s">
        <v>60</v>
      </c>
      <c r="F1553" s="7">
        <v>1</v>
      </c>
      <c r="G1553" s="7" t="s">
        <v>14</v>
      </c>
      <c r="H1553" s="7" t="s">
        <v>492</v>
      </c>
      <c r="J1553" s="7">
        <f t="shared" ref="J1553:J1616" si="132">YEAR(I1553)</f>
        <v>1900</v>
      </c>
      <c r="K1553" s="7">
        <f t="shared" si="129"/>
        <v>1</v>
      </c>
      <c r="L1553" s="7">
        <f t="shared" si="130"/>
        <v>45897</v>
      </c>
      <c r="M1553" s="7" t="s">
        <v>502</v>
      </c>
      <c r="N1553" s="7" t="s">
        <v>579</v>
      </c>
      <c r="O1553" s="17" t="s">
        <v>682</v>
      </c>
      <c r="P1553" s="7">
        <f t="shared" si="128"/>
        <v>8</v>
      </c>
      <c r="Q1553" s="7">
        <f t="shared" si="131"/>
        <v>2025</v>
      </c>
    </row>
    <row r="1554" spans="1:17" x14ac:dyDescent="0.25">
      <c r="A1554" s="7">
        <v>2542</v>
      </c>
      <c r="B1554" s="9" t="s">
        <v>540</v>
      </c>
      <c r="C1554" s="9" t="s">
        <v>540</v>
      </c>
      <c r="D1554" s="8">
        <v>45897</v>
      </c>
      <c r="E1554" s="7" t="s">
        <v>60</v>
      </c>
      <c r="F1554" s="7">
        <v>1</v>
      </c>
      <c r="G1554" s="7" t="s">
        <v>14</v>
      </c>
      <c r="H1554" s="7" t="s">
        <v>492</v>
      </c>
      <c r="J1554" s="7">
        <f t="shared" si="132"/>
        <v>1900</v>
      </c>
      <c r="K1554" s="7">
        <f t="shared" si="129"/>
        <v>1</v>
      </c>
      <c r="L1554" s="7">
        <f t="shared" si="130"/>
        <v>45897</v>
      </c>
      <c r="M1554" s="7" t="s">
        <v>502</v>
      </c>
      <c r="N1554" s="7" t="s">
        <v>579</v>
      </c>
      <c r="O1554" s="17" t="s">
        <v>682</v>
      </c>
      <c r="P1554" s="7">
        <f t="shared" si="128"/>
        <v>8</v>
      </c>
      <c r="Q1554" s="7">
        <f t="shared" si="131"/>
        <v>2025</v>
      </c>
    </row>
    <row r="1555" spans="1:17" x14ac:dyDescent="0.25">
      <c r="A1555" s="7">
        <v>2542</v>
      </c>
      <c r="B1555" s="9" t="s">
        <v>540</v>
      </c>
      <c r="C1555" s="9" t="s">
        <v>540</v>
      </c>
      <c r="D1555" s="8">
        <v>45897</v>
      </c>
      <c r="E1555" s="7" t="s">
        <v>60</v>
      </c>
      <c r="F1555" s="7">
        <v>1</v>
      </c>
      <c r="G1555" s="7" t="s">
        <v>14</v>
      </c>
      <c r="H1555" s="7" t="s">
        <v>492</v>
      </c>
      <c r="J1555" s="7">
        <f t="shared" si="132"/>
        <v>1900</v>
      </c>
      <c r="K1555" s="7">
        <f t="shared" si="129"/>
        <v>1</v>
      </c>
      <c r="L1555" s="7">
        <f t="shared" si="130"/>
        <v>45897</v>
      </c>
      <c r="M1555" s="7" t="s">
        <v>502</v>
      </c>
      <c r="N1555" s="7" t="s">
        <v>579</v>
      </c>
      <c r="O1555" s="17" t="s">
        <v>682</v>
      </c>
      <c r="P1555" s="7">
        <f t="shared" si="128"/>
        <v>8</v>
      </c>
      <c r="Q1555" s="7">
        <f t="shared" si="131"/>
        <v>2025</v>
      </c>
    </row>
    <row r="1556" spans="1:17" x14ac:dyDescent="0.25">
      <c r="A1556" s="7">
        <v>2542</v>
      </c>
      <c r="B1556" s="9" t="s">
        <v>540</v>
      </c>
      <c r="C1556" s="9" t="s">
        <v>540</v>
      </c>
      <c r="D1556" s="8">
        <v>45897</v>
      </c>
      <c r="E1556" s="7" t="s">
        <v>60</v>
      </c>
      <c r="F1556" s="7">
        <v>1</v>
      </c>
      <c r="G1556" s="7" t="s">
        <v>14</v>
      </c>
      <c r="H1556" s="7" t="s">
        <v>492</v>
      </c>
      <c r="J1556" s="7">
        <f t="shared" si="132"/>
        <v>1900</v>
      </c>
      <c r="K1556" s="7">
        <f t="shared" si="129"/>
        <v>1</v>
      </c>
      <c r="L1556" s="7">
        <f t="shared" si="130"/>
        <v>45897</v>
      </c>
      <c r="M1556" s="7" t="s">
        <v>502</v>
      </c>
      <c r="N1556" s="7" t="s">
        <v>579</v>
      </c>
      <c r="O1556" s="17" t="s">
        <v>682</v>
      </c>
      <c r="P1556" s="7">
        <f t="shared" si="128"/>
        <v>8</v>
      </c>
      <c r="Q1556" s="7">
        <f t="shared" si="131"/>
        <v>2025</v>
      </c>
    </row>
    <row r="1557" spans="1:17" x14ac:dyDescent="0.25">
      <c r="A1557" s="7">
        <v>2542</v>
      </c>
      <c r="B1557" s="9" t="s">
        <v>540</v>
      </c>
      <c r="C1557" s="9" t="s">
        <v>540</v>
      </c>
      <c r="D1557" s="8">
        <v>45897</v>
      </c>
      <c r="E1557" s="7" t="s">
        <v>60</v>
      </c>
      <c r="F1557" s="7">
        <v>1</v>
      </c>
      <c r="G1557" s="7" t="s">
        <v>14</v>
      </c>
      <c r="H1557" s="7" t="s">
        <v>492</v>
      </c>
      <c r="J1557" s="7">
        <f t="shared" si="132"/>
        <v>1900</v>
      </c>
      <c r="K1557" s="7">
        <f t="shared" si="129"/>
        <v>1</v>
      </c>
      <c r="L1557" s="7">
        <f t="shared" si="130"/>
        <v>45897</v>
      </c>
      <c r="M1557" s="7" t="s">
        <v>502</v>
      </c>
      <c r="N1557" s="7" t="s">
        <v>579</v>
      </c>
      <c r="O1557" s="17" t="s">
        <v>682</v>
      </c>
      <c r="P1557" s="7">
        <f t="shared" si="128"/>
        <v>8</v>
      </c>
      <c r="Q1557" s="7">
        <f t="shared" si="131"/>
        <v>2025</v>
      </c>
    </row>
    <row r="1558" spans="1:17" x14ac:dyDescent="0.25">
      <c r="A1558" s="7">
        <v>2542</v>
      </c>
      <c r="B1558" s="9" t="s">
        <v>540</v>
      </c>
      <c r="C1558" s="9" t="s">
        <v>540</v>
      </c>
      <c r="D1558" s="8">
        <v>45897</v>
      </c>
      <c r="E1558" s="7" t="s">
        <v>60</v>
      </c>
      <c r="F1558" s="7">
        <v>1</v>
      </c>
      <c r="G1558" s="7" t="s">
        <v>14</v>
      </c>
      <c r="H1558" s="7" t="s">
        <v>492</v>
      </c>
      <c r="J1558" s="7">
        <f t="shared" si="132"/>
        <v>1900</v>
      </c>
      <c r="K1558" s="7">
        <f t="shared" si="129"/>
        <v>1</v>
      </c>
      <c r="L1558" s="7">
        <f t="shared" si="130"/>
        <v>45897</v>
      </c>
      <c r="M1558" s="7" t="s">
        <v>502</v>
      </c>
      <c r="N1558" s="7" t="s">
        <v>579</v>
      </c>
      <c r="O1558" s="17" t="s">
        <v>682</v>
      </c>
      <c r="P1558" s="7">
        <f t="shared" si="128"/>
        <v>8</v>
      </c>
      <c r="Q1558" s="7">
        <f t="shared" si="131"/>
        <v>2025</v>
      </c>
    </row>
    <row r="1559" spans="1:17" x14ac:dyDescent="0.25">
      <c r="A1559" s="7">
        <v>2542</v>
      </c>
      <c r="B1559" s="9" t="s">
        <v>540</v>
      </c>
      <c r="C1559" s="9" t="s">
        <v>540</v>
      </c>
      <c r="D1559" s="8">
        <v>45897</v>
      </c>
      <c r="E1559" s="7" t="s">
        <v>60</v>
      </c>
      <c r="F1559" s="7">
        <v>1</v>
      </c>
      <c r="G1559" s="7" t="s">
        <v>14</v>
      </c>
      <c r="H1559" s="7" t="s">
        <v>492</v>
      </c>
      <c r="J1559" s="7">
        <f t="shared" si="132"/>
        <v>1900</v>
      </c>
      <c r="K1559" s="7">
        <f t="shared" si="129"/>
        <v>1</v>
      </c>
      <c r="L1559" s="7">
        <f t="shared" si="130"/>
        <v>45897</v>
      </c>
      <c r="M1559" s="7" t="s">
        <v>502</v>
      </c>
      <c r="N1559" s="7" t="s">
        <v>579</v>
      </c>
      <c r="O1559" s="17" t="s">
        <v>682</v>
      </c>
      <c r="P1559" s="7">
        <f t="shared" si="128"/>
        <v>8</v>
      </c>
      <c r="Q1559" s="7">
        <f t="shared" si="131"/>
        <v>2025</v>
      </c>
    </row>
    <row r="1560" spans="1:17" x14ac:dyDescent="0.25">
      <c r="A1560" s="7">
        <v>2542</v>
      </c>
      <c r="B1560" s="9" t="s">
        <v>540</v>
      </c>
      <c r="C1560" s="9" t="s">
        <v>540</v>
      </c>
      <c r="D1560" s="8">
        <v>45897</v>
      </c>
      <c r="E1560" s="7" t="s">
        <v>60</v>
      </c>
      <c r="F1560" s="7">
        <v>1</v>
      </c>
      <c r="G1560" s="7" t="s">
        <v>14</v>
      </c>
      <c r="H1560" s="7" t="s">
        <v>492</v>
      </c>
      <c r="J1560" s="7">
        <f t="shared" si="132"/>
        <v>1900</v>
      </c>
      <c r="K1560" s="7">
        <f t="shared" si="129"/>
        <v>1</v>
      </c>
      <c r="L1560" s="7">
        <f t="shared" si="130"/>
        <v>45897</v>
      </c>
      <c r="M1560" s="7" t="s">
        <v>502</v>
      </c>
      <c r="N1560" s="7" t="s">
        <v>579</v>
      </c>
      <c r="O1560" s="17" t="s">
        <v>682</v>
      </c>
      <c r="P1560" s="7">
        <f t="shared" si="128"/>
        <v>8</v>
      </c>
      <c r="Q1560" s="7">
        <f t="shared" si="131"/>
        <v>2025</v>
      </c>
    </row>
    <row r="1561" spans="1:17" x14ac:dyDescent="0.25">
      <c r="A1561" s="7">
        <v>2542</v>
      </c>
      <c r="B1561" s="9" t="s">
        <v>540</v>
      </c>
      <c r="C1561" s="9" t="s">
        <v>540</v>
      </c>
      <c r="D1561" s="8">
        <v>45897</v>
      </c>
      <c r="E1561" s="7" t="s">
        <v>60</v>
      </c>
      <c r="F1561" s="7">
        <v>1</v>
      </c>
      <c r="G1561" s="7" t="s">
        <v>14</v>
      </c>
      <c r="H1561" s="7" t="s">
        <v>492</v>
      </c>
      <c r="J1561" s="7">
        <f t="shared" si="132"/>
        <v>1900</v>
      </c>
      <c r="K1561" s="7">
        <f t="shared" si="129"/>
        <v>1</v>
      </c>
      <c r="L1561" s="7">
        <f t="shared" si="130"/>
        <v>45897</v>
      </c>
      <c r="M1561" s="7" t="s">
        <v>502</v>
      </c>
      <c r="N1561" s="7" t="s">
        <v>579</v>
      </c>
      <c r="O1561" s="17" t="s">
        <v>682</v>
      </c>
      <c r="P1561" s="7">
        <f t="shared" si="128"/>
        <v>8</v>
      </c>
      <c r="Q1561" s="7">
        <f t="shared" si="131"/>
        <v>2025</v>
      </c>
    </row>
    <row r="1562" spans="1:17" x14ac:dyDescent="0.25">
      <c r="A1562" s="7">
        <v>2542</v>
      </c>
      <c r="B1562" s="9" t="s">
        <v>540</v>
      </c>
      <c r="C1562" s="9" t="s">
        <v>540</v>
      </c>
      <c r="D1562" s="8">
        <v>45897</v>
      </c>
      <c r="E1562" s="7" t="s">
        <v>60</v>
      </c>
      <c r="F1562" s="7">
        <v>1</v>
      </c>
      <c r="G1562" s="7" t="s">
        <v>14</v>
      </c>
      <c r="H1562" s="7" t="s">
        <v>492</v>
      </c>
      <c r="J1562" s="7">
        <f t="shared" si="132"/>
        <v>1900</v>
      </c>
      <c r="K1562" s="7">
        <f t="shared" si="129"/>
        <v>1</v>
      </c>
      <c r="L1562" s="7">
        <f t="shared" si="130"/>
        <v>45897</v>
      </c>
      <c r="M1562" s="7" t="s">
        <v>502</v>
      </c>
      <c r="N1562" s="7" t="s">
        <v>579</v>
      </c>
      <c r="O1562" s="17" t="s">
        <v>682</v>
      </c>
      <c r="P1562" s="7">
        <f t="shared" ref="P1562:P1625" si="133">MONTH(D1562)</f>
        <v>8</v>
      </c>
      <c r="Q1562" s="7">
        <f t="shared" si="131"/>
        <v>2025</v>
      </c>
    </row>
    <row r="1563" spans="1:17" x14ac:dyDescent="0.25">
      <c r="A1563" s="7">
        <v>2542</v>
      </c>
      <c r="B1563" s="9" t="s">
        <v>540</v>
      </c>
      <c r="C1563" s="9" t="s">
        <v>540</v>
      </c>
      <c r="D1563" s="8">
        <v>45897</v>
      </c>
      <c r="E1563" s="7" t="s">
        <v>60</v>
      </c>
      <c r="F1563" s="7">
        <v>1</v>
      </c>
      <c r="G1563" s="7" t="s">
        <v>14</v>
      </c>
      <c r="H1563" s="7" t="s">
        <v>492</v>
      </c>
      <c r="J1563" s="7">
        <f t="shared" si="132"/>
        <v>1900</v>
      </c>
      <c r="K1563" s="7">
        <f t="shared" si="129"/>
        <v>1</v>
      </c>
      <c r="L1563" s="7">
        <f t="shared" si="130"/>
        <v>45897</v>
      </c>
      <c r="M1563" s="7" t="s">
        <v>502</v>
      </c>
      <c r="N1563" s="7" t="s">
        <v>579</v>
      </c>
      <c r="O1563" s="17" t="s">
        <v>682</v>
      </c>
      <c r="P1563" s="7">
        <f t="shared" si="133"/>
        <v>8</v>
      </c>
      <c r="Q1563" s="7">
        <f t="shared" si="131"/>
        <v>2025</v>
      </c>
    </row>
    <row r="1564" spans="1:17" x14ac:dyDescent="0.25">
      <c r="A1564" s="7">
        <v>2542</v>
      </c>
      <c r="B1564" s="9" t="s">
        <v>540</v>
      </c>
      <c r="C1564" s="9" t="s">
        <v>540</v>
      </c>
      <c r="D1564" s="8">
        <v>45897</v>
      </c>
      <c r="E1564" s="7" t="s">
        <v>60</v>
      </c>
      <c r="F1564" s="7">
        <v>1</v>
      </c>
      <c r="G1564" s="7" t="s">
        <v>14</v>
      </c>
      <c r="H1564" s="7" t="s">
        <v>492</v>
      </c>
      <c r="J1564" s="7">
        <f t="shared" si="132"/>
        <v>1900</v>
      </c>
      <c r="K1564" s="7">
        <f t="shared" si="129"/>
        <v>1</v>
      </c>
      <c r="L1564" s="7">
        <f t="shared" si="130"/>
        <v>45897</v>
      </c>
      <c r="M1564" s="7" t="s">
        <v>502</v>
      </c>
      <c r="N1564" s="7" t="s">
        <v>579</v>
      </c>
      <c r="O1564" s="17" t="s">
        <v>682</v>
      </c>
      <c r="P1564" s="7">
        <f t="shared" si="133"/>
        <v>8</v>
      </c>
      <c r="Q1564" s="7">
        <f t="shared" si="131"/>
        <v>2025</v>
      </c>
    </row>
    <row r="1565" spans="1:17" x14ac:dyDescent="0.25">
      <c r="A1565" s="7">
        <v>2542</v>
      </c>
      <c r="B1565" s="9" t="s">
        <v>540</v>
      </c>
      <c r="C1565" s="9" t="s">
        <v>540</v>
      </c>
      <c r="D1565" s="8">
        <v>45897</v>
      </c>
      <c r="E1565" s="7" t="s">
        <v>60</v>
      </c>
      <c r="F1565" s="7">
        <v>1</v>
      </c>
      <c r="G1565" s="7" t="s">
        <v>14</v>
      </c>
      <c r="H1565" s="7" t="s">
        <v>492</v>
      </c>
      <c r="J1565" s="7">
        <f t="shared" si="132"/>
        <v>1900</v>
      </c>
      <c r="K1565" s="7">
        <f t="shared" si="129"/>
        <v>1</v>
      </c>
      <c r="L1565" s="7">
        <f t="shared" si="130"/>
        <v>45897</v>
      </c>
      <c r="M1565" s="7" t="s">
        <v>502</v>
      </c>
      <c r="N1565" s="7" t="s">
        <v>579</v>
      </c>
      <c r="O1565" s="17" t="s">
        <v>682</v>
      </c>
      <c r="P1565" s="7">
        <f t="shared" si="133"/>
        <v>8</v>
      </c>
      <c r="Q1565" s="7">
        <f t="shared" si="131"/>
        <v>2025</v>
      </c>
    </row>
    <row r="1566" spans="1:17" x14ac:dyDescent="0.25">
      <c r="A1566" s="7">
        <v>2542</v>
      </c>
      <c r="B1566" s="9" t="s">
        <v>540</v>
      </c>
      <c r="C1566" s="9" t="s">
        <v>540</v>
      </c>
      <c r="D1566" s="8">
        <v>45897</v>
      </c>
      <c r="E1566" s="7" t="s">
        <v>60</v>
      </c>
      <c r="F1566" s="7">
        <v>1</v>
      </c>
      <c r="G1566" s="7" t="s">
        <v>14</v>
      </c>
      <c r="H1566" s="7" t="s">
        <v>492</v>
      </c>
      <c r="J1566" s="7">
        <f t="shared" si="132"/>
        <v>1900</v>
      </c>
      <c r="K1566" s="7">
        <f t="shared" si="129"/>
        <v>1</v>
      </c>
      <c r="L1566" s="7">
        <f t="shared" si="130"/>
        <v>45897</v>
      </c>
      <c r="M1566" s="7" t="s">
        <v>502</v>
      </c>
      <c r="N1566" s="7" t="s">
        <v>579</v>
      </c>
      <c r="O1566" s="17" t="s">
        <v>682</v>
      </c>
      <c r="P1566" s="7">
        <f t="shared" si="133"/>
        <v>8</v>
      </c>
      <c r="Q1566" s="7">
        <f t="shared" si="131"/>
        <v>2025</v>
      </c>
    </row>
    <row r="1567" spans="1:17" x14ac:dyDescent="0.25">
      <c r="A1567" s="7">
        <v>2542</v>
      </c>
      <c r="B1567" s="9" t="s">
        <v>540</v>
      </c>
      <c r="C1567" s="9" t="s">
        <v>540</v>
      </c>
      <c r="D1567" s="8">
        <v>45897</v>
      </c>
      <c r="E1567" s="7" t="s">
        <v>60</v>
      </c>
      <c r="F1567" s="7">
        <v>1</v>
      </c>
      <c r="G1567" s="7" t="s">
        <v>14</v>
      </c>
      <c r="H1567" s="7" t="s">
        <v>492</v>
      </c>
      <c r="J1567" s="7">
        <f t="shared" si="132"/>
        <v>1900</v>
      </c>
      <c r="K1567" s="7">
        <f t="shared" si="129"/>
        <v>1</v>
      </c>
      <c r="L1567" s="7">
        <f t="shared" si="130"/>
        <v>45897</v>
      </c>
      <c r="M1567" s="7" t="s">
        <v>502</v>
      </c>
      <c r="N1567" s="7" t="s">
        <v>579</v>
      </c>
      <c r="O1567" s="17" t="s">
        <v>682</v>
      </c>
      <c r="P1567" s="7">
        <f t="shared" si="133"/>
        <v>8</v>
      </c>
      <c r="Q1567" s="7">
        <f t="shared" si="131"/>
        <v>2025</v>
      </c>
    </row>
    <row r="1568" spans="1:17" x14ac:dyDescent="0.25">
      <c r="A1568" s="7">
        <v>2542</v>
      </c>
      <c r="B1568" s="9" t="s">
        <v>540</v>
      </c>
      <c r="C1568" s="9" t="s">
        <v>540</v>
      </c>
      <c r="D1568" s="8">
        <v>45897</v>
      </c>
      <c r="E1568" s="7" t="s">
        <v>60</v>
      </c>
      <c r="F1568" s="7">
        <v>1</v>
      </c>
      <c r="G1568" s="7" t="s">
        <v>14</v>
      </c>
      <c r="H1568" s="7" t="s">
        <v>492</v>
      </c>
      <c r="J1568" s="7">
        <f t="shared" si="132"/>
        <v>1900</v>
      </c>
      <c r="K1568" s="7">
        <f t="shared" si="129"/>
        <v>1</v>
      </c>
      <c r="L1568" s="7">
        <f t="shared" si="130"/>
        <v>45897</v>
      </c>
      <c r="M1568" s="7" t="s">
        <v>502</v>
      </c>
      <c r="N1568" s="7" t="s">
        <v>579</v>
      </c>
      <c r="O1568" s="17" t="s">
        <v>682</v>
      </c>
      <c r="P1568" s="7">
        <f t="shared" si="133"/>
        <v>8</v>
      </c>
      <c r="Q1568" s="7">
        <f t="shared" si="131"/>
        <v>2025</v>
      </c>
    </row>
    <row r="1569" spans="1:17" x14ac:dyDescent="0.25">
      <c r="A1569" s="7">
        <v>2542</v>
      </c>
      <c r="B1569" s="9" t="s">
        <v>540</v>
      </c>
      <c r="C1569" s="9" t="s">
        <v>540</v>
      </c>
      <c r="D1569" s="8">
        <v>45897</v>
      </c>
      <c r="E1569" s="7" t="s">
        <v>60</v>
      </c>
      <c r="F1569" s="7">
        <v>1</v>
      </c>
      <c r="G1569" s="7" t="s">
        <v>14</v>
      </c>
      <c r="H1569" s="7" t="s">
        <v>492</v>
      </c>
      <c r="J1569" s="7">
        <f t="shared" si="132"/>
        <v>1900</v>
      </c>
      <c r="K1569" s="7">
        <f t="shared" si="129"/>
        <v>1</v>
      </c>
      <c r="L1569" s="7">
        <f t="shared" si="130"/>
        <v>45897</v>
      </c>
      <c r="M1569" s="7" t="s">
        <v>502</v>
      </c>
      <c r="N1569" s="7" t="s">
        <v>579</v>
      </c>
      <c r="O1569" s="17" t="s">
        <v>682</v>
      </c>
      <c r="P1569" s="7">
        <f t="shared" si="133"/>
        <v>8</v>
      </c>
      <c r="Q1569" s="7">
        <f t="shared" si="131"/>
        <v>2025</v>
      </c>
    </row>
    <row r="1570" spans="1:17" x14ac:dyDescent="0.25">
      <c r="A1570" s="7">
        <v>2542</v>
      </c>
      <c r="B1570" s="9" t="s">
        <v>540</v>
      </c>
      <c r="C1570" s="9" t="s">
        <v>540</v>
      </c>
      <c r="D1570" s="8">
        <v>45897</v>
      </c>
      <c r="E1570" s="7" t="s">
        <v>60</v>
      </c>
      <c r="F1570" s="7">
        <v>1</v>
      </c>
      <c r="G1570" s="7" t="s">
        <v>14</v>
      </c>
      <c r="H1570" s="7" t="s">
        <v>492</v>
      </c>
      <c r="J1570" s="7">
        <f t="shared" si="132"/>
        <v>1900</v>
      </c>
      <c r="K1570" s="7">
        <f t="shared" si="129"/>
        <v>1</v>
      </c>
      <c r="L1570" s="7">
        <f t="shared" si="130"/>
        <v>45897</v>
      </c>
      <c r="M1570" s="7" t="s">
        <v>502</v>
      </c>
      <c r="N1570" s="7" t="s">
        <v>579</v>
      </c>
      <c r="O1570" s="17" t="s">
        <v>682</v>
      </c>
      <c r="P1570" s="7">
        <f t="shared" si="133"/>
        <v>8</v>
      </c>
      <c r="Q1570" s="7">
        <f t="shared" si="131"/>
        <v>2025</v>
      </c>
    </row>
    <row r="1571" spans="1:17" x14ac:dyDescent="0.25">
      <c r="A1571" s="7">
        <v>2542</v>
      </c>
      <c r="B1571" s="9" t="s">
        <v>540</v>
      </c>
      <c r="C1571" s="9" t="s">
        <v>540</v>
      </c>
      <c r="D1571" s="8">
        <v>45897</v>
      </c>
      <c r="E1571" s="7" t="s">
        <v>60</v>
      </c>
      <c r="F1571" s="7">
        <v>1</v>
      </c>
      <c r="G1571" s="7" t="s">
        <v>14</v>
      </c>
      <c r="H1571" s="7" t="s">
        <v>492</v>
      </c>
      <c r="J1571" s="7">
        <f t="shared" si="132"/>
        <v>1900</v>
      </c>
      <c r="K1571" s="7">
        <f t="shared" si="129"/>
        <v>1</v>
      </c>
      <c r="L1571" s="7">
        <f t="shared" si="130"/>
        <v>45897</v>
      </c>
      <c r="M1571" s="7" t="s">
        <v>502</v>
      </c>
      <c r="N1571" s="7" t="s">
        <v>579</v>
      </c>
      <c r="O1571" s="17" t="s">
        <v>682</v>
      </c>
      <c r="P1571" s="7">
        <f t="shared" si="133"/>
        <v>8</v>
      </c>
      <c r="Q1571" s="7">
        <f t="shared" si="131"/>
        <v>2025</v>
      </c>
    </row>
    <row r="1572" spans="1:17" x14ac:dyDescent="0.25">
      <c r="A1572" s="7">
        <v>2542</v>
      </c>
      <c r="B1572" s="9" t="s">
        <v>540</v>
      </c>
      <c r="C1572" s="9" t="s">
        <v>540</v>
      </c>
      <c r="D1572" s="8">
        <v>45897</v>
      </c>
      <c r="E1572" s="7" t="s">
        <v>60</v>
      </c>
      <c r="F1572" s="7">
        <v>1</v>
      </c>
      <c r="G1572" s="7" t="s">
        <v>14</v>
      </c>
      <c r="H1572" s="7" t="s">
        <v>492</v>
      </c>
      <c r="J1572" s="7">
        <f t="shared" si="132"/>
        <v>1900</v>
      </c>
      <c r="K1572" s="7">
        <f t="shared" si="129"/>
        <v>1</v>
      </c>
      <c r="L1572" s="7">
        <f t="shared" si="130"/>
        <v>45897</v>
      </c>
      <c r="M1572" s="7" t="s">
        <v>502</v>
      </c>
      <c r="N1572" s="7" t="s">
        <v>579</v>
      </c>
      <c r="O1572" s="17" t="s">
        <v>682</v>
      </c>
      <c r="P1572" s="7">
        <f t="shared" si="133"/>
        <v>8</v>
      </c>
      <c r="Q1572" s="7">
        <f t="shared" si="131"/>
        <v>2025</v>
      </c>
    </row>
    <row r="1573" spans="1:17" x14ac:dyDescent="0.25">
      <c r="A1573" s="7">
        <v>2542</v>
      </c>
      <c r="B1573" s="9" t="s">
        <v>540</v>
      </c>
      <c r="C1573" s="9" t="s">
        <v>540</v>
      </c>
      <c r="D1573" s="8">
        <v>45897</v>
      </c>
      <c r="E1573" s="7" t="s">
        <v>60</v>
      </c>
      <c r="F1573" s="7">
        <v>1</v>
      </c>
      <c r="G1573" s="7" t="s">
        <v>14</v>
      </c>
      <c r="H1573" s="7" t="s">
        <v>492</v>
      </c>
      <c r="J1573" s="7">
        <f t="shared" si="132"/>
        <v>1900</v>
      </c>
      <c r="K1573" s="7">
        <f t="shared" si="129"/>
        <v>1</v>
      </c>
      <c r="L1573" s="7">
        <f t="shared" si="130"/>
        <v>45897</v>
      </c>
      <c r="M1573" s="7" t="s">
        <v>502</v>
      </c>
      <c r="N1573" s="7" t="s">
        <v>579</v>
      </c>
      <c r="O1573" s="17" t="s">
        <v>682</v>
      </c>
      <c r="P1573" s="7">
        <f t="shared" si="133"/>
        <v>8</v>
      </c>
      <c r="Q1573" s="7">
        <f t="shared" si="131"/>
        <v>2025</v>
      </c>
    </row>
    <row r="1574" spans="1:17" x14ac:dyDescent="0.25">
      <c r="A1574" s="7">
        <v>2542</v>
      </c>
      <c r="B1574" s="9" t="s">
        <v>540</v>
      </c>
      <c r="C1574" s="9" t="s">
        <v>540</v>
      </c>
      <c r="D1574" s="8">
        <v>45897</v>
      </c>
      <c r="E1574" s="7" t="s">
        <v>60</v>
      </c>
      <c r="F1574" s="7">
        <v>1</v>
      </c>
      <c r="G1574" s="7" t="s">
        <v>14</v>
      </c>
      <c r="H1574" s="7" t="s">
        <v>492</v>
      </c>
      <c r="J1574" s="7">
        <f t="shared" si="132"/>
        <v>1900</v>
      </c>
      <c r="K1574" s="7">
        <f t="shared" si="129"/>
        <v>1</v>
      </c>
      <c r="L1574" s="7">
        <f t="shared" si="130"/>
        <v>45897</v>
      </c>
      <c r="M1574" s="7" t="s">
        <v>502</v>
      </c>
      <c r="N1574" s="7" t="s">
        <v>579</v>
      </c>
      <c r="O1574" s="17" t="s">
        <v>682</v>
      </c>
      <c r="P1574" s="7">
        <f t="shared" si="133"/>
        <v>8</v>
      </c>
      <c r="Q1574" s="7">
        <f t="shared" si="131"/>
        <v>2025</v>
      </c>
    </row>
    <row r="1575" spans="1:17" x14ac:dyDescent="0.25">
      <c r="A1575" s="7">
        <v>2542</v>
      </c>
      <c r="B1575" s="9" t="s">
        <v>540</v>
      </c>
      <c r="C1575" s="9" t="s">
        <v>540</v>
      </c>
      <c r="D1575" s="8">
        <v>45897</v>
      </c>
      <c r="E1575" s="7" t="s">
        <v>60</v>
      </c>
      <c r="F1575" s="7">
        <v>1</v>
      </c>
      <c r="G1575" s="7" t="s">
        <v>14</v>
      </c>
      <c r="H1575" s="7" t="s">
        <v>492</v>
      </c>
      <c r="J1575" s="7">
        <f t="shared" si="132"/>
        <v>1900</v>
      </c>
      <c r="K1575" s="7">
        <f t="shared" si="129"/>
        <v>1</v>
      </c>
      <c r="L1575" s="7">
        <f t="shared" si="130"/>
        <v>45897</v>
      </c>
      <c r="M1575" s="7" t="s">
        <v>502</v>
      </c>
      <c r="N1575" s="7" t="s">
        <v>579</v>
      </c>
      <c r="O1575" s="17" t="s">
        <v>682</v>
      </c>
      <c r="P1575" s="7">
        <f t="shared" si="133"/>
        <v>8</v>
      </c>
      <c r="Q1575" s="7">
        <f t="shared" si="131"/>
        <v>2025</v>
      </c>
    </row>
    <row r="1576" spans="1:17" x14ac:dyDescent="0.25">
      <c r="A1576" s="7">
        <v>2542</v>
      </c>
      <c r="B1576" s="9" t="s">
        <v>540</v>
      </c>
      <c r="C1576" s="9" t="s">
        <v>540</v>
      </c>
      <c r="D1576" s="8">
        <v>45897</v>
      </c>
      <c r="E1576" s="7" t="s">
        <v>60</v>
      </c>
      <c r="F1576" s="7">
        <v>1</v>
      </c>
      <c r="G1576" s="7" t="s">
        <v>14</v>
      </c>
      <c r="H1576" s="7" t="s">
        <v>492</v>
      </c>
      <c r="J1576" s="7">
        <f t="shared" si="132"/>
        <v>1900</v>
      </c>
      <c r="K1576" s="7">
        <f t="shared" si="129"/>
        <v>1</v>
      </c>
      <c r="L1576" s="7">
        <f t="shared" si="130"/>
        <v>45897</v>
      </c>
      <c r="M1576" s="7" t="s">
        <v>502</v>
      </c>
      <c r="N1576" s="7" t="s">
        <v>579</v>
      </c>
      <c r="O1576" s="17" t="s">
        <v>682</v>
      </c>
      <c r="P1576" s="7">
        <f t="shared" si="133"/>
        <v>8</v>
      </c>
      <c r="Q1576" s="7">
        <f t="shared" si="131"/>
        <v>2025</v>
      </c>
    </row>
    <row r="1577" spans="1:17" x14ac:dyDescent="0.25">
      <c r="A1577" s="7">
        <v>2542</v>
      </c>
      <c r="B1577" s="9" t="s">
        <v>540</v>
      </c>
      <c r="C1577" s="9" t="s">
        <v>540</v>
      </c>
      <c r="D1577" s="8">
        <v>45897</v>
      </c>
      <c r="E1577" s="7" t="s">
        <v>60</v>
      </c>
      <c r="F1577" s="7">
        <v>1</v>
      </c>
      <c r="G1577" s="7" t="s">
        <v>14</v>
      </c>
      <c r="H1577" s="7" t="s">
        <v>492</v>
      </c>
      <c r="J1577" s="7">
        <f t="shared" si="132"/>
        <v>1900</v>
      </c>
      <c r="K1577" s="7">
        <f t="shared" si="129"/>
        <v>1</v>
      </c>
      <c r="L1577" s="7">
        <f t="shared" si="130"/>
        <v>45897</v>
      </c>
      <c r="M1577" s="7" t="s">
        <v>502</v>
      </c>
      <c r="N1577" s="7" t="s">
        <v>579</v>
      </c>
      <c r="O1577" s="17" t="s">
        <v>682</v>
      </c>
      <c r="P1577" s="7">
        <f t="shared" si="133"/>
        <v>8</v>
      </c>
      <c r="Q1577" s="7">
        <f t="shared" si="131"/>
        <v>2025</v>
      </c>
    </row>
    <row r="1578" spans="1:17" x14ac:dyDescent="0.25">
      <c r="A1578" s="7">
        <v>2542</v>
      </c>
      <c r="B1578" s="9" t="s">
        <v>540</v>
      </c>
      <c r="C1578" s="9" t="s">
        <v>540</v>
      </c>
      <c r="D1578" s="8">
        <v>45897</v>
      </c>
      <c r="E1578" s="7" t="s">
        <v>60</v>
      </c>
      <c r="F1578" s="7">
        <v>1</v>
      </c>
      <c r="G1578" s="7" t="s">
        <v>14</v>
      </c>
      <c r="H1578" s="7" t="s">
        <v>492</v>
      </c>
      <c r="J1578" s="7">
        <f t="shared" si="132"/>
        <v>1900</v>
      </c>
      <c r="K1578" s="7">
        <f t="shared" si="129"/>
        <v>1</v>
      </c>
      <c r="L1578" s="7">
        <f t="shared" si="130"/>
        <v>45897</v>
      </c>
      <c r="M1578" s="7" t="s">
        <v>502</v>
      </c>
      <c r="N1578" s="7" t="s">
        <v>579</v>
      </c>
      <c r="O1578" s="17" t="s">
        <v>682</v>
      </c>
      <c r="P1578" s="7">
        <f t="shared" si="133"/>
        <v>8</v>
      </c>
      <c r="Q1578" s="7">
        <f t="shared" si="131"/>
        <v>2025</v>
      </c>
    </row>
    <row r="1579" spans="1:17" x14ac:dyDescent="0.25">
      <c r="A1579" s="7">
        <v>2542</v>
      </c>
      <c r="B1579" s="9" t="s">
        <v>540</v>
      </c>
      <c r="C1579" s="9" t="s">
        <v>540</v>
      </c>
      <c r="D1579" s="8">
        <v>45897</v>
      </c>
      <c r="E1579" s="7" t="s">
        <v>60</v>
      </c>
      <c r="F1579" s="7">
        <v>1</v>
      </c>
      <c r="G1579" s="7" t="s">
        <v>14</v>
      </c>
      <c r="H1579" s="7" t="s">
        <v>492</v>
      </c>
      <c r="J1579" s="7">
        <f t="shared" si="132"/>
        <v>1900</v>
      </c>
      <c r="K1579" s="7">
        <f t="shared" si="129"/>
        <v>1</v>
      </c>
      <c r="L1579" s="7">
        <f t="shared" si="130"/>
        <v>45897</v>
      </c>
      <c r="M1579" s="7" t="s">
        <v>502</v>
      </c>
      <c r="N1579" s="7" t="s">
        <v>579</v>
      </c>
      <c r="O1579" s="17" t="s">
        <v>682</v>
      </c>
      <c r="P1579" s="7">
        <f t="shared" si="133"/>
        <v>8</v>
      </c>
      <c r="Q1579" s="7">
        <f t="shared" si="131"/>
        <v>2025</v>
      </c>
    </row>
    <row r="1580" spans="1:17" x14ac:dyDescent="0.25">
      <c r="A1580" s="7">
        <v>2542</v>
      </c>
      <c r="B1580" s="9" t="s">
        <v>540</v>
      </c>
      <c r="C1580" s="9" t="s">
        <v>540</v>
      </c>
      <c r="D1580" s="8">
        <v>45897</v>
      </c>
      <c r="E1580" s="7" t="s">
        <v>60</v>
      </c>
      <c r="F1580" s="7">
        <v>1</v>
      </c>
      <c r="G1580" s="7" t="s">
        <v>14</v>
      </c>
      <c r="H1580" s="7" t="s">
        <v>492</v>
      </c>
      <c r="J1580" s="7">
        <f t="shared" si="132"/>
        <v>1900</v>
      </c>
      <c r="K1580" s="7">
        <f t="shared" si="129"/>
        <v>1</v>
      </c>
      <c r="L1580" s="7">
        <f t="shared" si="130"/>
        <v>45897</v>
      </c>
      <c r="M1580" s="7" t="s">
        <v>502</v>
      </c>
      <c r="N1580" s="7" t="s">
        <v>579</v>
      </c>
      <c r="O1580" s="17" t="s">
        <v>682</v>
      </c>
      <c r="P1580" s="7">
        <f t="shared" si="133"/>
        <v>8</v>
      </c>
      <c r="Q1580" s="7">
        <f t="shared" si="131"/>
        <v>2025</v>
      </c>
    </row>
    <row r="1581" spans="1:17" x14ac:dyDescent="0.25">
      <c r="A1581" s="7">
        <v>2542</v>
      </c>
      <c r="B1581" s="9" t="s">
        <v>540</v>
      </c>
      <c r="C1581" s="9" t="s">
        <v>540</v>
      </c>
      <c r="D1581" s="8">
        <v>45897</v>
      </c>
      <c r="E1581" s="7" t="s">
        <v>60</v>
      </c>
      <c r="F1581" s="7">
        <v>1</v>
      </c>
      <c r="G1581" s="7" t="s">
        <v>14</v>
      </c>
      <c r="H1581" s="7" t="s">
        <v>492</v>
      </c>
      <c r="J1581" s="7">
        <f t="shared" si="132"/>
        <v>1900</v>
      </c>
      <c r="K1581" s="7">
        <f t="shared" ref="K1581:K1644" si="134">MONTH(I1581)</f>
        <v>1</v>
      </c>
      <c r="L1581" s="7">
        <f t="shared" si="130"/>
        <v>45897</v>
      </c>
      <c r="M1581" s="7" t="s">
        <v>502</v>
      </c>
      <c r="N1581" s="7" t="s">
        <v>579</v>
      </c>
      <c r="O1581" s="17" t="s">
        <v>682</v>
      </c>
      <c r="P1581" s="7">
        <f t="shared" si="133"/>
        <v>8</v>
      </c>
      <c r="Q1581" s="7">
        <f t="shared" si="131"/>
        <v>2025</v>
      </c>
    </row>
    <row r="1582" spans="1:17" x14ac:dyDescent="0.25">
      <c r="A1582" s="7">
        <v>2542</v>
      </c>
      <c r="B1582" s="9" t="s">
        <v>540</v>
      </c>
      <c r="C1582" s="9" t="s">
        <v>540</v>
      </c>
      <c r="D1582" s="8">
        <v>45897</v>
      </c>
      <c r="E1582" s="7" t="s">
        <v>60</v>
      </c>
      <c r="F1582" s="7">
        <v>1</v>
      </c>
      <c r="G1582" s="7" t="s">
        <v>14</v>
      </c>
      <c r="H1582" s="7" t="s">
        <v>492</v>
      </c>
      <c r="J1582" s="7">
        <f t="shared" si="132"/>
        <v>1900</v>
      </c>
      <c r="K1582" s="7">
        <f t="shared" si="134"/>
        <v>1</v>
      </c>
      <c r="L1582" s="7">
        <f t="shared" si="130"/>
        <v>45897</v>
      </c>
      <c r="M1582" s="7" t="s">
        <v>502</v>
      </c>
      <c r="N1582" s="7" t="s">
        <v>579</v>
      </c>
      <c r="O1582" s="17" t="s">
        <v>682</v>
      </c>
      <c r="P1582" s="7">
        <f t="shared" si="133"/>
        <v>8</v>
      </c>
      <c r="Q1582" s="7">
        <f t="shared" si="131"/>
        <v>2025</v>
      </c>
    </row>
    <row r="1583" spans="1:17" x14ac:dyDescent="0.25">
      <c r="A1583" s="7">
        <v>2542</v>
      </c>
      <c r="B1583" s="9" t="s">
        <v>540</v>
      </c>
      <c r="C1583" s="9" t="s">
        <v>540</v>
      </c>
      <c r="D1583" s="8">
        <v>45897</v>
      </c>
      <c r="E1583" s="7" t="s">
        <v>60</v>
      </c>
      <c r="F1583" s="7">
        <v>1</v>
      </c>
      <c r="G1583" s="7" t="s">
        <v>14</v>
      </c>
      <c r="H1583" s="7" t="s">
        <v>492</v>
      </c>
      <c r="J1583" s="7">
        <f t="shared" si="132"/>
        <v>1900</v>
      </c>
      <c r="K1583" s="7">
        <f t="shared" si="134"/>
        <v>1</v>
      </c>
      <c r="L1583" s="7">
        <f t="shared" ref="L1583:L1646" si="135">D1583-I1583</f>
        <v>45897</v>
      </c>
      <c r="M1583" s="7" t="s">
        <v>502</v>
      </c>
      <c r="N1583" s="7" t="s">
        <v>579</v>
      </c>
      <c r="O1583" s="17" t="s">
        <v>682</v>
      </c>
      <c r="P1583" s="7">
        <f t="shared" si="133"/>
        <v>8</v>
      </c>
      <c r="Q1583" s="7">
        <f t="shared" si="131"/>
        <v>2025</v>
      </c>
    </row>
    <row r="1584" spans="1:17" x14ac:dyDescent="0.25">
      <c r="A1584" s="7">
        <v>2542</v>
      </c>
      <c r="B1584" s="9" t="s">
        <v>540</v>
      </c>
      <c r="C1584" s="9" t="s">
        <v>540</v>
      </c>
      <c r="D1584" s="8">
        <v>45897</v>
      </c>
      <c r="E1584" s="7" t="s">
        <v>60</v>
      </c>
      <c r="F1584" s="7">
        <v>1</v>
      </c>
      <c r="G1584" s="7" t="s">
        <v>14</v>
      </c>
      <c r="H1584" s="7" t="s">
        <v>492</v>
      </c>
      <c r="J1584" s="7">
        <f t="shared" si="132"/>
        <v>1900</v>
      </c>
      <c r="K1584" s="7">
        <f t="shared" si="134"/>
        <v>1</v>
      </c>
      <c r="L1584" s="7">
        <f t="shared" si="135"/>
        <v>45897</v>
      </c>
      <c r="M1584" s="7" t="s">
        <v>502</v>
      </c>
      <c r="N1584" s="7" t="s">
        <v>579</v>
      </c>
      <c r="O1584" s="17" t="s">
        <v>682</v>
      </c>
      <c r="P1584" s="7">
        <f t="shared" si="133"/>
        <v>8</v>
      </c>
      <c r="Q1584" s="7">
        <f t="shared" si="131"/>
        <v>2025</v>
      </c>
    </row>
    <row r="1585" spans="1:17" x14ac:dyDescent="0.25">
      <c r="A1585" s="7">
        <v>2542</v>
      </c>
      <c r="B1585" s="9" t="s">
        <v>540</v>
      </c>
      <c r="C1585" s="9" t="s">
        <v>540</v>
      </c>
      <c r="D1585" s="8">
        <v>45897</v>
      </c>
      <c r="E1585" s="7" t="s">
        <v>60</v>
      </c>
      <c r="F1585" s="7">
        <v>1</v>
      </c>
      <c r="G1585" s="7" t="s">
        <v>14</v>
      </c>
      <c r="H1585" s="7" t="s">
        <v>492</v>
      </c>
      <c r="J1585" s="7">
        <f t="shared" si="132"/>
        <v>1900</v>
      </c>
      <c r="K1585" s="7">
        <f t="shared" si="134"/>
        <v>1</v>
      </c>
      <c r="L1585" s="7">
        <f t="shared" si="135"/>
        <v>45897</v>
      </c>
      <c r="M1585" s="7" t="s">
        <v>502</v>
      </c>
      <c r="N1585" s="7" t="s">
        <v>579</v>
      </c>
      <c r="O1585" s="17" t="s">
        <v>682</v>
      </c>
      <c r="P1585" s="7">
        <f t="shared" si="133"/>
        <v>8</v>
      </c>
      <c r="Q1585" s="7">
        <f t="shared" si="131"/>
        <v>2025</v>
      </c>
    </row>
    <row r="1586" spans="1:17" x14ac:dyDescent="0.25">
      <c r="A1586" s="7">
        <v>2542</v>
      </c>
      <c r="B1586" s="9" t="s">
        <v>540</v>
      </c>
      <c r="C1586" s="9" t="s">
        <v>540</v>
      </c>
      <c r="D1586" s="8">
        <v>45897</v>
      </c>
      <c r="E1586" s="7" t="s">
        <v>60</v>
      </c>
      <c r="F1586" s="7">
        <v>1</v>
      </c>
      <c r="G1586" s="7" t="s">
        <v>14</v>
      </c>
      <c r="H1586" s="7" t="s">
        <v>492</v>
      </c>
      <c r="J1586" s="7">
        <f t="shared" si="132"/>
        <v>1900</v>
      </c>
      <c r="K1586" s="7">
        <f t="shared" si="134"/>
        <v>1</v>
      </c>
      <c r="L1586" s="7">
        <f t="shared" si="135"/>
        <v>45897</v>
      </c>
      <c r="M1586" s="7" t="s">
        <v>502</v>
      </c>
      <c r="N1586" s="7" t="s">
        <v>579</v>
      </c>
      <c r="O1586" s="17" t="s">
        <v>682</v>
      </c>
      <c r="P1586" s="7">
        <f t="shared" si="133"/>
        <v>8</v>
      </c>
      <c r="Q1586" s="7">
        <f t="shared" si="131"/>
        <v>2025</v>
      </c>
    </row>
    <row r="1587" spans="1:17" x14ac:dyDescent="0.25">
      <c r="A1587" s="7">
        <v>2542</v>
      </c>
      <c r="B1587" s="9" t="s">
        <v>540</v>
      </c>
      <c r="C1587" s="9" t="s">
        <v>540</v>
      </c>
      <c r="D1587" s="8">
        <v>45897</v>
      </c>
      <c r="E1587" s="7" t="s">
        <v>60</v>
      </c>
      <c r="F1587" s="7">
        <v>1</v>
      </c>
      <c r="G1587" s="7" t="s">
        <v>14</v>
      </c>
      <c r="H1587" s="7" t="s">
        <v>492</v>
      </c>
      <c r="J1587" s="7">
        <f t="shared" si="132"/>
        <v>1900</v>
      </c>
      <c r="K1587" s="7">
        <f t="shared" si="134"/>
        <v>1</v>
      </c>
      <c r="L1587" s="7">
        <f t="shared" si="135"/>
        <v>45897</v>
      </c>
      <c r="M1587" s="7" t="s">
        <v>502</v>
      </c>
      <c r="N1587" s="7" t="s">
        <v>579</v>
      </c>
      <c r="O1587" s="17" t="s">
        <v>682</v>
      </c>
      <c r="P1587" s="7">
        <f t="shared" si="133"/>
        <v>8</v>
      </c>
      <c r="Q1587" s="7">
        <f t="shared" si="131"/>
        <v>2025</v>
      </c>
    </row>
    <row r="1588" spans="1:17" x14ac:dyDescent="0.25">
      <c r="A1588" s="7">
        <v>2542</v>
      </c>
      <c r="B1588" s="9" t="s">
        <v>540</v>
      </c>
      <c r="C1588" s="9" t="s">
        <v>540</v>
      </c>
      <c r="D1588" s="8">
        <v>45897</v>
      </c>
      <c r="E1588" s="7" t="s">
        <v>60</v>
      </c>
      <c r="F1588" s="7">
        <v>1</v>
      </c>
      <c r="G1588" s="7" t="s">
        <v>14</v>
      </c>
      <c r="H1588" s="7" t="s">
        <v>492</v>
      </c>
      <c r="J1588" s="7">
        <f t="shared" si="132"/>
        <v>1900</v>
      </c>
      <c r="K1588" s="7">
        <f t="shared" si="134"/>
        <v>1</v>
      </c>
      <c r="L1588" s="7">
        <f t="shared" si="135"/>
        <v>45897</v>
      </c>
      <c r="M1588" s="7" t="s">
        <v>502</v>
      </c>
      <c r="N1588" s="7" t="s">
        <v>579</v>
      </c>
      <c r="O1588" s="17" t="s">
        <v>682</v>
      </c>
      <c r="P1588" s="7">
        <f t="shared" si="133"/>
        <v>8</v>
      </c>
      <c r="Q1588" s="7">
        <f t="shared" si="131"/>
        <v>2025</v>
      </c>
    </row>
    <row r="1589" spans="1:17" x14ac:dyDescent="0.25">
      <c r="A1589" s="7">
        <v>2542</v>
      </c>
      <c r="B1589" s="9" t="s">
        <v>540</v>
      </c>
      <c r="C1589" s="9" t="s">
        <v>540</v>
      </c>
      <c r="D1589" s="8">
        <v>45897</v>
      </c>
      <c r="E1589" s="7" t="s">
        <v>60</v>
      </c>
      <c r="F1589" s="7">
        <v>1</v>
      </c>
      <c r="G1589" s="7" t="s">
        <v>14</v>
      </c>
      <c r="H1589" s="7" t="s">
        <v>492</v>
      </c>
      <c r="J1589" s="7">
        <f t="shared" si="132"/>
        <v>1900</v>
      </c>
      <c r="K1589" s="7">
        <f t="shared" si="134"/>
        <v>1</v>
      </c>
      <c r="L1589" s="7">
        <f t="shared" si="135"/>
        <v>45897</v>
      </c>
      <c r="M1589" s="7" t="s">
        <v>502</v>
      </c>
      <c r="N1589" s="7" t="s">
        <v>579</v>
      </c>
      <c r="O1589" s="17" t="s">
        <v>682</v>
      </c>
      <c r="P1589" s="7">
        <f t="shared" si="133"/>
        <v>8</v>
      </c>
      <c r="Q1589" s="7">
        <f t="shared" ref="Q1589:Q1652" si="136">YEAR(D1589)</f>
        <v>2025</v>
      </c>
    </row>
    <row r="1590" spans="1:17" x14ac:dyDescent="0.25">
      <c r="A1590" s="7">
        <v>2542</v>
      </c>
      <c r="B1590" s="9" t="s">
        <v>540</v>
      </c>
      <c r="C1590" s="9" t="s">
        <v>540</v>
      </c>
      <c r="D1590" s="8">
        <v>45897</v>
      </c>
      <c r="E1590" s="7" t="s">
        <v>60</v>
      </c>
      <c r="F1590" s="7">
        <v>1</v>
      </c>
      <c r="G1590" s="7" t="s">
        <v>14</v>
      </c>
      <c r="H1590" s="7" t="s">
        <v>492</v>
      </c>
      <c r="J1590" s="7">
        <f t="shared" si="132"/>
        <v>1900</v>
      </c>
      <c r="K1590" s="7">
        <f t="shared" si="134"/>
        <v>1</v>
      </c>
      <c r="L1590" s="7">
        <f t="shared" si="135"/>
        <v>45897</v>
      </c>
      <c r="M1590" s="7" t="s">
        <v>502</v>
      </c>
      <c r="N1590" s="7" t="s">
        <v>579</v>
      </c>
      <c r="O1590" s="17" t="s">
        <v>682</v>
      </c>
      <c r="P1590" s="7">
        <f t="shared" si="133"/>
        <v>8</v>
      </c>
      <c r="Q1590" s="7">
        <f t="shared" si="136"/>
        <v>2025</v>
      </c>
    </row>
    <row r="1591" spans="1:17" x14ac:dyDescent="0.25">
      <c r="A1591" s="7">
        <v>2542</v>
      </c>
      <c r="B1591" s="9" t="s">
        <v>540</v>
      </c>
      <c r="C1591" s="9" t="s">
        <v>540</v>
      </c>
      <c r="D1591" s="8">
        <v>45897</v>
      </c>
      <c r="E1591" s="7" t="s">
        <v>60</v>
      </c>
      <c r="F1591" s="7">
        <v>1</v>
      </c>
      <c r="G1591" s="7" t="s">
        <v>14</v>
      </c>
      <c r="H1591" s="7" t="s">
        <v>492</v>
      </c>
      <c r="J1591" s="7">
        <f t="shared" si="132"/>
        <v>1900</v>
      </c>
      <c r="K1591" s="7">
        <f t="shared" si="134"/>
        <v>1</v>
      </c>
      <c r="L1591" s="7">
        <f t="shared" si="135"/>
        <v>45897</v>
      </c>
      <c r="M1591" s="7" t="s">
        <v>502</v>
      </c>
      <c r="N1591" s="7" t="s">
        <v>579</v>
      </c>
      <c r="O1591" s="17" t="s">
        <v>682</v>
      </c>
      <c r="P1591" s="7">
        <f t="shared" si="133"/>
        <v>8</v>
      </c>
      <c r="Q1591" s="7">
        <f t="shared" si="136"/>
        <v>2025</v>
      </c>
    </row>
    <row r="1592" spans="1:17" x14ac:dyDescent="0.25">
      <c r="A1592" s="7">
        <v>2542</v>
      </c>
      <c r="B1592" s="9" t="s">
        <v>540</v>
      </c>
      <c r="C1592" s="9" t="s">
        <v>540</v>
      </c>
      <c r="D1592" s="8">
        <v>45897</v>
      </c>
      <c r="E1592" s="7" t="s">
        <v>60</v>
      </c>
      <c r="F1592" s="7">
        <v>1</v>
      </c>
      <c r="G1592" s="7" t="s">
        <v>14</v>
      </c>
      <c r="H1592" s="7" t="s">
        <v>492</v>
      </c>
      <c r="J1592" s="7">
        <f t="shared" si="132"/>
        <v>1900</v>
      </c>
      <c r="K1592" s="7">
        <f t="shared" si="134"/>
        <v>1</v>
      </c>
      <c r="L1592" s="7">
        <f t="shared" si="135"/>
        <v>45897</v>
      </c>
      <c r="M1592" s="7" t="s">
        <v>502</v>
      </c>
      <c r="N1592" s="7" t="s">
        <v>579</v>
      </c>
      <c r="O1592" s="17" t="s">
        <v>682</v>
      </c>
      <c r="P1592" s="7">
        <f t="shared" si="133"/>
        <v>8</v>
      </c>
      <c r="Q1592" s="7">
        <f t="shared" si="136"/>
        <v>2025</v>
      </c>
    </row>
    <row r="1593" spans="1:17" x14ac:dyDescent="0.25">
      <c r="A1593" s="7">
        <v>2542</v>
      </c>
      <c r="B1593" s="9" t="s">
        <v>540</v>
      </c>
      <c r="C1593" s="9" t="s">
        <v>540</v>
      </c>
      <c r="D1593" s="8">
        <v>45897</v>
      </c>
      <c r="E1593" s="7" t="s">
        <v>60</v>
      </c>
      <c r="F1593" s="7">
        <v>1</v>
      </c>
      <c r="G1593" s="7" t="s">
        <v>14</v>
      </c>
      <c r="H1593" s="7" t="s">
        <v>492</v>
      </c>
      <c r="J1593" s="7">
        <f t="shared" si="132"/>
        <v>1900</v>
      </c>
      <c r="K1593" s="7">
        <f t="shared" si="134"/>
        <v>1</v>
      </c>
      <c r="L1593" s="7">
        <f t="shared" si="135"/>
        <v>45897</v>
      </c>
      <c r="M1593" s="7" t="s">
        <v>502</v>
      </c>
      <c r="N1593" s="7" t="s">
        <v>579</v>
      </c>
      <c r="O1593" s="17" t="s">
        <v>682</v>
      </c>
      <c r="P1593" s="7">
        <f t="shared" si="133"/>
        <v>8</v>
      </c>
      <c r="Q1593" s="7">
        <f t="shared" si="136"/>
        <v>2025</v>
      </c>
    </row>
    <row r="1594" spans="1:17" x14ac:dyDescent="0.25">
      <c r="A1594" s="7">
        <v>2542</v>
      </c>
      <c r="B1594" s="9" t="s">
        <v>540</v>
      </c>
      <c r="C1594" s="9" t="s">
        <v>540</v>
      </c>
      <c r="D1594" s="8">
        <v>45897</v>
      </c>
      <c r="E1594" s="7" t="s">
        <v>60</v>
      </c>
      <c r="F1594" s="7">
        <v>1</v>
      </c>
      <c r="G1594" s="7" t="s">
        <v>14</v>
      </c>
      <c r="H1594" s="7" t="s">
        <v>492</v>
      </c>
      <c r="J1594" s="7">
        <f t="shared" si="132"/>
        <v>1900</v>
      </c>
      <c r="K1594" s="7">
        <f t="shared" si="134"/>
        <v>1</v>
      </c>
      <c r="L1594" s="7">
        <f t="shared" si="135"/>
        <v>45897</v>
      </c>
      <c r="M1594" s="7" t="s">
        <v>502</v>
      </c>
      <c r="N1594" s="7" t="s">
        <v>579</v>
      </c>
      <c r="O1594" s="17" t="s">
        <v>682</v>
      </c>
      <c r="P1594" s="7">
        <f t="shared" si="133"/>
        <v>8</v>
      </c>
      <c r="Q1594" s="7">
        <f t="shared" si="136"/>
        <v>2025</v>
      </c>
    </row>
    <row r="1595" spans="1:17" x14ac:dyDescent="0.25">
      <c r="A1595" s="7">
        <v>2542</v>
      </c>
      <c r="B1595" s="9" t="s">
        <v>540</v>
      </c>
      <c r="C1595" s="9" t="s">
        <v>540</v>
      </c>
      <c r="D1595" s="8">
        <v>45897</v>
      </c>
      <c r="E1595" s="7" t="s">
        <v>60</v>
      </c>
      <c r="F1595" s="7">
        <v>1</v>
      </c>
      <c r="G1595" s="7" t="s">
        <v>14</v>
      </c>
      <c r="H1595" s="7" t="s">
        <v>492</v>
      </c>
      <c r="J1595" s="7">
        <f t="shared" si="132"/>
        <v>1900</v>
      </c>
      <c r="K1595" s="7">
        <f t="shared" si="134"/>
        <v>1</v>
      </c>
      <c r="L1595" s="7">
        <f t="shared" si="135"/>
        <v>45897</v>
      </c>
      <c r="M1595" s="7" t="s">
        <v>502</v>
      </c>
      <c r="N1595" s="7" t="s">
        <v>579</v>
      </c>
      <c r="O1595" s="17" t="s">
        <v>682</v>
      </c>
      <c r="P1595" s="7">
        <f t="shared" si="133"/>
        <v>8</v>
      </c>
      <c r="Q1595" s="7">
        <f t="shared" si="136"/>
        <v>2025</v>
      </c>
    </row>
    <row r="1596" spans="1:17" x14ac:dyDescent="0.25">
      <c r="A1596" s="7">
        <v>2542</v>
      </c>
      <c r="B1596" s="9" t="s">
        <v>540</v>
      </c>
      <c r="C1596" s="9" t="s">
        <v>540</v>
      </c>
      <c r="D1596" s="8">
        <v>45897</v>
      </c>
      <c r="E1596" s="7" t="s">
        <v>60</v>
      </c>
      <c r="F1596" s="7">
        <v>1</v>
      </c>
      <c r="G1596" s="7" t="s">
        <v>14</v>
      </c>
      <c r="H1596" s="7" t="s">
        <v>492</v>
      </c>
      <c r="J1596" s="7">
        <f t="shared" si="132"/>
        <v>1900</v>
      </c>
      <c r="K1596" s="7">
        <f t="shared" si="134"/>
        <v>1</v>
      </c>
      <c r="L1596" s="7">
        <f t="shared" si="135"/>
        <v>45897</v>
      </c>
      <c r="M1596" s="7" t="s">
        <v>502</v>
      </c>
      <c r="N1596" s="7" t="s">
        <v>579</v>
      </c>
      <c r="O1596" s="17" t="s">
        <v>682</v>
      </c>
      <c r="P1596" s="7">
        <f t="shared" si="133"/>
        <v>8</v>
      </c>
      <c r="Q1596" s="7">
        <f t="shared" si="136"/>
        <v>2025</v>
      </c>
    </row>
    <row r="1597" spans="1:17" x14ac:dyDescent="0.25">
      <c r="A1597" s="7">
        <v>2542</v>
      </c>
      <c r="B1597" s="9" t="s">
        <v>540</v>
      </c>
      <c r="C1597" s="9" t="s">
        <v>540</v>
      </c>
      <c r="D1597" s="8">
        <v>45897</v>
      </c>
      <c r="E1597" s="7" t="s">
        <v>60</v>
      </c>
      <c r="F1597" s="7">
        <v>1</v>
      </c>
      <c r="G1597" s="7" t="s">
        <v>14</v>
      </c>
      <c r="H1597" s="7" t="s">
        <v>492</v>
      </c>
      <c r="J1597" s="7">
        <f t="shared" si="132"/>
        <v>1900</v>
      </c>
      <c r="K1597" s="7">
        <f t="shared" si="134"/>
        <v>1</v>
      </c>
      <c r="L1597" s="7">
        <f t="shared" si="135"/>
        <v>45897</v>
      </c>
      <c r="M1597" s="7" t="s">
        <v>502</v>
      </c>
      <c r="N1597" s="7" t="s">
        <v>579</v>
      </c>
      <c r="O1597" s="17" t="s">
        <v>682</v>
      </c>
      <c r="P1597" s="7">
        <f t="shared" si="133"/>
        <v>8</v>
      </c>
      <c r="Q1597" s="7">
        <f t="shared" si="136"/>
        <v>2025</v>
      </c>
    </row>
    <row r="1598" spans="1:17" x14ac:dyDescent="0.25">
      <c r="A1598" s="7">
        <v>2542</v>
      </c>
      <c r="B1598" s="9" t="s">
        <v>540</v>
      </c>
      <c r="C1598" s="9" t="s">
        <v>540</v>
      </c>
      <c r="D1598" s="8">
        <v>45897</v>
      </c>
      <c r="E1598" s="7" t="s">
        <v>60</v>
      </c>
      <c r="F1598" s="7">
        <v>1</v>
      </c>
      <c r="G1598" s="7" t="s">
        <v>14</v>
      </c>
      <c r="H1598" s="7" t="s">
        <v>492</v>
      </c>
      <c r="J1598" s="7">
        <f t="shared" si="132"/>
        <v>1900</v>
      </c>
      <c r="K1598" s="7">
        <f t="shared" si="134"/>
        <v>1</v>
      </c>
      <c r="L1598" s="7">
        <f t="shared" si="135"/>
        <v>45897</v>
      </c>
      <c r="M1598" s="7" t="s">
        <v>502</v>
      </c>
      <c r="N1598" s="7" t="s">
        <v>579</v>
      </c>
      <c r="O1598" s="17" t="s">
        <v>682</v>
      </c>
      <c r="P1598" s="7">
        <f t="shared" si="133"/>
        <v>8</v>
      </c>
      <c r="Q1598" s="7">
        <f t="shared" si="136"/>
        <v>2025</v>
      </c>
    </row>
    <row r="1599" spans="1:17" x14ac:dyDescent="0.25">
      <c r="A1599" s="7">
        <v>2542</v>
      </c>
      <c r="B1599" s="9" t="s">
        <v>540</v>
      </c>
      <c r="C1599" s="9" t="s">
        <v>540</v>
      </c>
      <c r="D1599" s="8">
        <v>45897</v>
      </c>
      <c r="E1599" s="7" t="s">
        <v>60</v>
      </c>
      <c r="F1599" s="7">
        <v>1</v>
      </c>
      <c r="G1599" s="7" t="s">
        <v>14</v>
      </c>
      <c r="H1599" s="7" t="s">
        <v>492</v>
      </c>
      <c r="J1599" s="7">
        <f t="shared" si="132"/>
        <v>1900</v>
      </c>
      <c r="K1599" s="7">
        <f t="shared" si="134"/>
        <v>1</v>
      </c>
      <c r="L1599" s="7">
        <f t="shared" si="135"/>
        <v>45897</v>
      </c>
      <c r="M1599" s="7" t="s">
        <v>502</v>
      </c>
      <c r="N1599" s="7" t="s">
        <v>579</v>
      </c>
      <c r="O1599" s="17" t="s">
        <v>682</v>
      </c>
      <c r="P1599" s="7">
        <f t="shared" si="133"/>
        <v>8</v>
      </c>
      <c r="Q1599" s="7">
        <f t="shared" si="136"/>
        <v>2025</v>
      </c>
    </row>
    <row r="1600" spans="1:17" x14ac:dyDescent="0.25">
      <c r="A1600" s="7">
        <v>2542</v>
      </c>
      <c r="B1600" s="9" t="s">
        <v>540</v>
      </c>
      <c r="C1600" s="9" t="s">
        <v>540</v>
      </c>
      <c r="D1600" s="8">
        <v>45897</v>
      </c>
      <c r="E1600" s="7" t="s">
        <v>60</v>
      </c>
      <c r="F1600" s="7">
        <v>1</v>
      </c>
      <c r="G1600" s="7" t="s">
        <v>14</v>
      </c>
      <c r="H1600" s="7" t="s">
        <v>492</v>
      </c>
      <c r="J1600" s="7">
        <f t="shared" si="132"/>
        <v>1900</v>
      </c>
      <c r="K1600" s="7">
        <f t="shared" si="134"/>
        <v>1</v>
      </c>
      <c r="L1600" s="7">
        <f t="shared" si="135"/>
        <v>45897</v>
      </c>
      <c r="M1600" s="7" t="s">
        <v>502</v>
      </c>
      <c r="N1600" s="7" t="s">
        <v>579</v>
      </c>
      <c r="O1600" s="17" t="s">
        <v>682</v>
      </c>
      <c r="P1600" s="7">
        <f t="shared" si="133"/>
        <v>8</v>
      </c>
      <c r="Q1600" s="7">
        <f t="shared" si="136"/>
        <v>2025</v>
      </c>
    </row>
    <row r="1601" spans="1:17" x14ac:dyDescent="0.25">
      <c r="A1601" s="7">
        <v>2542</v>
      </c>
      <c r="B1601" s="9" t="s">
        <v>540</v>
      </c>
      <c r="C1601" s="9" t="s">
        <v>540</v>
      </c>
      <c r="D1601" s="8">
        <v>45897</v>
      </c>
      <c r="E1601" s="7" t="s">
        <v>60</v>
      </c>
      <c r="F1601" s="7">
        <v>1</v>
      </c>
      <c r="G1601" s="7" t="s">
        <v>14</v>
      </c>
      <c r="H1601" s="7" t="s">
        <v>492</v>
      </c>
      <c r="J1601" s="7">
        <f t="shared" si="132"/>
        <v>1900</v>
      </c>
      <c r="K1601" s="7">
        <f t="shared" si="134"/>
        <v>1</v>
      </c>
      <c r="L1601" s="7">
        <f t="shared" si="135"/>
        <v>45897</v>
      </c>
      <c r="M1601" s="7" t="s">
        <v>502</v>
      </c>
      <c r="N1601" s="7" t="s">
        <v>579</v>
      </c>
      <c r="O1601" s="17" t="s">
        <v>682</v>
      </c>
      <c r="P1601" s="7">
        <f t="shared" si="133"/>
        <v>8</v>
      </c>
      <c r="Q1601" s="7">
        <f t="shared" si="136"/>
        <v>2025</v>
      </c>
    </row>
    <row r="1602" spans="1:17" x14ac:dyDescent="0.25">
      <c r="A1602" s="7">
        <v>2542</v>
      </c>
      <c r="B1602" s="9" t="s">
        <v>540</v>
      </c>
      <c r="C1602" s="9" t="s">
        <v>540</v>
      </c>
      <c r="D1602" s="8">
        <v>45897</v>
      </c>
      <c r="E1602" s="7" t="s">
        <v>60</v>
      </c>
      <c r="F1602" s="7">
        <v>1</v>
      </c>
      <c r="G1602" s="7" t="s">
        <v>14</v>
      </c>
      <c r="H1602" s="7" t="s">
        <v>492</v>
      </c>
      <c r="J1602" s="7">
        <f t="shared" si="132"/>
        <v>1900</v>
      </c>
      <c r="K1602" s="7">
        <f t="shared" si="134"/>
        <v>1</v>
      </c>
      <c r="L1602" s="7">
        <f t="shared" si="135"/>
        <v>45897</v>
      </c>
      <c r="M1602" s="7" t="s">
        <v>502</v>
      </c>
      <c r="N1602" s="7" t="s">
        <v>579</v>
      </c>
      <c r="O1602" s="17" t="s">
        <v>682</v>
      </c>
      <c r="P1602" s="7">
        <f t="shared" si="133"/>
        <v>8</v>
      </c>
      <c r="Q1602" s="7">
        <f t="shared" si="136"/>
        <v>2025</v>
      </c>
    </row>
    <row r="1603" spans="1:17" x14ac:dyDescent="0.25">
      <c r="A1603" s="7">
        <v>2542</v>
      </c>
      <c r="B1603" s="9" t="s">
        <v>540</v>
      </c>
      <c r="C1603" s="9" t="s">
        <v>540</v>
      </c>
      <c r="D1603" s="8">
        <v>45897</v>
      </c>
      <c r="E1603" s="7" t="s">
        <v>60</v>
      </c>
      <c r="F1603" s="7">
        <v>1</v>
      </c>
      <c r="G1603" s="7" t="s">
        <v>14</v>
      </c>
      <c r="H1603" s="7" t="s">
        <v>492</v>
      </c>
      <c r="J1603" s="7">
        <f t="shared" si="132"/>
        <v>1900</v>
      </c>
      <c r="K1603" s="7">
        <f t="shared" si="134"/>
        <v>1</v>
      </c>
      <c r="L1603" s="7">
        <f t="shared" si="135"/>
        <v>45897</v>
      </c>
      <c r="M1603" s="7" t="s">
        <v>502</v>
      </c>
      <c r="N1603" s="7" t="s">
        <v>579</v>
      </c>
      <c r="O1603" s="17" t="s">
        <v>682</v>
      </c>
      <c r="P1603" s="7">
        <f t="shared" si="133"/>
        <v>8</v>
      </c>
      <c r="Q1603" s="7">
        <f t="shared" si="136"/>
        <v>2025</v>
      </c>
    </row>
    <row r="1604" spans="1:17" x14ac:dyDescent="0.25">
      <c r="A1604" s="7">
        <v>2542</v>
      </c>
      <c r="B1604" s="9" t="s">
        <v>540</v>
      </c>
      <c r="C1604" s="9" t="s">
        <v>540</v>
      </c>
      <c r="D1604" s="8">
        <v>45897</v>
      </c>
      <c r="E1604" s="7" t="s">
        <v>60</v>
      </c>
      <c r="F1604" s="7">
        <v>1</v>
      </c>
      <c r="G1604" s="7" t="s">
        <v>14</v>
      </c>
      <c r="H1604" s="7" t="s">
        <v>492</v>
      </c>
      <c r="J1604" s="7">
        <f t="shared" si="132"/>
        <v>1900</v>
      </c>
      <c r="K1604" s="7">
        <f t="shared" si="134"/>
        <v>1</v>
      </c>
      <c r="L1604" s="7">
        <f t="shared" si="135"/>
        <v>45897</v>
      </c>
      <c r="M1604" s="7" t="s">
        <v>502</v>
      </c>
      <c r="N1604" s="7" t="s">
        <v>579</v>
      </c>
      <c r="O1604" s="17" t="s">
        <v>682</v>
      </c>
      <c r="P1604" s="7">
        <f t="shared" si="133"/>
        <v>8</v>
      </c>
      <c r="Q1604" s="7">
        <f t="shared" si="136"/>
        <v>2025</v>
      </c>
    </row>
    <row r="1605" spans="1:17" x14ac:dyDescent="0.25">
      <c r="A1605" s="7">
        <v>2542</v>
      </c>
      <c r="B1605" s="9" t="s">
        <v>540</v>
      </c>
      <c r="C1605" s="9" t="s">
        <v>540</v>
      </c>
      <c r="D1605" s="8">
        <v>45897</v>
      </c>
      <c r="E1605" s="7" t="s">
        <v>60</v>
      </c>
      <c r="F1605" s="7">
        <v>1</v>
      </c>
      <c r="G1605" s="7" t="s">
        <v>14</v>
      </c>
      <c r="H1605" s="7" t="s">
        <v>492</v>
      </c>
      <c r="J1605" s="7">
        <f t="shared" si="132"/>
        <v>1900</v>
      </c>
      <c r="K1605" s="7">
        <f t="shared" si="134"/>
        <v>1</v>
      </c>
      <c r="L1605" s="7">
        <f t="shared" si="135"/>
        <v>45897</v>
      </c>
      <c r="M1605" s="7" t="s">
        <v>502</v>
      </c>
      <c r="N1605" s="7" t="s">
        <v>579</v>
      </c>
      <c r="O1605" s="17" t="s">
        <v>682</v>
      </c>
      <c r="P1605" s="7">
        <f t="shared" si="133"/>
        <v>8</v>
      </c>
      <c r="Q1605" s="7">
        <f t="shared" si="136"/>
        <v>2025</v>
      </c>
    </row>
    <row r="1606" spans="1:17" x14ac:dyDescent="0.25">
      <c r="A1606" s="7">
        <v>2542</v>
      </c>
      <c r="B1606" s="9" t="s">
        <v>540</v>
      </c>
      <c r="C1606" s="9" t="s">
        <v>540</v>
      </c>
      <c r="D1606" s="8">
        <v>45897</v>
      </c>
      <c r="E1606" s="7" t="s">
        <v>60</v>
      </c>
      <c r="F1606" s="7">
        <v>1</v>
      </c>
      <c r="G1606" s="7" t="s">
        <v>14</v>
      </c>
      <c r="H1606" s="7" t="s">
        <v>492</v>
      </c>
      <c r="J1606" s="7">
        <f t="shared" si="132"/>
        <v>1900</v>
      </c>
      <c r="K1606" s="7">
        <f t="shared" si="134"/>
        <v>1</v>
      </c>
      <c r="L1606" s="7">
        <f t="shared" si="135"/>
        <v>45897</v>
      </c>
      <c r="M1606" s="7" t="s">
        <v>502</v>
      </c>
      <c r="N1606" s="7" t="s">
        <v>579</v>
      </c>
      <c r="O1606" s="17" t="s">
        <v>682</v>
      </c>
      <c r="P1606" s="7">
        <f t="shared" si="133"/>
        <v>8</v>
      </c>
      <c r="Q1606" s="7">
        <f t="shared" si="136"/>
        <v>2025</v>
      </c>
    </row>
    <row r="1607" spans="1:17" x14ac:dyDescent="0.25">
      <c r="A1607" s="7">
        <v>2542</v>
      </c>
      <c r="B1607" s="9" t="s">
        <v>540</v>
      </c>
      <c r="C1607" s="9" t="s">
        <v>540</v>
      </c>
      <c r="D1607" s="8">
        <v>45897</v>
      </c>
      <c r="E1607" s="7" t="s">
        <v>60</v>
      </c>
      <c r="F1607" s="7">
        <v>1</v>
      </c>
      <c r="G1607" s="7" t="s">
        <v>14</v>
      </c>
      <c r="H1607" s="7" t="s">
        <v>492</v>
      </c>
      <c r="J1607" s="7">
        <f t="shared" si="132"/>
        <v>1900</v>
      </c>
      <c r="K1607" s="7">
        <f t="shared" si="134"/>
        <v>1</v>
      </c>
      <c r="L1607" s="7">
        <f t="shared" si="135"/>
        <v>45897</v>
      </c>
      <c r="M1607" s="7" t="s">
        <v>502</v>
      </c>
      <c r="N1607" s="7" t="s">
        <v>579</v>
      </c>
      <c r="O1607" s="17" t="s">
        <v>682</v>
      </c>
      <c r="P1607" s="7">
        <f t="shared" si="133"/>
        <v>8</v>
      </c>
      <c r="Q1607" s="7">
        <f t="shared" si="136"/>
        <v>2025</v>
      </c>
    </row>
    <row r="1608" spans="1:17" x14ac:dyDescent="0.25">
      <c r="A1608" s="7">
        <v>2542</v>
      </c>
      <c r="B1608" s="9" t="s">
        <v>540</v>
      </c>
      <c r="C1608" s="9" t="s">
        <v>540</v>
      </c>
      <c r="D1608" s="8">
        <v>45897</v>
      </c>
      <c r="E1608" s="7" t="s">
        <v>60</v>
      </c>
      <c r="F1608" s="7">
        <v>1</v>
      </c>
      <c r="G1608" s="7" t="s">
        <v>14</v>
      </c>
      <c r="H1608" s="7" t="s">
        <v>492</v>
      </c>
      <c r="J1608" s="7">
        <f t="shared" si="132"/>
        <v>1900</v>
      </c>
      <c r="K1608" s="7">
        <f t="shared" si="134"/>
        <v>1</v>
      </c>
      <c r="L1608" s="7">
        <f t="shared" si="135"/>
        <v>45897</v>
      </c>
      <c r="M1608" s="7" t="s">
        <v>502</v>
      </c>
      <c r="N1608" s="7" t="s">
        <v>579</v>
      </c>
      <c r="O1608" s="17" t="s">
        <v>682</v>
      </c>
      <c r="P1608" s="7">
        <f t="shared" si="133"/>
        <v>8</v>
      </c>
      <c r="Q1608" s="7">
        <f t="shared" si="136"/>
        <v>2025</v>
      </c>
    </row>
    <row r="1609" spans="1:17" x14ac:dyDescent="0.25">
      <c r="A1609" s="7">
        <v>2542</v>
      </c>
      <c r="B1609" s="9" t="s">
        <v>540</v>
      </c>
      <c r="C1609" s="9" t="s">
        <v>540</v>
      </c>
      <c r="D1609" s="8">
        <v>45897</v>
      </c>
      <c r="E1609" s="7" t="s">
        <v>60</v>
      </c>
      <c r="F1609" s="7">
        <v>1</v>
      </c>
      <c r="G1609" s="7" t="s">
        <v>14</v>
      </c>
      <c r="H1609" s="7" t="s">
        <v>492</v>
      </c>
      <c r="J1609" s="7">
        <f t="shared" si="132"/>
        <v>1900</v>
      </c>
      <c r="K1609" s="7">
        <f t="shared" si="134"/>
        <v>1</v>
      </c>
      <c r="L1609" s="7">
        <f t="shared" si="135"/>
        <v>45897</v>
      </c>
      <c r="M1609" s="7" t="s">
        <v>502</v>
      </c>
      <c r="N1609" s="7" t="s">
        <v>579</v>
      </c>
      <c r="O1609" s="17" t="s">
        <v>682</v>
      </c>
      <c r="P1609" s="7">
        <f t="shared" si="133"/>
        <v>8</v>
      </c>
      <c r="Q1609" s="7">
        <f t="shared" si="136"/>
        <v>2025</v>
      </c>
    </row>
    <row r="1610" spans="1:17" x14ac:dyDescent="0.25">
      <c r="A1610" s="7">
        <v>2542</v>
      </c>
      <c r="B1610" s="9" t="s">
        <v>540</v>
      </c>
      <c r="C1610" s="9" t="s">
        <v>540</v>
      </c>
      <c r="D1610" s="8">
        <v>45897</v>
      </c>
      <c r="E1610" s="7" t="s">
        <v>60</v>
      </c>
      <c r="F1610" s="7">
        <v>1</v>
      </c>
      <c r="G1610" s="7" t="s">
        <v>14</v>
      </c>
      <c r="H1610" s="7" t="s">
        <v>492</v>
      </c>
      <c r="J1610" s="7">
        <f t="shared" si="132"/>
        <v>1900</v>
      </c>
      <c r="K1610" s="7">
        <f t="shared" si="134"/>
        <v>1</v>
      </c>
      <c r="L1610" s="7">
        <f t="shared" si="135"/>
        <v>45897</v>
      </c>
      <c r="M1610" s="7" t="s">
        <v>502</v>
      </c>
      <c r="N1610" s="7" t="s">
        <v>579</v>
      </c>
      <c r="O1610" s="17" t="s">
        <v>682</v>
      </c>
      <c r="P1610" s="7">
        <f t="shared" si="133"/>
        <v>8</v>
      </c>
      <c r="Q1610" s="7">
        <f t="shared" si="136"/>
        <v>2025</v>
      </c>
    </row>
    <row r="1611" spans="1:17" x14ac:dyDescent="0.25">
      <c r="A1611" s="7">
        <v>2542</v>
      </c>
      <c r="B1611" s="9" t="s">
        <v>540</v>
      </c>
      <c r="C1611" s="9" t="s">
        <v>540</v>
      </c>
      <c r="D1611" s="8">
        <v>45897</v>
      </c>
      <c r="E1611" s="7" t="s">
        <v>60</v>
      </c>
      <c r="F1611" s="7">
        <v>1</v>
      </c>
      <c r="G1611" s="7" t="s">
        <v>14</v>
      </c>
      <c r="H1611" s="7" t="s">
        <v>492</v>
      </c>
      <c r="J1611" s="7">
        <f t="shared" si="132"/>
        <v>1900</v>
      </c>
      <c r="K1611" s="7">
        <f t="shared" si="134"/>
        <v>1</v>
      </c>
      <c r="L1611" s="7">
        <f t="shared" si="135"/>
        <v>45897</v>
      </c>
      <c r="M1611" s="7" t="s">
        <v>502</v>
      </c>
      <c r="N1611" s="7" t="s">
        <v>579</v>
      </c>
      <c r="O1611" s="17" t="s">
        <v>682</v>
      </c>
      <c r="P1611" s="7">
        <f t="shared" si="133"/>
        <v>8</v>
      </c>
      <c r="Q1611" s="7">
        <f t="shared" si="136"/>
        <v>2025</v>
      </c>
    </row>
    <row r="1612" spans="1:17" x14ac:dyDescent="0.25">
      <c r="A1612" s="7">
        <v>2542</v>
      </c>
      <c r="B1612" s="9" t="s">
        <v>540</v>
      </c>
      <c r="C1612" s="9" t="s">
        <v>540</v>
      </c>
      <c r="D1612" s="8">
        <v>45897</v>
      </c>
      <c r="E1612" s="7" t="s">
        <v>60</v>
      </c>
      <c r="F1612" s="7">
        <v>1</v>
      </c>
      <c r="G1612" s="7" t="s">
        <v>14</v>
      </c>
      <c r="H1612" s="7" t="s">
        <v>492</v>
      </c>
      <c r="J1612" s="7">
        <f t="shared" si="132"/>
        <v>1900</v>
      </c>
      <c r="K1612" s="7">
        <f t="shared" si="134"/>
        <v>1</v>
      </c>
      <c r="L1612" s="7">
        <f t="shared" si="135"/>
        <v>45897</v>
      </c>
      <c r="M1612" s="7" t="s">
        <v>502</v>
      </c>
      <c r="N1612" s="7" t="s">
        <v>579</v>
      </c>
      <c r="O1612" s="17" t="s">
        <v>682</v>
      </c>
      <c r="P1612" s="7">
        <f t="shared" si="133"/>
        <v>8</v>
      </c>
      <c r="Q1612" s="7">
        <f t="shared" si="136"/>
        <v>2025</v>
      </c>
    </row>
    <row r="1613" spans="1:17" x14ac:dyDescent="0.25">
      <c r="A1613" s="7">
        <v>2542</v>
      </c>
      <c r="B1613" s="9" t="s">
        <v>540</v>
      </c>
      <c r="C1613" s="9" t="s">
        <v>540</v>
      </c>
      <c r="D1613" s="8">
        <v>45897</v>
      </c>
      <c r="E1613" s="7" t="s">
        <v>60</v>
      </c>
      <c r="F1613" s="7">
        <v>1</v>
      </c>
      <c r="G1613" s="7" t="s">
        <v>14</v>
      </c>
      <c r="H1613" s="7" t="s">
        <v>492</v>
      </c>
      <c r="J1613" s="7">
        <f t="shared" si="132"/>
        <v>1900</v>
      </c>
      <c r="K1613" s="7">
        <f t="shared" si="134"/>
        <v>1</v>
      </c>
      <c r="L1613" s="7">
        <f t="shared" si="135"/>
        <v>45897</v>
      </c>
      <c r="M1613" s="7" t="s">
        <v>502</v>
      </c>
      <c r="N1613" s="7" t="s">
        <v>579</v>
      </c>
      <c r="O1613" s="17" t="s">
        <v>682</v>
      </c>
      <c r="P1613" s="7">
        <f t="shared" si="133"/>
        <v>8</v>
      </c>
      <c r="Q1613" s="7">
        <f t="shared" si="136"/>
        <v>2025</v>
      </c>
    </row>
    <row r="1614" spans="1:17" x14ac:dyDescent="0.25">
      <c r="A1614" s="7">
        <v>2542</v>
      </c>
      <c r="B1614" s="9" t="s">
        <v>540</v>
      </c>
      <c r="C1614" s="9" t="s">
        <v>540</v>
      </c>
      <c r="D1614" s="8">
        <v>45897</v>
      </c>
      <c r="E1614" s="7" t="s">
        <v>60</v>
      </c>
      <c r="F1614" s="7">
        <v>1</v>
      </c>
      <c r="G1614" s="7" t="s">
        <v>14</v>
      </c>
      <c r="H1614" s="7" t="s">
        <v>492</v>
      </c>
      <c r="J1614" s="7">
        <f t="shared" si="132"/>
        <v>1900</v>
      </c>
      <c r="K1614" s="7">
        <f t="shared" si="134"/>
        <v>1</v>
      </c>
      <c r="L1614" s="7">
        <f t="shared" si="135"/>
        <v>45897</v>
      </c>
      <c r="M1614" s="7" t="s">
        <v>502</v>
      </c>
      <c r="N1614" s="7" t="s">
        <v>579</v>
      </c>
      <c r="O1614" s="17" t="s">
        <v>682</v>
      </c>
      <c r="P1614" s="7">
        <f t="shared" si="133"/>
        <v>8</v>
      </c>
      <c r="Q1614" s="7">
        <f t="shared" si="136"/>
        <v>2025</v>
      </c>
    </row>
    <row r="1615" spans="1:17" x14ac:dyDescent="0.25">
      <c r="A1615" s="7">
        <v>2542</v>
      </c>
      <c r="B1615" s="9" t="s">
        <v>540</v>
      </c>
      <c r="C1615" s="9" t="s">
        <v>540</v>
      </c>
      <c r="D1615" s="8">
        <v>45897</v>
      </c>
      <c r="E1615" s="7" t="s">
        <v>60</v>
      </c>
      <c r="F1615" s="7">
        <v>1</v>
      </c>
      <c r="G1615" s="7" t="s">
        <v>14</v>
      </c>
      <c r="H1615" s="7" t="s">
        <v>492</v>
      </c>
      <c r="J1615" s="7">
        <f t="shared" si="132"/>
        <v>1900</v>
      </c>
      <c r="K1615" s="7">
        <f t="shared" si="134"/>
        <v>1</v>
      </c>
      <c r="L1615" s="7">
        <f t="shared" si="135"/>
        <v>45897</v>
      </c>
      <c r="M1615" s="7" t="s">
        <v>502</v>
      </c>
      <c r="N1615" s="7" t="s">
        <v>579</v>
      </c>
      <c r="O1615" s="17" t="s">
        <v>682</v>
      </c>
      <c r="P1615" s="7">
        <f t="shared" si="133"/>
        <v>8</v>
      </c>
      <c r="Q1615" s="7">
        <f t="shared" si="136"/>
        <v>2025</v>
      </c>
    </row>
    <row r="1616" spans="1:17" x14ac:dyDescent="0.25">
      <c r="A1616" s="7">
        <v>2542</v>
      </c>
      <c r="B1616" s="9" t="s">
        <v>540</v>
      </c>
      <c r="C1616" s="9" t="s">
        <v>540</v>
      </c>
      <c r="D1616" s="8">
        <v>45897</v>
      </c>
      <c r="E1616" s="7" t="s">
        <v>60</v>
      </c>
      <c r="F1616" s="7">
        <v>1</v>
      </c>
      <c r="G1616" s="7" t="s">
        <v>14</v>
      </c>
      <c r="H1616" s="7" t="s">
        <v>492</v>
      </c>
      <c r="J1616" s="7">
        <f t="shared" si="132"/>
        <v>1900</v>
      </c>
      <c r="K1616" s="7">
        <f t="shared" si="134"/>
        <v>1</v>
      </c>
      <c r="L1616" s="7">
        <f t="shared" si="135"/>
        <v>45897</v>
      </c>
      <c r="M1616" s="7" t="s">
        <v>502</v>
      </c>
      <c r="N1616" s="7" t="s">
        <v>579</v>
      </c>
      <c r="O1616" s="17" t="s">
        <v>682</v>
      </c>
      <c r="P1616" s="7">
        <f t="shared" si="133"/>
        <v>8</v>
      </c>
      <c r="Q1616" s="7">
        <f t="shared" si="136"/>
        <v>2025</v>
      </c>
    </row>
    <row r="1617" spans="1:17" x14ac:dyDescent="0.25">
      <c r="A1617" s="7">
        <v>2542</v>
      </c>
      <c r="B1617" s="9" t="s">
        <v>540</v>
      </c>
      <c r="C1617" s="9" t="s">
        <v>540</v>
      </c>
      <c r="D1617" s="8">
        <v>45897</v>
      </c>
      <c r="E1617" s="7" t="s">
        <v>60</v>
      </c>
      <c r="F1617" s="7">
        <v>1</v>
      </c>
      <c r="G1617" s="7" t="s">
        <v>14</v>
      </c>
      <c r="H1617" s="7" t="s">
        <v>492</v>
      </c>
      <c r="J1617" s="7">
        <f t="shared" ref="J1617:J1680" si="137">YEAR(I1617)</f>
        <v>1900</v>
      </c>
      <c r="K1617" s="7">
        <f t="shared" si="134"/>
        <v>1</v>
      </c>
      <c r="L1617" s="7">
        <f t="shared" si="135"/>
        <v>45897</v>
      </c>
      <c r="M1617" s="7" t="s">
        <v>502</v>
      </c>
      <c r="N1617" s="7" t="s">
        <v>579</v>
      </c>
      <c r="O1617" s="17" t="s">
        <v>682</v>
      </c>
      <c r="P1617" s="7">
        <f t="shared" si="133"/>
        <v>8</v>
      </c>
      <c r="Q1617" s="7">
        <f t="shared" si="136"/>
        <v>2025</v>
      </c>
    </row>
    <row r="1618" spans="1:17" x14ac:dyDescent="0.25">
      <c r="A1618" s="7">
        <v>2542</v>
      </c>
      <c r="B1618" s="9" t="s">
        <v>540</v>
      </c>
      <c r="C1618" s="9" t="s">
        <v>540</v>
      </c>
      <c r="D1618" s="8">
        <v>45897</v>
      </c>
      <c r="E1618" s="7" t="s">
        <v>60</v>
      </c>
      <c r="F1618" s="7">
        <v>1</v>
      </c>
      <c r="G1618" s="7" t="s">
        <v>14</v>
      </c>
      <c r="H1618" s="7" t="s">
        <v>492</v>
      </c>
      <c r="J1618" s="7">
        <f t="shared" si="137"/>
        <v>1900</v>
      </c>
      <c r="K1618" s="7">
        <f t="shared" si="134"/>
        <v>1</v>
      </c>
      <c r="L1618" s="7">
        <f t="shared" si="135"/>
        <v>45897</v>
      </c>
      <c r="M1618" s="7" t="s">
        <v>502</v>
      </c>
      <c r="N1618" s="7" t="s">
        <v>579</v>
      </c>
      <c r="O1618" s="17" t="s">
        <v>682</v>
      </c>
      <c r="P1618" s="7">
        <f t="shared" si="133"/>
        <v>8</v>
      </c>
      <c r="Q1618" s="7">
        <f t="shared" si="136"/>
        <v>2025</v>
      </c>
    </row>
    <row r="1619" spans="1:17" x14ac:dyDescent="0.25">
      <c r="A1619" s="7">
        <v>2542</v>
      </c>
      <c r="B1619" s="9" t="s">
        <v>540</v>
      </c>
      <c r="C1619" s="9" t="s">
        <v>540</v>
      </c>
      <c r="D1619" s="8">
        <v>45897</v>
      </c>
      <c r="E1619" s="7" t="s">
        <v>60</v>
      </c>
      <c r="F1619" s="7">
        <v>1</v>
      </c>
      <c r="G1619" s="7" t="s">
        <v>14</v>
      </c>
      <c r="H1619" s="7" t="s">
        <v>492</v>
      </c>
      <c r="J1619" s="7">
        <f t="shared" si="137"/>
        <v>1900</v>
      </c>
      <c r="K1619" s="7">
        <f t="shared" si="134"/>
        <v>1</v>
      </c>
      <c r="L1619" s="7">
        <f t="shared" si="135"/>
        <v>45897</v>
      </c>
      <c r="M1619" s="7" t="s">
        <v>502</v>
      </c>
      <c r="N1619" s="7" t="s">
        <v>579</v>
      </c>
      <c r="O1619" s="17" t="s">
        <v>682</v>
      </c>
      <c r="P1619" s="7">
        <f t="shared" si="133"/>
        <v>8</v>
      </c>
      <c r="Q1619" s="7">
        <f t="shared" si="136"/>
        <v>2025</v>
      </c>
    </row>
    <row r="1620" spans="1:17" x14ac:dyDescent="0.25">
      <c r="A1620" s="7">
        <v>2542</v>
      </c>
      <c r="B1620" s="9" t="s">
        <v>540</v>
      </c>
      <c r="C1620" s="9" t="s">
        <v>540</v>
      </c>
      <c r="D1620" s="8">
        <v>45897</v>
      </c>
      <c r="E1620" s="7" t="s">
        <v>60</v>
      </c>
      <c r="F1620" s="7">
        <v>1</v>
      </c>
      <c r="G1620" s="7" t="s">
        <v>14</v>
      </c>
      <c r="H1620" s="7" t="s">
        <v>492</v>
      </c>
      <c r="J1620" s="7">
        <f t="shared" si="137"/>
        <v>1900</v>
      </c>
      <c r="K1620" s="7">
        <f t="shared" si="134"/>
        <v>1</v>
      </c>
      <c r="L1620" s="7">
        <f t="shared" si="135"/>
        <v>45897</v>
      </c>
      <c r="M1620" s="7" t="s">
        <v>502</v>
      </c>
      <c r="N1620" s="7" t="s">
        <v>579</v>
      </c>
      <c r="O1620" s="17" t="s">
        <v>682</v>
      </c>
      <c r="P1620" s="7">
        <f t="shared" si="133"/>
        <v>8</v>
      </c>
      <c r="Q1620" s="7">
        <f t="shared" si="136"/>
        <v>2025</v>
      </c>
    </row>
    <row r="1621" spans="1:17" x14ac:dyDescent="0.25">
      <c r="A1621" s="7">
        <v>2542</v>
      </c>
      <c r="B1621" s="9" t="s">
        <v>540</v>
      </c>
      <c r="C1621" s="9" t="s">
        <v>540</v>
      </c>
      <c r="D1621" s="8">
        <v>45897</v>
      </c>
      <c r="E1621" s="7" t="s">
        <v>60</v>
      </c>
      <c r="F1621" s="7">
        <v>1</v>
      </c>
      <c r="G1621" s="7" t="s">
        <v>14</v>
      </c>
      <c r="H1621" s="7" t="s">
        <v>492</v>
      </c>
      <c r="J1621" s="7">
        <f t="shared" si="137"/>
        <v>1900</v>
      </c>
      <c r="K1621" s="7">
        <f t="shared" si="134"/>
        <v>1</v>
      </c>
      <c r="L1621" s="7">
        <f t="shared" si="135"/>
        <v>45897</v>
      </c>
      <c r="M1621" s="7" t="s">
        <v>502</v>
      </c>
      <c r="N1621" s="7" t="s">
        <v>579</v>
      </c>
      <c r="O1621" s="17" t="s">
        <v>682</v>
      </c>
      <c r="P1621" s="7">
        <f t="shared" si="133"/>
        <v>8</v>
      </c>
      <c r="Q1621" s="7">
        <f t="shared" si="136"/>
        <v>2025</v>
      </c>
    </row>
    <row r="1622" spans="1:17" x14ac:dyDescent="0.25">
      <c r="A1622" s="7">
        <v>2542</v>
      </c>
      <c r="B1622" s="9" t="s">
        <v>540</v>
      </c>
      <c r="C1622" s="9" t="s">
        <v>540</v>
      </c>
      <c r="D1622" s="8">
        <v>45897</v>
      </c>
      <c r="E1622" s="7" t="s">
        <v>60</v>
      </c>
      <c r="F1622" s="7">
        <v>1</v>
      </c>
      <c r="G1622" s="7" t="s">
        <v>14</v>
      </c>
      <c r="H1622" s="7" t="s">
        <v>492</v>
      </c>
      <c r="J1622" s="7">
        <f t="shared" si="137"/>
        <v>1900</v>
      </c>
      <c r="K1622" s="7">
        <f t="shared" si="134"/>
        <v>1</v>
      </c>
      <c r="L1622" s="7">
        <f t="shared" si="135"/>
        <v>45897</v>
      </c>
      <c r="M1622" s="7" t="s">
        <v>502</v>
      </c>
      <c r="N1622" s="7" t="s">
        <v>579</v>
      </c>
      <c r="O1622" s="17" t="s">
        <v>682</v>
      </c>
      <c r="P1622" s="7">
        <f t="shared" si="133"/>
        <v>8</v>
      </c>
      <c r="Q1622" s="7">
        <f t="shared" si="136"/>
        <v>2025</v>
      </c>
    </row>
    <row r="1623" spans="1:17" x14ac:dyDescent="0.25">
      <c r="A1623" s="7">
        <v>2542</v>
      </c>
      <c r="B1623" s="9" t="s">
        <v>540</v>
      </c>
      <c r="C1623" s="9" t="s">
        <v>540</v>
      </c>
      <c r="D1623" s="8">
        <v>45897</v>
      </c>
      <c r="E1623" s="7" t="s">
        <v>60</v>
      </c>
      <c r="F1623" s="7">
        <v>1</v>
      </c>
      <c r="G1623" s="7" t="s">
        <v>14</v>
      </c>
      <c r="H1623" s="7" t="s">
        <v>492</v>
      </c>
      <c r="J1623" s="7">
        <f t="shared" si="137"/>
        <v>1900</v>
      </c>
      <c r="K1623" s="7">
        <f t="shared" si="134"/>
        <v>1</v>
      </c>
      <c r="L1623" s="7">
        <f t="shared" si="135"/>
        <v>45897</v>
      </c>
      <c r="M1623" s="7" t="s">
        <v>502</v>
      </c>
      <c r="N1623" s="7" t="s">
        <v>579</v>
      </c>
      <c r="O1623" s="17" t="s">
        <v>682</v>
      </c>
      <c r="P1623" s="7">
        <f t="shared" si="133"/>
        <v>8</v>
      </c>
      <c r="Q1623" s="7">
        <f t="shared" si="136"/>
        <v>2025</v>
      </c>
    </row>
    <row r="1624" spans="1:17" x14ac:dyDescent="0.25">
      <c r="A1624" s="7">
        <v>2542</v>
      </c>
      <c r="B1624" s="9" t="s">
        <v>540</v>
      </c>
      <c r="C1624" s="9" t="s">
        <v>540</v>
      </c>
      <c r="D1624" s="8">
        <v>45897</v>
      </c>
      <c r="E1624" s="7" t="s">
        <v>60</v>
      </c>
      <c r="F1624" s="7">
        <v>1</v>
      </c>
      <c r="G1624" s="7" t="s">
        <v>14</v>
      </c>
      <c r="H1624" s="7" t="s">
        <v>492</v>
      </c>
      <c r="J1624" s="7">
        <f t="shared" si="137"/>
        <v>1900</v>
      </c>
      <c r="K1624" s="7">
        <f t="shared" si="134"/>
        <v>1</v>
      </c>
      <c r="L1624" s="7">
        <f t="shared" si="135"/>
        <v>45897</v>
      </c>
      <c r="M1624" s="7" t="s">
        <v>502</v>
      </c>
      <c r="N1624" s="7" t="s">
        <v>579</v>
      </c>
      <c r="O1624" s="17" t="s">
        <v>682</v>
      </c>
      <c r="P1624" s="7">
        <f t="shared" si="133"/>
        <v>8</v>
      </c>
      <c r="Q1624" s="7">
        <f t="shared" si="136"/>
        <v>2025</v>
      </c>
    </row>
    <row r="1625" spans="1:17" x14ac:dyDescent="0.25">
      <c r="A1625" s="7">
        <v>2542</v>
      </c>
      <c r="B1625" s="9" t="s">
        <v>540</v>
      </c>
      <c r="C1625" s="9" t="s">
        <v>540</v>
      </c>
      <c r="D1625" s="8">
        <v>45897</v>
      </c>
      <c r="E1625" s="7" t="s">
        <v>60</v>
      </c>
      <c r="F1625" s="7">
        <v>1</v>
      </c>
      <c r="G1625" s="7" t="s">
        <v>14</v>
      </c>
      <c r="H1625" s="7" t="s">
        <v>492</v>
      </c>
      <c r="J1625" s="7">
        <f t="shared" si="137"/>
        <v>1900</v>
      </c>
      <c r="K1625" s="7">
        <f t="shared" si="134"/>
        <v>1</v>
      </c>
      <c r="L1625" s="7">
        <f t="shared" si="135"/>
        <v>45897</v>
      </c>
      <c r="M1625" s="7" t="s">
        <v>502</v>
      </c>
      <c r="N1625" s="7" t="s">
        <v>579</v>
      </c>
      <c r="O1625" s="17" t="s">
        <v>682</v>
      </c>
      <c r="P1625" s="7">
        <f t="shared" si="133"/>
        <v>8</v>
      </c>
      <c r="Q1625" s="7">
        <f t="shared" si="136"/>
        <v>2025</v>
      </c>
    </row>
    <row r="1626" spans="1:17" x14ac:dyDescent="0.25">
      <c r="A1626" s="7">
        <v>2542</v>
      </c>
      <c r="B1626" s="9" t="s">
        <v>540</v>
      </c>
      <c r="C1626" s="9" t="s">
        <v>540</v>
      </c>
      <c r="D1626" s="8">
        <v>45897</v>
      </c>
      <c r="E1626" s="7" t="s">
        <v>60</v>
      </c>
      <c r="F1626" s="7">
        <v>1</v>
      </c>
      <c r="G1626" s="7" t="s">
        <v>14</v>
      </c>
      <c r="H1626" s="7" t="s">
        <v>492</v>
      </c>
      <c r="J1626" s="7">
        <f t="shared" si="137"/>
        <v>1900</v>
      </c>
      <c r="K1626" s="7">
        <f t="shared" si="134"/>
        <v>1</v>
      </c>
      <c r="L1626" s="7">
        <f t="shared" si="135"/>
        <v>45897</v>
      </c>
      <c r="M1626" s="7" t="s">
        <v>502</v>
      </c>
      <c r="N1626" s="7" t="s">
        <v>579</v>
      </c>
      <c r="O1626" s="17" t="s">
        <v>682</v>
      </c>
      <c r="P1626" s="7">
        <f t="shared" ref="P1626:P1689" si="138">MONTH(D1626)</f>
        <v>8</v>
      </c>
      <c r="Q1626" s="7">
        <f t="shared" si="136"/>
        <v>2025</v>
      </c>
    </row>
    <row r="1627" spans="1:17" x14ac:dyDescent="0.25">
      <c r="A1627" s="7">
        <v>2542</v>
      </c>
      <c r="B1627" s="9" t="s">
        <v>540</v>
      </c>
      <c r="C1627" s="9" t="s">
        <v>540</v>
      </c>
      <c r="D1627" s="8">
        <v>45897</v>
      </c>
      <c r="E1627" s="7" t="s">
        <v>60</v>
      </c>
      <c r="F1627" s="7">
        <v>1</v>
      </c>
      <c r="G1627" s="7" t="s">
        <v>14</v>
      </c>
      <c r="H1627" s="7" t="s">
        <v>492</v>
      </c>
      <c r="J1627" s="7">
        <f t="shared" si="137"/>
        <v>1900</v>
      </c>
      <c r="K1627" s="7">
        <f t="shared" si="134"/>
        <v>1</v>
      </c>
      <c r="L1627" s="7">
        <f t="shared" si="135"/>
        <v>45897</v>
      </c>
      <c r="M1627" s="7" t="s">
        <v>502</v>
      </c>
      <c r="N1627" s="7" t="s">
        <v>579</v>
      </c>
      <c r="O1627" s="17" t="s">
        <v>682</v>
      </c>
      <c r="P1627" s="7">
        <f t="shared" si="138"/>
        <v>8</v>
      </c>
      <c r="Q1627" s="7">
        <f t="shared" si="136"/>
        <v>2025</v>
      </c>
    </row>
    <row r="1628" spans="1:17" x14ac:dyDescent="0.25">
      <c r="A1628" s="7">
        <v>2542</v>
      </c>
      <c r="B1628" s="9" t="s">
        <v>540</v>
      </c>
      <c r="C1628" s="9" t="s">
        <v>540</v>
      </c>
      <c r="D1628" s="8">
        <v>45897</v>
      </c>
      <c r="E1628" s="7" t="s">
        <v>60</v>
      </c>
      <c r="F1628" s="7">
        <v>1</v>
      </c>
      <c r="G1628" s="7" t="s">
        <v>14</v>
      </c>
      <c r="H1628" s="7" t="s">
        <v>492</v>
      </c>
      <c r="J1628" s="7">
        <f t="shared" si="137"/>
        <v>1900</v>
      </c>
      <c r="K1628" s="7">
        <f t="shared" si="134"/>
        <v>1</v>
      </c>
      <c r="L1628" s="7">
        <f t="shared" si="135"/>
        <v>45897</v>
      </c>
      <c r="M1628" s="7" t="s">
        <v>502</v>
      </c>
      <c r="N1628" s="7" t="s">
        <v>579</v>
      </c>
      <c r="O1628" s="17" t="s">
        <v>682</v>
      </c>
      <c r="P1628" s="7">
        <f t="shared" si="138"/>
        <v>8</v>
      </c>
      <c r="Q1628" s="7">
        <f t="shared" si="136"/>
        <v>2025</v>
      </c>
    </row>
    <row r="1629" spans="1:17" x14ac:dyDescent="0.25">
      <c r="A1629" s="7">
        <v>2542</v>
      </c>
      <c r="B1629" s="9" t="s">
        <v>540</v>
      </c>
      <c r="C1629" s="9" t="s">
        <v>540</v>
      </c>
      <c r="D1629" s="8">
        <v>45897</v>
      </c>
      <c r="E1629" s="7" t="s">
        <v>60</v>
      </c>
      <c r="F1629" s="7">
        <v>1</v>
      </c>
      <c r="G1629" s="7" t="s">
        <v>14</v>
      </c>
      <c r="H1629" s="7" t="s">
        <v>492</v>
      </c>
      <c r="J1629" s="7">
        <f t="shared" si="137"/>
        <v>1900</v>
      </c>
      <c r="K1629" s="7">
        <f t="shared" si="134"/>
        <v>1</v>
      </c>
      <c r="L1629" s="7">
        <f t="shared" si="135"/>
        <v>45897</v>
      </c>
      <c r="M1629" s="7" t="s">
        <v>502</v>
      </c>
      <c r="N1629" s="7" t="s">
        <v>579</v>
      </c>
      <c r="O1629" s="17" t="s">
        <v>682</v>
      </c>
      <c r="P1629" s="7">
        <f t="shared" si="138"/>
        <v>8</v>
      </c>
      <c r="Q1629" s="7">
        <f t="shared" si="136"/>
        <v>2025</v>
      </c>
    </row>
    <row r="1630" spans="1:17" x14ac:dyDescent="0.25">
      <c r="A1630" s="7">
        <v>2542</v>
      </c>
      <c r="B1630" s="9" t="s">
        <v>540</v>
      </c>
      <c r="C1630" s="9" t="s">
        <v>540</v>
      </c>
      <c r="D1630" s="8">
        <v>45897</v>
      </c>
      <c r="E1630" s="7" t="s">
        <v>60</v>
      </c>
      <c r="F1630" s="7">
        <v>1</v>
      </c>
      <c r="G1630" s="7" t="s">
        <v>14</v>
      </c>
      <c r="H1630" s="7" t="s">
        <v>492</v>
      </c>
      <c r="J1630" s="7">
        <f t="shared" si="137"/>
        <v>1900</v>
      </c>
      <c r="K1630" s="7">
        <f t="shared" si="134"/>
        <v>1</v>
      </c>
      <c r="L1630" s="7">
        <f t="shared" si="135"/>
        <v>45897</v>
      </c>
      <c r="M1630" s="7" t="s">
        <v>502</v>
      </c>
      <c r="N1630" s="7" t="s">
        <v>579</v>
      </c>
      <c r="O1630" s="17" t="s">
        <v>682</v>
      </c>
      <c r="P1630" s="7">
        <f t="shared" si="138"/>
        <v>8</v>
      </c>
      <c r="Q1630" s="7">
        <f t="shared" si="136"/>
        <v>2025</v>
      </c>
    </row>
    <row r="1631" spans="1:17" x14ac:dyDescent="0.25">
      <c r="A1631" s="7">
        <v>2542</v>
      </c>
      <c r="B1631" s="9" t="s">
        <v>540</v>
      </c>
      <c r="C1631" s="9" t="s">
        <v>540</v>
      </c>
      <c r="D1631" s="8">
        <v>45897</v>
      </c>
      <c r="E1631" s="7" t="s">
        <v>60</v>
      </c>
      <c r="F1631" s="7">
        <v>1</v>
      </c>
      <c r="G1631" s="7" t="s">
        <v>14</v>
      </c>
      <c r="H1631" s="7" t="s">
        <v>492</v>
      </c>
      <c r="J1631" s="7">
        <f t="shared" si="137"/>
        <v>1900</v>
      </c>
      <c r="K1631" s="7">
        <f t="shared" si="134"/>
        <v>1</v>
      </c>
      <c r="L1631" s="7">
        <f t="shared" si="135"/>
        <v>45897</v>
      </c>
      <c r="M1631" s="7" t="s">
        <v>502</v>
      </c>
      <c r="N1631" s="7" t="s">
        <v>579</v>
      </c>
      <c r="O1631" s="17" t="s">
        <v>682</v>
      </c>
      <c r="P1631" s="7">
        <f t="shared" si="138"/>
        <v>8</v>
      </c>
      <c r="Q1631" s="7">
        <f t="shared" si="136"/>
        <v>2025</v>
      </c>
    </row>
    <row r="1632" spans="1:17" x14ac:dyDescent="0.25">
      <c r="A1632" s="7">
        <v>2542</v>
      </c>
      <c r="B1632" s="9" t="s">
        <v>540</v>
      </c>
      <c r="C1632" s="9" t="s">
        <v>540</v>
      </c>
      <c r="D1632" s="8">
        <v>45897</v>
      </c>
      <c r="E1632" s="7" t="s">
        <v>60</v>
      </c>
      <c r="F1632" s="7">
        <v>1</v>
      </c>
      <c r="G1632" s="7" t="s">
        <v>14</v>
      </c>
      <c r="H1632" s="7" t="s">
        <v>492</v>
      </c>
      <c r="J1632" s="7">
        <f t="shared" si="137"/>
        <v>1900</v>
      </c>
      <c r="K1632" s="7">
        <f t="shared" si="134"/>
        <v>1</v>
      </c>
      <c r="L1632" s="7">
        <f t="shared" si="135"/>
        <v>45897</v>
      </c>
      <c r="M1632" s="7" t="s">
        <v>502</v>
      </c>
      <c r="N1632" s="7" t="s">
        <v>579</v>
      </c>
      <c r="O1632" s="17" t="s">
        <v>682</v>
      </c>
      <c r="P1632" s="7">
        <f t="shared" si="138"/>
        <v>8</v>
      </c>
      <c r="Q1632" s="7">
        <f t="shared" si="136"/>
        <v>2025</v>
      </c>
    </row>
    <row r="1633" spans="1:17" x14ac:dyDescent="0.25">
      <c r="A1633" s="7">
        <v>2542</v>
      </c>
      <c r="B1633" s="9" t="s">
        <v>540</v>
      </c>
      <c r="C1633" s="9" t="s">
        <v>540</v>
      </c>
      <c r="D1633" s="8">
        <v>45897</v>
      </c>
      <c r="E1633" s="7" t="s">
        <v>60</v>
      </c>
      <c r="F1633" s="7">
        <v>1</v>
      </c>
      <c r="G1633" s="7" t="s">
        <v>14</v>
      </c>
      <c r="H1633" s="7" t="s">
        <v>492</v>
      </c>
      <c r="J1633" s="7">
        <f t="shared" si="137"/>
        <v>1900</v>
      </c>
      <c r="K1633" s="7">
        <f t="shared" si="134"/>
        <v>1</v>
      </c>
      <c r="L1633" s="7">
        <f t="shared" si="135"/>
        <v>45897</v>
      </c>
      <c r="M1633" s="7" t="s">
        <v>502</v>
      </c>
      <c r="N1633" s="7" t="s">
        <v>579</v>
      </c>
      <c r="O1633" s="17" t="s">
        <v>682</v>
      </c>
      <c r="P1633" s="7">
        <f t="shared" si="138"/>
        <v>8</v>
      </c>
      <c r="Q1633" s="7">
        <f t="shared" si="136"/>
        <v>2025</v>
      </c>
    </row>
    <row r="1634" spans="1:17" x14ac:dyDescent="0.25">
      <c r="A1634" s="7">
        <v>2542</v>
      </c>
      <c r="B1634" s="9" t="s">
        <v>540</v>
      </c>
      <c r="C1634" s="9" t="s">
        <v>540</v>
      </c>
      <c r="D1634" s="8">
        <v>45897</v>
      </c>
      <c r="E1634" s="7" t="s">
        <v>60</v>
      </c>
      <c r="F1634" s="7">
        <v>1</v>
      </c>
      <c r="G1634" s="7" t="s">
        <v>14</v>
      </c>
      <c r="H1634" s="7" t="s">
        <v>492</v>
      </c>
      <c r="J1634" s="7">
        <f t="shared" si="137"/>
        <v>1900</v>
      </c>
      <c r="K1634" s="7">
        <f t="shared" si="134"/>
        <v>1</v>
      </c>
      <c r="L1634" s="7">
        <f t="shared" si="135"/>
        <v>45897</v>
      </c>
      <c r="M1634" s="7" t="s">
        <v>502</v>
      </c>
      <c r="N1634" s="7" t="s">
        <v>579</v>
      </c>
      <c r="O1634" s="17" t="s">
        <v>682</v>
      </c>
      <c r="P1634" s="7">
        <f t="shared" si="138"/>
        <v>8</v>
      </c>
      <c r="Q1634" s="7">
        <f t="shared" si="136"/>
        <v>2025</v>
      </c>
    </row>
    <row r="1635" spans="1:17" x14ac:dyDescent="0.25">
      <c r="A1635" s="7">
        <v>2542</v>
      </c>
      <c r="B1635" s="9" t="s">
        <v>540</v>
      </c>
      <c r="C1635" s="9" t="s">
        <v>540</v>
      </c>
      <c r="D1635" s="8">
        <v>45897</v>
      </c>
      <c r="E1635" s="7" t="s">
        <v>60</v>
      </c>
      <c r="F1635" s="7">
        <v>1</v>
      </c>
      <c r="G1635" s="7" t="s">
        <v>14</v>
      </c>
      <c r="H1635" s="7" t="s">
        <v>492</v>
      </c>
      <c r="J1635" s="7">
        <f t="shared" si="137"/>
        <v>1900</v>
      </c>
      <c r="K1635" s="7">
        <f t="shared" si="134"/>
        <v>1</v>
      </c>
      <c r="L1635" s="7">
        <f t="shared" si="135"/>
        <v>45897</v>
      </c>
      <c r="M1635" s="7" t="s">
        <v>502</v>
      </c>
      <c r="N1635" s="7" t="s">
        <v>579</v>
      </c>
      <c r="O1635" s="17" t="s">
        <v>682</v>
      </c>
      <c r="P1635" s="7">
        <f t="shared" si="138"/>
        <v>8</v>
      </c>
      <c r="Q1635" s="7">
        <f t="shared" si="136"/>
        <v>2025</v>
      </c>
    </row>
    <row r="1636" spans="1:17" x14ac:dyDescent="0.25">
      <c r="A1636" s="7">
        <v>2542</v>
      </c>
      <c r="B1636" s="9" t="s">
        <v>540</v>
      </c>
      <c r="C1636" s="9" t="s">
        <v>540</v>
      </c>
      <c r="D1636" s="8">
        <v>45897</v>
      </c>
      <c r="E1636" s="7" t="s">
        <v>60</v>
      </c>
      <c r="F1636" s="7">
        <v>1</v>
      </c>
      <c r="G1636" s="7" t="s">
        <v>14</v>
      </c>
      <c r="H1636" s="7" t="s">
        <v>492</v>
      </c>
      <c r="J1636" s="7">
        <f t="shared" si="137"/>
        <v>1900</v>
      </c>
      <c r="K1636" s="7">
        <f t="shared" si="134"/>
        <v>1</v>
      </c>
      <c r="L1636" s="7">
        <f t="shared" si="135"/>
        <v>45897</v>
      </c>
      <c r="M1636" s="7" t="s">
        <v>502</v>
      </c>
      <c r="N1636" s="7" t="s">
        <v>579</v>
      </c>
      <c r="O1636" s="17" t="s">
        <v>682</v>
      </c>
      <c r="P1636" s="7">
        <f t="shared" si="138"/>
        <v>8</v>
      </c>
      <c r="Q1636" s="7">
        <f t="shared" si="136"/>
        <v>2025</v>
      </c>
    </row>
    <row r="1637" spans="1:17" x14ac:dyDescent="0.25">
      <c r="A1637" s="7">
        <v>2542</v>
      </c>
      <c r="B1637" s="9" t="s">
        <v>540</v>
      </c>
      <c r="C1637" s="9" t="s">
        <v>540</v>
      </c>
      <c r="D1637" s="8">
        <v>45897</v>
      </c>
      <c r="E1637" s="7" t="s">
        <v>60</v>
      </c>
      <c r="F1637" s="7">
        <v>1</v>
      </c>
      <c r="G1637" s="7" t="s">
        <v>14</v>
      </c>
      <c r="H1637" s="7" t="s">
        <v>492</v>
      </c>
      <c r="J1637" s="7">
        <f t="shared" si="137"/>
        <v>1900</v>
      </c>
      <c r="K1637" s="7">
        <f t="shared" si="134"/>
        <v>1</v>
      </c>
      <c r="L1637" s="7">
        <f t="shared" si="135"/>
        <v>45897</v>
      </c>
      <c r="M1637" s="7" t="s">
        <v>502</v>
      </c>
      <c r="N1637" s="7" t="s">
        <v>579</v>
      </c>
      <c r="O1637" s="17" t="s">
        <v>682</v>
      </c>
      <c r="P1637" s="7">
        <f t="shared" si="138"/>
        <v>8</v>
      </c>
      <c r="Q1637" s="7">
        <f t="shared" si="136"/>
        <v>2025</v>
      </c>
    </row>
    <row r="1638" spans="1:17" x14ac:dyDescent="0.25">
      <c r="A1638" s="7">
        <v>2542</v>
      </c>
      <c r="B1638" s="9" t="s">
        <v>540</v>
      </c>
      <c r="C1638" s="9" t="s">
        <v>540</v>
      </c>
      <c r="D1638" s="8">
        <v>45897</v>
      </c>
      <c r="E1638" s="7" t="s">
        <v>60</v>
      </c>
      <c r="F1638" s="7">
        <v>1</v>
      </c>
      <c r="G1638" s="7" t="s">
        <v>14</v>
      </c>
      <c r="H1638" s="7" t="s">
        <v>492</v>
      </c>
      <c r="J1638" s="7">
        <f t="shared" si="137"/>
        <v>1900</v>
      </c>
      <c r="K1638" s="7">
        <f t="shared" si="134"/>
        <v>1</v>
      </c>
      <c r="L1638" s="7">
        <f t="shared" si="135"/>
        <v>45897</v>
      </c>
      <c r="M1638" s="7" t="s">
        <v>502</v>
      </c>
      <c r="N1638" s="7" t="s">
        <v>579</v>
      </c>
      <c r="O1638" s="17" t="s">
        <v>682</v>
      </c>
      <c r="P1638" s="7">
        <f t="shared" si="138"/>
        <v>8</v>
      </c>
      <c r="Q1638" s="7">
        <f t="shared" si="136"/>
        <v>2025</v>
      </c>
    </row>
    <row r="1639" spans="1:17" x14ac:dyDescent="0.25">
      <c r="A1639" s="7">
        <v>2542</v>
      </c>
      <c r="B1639" s="9" t="s">
        <v>540</v>
      </c>
      <c r="C1639" s="9" t="s">
        <v>540</v>
      </c>
      <c r="D1639" s="8">
        <v>45897</v>
      </c>
      <c r="E1639" s="7" t="s">
        <v>60</v>
      </c>
      <c r="F1639" s="7">
        <v>1</v>
      </c>
      <c r="G1639" s="7" t="s">
        <v>14</v>
      </c>
      <c r="H1639" s="7" t="s">
        <v>492</v>
      </c>
      <c r="J1639" s="7">
        <f t="shared" si="137"/>
        <v>1900</v>
      </c>
      <c r="K1639" s="7">
        <f t="shared" si="134"/>
        <v>1</v>
      </c>
      <c r="L1639" s="7">
        <f t="shared" si="135"/>
        <v>45897</v>
      </c>
      <c r="M1639" s="7" t="s">
        <v>502</v>
      </c>
      <c r="N1639" s="7" t="s">
        <v>579</v>
      </c>
      <c r="O1639" s="17" t="s">
        <v>682</v>
      </c>
      <c r="P1639" s="7">
        <f t="shared" si="138"/>
        <v>8</v>
      </c>
      <c r="Q1639" s="7">
        <f t="shared" si="136"/>
        <v>2025</v>
      </c>
    </row>
    <row r="1640" spans="1:17" x14ac:dyDescent="0.25">
      <c r="A1640" s="7">
        <v>2542</v>
      </c>
      <c r="B1640" s="9" t="s">
        <v>540</v>
      </c>
      <c r="C1640" s="9" t="s">
        <v>540</v>
      </c>
      <c r="D1640" s="8">
        <v>45897</v>
      </c>
      <c r="E1640" s="7" t="s">
        <v>60</v>
      </c>
      <c r="F1640" s="7">
        <v>1</v>
      </c>
      <c r="G1640" s="7" t="s">
        <v>14</v>
      </c>
      <c r="H1640" s="7" t="s">
        <v>492</v>
      </c>
      <c r="J1640" s="7">
        <f t="shared" si="137"/>
        <v>1900</v>
      </c>
      <c r="K1640" s="7">
        <f t="shared" si="134"/>
        <v>1</v>
      </c>
      <c r="L1640" s="7">
        <f t="shared" si="135"/>
        <v>45897</v>
      </c>
      <c r="M1640" s="7" t="s">
        <v>502</v>
      </c>
      <c r="N1640" s="7" t="s">
        <v>579</v>
      </c>
      <c r="O1640" s="17" t="s">
        <v>682</v>
      </c>
      <c r="P1640" s="7">
        <f t="shared" si="138"/>
        <v>8</v>
      </c>
      <c r="Q1640" s="7">
        <f t="shared" si="136"/>
        <v>2025</v>
      </c>
    </row>
    <row r="1641" spans="1:17" x14ac:dyDescent="0.25">
      <c r="A1641" s="7">
        <v>2542</v>
      </c>
      <c r="B1641" s="9" t="s">
        <v>540</v>
      </c>
      <c r="C1641" s="9" t="s">
        <v>540</v>
      </c>
      <c r="D1641" s="8">
        <v>45897</v>
      </c>
      <c r="E1641" s="7" t="s">
        <v>60</v>
      </c>
      <c r="F1641" s="7">
        <v>1</v>
      </c>
      <c r="G1641" s="7" t="s">
        <v>14</v>
      </c>
      <c r="H1641" s="7" t="s">
        <v>492</v>
      </c>
      <c r="J1641" s="7">
        <f t="shared" si="137"/>
        <v>1900</v>
      </c>
      <c r="K1641" s="7">
        <f t="shared" si="134"/>
        <v>1</v>
      </c>
      <c r="L1641" s="7">
        <f t="shared" si="135"/>
        <v>45897</v>
      </c>
      <c r="M1641" s="7" t="s">
        <v>502</v>
      </c>
      <c r="N1641" s="7" t="s">
        <v>579</v>
      </c>
      <c r="O1641" s="17" t="s">
        <v>682</v>
      </c>
      <c r="P1641" s="7">
        <f t="shared" si="138"/>
        <v>8</v>
      </c>
      <c r="Q1641" s="7">
        <f t="shared" si="136"/>
        <v>2025</v>
      </c>
    </row>
    <row r="1642" spans="1:17" x14ac:dyDescent="0.25">
      <c r="A1642" s="7">
        <v>2542</v>
      </c>
      <c r="B1642" s="9" t="s">
        <v>540</v>
      </c>
      <c r="C1642" s="9" t="s">
        <v>540</v>
      </c>
      <c r="D1642" s="8">
        <v>45897</v>
      </c>
      <c r="E1642" s="7" t="s">
        <v>60</v>
      </c>
      <c r="F1642" s="7">
        <v>1</v>
      </c>
      <c r="G1642" s="7" t="s">
        <v>14</v>
      </c>
      <c r="H1642" s="7" t="s">
        <v>492</v>
      </c>
      <c r="J1642" s="7">
        <f t="shared" si="137"/>
        <v>1900</v>
      </c>
      <c r="K1642" s="7">
        <f t="shared" si="134"/>
        <v>1</v>
      </c>
      <c r="L1642" s="7">
        <f t="shared" si="135"/>
        <v>45897</v>
      </c>
      <c r="M1642" s="7" t="s">
        <v>502</v>
      </c>
      <c r="N1642" s="7" t="s">
        <v>579</v>
      </c>
      <c r="O1642" s="17" t="s">
        <v>682</v>
      </c>
      <c r="P1642" s="7">
        <f t="shared" si="138"/>
        <v>8</v>
      </c>
      <c r="Q1642" s="7">
        <f t="shared" si="136"/>
        <v>2025</v>
      </c>
    </row>
    <row r="1643" spans="1:17" x14ac:dyDescent="0.25">
      <c r="A1643" s="7">
        <v>2542</v>
      </c>
      <c r="B1643" s="9" t="s">
        <v>540</v>
      </c>
      <c r="C1643" s="9" t="s">
        <v>540</v>
      </c>
      <c r="D1643" s="8">
        <v>45897</v>
      </c>
      <c r="E1643" s="7" t="s">
        <v>60</v>
      </c>
      <c r="F1643" s="7">
        <v>1</v>
      </c>
      <c r="G1643" s="7" t="s">
        <v>14</v>
      </c>
      <c r="H1643" s="7" t="s">
        <v>492</v>
      </c>
      <c r="J1643" s="7">
        <f t="shared" si="137"/>
        <v>1900</v>
      </c>
      <c r="K1643" s="7">
        <f t="shared" si="134"/>
        <v>1</v>
      </c>
      <c r="L1643" s="7">
        <f t="shared" si="135"/>
        <v>45897</v>
      </c>
      <c r="M1643" s="7" t="s">
        <v>502</v>
      </c>
      <c r="N1643" s="7" t="s">
        <v>579</v>
      </c>
      <c r="O1643" s="17" t="s">
        <v>682</v>
      </c>
      <c r="P1643" s="7">
        <f t="shared" si="138"/>
        <v>8</v>
      </c>
      <c r="Q1643" s="7">
        <f t="shared" si="136"/>
        <v>2025</v>
      </c>
    </row>
    <row r="1644" spans="1:17" x14ac:dyDescent="0.25">
      <c r="A1644" s="7">
        <v>2542</v>
      </c>
      <c r="B1644" s="9" t="s">
        <v>540</v>
      </c>
      <c r="C1644" s="9" t="s">
        <v>540</v>
      </c>
      <c r="D1644" s="8">
        <v>45897</v>
      </c>
      <c r="E1644" s="7" t="s">
        <v>60</v>
      </c>
      <c r="F1644" s="7">
        <v>1</v>
      </c>
      <c r="G1644" s="7" t="s">
        <v>14</v>
      </c>
      <c r="H1644" s="7" t="s">
        <v>492</v>
      </c>
      <c r="J1644" s="7">
        <f t="shared" si="137"/>
        <v>1900</v>
      </c>
      <c r="K1644" s="7">
        <f t="shared" si="134"/>
        <v>1</v>
      </c>
      <c r="L1644" s="7">
        <f t="shared" si="135"/>
        <v>45897</v>
      </c>
      <c r="M1644" s="7" t="s">
        <v>502</v>
      </c>
      <c r="N1644" s="7" t="s">
        <v>579</v>
      </c>
      <c r="O1644" s="17" t="s">
        <v>682</v>
      </c>
      <c r="P1644" s="7">
        <f t="shared" si="138"/>
        <v>8</v>
      </c>
      <c r="Q1644" s="7">
        <f t="shared" si="136"/>
        <v>2025</v>
      </c>
    </row>
    <row r="1645" spans="1:17" x14ac:dyDescent="0.25">
      <c r="A1645" s="7">
        <v>2542</v>
      </c>
      <c r="B1645" s="9" t="s">
        <v>540</v>
      </c>
      <c r="C1645" s="9" t="s">
        <v>540</v>
      </c>
      <c r="D1645" s="8">
        <v>45897</v>
      </c>
      <c r="E1645" s="7" t="s">
        <v>60</v>
      </c>
      <c r="F1645" s="7">
        <v>1</v>
      </c>
      <c r="G1645" s="7" t="s">
        <v>14</v>
      </c>
      <c r="H1645" s="7" t="s">
        <v>492</v>
      </c>
      <c r="J1645" s="7">
        <f t="shared" si="137"/>
        <v>1900</v>
      </c>
      <c r="K1645" s="7">
        <f t="shared" ref="K1645:K1698" si="139">MONTH(I1645)</f>
        <v>1</v>
      </c>
      <c r="L1645" s="7">
        <f t="shared" si="135"/>
        <v>45897</v>
      </c>
      <c r="M1645" s="7" t="s">
        <v>502</v>
      </c>
      <c r="N1645" s="7" t="s">
        <v>579</v>
      </c>
      <c r="O1645" s="17" t="s">
        <v>682</v>
      </c>
      <c r="P1645" s="7">
        <f t="shared" si="138"/>
        <v>8</v>
      </c>
      <c r="Q1645" s="7">
        <f t="shared" si="136"/>
        <v>2025</v>
      </c>
    </row>
    <row r="1646" spans="1:17" x14ac:dyDescent="0.25">
      <c r="A1646" s="7">
        <v>2542</v>
      </c>
      <c r="B1646" s="9" t="s">
        <v>540</v>
      </c>
      <c r="C1646" s="9" t="s">
        <v>540</v>
      </c>
      <c r="D1646" s="8">
        <v>45897</v>
      </c>
      <c r="E1646" s="7" t="s">
        <v>60</v>
      </c>
      <c r="F1646" s="7">
        <v>1</v>
      </c>
      <c r="G1646" s="7" t="s">
        <v>14</v>
      </c>
      <c r="H1646" s="7" t="s">
        <v>492</v>
      </c>
      <c r="J1646" s="7">
        <f t="shared" si="137"/>
        <v>1900</v>
      </c>
      <c r="K1646" s="7">
        <f t="shared" si="139"/>
        <v>1</v>
      </c>
      <c r="L1646" s="7">
        <f t="shared" si="135"/>
        <v>45897</v>
      </c>
      <c r="M1646" s="7" t="s">
        <v>502</v>
      </c>
      <c r="N1646" s="7" t="s">
        <v>579</v>
      </c>
      <c r="O1646" s="17" t="s">
        <v>682</v>
      </c>
      <c r="P1646" s="7">
        <f t="shared" si="138"/>
        <v>8</v>
      </c>
      <c r="Q1646" s="7">
        <f t="shared" si="136"/>
        <v>2025</v>
      </c>
    </row>
    <row r="1647" spans="1:17" x14ac:dyDescent="0.25">
      <c r="A1647" s="7">
        <v>2542</v>
      </c>
      <c r="B1647" s="9" t="s">
        <v>540</v>
      </c>
      <c r="C1647" s="9" t="s">
        <v>540</v>
      </c>
      <c r="D1647" s="8">
        <v>45897</v>
      </c>
      <c r="E1647" s="7" t="s">
        <v>60</v>
      </c>
      <c r="F1647" s="7">
        <v>1</v>
      </c>
      <c r="G1647" s="7" t="s">
        <v>14</v>
      </c>
      <c r="H1647" s="7" t="s">
        <v>492</v>
      </c>
      <c r="J1647" s="7">
        <f t="shared" si="137"/>
        <v>1900</v>
      </c>
      <c r="K1647" s="7">
        <f t="shared" si="139"/>
        <v>1</v>
      </c>
      <c r="L1647" s="7">
        <f t="shared" ref="L1647:L1698" si="140">D1647-I1647</f>
        <v>45897</v>
      </c>
      <c r="M1647" s="7" t="s">
        <v>502</v>
      </c>
      <c r="N1647" s="7" t="s">
        <v>579</v>
      </c>
      <c r="O1647" s="17" t="s">
        <v>682</v>
      </c>
      <c r="P1647" s="7">
        <f t="shared" si="138"/>
        <v>8</v>
      </c>
      <c r="Q1647" s="7">
        <f t="shared" si="136"/>
        <v>2025</v>
      </c>
    </row>
    <row r="1648" spans="1:17" x14ac:dyDescent="0.25">
      <c r="A1648" s="7">
        <v>2542</v>
      </c>
      <c r="B1648" s="9" t="s">
        <v>540</v>
      </c>
      <c r="C1648" s="9" t="s">
        <v>540</v>
      </c>
      <c r="D1648" s="8">
        <v>45897</v>
      </c>
      <c r="E1648" s="7" t="s">
        <v>60</v>
      </c>
      <c r="F1648" s="7">
        <v>1</v>
      </c>
      <c r="G1648" s="7" t="s">
        <v>14</v>
      </c>
      <c r="H1648" s="7" t="s">
        <v>492</v>
      </c>
      <c r="J1648" s="7">
        <f t="shared" si="137"/>
        <v>1900</v>
      </c>
      <c r="K1648" s="7">
        <f t="shared" si="139"/>
        <v>1</v>
      </c>
      <c r="L1648" s="7">
        <f t="shared" si="140"/>
        <v>45897</v>
      </c>
      <c r="M1648" s="7" t="s">
        <v>502</v>
      </c>
      <c r="N1648" s="7" t="s">
        <v>579</v>
      </c>
      <c r="O1648" s="17" t="s">
        <v>682</v>
      </c>
      <c r="P1648" s="7">
        <f t="shared" si="138"/>
        <v>8</v>
      </c>
      <c r="Q1648" s="7">
        <f t="shared" si="136"/>
        <v>2025</v>
      </c>
    </row>
    <row r="1649" spans="1:17" x14ac:dyDescent="0.25">
      <c r="A1649" s="7">
        <v>2542</v>
      </c>
      <c r="B1649" s="9" t="s">
        <v>540</v>
      </c>
      <c r="C1649" s="9" t="s">
        <v>540</v>
      </c>
      <c r="D1649" s="8">
        <v>45897</v>
      </c>
      <c r="E1649" s="7" t="s">
        <v>60</v>
      </c>
      <c r="F1649" s="7">
        <v>1</v>
      </c>
      <c r="G1649" s="7" t="s">
        <v>14</v>
      </c>
      <c r="H1649" s="7" t="s">
        <v>492</v>
      </c>
      <c r="J1649" s="7">
        <f t="shared" si="137"/>
        <v>1900</v>
      </c>
      <c r="K1649" s="7">
        <f t="shared" si="139"/>
        <v>1</v>
      </c>
      <c r="L1649" s="7">
        <f t="shared" si="140"/>
        <v>45897</v>
      </c>
      <c r="M1649" s="7" t="s">
        <v>502</v>
      </c>
      <c r="N1649" s="7" t="s">
        <v>579</v>
      </c>
      <c r="O1649" s="17" t="s">
        <v>682</v>
      </c>
      <c r="P1649" s="7">
        <f t="shared" si="138"/>
        <v>8</v>
      </c>
      <c r="Q1649" s="7">
        <f t="shared" si="136"/>
        <v>2025</v>
      </c>
    </row>
    <row r="1650" spans="1:17" x14ac:dyDescent="0.25">
      <c r="A1650" s="7">
        <v>2542</v>
      </c>
      <c r="B1650" s="9" t="s">
        <v>540</v>
      </c>
      <c r="C1650" s="9" t="s">
        <v>540</v>
      </c>
      <c r="D1650" s="8">
        <v>45897</v>
      </c>
      <c r="E1650" s="7" t="s">
        <v>60</v>
      </c>
      <c r="F1650" s="7">
        <v>1</v>
      </c>
      <c r="G1650" s="7" t="s">
        <v>14</v>
      </c>
      <c r="H1650" s="7" t="s">
        <v>492</v>
      </c>
      <c r="J1650" s="7">
        <f t="shared" si="137"/>
        <v>1900</v>
      </c>
      <c r="K1650" s="7">
        <f t="shared" si="139"/>
        <v>1</v>
      </c>
      <c r="L1650" s="7">
        <f t="shared" si="140"/>
        <v>45897</v>
      </c>
      <c r="M1650" s="7" t="s">
        <v>502</v>
      </c>
      <c r="N1650" s="7" t="s">
        <v>579</v>
      </c>
      <c r="O1650" s="17" t="s">
        <v>682</v>
      </c>
      <c r="P1650" s="7">
        <f t="shared" si="138"/>
        <v>8</v>
      </c>
      <c r="Q1650" s="7">
        <f t="shared" si="136"/>
        <v>2025</v>
      </c>
    </row>
    <row r="1651" spans="1:17" x14ac:dyDescent="0.25">
      <c r="A1651" s="7">
        <v>2542</v>
      </c>
      <c r="B1651" s="9" t="s">
        <v>540</v>
      </c>
      <c r="C1651" s="9" t="s">
        <v>540</v>
      </c>
      <c r="D1651" s="8">
        <v>45897</v>
      </c>
      <c r="E1651" s="7" t="s">
        <v>60</v>
      </c>
      <c r="F1651" s="7">
        <v>1</v>
      </c>
      <c r="G1651" s="7" t="s">
        <v>14</v>
      </c>
      <c r="H1651" s="7" t="s">
        <v>492</v>
      </c>
      <c r="J1651" s="7">
        <f t="shared" si="137"/>
        <v>1900</v>
      </c>
      <c r="K1651" s="7">
        <f t="shared" si="139"/>
        <v>1</v>
      </c>
      <c r="L1651" s="7">
        <f t="shared" si="140"/>
        <v>45897</v>
      </c>
      <c r="M1651" s="7" t="s">
        <v>502</v>
      </c>
      <c r="N1651" s="7" t="s">
        <v>579</v>
      </c>
      <c r="O1651" s="17" t="s">
        <v>682</v>
      </c>
      <c r="P1651" s="7">
        <f t="shared" si="138"/>
        <v>8</v>
      </c>
      <c r="Q1651" s="7">
        <f t="shared" si="136"/>
        <v>2025</v>
      </c>
    </row>
    <row r="1652" spans="1:17" x14ac:dyDescent="0.25">
      <c r="A1652" s="7">
        <v>2542</v>
      </c>
      <c r="B1652" s="9" t="s">
        <v>540</v>
      </c>
      <c r="C1652" s="9" t="s">
        <v>540</v>
      </c>
      <c r="D1652" s="8">
        <v>45897</v>
      </c>
      <c r="E1652" s="7" t="s">
        <v>60</v>
      </c>
      <c r="F1652" s="7">
        <v>1</v>
      </c>
      <c r="G1652" s="7" t="s">
        <v>14</v>
      </c>
      <c r="H1652" s="7" t="s">
        <v>492</v>
      </c>
      <c r="J1652" s="7">
        <f t="shared" si="137"/>
        <v>1900</v>
      </c>
      <c r="K1652" s="7">
        <f t="shared" si="139"/>
        <v>1</v>
      </c>
      <c r="L1652" s="7">
        <f t="shared" si="140"/>
        <v>45897</v>
      </c>
      <c r="M1652" s="7" t="s">
        <v>502</v>
      </c>
      <c r="N1652" s="7" t="s">
        <v>579</v>
      </c>
      <c r="O1652" s="17" t="s">
        <v>682</v>
      </c>
      <c r="P1652" s="7">
        <f t="shared" si="138"/>
        <v>8</v>
      </c>
      <c r="Q1652" s="7">
        <f t="shared" si="136"/>
        <v>2025</v>
      </c>
    </row>
    <row r="1653" spans="1:17" x14ac:dyDescent="0.25">
      <c r="A1653" s="7">
        <v>2542</v>
      </c>
      <c r="B1653" s="9" t="s">
        <v>540</v>
      </c>
      <c r="C1653" s="9" t="s">
        <v>540</v>
      </c>
      <c r="D1653" s="8">
        <v>45897</v>
      </c>
      <c r="E1653" s="7" t="s">
        <v>60</v>
      </c>
      <c r="F1653" s="7">
        <v>1</v>
      </c>
      <c r="G1653" s="7" t="s">
        <v>14</v>
      </c>
      <c r="H1653" s="7" t="s">
        <v>492</v>
      </c>
      <c r="J1653" s="7">
        <f t="shared" si="137"/>
        <v>1900</v>
      </c>
      <c r="K1653" s="7">
        <f t="shared" si="139"/>
        <v>1</v>
      </c>
      <c r="L1653" s="7">
        <f t="shared" si="140"/>
        <v>45897</v>
      </c>
      <c r="M1653" s="7" t="s">
        <v>502</v>
      </c>
      <c r="N1653" s="7" t="s">
        <v>579</v>
      </c>
      <c r="O1653" s="17" t="s">
        <v>682</v>
      </c>
      <c r="P1653" s="7">
        <f t="shared" si="138"/>
        <v>8</v>
      </c>
      <c r="Q1653" s="7">
        <f t="shared" ref="Q1653:Q1716" si="141">YEAR(D1653)</f>
        <v>2025</v>
      </c>
    </row>
    <row r="1654" spans="1:17" x14ac:dyDescent="0.25">
      <c r="A1654" s="7">
        <v>2542</v>
      </c>
      <c r="B1654" s="9" t="s">
        <v>540</v>
      </c>
      <c r="C1654" s="9" t="s">
        <v>540</v>
      </c>
      <c r="D1654" s="8">
        <v>45897</v>
      </c>
      <c r="E1654" s="7" t="s">
        <v>60</v>
      </c>
      <c r="F1654" s="7">
        <v>1</v>
      </c>
      <c r="G1654" s="7" t="s">
        <v>14</v>
      </c>
      <c r="H1654" s="7" t="s">
        <v>492</v>
      </c>
      <c r="J1654" s="7">
        <f t="shared" si="137"/>
        <v>1900</v>
      </c>
      <c r="K1654" s="7">
        <f t="shared" si="139"/>
        <v>1</v>
      </c>
      <c r="L1654" s="7">
        <f t="shared" si="140"/>
        <v>45897</v>
      </c>
      <c r="M1654" s="7" t="s">
        <v>502</v>
      </c>
      <c r="N1654" s="7" t="s">
        <v>579</v>
      </c>
      <c r="O1654" s="17" t="s">
        <v>682</v>
      </c>
      <c r="P1654" s="7">
        <f t="shared" si="138"/>
        <v>8</v>
      </c>
      <c r="Q1654" s="7">
        <f t="shared" si="141"/>
        <v>2025</v>
      </c>
    </row>
    <row r="1655" spans="1:17" x14ac:dyDescent="0.25">
      <c r="A1655" s="7">
        <v>2542</v>
      </c>
      <c r="B1655" s="9" t="s">
        <v>540</v>
      </c>
      <c r="C1655" s="9" t="s">
        <v>540</v>
      </c>
      <c r="D1655" s="8">
        <v>45897</v>
      </c>
      <c r="E1655" s="7" t="s">
        <v>60</v>
      </c>
      <c r="F1655" s="7">
        <v>1</v>
      </c>
      <c r="G1655" s="7" t="s">
        <v>14</v>
      </c>
      <c r="H1655" s="7" t="s">
        <v>492</v>
      </c>
      <c r="J1655" s="7">
        <f t="shared" si="137"/>
        <v>1900</v>
      </c>
      <c r="K1655" s="7">
        <f t="shared" si="139"/>
        <v>1</v>
      </c>
      <c r="L1655" s="7">
        <f t="shared" si="140"/>
        <v>45897</v>
      </c>
      <c r="M1655" s="7" t="s">
        <v>502</v>
      </c>
      <c r="N1655" s="7" t="s">
        <v>579</v>
      </c>
      <c r="O1655" s="17" t="s">
        <v>682</v>
      </c>
      <c r="P1655" s="7">
        <f t="shared" si="138"/>
        <v>8</v>
      </c>
      <c r="Q1655" s="7">
        <f t="shared" si="141"/>
        <v>2025</v>
      </c>
    </row>
    <row r="1656" spans="1:17" x14ac:dyDescent="0.25">
      <c r="A1656" s="7">
        <v>2542</v>
      </c>
      <c r="B1656" s="9" t="s">
        <v>540</v>
      </c>
      <c r="C1656" s="9" t="s">
        <v>540</v>
      </c>
      <c r="D1656" s="8">
        <v>45897</v>
      </c>
      <c r="E1656" s="7" t="s">
        <v>60</v>
      </c>
      <c r="F1656" s="7">
        <v>1</v>
      </c>
      <c r="G1656" s="7" t="s">
        <v>14</v>
      </c>
      <c r="H1656" s="7" t="s">
        <v>492</v>
      </c>
      <c r="J1656" s="7">
        <f t="shared" si="137"/>
        <v>1900</v>
      </c>
      <c r="K1656" s="7">
        <f t="shared" si="139"/>
        <v>1</v>
      </c>
      <c r="L1656" s="7">
        <f t="shared" si="140"/>
        <v>45897</v>
      </c>
      <c r="M1656" s="7" t="s">
        <v>502</v>
      </c>
      <c r="N1656" s="7" t="s">
        <v>579</v>
      </c>
      <c r="O1656" s="17" t="s">
        <v>682</v>
      </c>
      <c r="P1656" s="7">
        <f t="shared" si="138"/>
        <v>8</v>
      </c>
      <c r="Q1656" s="7">
        <f t="shared" si="141"/>
        <v>2025</v>
      </c>
    </row>
    <row r="1657" spans="1:17" x14ac:dyDescent="0.25">
      <c r="A1657" s="7">
        <v>2542</v>
      </c>
      <c r="B1657" s="9" t="s">
        <v>540</v>
      </c>
      <c r="C1657" s="9" t="s">
        <v>540</v>
      </c>
      <c r="D1657" s="8">
        <v>45897</v>
      </c>
      <c r="E1657" s="7" t="s">
        <v>60</v>
      </c>
      <c r="F1657" s="7">
        <v>1</v>
      </c>
      <c r="G1657" s="7" t="s">
        <v>14</v>
      </c>
      <c r="H1657" s="7" t="s">
        <v>492</v>
      </c>
      <c r="J1657" s="7">
        <f t="shared" si="137"/>
        <v>1900</v>
      </c>
      <c r="K1657" s="7">
        <f t="shared" si="139"/>
        <v>1</v>
      </c>
      <c r="L1657" s="7">
        <f t="shared" si="140"/>
        <v>45897</v>
      </c>
      <c r="M1657" s="7" t="s">
        <v>502</v>
      </c>
      <c r="N1657" s="7" t="s">
        <v>579</v>
      </c>
      <c r="O1657" s="17" t="s">
        <v>682</v>
      </c>
      <c r="P1657" s="7">
        <f t="shared" si="138"/>
        <v>8</v>
      </c>
      <c r="Q1657" s="7">
        <f t="shared" si="141"/>
        <v>2025</v>
      </c>
    </row>
    <row r="1658" spans="1:17" x14ac:dyDescent="0.25">
      <c r="A1658" s="7">
        <v>2542</v>
      </c>
      <c r="B1658" s="9" t="s">
        <v>540</v>
      </c>
      <c r="C1658" s="9" t="s">
        <v>540</v>
      </c>
      <c r="D1658" s="8">
        <v>45897</v>
      </c>
      <c r="E1658" s="7" t="s">
        <v>60</v>
      </c>
      <c r="F1658" s="7">
        <v>1</v>
      </c>
      <c r="G1658" s="7" t="s">
        <v>14</v>
      </c>
      <c r="H1658" s="7" t="s">
        <v>492</v>
      </c>
      <c r="J1658" s="7">
        <f t="shared" si="137"/>
        <v>1900</v>
      </c>
      <c r="K1658" s="7">
        <f t="shared" si="139"/>
        <v>1</v>
      </c>
      <c r="L1658" s="7">
        <f t="shared" si="140"/>
        <v>45897</v>
      </c>
      <c r="M1658" s="7" t="s">
        <v>502</v>
      </c>
      <c r="N1658" s="7" t="s">
        <v>579</v>
      </c>
      <c r="O1658" s="17" t="s">
        <v>682</v>
      </c>
      <c r="P1658" s="7">
        <f t="shared" si="138"/>
        <v>8</v>
      </c>
      <c r="Q1658" s="7">
        <f t="shared" si="141"/>
        <v>2025</v>
      </c>
    </row>
    <row r="1659" spans="1:17" x14ac:dyDescent="0.25">
      <c r="A1659" s="7">
        <v>2542</v>
      </c>
      <c r="B1659" s="9" t="s">
        <v>540</v>
      </c>
      <c r="C1659" s="9" t="s">
        <v>540</v>
      </c>
      <c r="D1659" s="8">
        <v>45897</v>
      </c>
      <c r="E1659" s="7" t="s">
        <v>60</v>
      </c>
      <c r="F1659" s="7">
        <v>1</v>
      </c>
      <c r="G1659" s="7" t="s">
        <v>14</v>
      </c>
      <c r="H1659" s="7" t="s">
        <v>492</v>
      </c>
      <c r="J1659" s="7">
        <f t="shared" si="137"/>
        <v>1900</v>
      </c>
      <c r="K1659" s="7">
        <f t="shared" si="139"/>
        <v>1</v>
      </c>
      <c r="L1659" s="7">
        <f t="shared" si="140"/>
        <v>45897</v>
      </c>
      <c r="M1659" s="7" t="s">
        <v>502</v>
      </c>
      <c r="N1659" s="7" t="s">
        <v>579</v>
      </c>
      <c r="O1659" s="17" t="s">
        <v>682</v>
      </c>
      <c r="P1659" s="7">
        <f t="shared" si="138"/>
        <v>8</v>
      </c>
      <c r="Q1659" s="7">
        <f t="shared" si="141"/>
        <v>2025</v>
      </c>
    </row>
    <row r="1660" spans="1:17" x14ac:dyDescent="0.25">
      <c r="A1660" s="7">
        <v>2542</v>
      </c>
      <c r="B1660" s="9" t="s">
        <v>540</v>
      </c>
      <c r="C1660" s="9" t="s">
        <v>540</v>
      </c>
      <c r="D1660" s="8">
        <v>45897</v>
      </c>
      <c r="E1660" s="7" t="s">
        <v>60</v>
      </c>
      <c r="F1660" s="7">
        <v>1</v>
      </c>
      <c r="G1660" s="7" t="s">
        <v>14</v>
      </c>
      <c r="H1660" s="7" t="s">
        <v>492</v>
      </c>
      <c r="J1660" s="7">
        <f t="shared" si="137"/>
        <v>1900</v>
      </c>
      <c r="K1660" s="7">
        <f t="shared" si="139"/>
        <v>1</v>
      </c>
      <c r="L1660" s="7">
        <f t="shared" si="140"/>
        <v>45897</v>
      </c>
      <c r="M1660" s="7" t="s">
        <v>502</v>
      </c>
      <c r="N1660" s="7" t="s">
        <v>579</v>
      </c>
      <c r="O1660" s="17" t="s">
        <v>682</v>
      </c>
      <c r="P1660" s="7">
        <f t="shared" si="138"/>
        <v>8</v>
      </c>
      <c r="Q1660" s="7">
        <f t="shared" si="141"/>
        <v>2025</v>
      </c>
    </row>
    <row r="1661" spans="1:17" x14ac:dyDescent="0.25">
      <c r="A1661" s="7">
        <v>2542</v>
      </c>
      <c r="B1661" s="9" t="s">
        <v>540</v>
      </c>
      <c r="C1661" s="9" t="s">
        <v>540</v>
      </c>
      <c r="D1661" s="8">
        <v>45897</v>
      </c>
      <c r="E1661" s="7" t="s">
        <v>60</v>
      </c>
      <c r="F1661" s="7">
        <v>1</v>
      </c>
      <c r="G1661" s="7" t="s">
        <v>14</v>
      </c>
      <c r="H1661" s="7" t="s">
        <v>492</v>
      </c>
      <c r="J1661" s="7">
        <f t="shared" si="137"/>
        <v>1900</v>
      </c>
      <c r="K1661" s="7">
        <f t="shared" si="139"/>
        <v>1</v>
      </c>
      <c r="L1661" s="7">
        <f t="shared" si="140"/>
        <v>45897</v>
      </c>
      <c r="M1661" s="7" t="s">
        <v>502</v>
      </c>
      <c r="N1661" s="7" t="s">
        <v>579</v>
      </c>
      <c r="O1661" s="17" t="s">
        <v>682</v>
      </c>
      <c r="P1661" s="7">
        <f t="shared" si="138"/>
        <v>8</v>
      </c>
      <c r="Q1661" s="7">
        <f t="shared" si="141"/>
        <v>2025</v>
      </c>
    </row>
    <row r="1662" spans="1:17" x14ac:dyDescent="0.25">
      <c r="A1662" s="7">
        <v>2542</v>
      </c>
      <c r="B1662" s="9" t="s">
        <v>540</v>
      </c>
      <c r="C1662" s="9" t="s">
        <v>540</v>
      </c>
      <c r="D1662" s="8">
        <v>45897</v>
      </c>
      <c r="E1662" s="7" t="s">
        <v>60</v>
      </c>
      <c r="F1662" s="7">
        <v>1</v>
      </c>
      <c r="G1662" s="7" t="s">
        <v>14</v>
      </c>
      <c r="H1662" s="7" t="s">
        <v>492</v>
      </c>
      <c r="J1662" s="7">
        <f t="shared" si="137"/>
        <v>1900</v>
      </c>
      <c r="K1662" s="7">
        <f t="shared" si="139"/>
        <v>1</v>
      </c>
      <c r="L1662" s="7">
        <f t="shared" si="140"/>
        <v>45897</v>
      </c>
      <c r="M1662" s="7" t="s">
        <v>502</v>
      </c>
      <c r="N1662" s="7" t="s">
        <v>579</v>
      </c>
      <c r="O1662" s="17" t="s">
        <v>682</v>
      </c>
      <c r="P1662" s="7">
        <f t="shared" si="138"/>
        <v>8</v>
      </c>
      <c r="Q1662" s="7">
        <f t="shared" si="141"/>
        <v>2025</v>
      </c>
    </row>
    <row r="1663" spans="1:17" x14ac:dyDescent="0.25">
      <c r="A1663" s="7">
        <v>2542</v>
      </c>
      <c r="B1663" s="9" t="s">
        <v>540</v>
      </c>
      <c r="C1663" s="9" t="s">
        <v>540</v>
      </c>
      <c r="D1663" s="8">
        <v>45897</v>
      </c>
      <c r="E1663" s="7" t="s">
        <v>60</v>
      </c>
      <c r="F1663" s="7">
        <v>1</v>
      </c>
      <c r="G1663" s="7" t="s">
        <v>14</v>
      </c>
      <c r="H1663" s="7" t="s">
        <v>492</v>
      </c>
      <c r="J1663" s="7">
        <f t="shared" si="137"/>
        <v>1900</v>
      </c>
      <c r="K1663" s="7">
        <f t="shared" si="139"/>
        <v>1</v>
      </c>
      <c r="L1663" s="7">
        <f t="shared" si="140"/>
        <v>45897</v>
      </c>
      <c r="M1663" s="7" t="s">
        <v>502</v>
      </c>
      <c r="N1663" s="7" t="s">
        <v>579</v>
      </c>
      <c r="O1663" s="17" t="s">
        <v>682</v>
      </c>
      <c r="P1663" s="7">
        <f t="shared" si="138"/>
        <v>8</v>
      </c>
      <c r="Q1663" s="7">
        <f t="shared" si="141"/>
        <v>2025</v>
      </c>
    </row>
    <row r="1664" spans="1:17" x14ac:dyDescent="0.25">
      <c r="A1664" s="7">
        <v>2542</v>
      </c>
      <c r="B1664" s="9" t="s">
        <v>540</v>
      </c>
      <c r="C1664" s="9" t="s">
        <v>540</v>
      </c>
      <c r="D1664" s="8">
        <v>45897</v>
      </c>
      <c r="E1664" s="7" t="s">
        <v>60</v>
      </c>
      <c r="F1664" s="7">
        <v>1</v>
      </c>
      <c r="G1664" s="7" t="s">
        <v>14</v>
      </c>
      <c r="H1664" s="7" t="s">
        <v>492</v>
      </c>
      <c r="J1664" s="7">
        <f t="shared" si="137"/>
        <v>1900</v>
      </c>
      <c r="K1664" s="7">
        <f t="shared" si="139"/>
        <v>1</v>
      </c>
      <c r="L1664" s="7">
        <f t="shared" si="140"/>
        <v>45897</v>
      </c>
      <c r="M1664" s="7" t="s">
        <v>502</v>
      </c>
      <c r="N1664" s="7" t="s">
        <v>579</v>
      </c>
      <c r="O1664" s="17" t="s">
        <v>682</v>
      </c>
      <c r="P1664" s="7">
        <f t="shared" si="138"/>
        <v>8</v>
      </c>
      <c r="Q1664" s="7">
        <f t="shared" si="141"/>
        <v>2025</v>
      </c>
    </row>
    <row r="1665" spans="1:17" x14ac:dyDescent="0.25">
      <c r="A1665" s="7">
        <v>2542</v>
      </c>
      <c r="B1665" s="9" t="s">
        <v>540</v>
      </c>
      <c r="C1665" s="9" t="s">
        <v>540</v>
      </c>
      <c r="D1665" s="8">
        <v>45897</v>
      </c>
      <c r="E1665" s="7" t="s">
        <v>60</v>
      </c>
      <c r="F1665" s="7">
        <v>1</v>
      </c>
      <c r="G1665" s="7" t="s">
        <v>14</v>
      </c>
      <c r="H1665" s="7" t="s">
        <v>492</v>
      </c>
      <c r="J1665" s="7">
        <f t="shared" si="137"/>
        <v>1900</v>
      </c>
      <c r="K1665" s="7">
        <f t="shared" si="139"/>
        <v>1</v>
      </c>
      <c r="L1665" s="7">
        <f t="shared" si="140"/>
        <v>45897</v>
      </c>
      <c r="M1665" s="7" t="s">
        <v>502</v>
      </c>
      <c r="N1665" s="7" t="s">
        <v>579</v>
      </c>
      <c r="O1665" s="17" t="s">
        <v>682</v>
      </c>
      <c r="P1665" s="7">
        <f t="shared" si="138"/>
        <v>8</v>
      </c>
      <c r="Q1665" s="7">
        <f t="shared" si="141"/>
        <v>2025</v>
      </c>
    </row>
    <row r="1666" spans="1:17" x14ac:dyDescent="0.25">
      <c r="A1666" s="7">
        <v>2542</v>
      </c>
      <c r="B1666" s="9" t="s">
        <v>540</v>
      </c>
      <c r="C1666" s="9" t="s">
        <v>540</v>
      </c>
      <c r="D1666" s="8">
        <v>45897</v>
      </c>
      <c r="E1666" s="7" t="s">
        <v>60</v>
      </c>
      <c r="F1666" s="7">
        <v>1</v>
      </c>
      <c r="G1666" s="7" t="s">
        <v>14</v>
      </c>
      <c r="H1666" s="7" t="s">
        <v>492</v>
      </c>
      <c r="J1666" s="7">
        <f t="shared" si="137"/>
        <v>1900</v>
      </c>
      <c r="K1666" s="7">
        <f t="shared" si="139"/>
        <v>1</v>
      </c>
      <c r="L1666" s="7">
        <f t="shared" si="140"/>
        <v>45897</v>
      </c>
      <c r="M1666" s="7" t="s">
        <v>502</v>
      </c>
      <c r="N1666" s="7" t="s">
        <v>579</v>
      </c>
      <c r="O1666" s="17" t="s">
        <v>682</v>
      </c>
      <c r="P1666" s="7">
        <f t="shared" si="138"/>
        <v>8</v>
      </c>
      <c r="Q1666" s="7">
        <f t="shared" si="141"/>
        <v>2025</v>
      </c>
    </row>
    <row r="1667" spans="1:17" x14ac:dyDescent="0.25">
      <c r="A1667" s="7">
        <v>2542</v>
      </c>
      <c r="B1667" s="9" t="s">
        <v>540</v>
      </c>
      <c r="C1667" s="9" t="s">
        <v>540</v>
      </c>
      <c r="D1667" s="8">
        <v>45897</v>
      </c>
      <c r="E1667" s="7" t="s">
        <v>60</v>
      </c>
      <c r="F1667" s="7">
        <v>1</v>
      </c>
      <c r="G1667" s="7" t="s">
        <v>14</v>
      </c>
      <c r="H1667" s="7" t="s">
        <v>492</v>
      </c>
      <c r="J1667" s="7">
        <f t="shared" si="137"/>
        <v>1900</v>
      </c>
      <c r="K1667" s="7">
        <f t="shared" si="139"/>
        <v>1</v>
      </c>
      <c r="L1667" s="7">
        <f t="shared" si="140"/>
        <v>45897</v>
      </c>
      <c r="M1667" s="7" t="s">
        <v>502</v>
      </c>
      <c r="N1667" s="7" t="s">
        <v>579</v>
      </c>
      <c r="O1667" s="17" t="s">
        <v>682</v>
      </c>
      <c r="P1667" s="7">
        <f t="shared" si="138"/>
        <v>8</v>
      </c>
      <c r="Q1667" s="7">
        <f t="shared" si="141"/>
        <v>2025</v>
      </c>
    </row>
    <row r="1668" spans="1:17" x14ac:dyDescent="0.25">
      <c r="A1668" s="7">
        <v>2542</v>
      </c>
      <c r="B1668" s="9" t="s">
        <v>540</v>
      </c>
      <c r="C1668" s="9" t="s">
        <v>540</v>
      </c>
      <c r="D1668" s="8">
        <v>45897</v>
      </c>
      <c r="E1668" s="7" t="s">
        <v>60</v>
      </c>
      <c r="F1668" s="7">
        <v>1</v>
      </c>
      <c r="G1668" s="7" t="s">
        <v>14</v>
      </c>
      <c r="H1668" s="7" t="s">
        <v>492</v>
      </c>
      <c r="J1668" s="7">
        <f t="shared" si="137"/>
        <v>1900</v>
      </c>
      <c r="K1668" s="7">
        <f t="shared" si="139"/>
        <v>1</v>
      </c>
      <c r="L1668" s="7">
        <f t="shared" si="140"/>
        <v>45897</v>
      </c>
      <c r="M1668" s="7" t="s">
        <v>502</v>
      </c>
      <c r="N1668" s="7" t="s">
        <v>579</v>
      </c>
      <c r="O1668" s="17" t="s">
        <v>682</v>
      </c>
      <c r="P1668" s="7">
        <f t="shared" si="138"/>
        <v>8</v>
      </c>
      <c r="Q1668" s="7">
        <f t="shared" si="141"/>
        <v>2025</v>
      </c>
    </row>
    <row r="1669" spans="1:17" x14ac:dyDescent="0.25">
      <c r="A1669" s="7">
        <v>2542</v>
      </c>
      <c r="B1669" s="9" t="s">
        <v>540</v>
      </c>
      <c r="C1669" s="9" t="s">
        <v>540</v>
      </c>
      <c r="D1669" s="8">
        <v>45897</v>
      </c>
      <c r="E1669" s="7" t="s">
        <v>60</v>
      </c>
      <c r="F1669" s="7">
        <v>1</v>
      </c>
      <c r="G1669" s="7" t="s">
        <v>14</v>
      </c>
      <c r="H1669" s="7" t="s">
        <v>492</v>
      </c>
      <c r="J1669" s="7">
        <f t="shared" si="137"/>
        <v>1900</v>
      </c>
      <c r="K1669" s="7">
        <f t="shared" si="139"/>
        <v>1</v>
      </c>
      <c r="L1669" s="7">
        <f t="shared" si="140"/>
        <v>45897</v>
      </c>
      <c r="M1669" s="7" t="s">
        <v>502</v>
      </c>
      <c r="N1669" s="7" t="s">
        <v>579</v>
      </c>
      <c r="O1669" s="17" t="s">
        <v>682</v>
      </c>
      <c r="P1669" s="7">
        <f t="shared" si="138"/>
        <v>8</v>
      </c>
      <c r="Q1669" s="7">
        <f t="shared" si="141"/>
        <v>2025</v>
      </c>
    </row>
    <row r="1670" spans="1:17" x14ac:dyDescent="0.25">
      <c r="A1670" s="7">
        <v>2542</v>
      </c>
      <c r="B1670" s="9" t="s">
        <v>540</v>
      </c>
      <c r="C1670" s="9" t="s">
        <v>540</v>
      </c>
      <c r="D1670" s="8">
        <v>45897</v>
      </c>
      <c r="E1670" s="7" t="s">
        <v>60</v>
      </c>
      <c r="F1670" s="7">
        <v>1</v>
      </c>
      <c r="G1670" s="7" t="s">
        <v>14</v>
      </c>
      <c r="H1670" s="7" t="s">
        <v>492</v>
      </c>
      <c r="J1670" s="7">
        <f t="shared" si="137"/>
        <v>1900</v>
      </c>
      <c r="K1670" s="7">
        <f t="shared" si="139"/>
        <v>1</v>
      </c>
      <c r="L1670" s="7">
        <f t="shared" si="140"/>
        <v>45897</v>
      </c>
      <c r="M1670" s="7" t="s">
        <v>502</v>
      </c>
      <c r="N1670" s="7" t="s">
        <v>579</v>
      </c>
      <c r="O1670" s="17" t="s">
        <v>682</v>
      </c>
      <c r="P1670" s="7">
        <f t="shared" si="138"/>
        <v>8</v>
      </c>
      <c r="Q1670" s="7">
        <f t="shared" si="141"/>
        <v>2025</v>
      </c>
    </row>
    <row r="1671" spans="1:17" x14ac:dyDescent="0.25">
      <c r="A1671" s="7">
        <v>2542</v>
      </c>
      <c r="B1671" s="9" t="s">
        <v>540</v>
      </c>
      <c r="C1671" s="9" t="s">
        <v>540</v>
      </c>
      <c r="D1671" s="8">
        <v>45897</v>
      </c>
      <c r="E1671" s="7" t="s">
        <v>60</v>
      </c>
      <c r="F1671" s="7">
        <v>1</v>
      </c>
      <c r="G1671" s="7" t="s">
        <v>14</v>
      </c>
      <c r="H1671" s="7" t="s">
        <v>492</v>
      </c>
      <c r="J1671" s="7">
        <f t="shared" si="137"/>
        <v>1900</v>
      </c>
      <c r="K1671" s="7">
        <f t="shared" si="139"/>
        <v>1</v>
      </c>
      <c r="L1671" s="7">
        <f t="shared" si="140"/>
        <v>45897</v>
      </c>
      <c r="M1671" s="7" t="s">
        <v>502</v>
      </c>
      <c r="N1671" s="7" t="s">
        <v>579</v>
      </c>
      <c r="O1671" s="17" t="s">
        <v>682</v>
      </c>
      <c r="P1671" s="7">
        <f t="shared" si="138"/>
        <v>8</v>
      </c>
      <c r="Q1671" s="7">
        <f t="shared" si="141"/>
        <v>2025</v>
      </c>
    </row>
    <row r="1672" spans="1:17" x14ac:dyDescent="0.25">
      <c r="A1672" s="7">
        <v>2542</v>
      </c>
      <c r="B1672" s="9" t="s">
        <v>540</v>
      </c>
      <c r="C1672" s="9" t="s">
        <v>540</v>
      </c>
      <c r="D1672" s="8">
        <v>45897</v>
      </c>
      <c r="E1672" s="7" t="s">
        <v>60</v>
      </c>
      <c r="F1672" s="7">
        <v>1</v>
      </c>
      <c r="G1672" s="7" t="s">
        <v>14</v>
      </c>
      <c r="H1672" s="7" t="s">
        <v>492</v>
      </c>
      <c r="J1672" s="7">
        <f t="shared" si="137"/>
        <v>1900</v>
      </c>
      <c r="K1672" s="7">
        <f t="shared" si="139"/>
        <v>1</v>
      </c>
      <c r="L1672" s="7">
        <f t="shared" si="140"/>
        <v>45897</v>
      </c>
      <c r="M1672" s="7" t="s">
        <v>502</v>
      </c>
      <c r="N1672" s="7" t="s">
        <v>579</v>
      </c>
      <c r="O1672" s="17" t="s">
        <v>682</v>
      </c>
      <c r="P1672" s="7">
        <f t="shared" si="138"/>
        <v>8</v>
      </c>
      <c r="Q1672" s="7">
        <f t="shared" si="141"/>
        <v>2025</v>
      </c>
    </row>
    <row r="1673" spans="1:17" x14ac:dyDescent="0.25">
      <c r="A1673" s="7">
        <v>2542</v>
      </c>
      <c r="B1673" s="9" t="s">
        <v>540</v>
      </c>
      <c r="C1673" s="9" t="s">
        <v>540</v>
      </c>
      <c r="D1673" s="8">
        <v>45897</v>
      </c>
      <c r="E1673" s="7" t="s">
        <v>60</v>
      </c>
      <c r="F1673" s="7">
        <v>1</v>
      </c>
      <c r="G1673" s="7" t="s">
        <v>14</v>
      </c>
      <c r="H1673" s="7" t="s">
        <v>492</v>
      </c>
      <c r="J1673" s="7">
        <f t="shared" si="137"/>
        <v>1900</v>
      </c>
      <c r="K1673" s="7">
        <f t="shared" si="139"/>
        <v>1</v>
      </c>
      <c r="L1673" s="7">
        <f t="shared" si="140"/>
        <v>45897</v>
      </c>
      <c r="M1673" s="7" t="s">
        <v>502</v>
      </c>
      <c r="N1673" s="7" t="s">
        <v>579</v>
      </c>
      <c r="O1673" s="17" t="s">
        <v>682</v>
      </c>
      <c r="P1673" s="7">
        <f t="shared" si="138"/>
        <v>8</v>
      </c>
      <c r="Q1673" s="7">
        <f t="shared" si="141"/>
        <v>2025</v>
      </c>
    </row>
    <row r="1674" spans="1:17" x14ac:dyDescent="0.25">
      <c r="A1674" s="7">
        <v>2542</v>
      </c>
      <c r="B1674" s="9" t="s">
        <v>540</v>
      </c>
      <c r="C1674" s="9" t="s">
        <v>540</v>
      </c>
      <c r="D1674" s="8">
        <v>45897</v>
      </c>
      <c r="E1674" s="7" t="s">
        <v>60</v>
      </c>
      <c r="F1674" s="7">
        <v>1</v>
      </c>
      <c r="G1674" s="7" t="s">
        <v>14</v>
      </c>
      <c r="H1674" s="7" t="s">
        <v>492</v>
      </c>
      <c r="J1674" s="7">
        <f t="shared" si="137"/>
        <v>1900</v>
      </c>
      <c r="K1674" s="7">
        <f t="shared" si="139"/>
        <v>1</v>
      </c>
      <c r="L1674" s="7">
        <f t="shared" si="140"/>
        <v>45897</v>
      </c>
      <c r="M1674" s="7" t="s">
        <v>502</v>
      </c>
      <c r="N1674" s="7" t="s">
        <v>579</v>
      </c>
      <c r="O1674" s="17" t="s">
        <v>682</v>
      </c>
      <c r="P1674" s="7">
        <f t="shared" si="138"/>
        <v>8</v>
      </c>
      <c r="Q1674" s="7">
        <f t="shared" si="141"/>
        <v>2025</v>
      </c>
    </row>
    <row r="1675" spans="1:17" x14ac:dyDescent="0.25">
      <c r="A1675" s="7">
        <v>2542</v>
      </c>
      <c r="B1675" s="9" t="s">
        <v>540</v>
      </c>
      <c r="C1675" s="9" t="s">
        <v>540</v>
      </c>
      <c r="D1675" s="8">
        <v>45897</v>
      </c>
      <c r="E1675" s="7" t="s">
        <v>60</v>
      </c>
      <c r="F1675" s="7">
        <v>1</v>
      </c>
      <c r="G1675" s="7" t="s">
        <v>14</v>
      </c>
      <c r="H1675" s="7" t="s">
        <v>492</v>
      </c>
      <c r="J1675" s="7">
        <f t="shared" si="137"/>
        <v>1900</v>
      </c>
      <c r="K1675" s="7">
        <f t="shared" si="139"/>
        <v>1</v>
      </c>
      <c r="L1675" s="7">
        <f t="shared" si="140"/>
        <v>45897</v>
      </c>
      <c r="M1675" s="7" t="s">
        <v>502</v>
      </c>
      <c r="N1675" s="7" t="s">
        <v>579</v>
      </c>
      <c r="O1675" s="17" t="s">
        <v>682</v>
      </c>
      <c r="P1675" s="7">
        <f t="shared" si="138"/>
        <v>8</v>
      </c>
      <c r="Q1675" s="7">
        <f t="shared" si="141"/>
        <v>2025</v>
      </c>
    </row>
    <row r="1676" spans="1:17" x14ac:dyDescent="0.25">
      <c r="A1676" s="7">
        <v>2542</v>
      </c>
      <c r="B1676" s="9" t="s">
        <v>540</v>
      </c>
      <c r="C1676" s="9" t="s">
        <v>540</v>
      </c>
      <c r="D1676" s="8">
        <v>45897</v>
      </c>
      <c r="E1676" s="7" t="s">
        <v>60</v>
      </c>
      <c r="F1676" s="7">
        <v>1</v>
      </c>
      <c r="G1676" s="7" t="s">
        <v>14</v>
      </c>
      <c r="H1676" s="7" t="s">
        <v>492</v>
      </c>
      <c r="J1676" s="7">
        <f t="shared" si="137"/>
        <v>1900</v>
      </c>
      <c r="K1676" s="7">
        <f t="shared" si="139"/>
        <v>1</v>
      </c>
      <c r="L1676" s="7">
        <f t="shared" si="140"/>
        <v>45897</v>
      </c>
      <c r="M1676" s="7" t="s">
        <v>502</v>
      </c>
      <c r="N1676" s="7" t="s">
        <v>579</v>
      </c>
      <c r="O1676" s="17" t="s">
        <v>682</v>
      </c>
      <c r="P1676" s="7">
        <f t="shared" si="138"/>
        <v>8</v>
      </c>
      <c r="Q1676" s="7">
        <f t="shared" si="141"/>
        <v>2025</v>
      </c>
    </row>
    <row r="1677" spans="1:17" x14ac:dyDescent="0.25">
      <c r="A1677" s="7">
        <v>2542</v>
      </c>
      <c r="B1677" s="9" t="s">
        <v>540</v>
      </c>
      <c r="C1677" s="9" t="s">
        <v>540</v>
      </c>
      <c r="D1677" s="8">
        <v>45897</v>
      </c>
      <c r="E1677" s="7" t="s">
        <v>60</v>
      </c>
      <c r="F1677" s="7">
        <v>1</v>
      </c>
      <c r="G1677" s="7" t="s">
        <v>14</v>
      </c>
      <c r="H1677" s="7" t="s">
        <v>492</v>
      </c>
      <c r="J1677" s="7">
        <f t="shared" si="137"/>
        <v>1900</v>
      </c>
      <c r="K1677" s="7">
        <f t="shared" si="139"/>
        <v>1</v>
      </c>
      <c r="L1677" s="7">
        <f t="shared" si="140"/>
        <v>45897</v>
      </c>
      <c r="M1677" s="7" t="s">
        <v>502</v>
      </c>
      <c r="N1677" s="7" t="s">
        <v>579</v>
      </c>
      <c r="O1677" s="17" t="s">
        <v>682</v>
      </c>
      <c r="P1677" s="7">
        <f t="shared" si="138"/>
        <v>8</v>
      </c>
      <c r="Q1677" s="7">
        <f t="shared" si="141"/>
        <v>2025</v>
      </c>
    </row>
    <row r="1678" spans="1:17" x14ac:dyDescent="0.25">
      <c r="A1678" s="7">
        <v>2542</v>
      </c>
      <c r="B1678" s="9" t="s">
        <v>540</v>
      </c>
      <c r="C1678" s="9" t="s">
        <v>540</v>
      </c>
      <c r="D1678" s="8">
        <v>45897</v>
      </c>
      <c r="E1678" s="7" t="s">
        <v>60</v>
      </c>
      <c r="F1678" s="7">
        <v>1</v>
      </c>
      <c r="G1678" s="7" t="s">
        <v>14</v>
      </c>
      <c r="H1678" s="7" t="s">
        <v>492</v>
      </c>
      <c r="J1678" s="7">
        <f t="shared" si="137"/>
        <v>1900</v>
      </c>
      <c r="K1678" s="7">
        <f t="shared" si="139"/>
        <v>1</v>
      </c>
      <c r="L1678" s="7">
        <f t="shared" si="140"/>
        <v>45897</v>
      </c>
      <c r="M1678" s="7" t="s">
        <v>502</v>
      </c>
      <c r="N1678" s="7" t="s">
        <v>579</v>
      </c>
      <c r="O1678" s="17" t="s">
        <v>682</v>
      </c>
      <c r="P1678" s="7">
        <f t="shared" si="138"/>
        <v>8</v>
      </c>
      <c r="Q1678" s="7">
        <f t="shared" si="141"/>
        <v>2025</v>
      </c>
    </row>
    <row r="1679" spans="1:17" x14ac:dyDescent="0.25">
      <c r="A1679" s="7">
        <v>2542</v>
      </c>
      <c r="B1679" s="9" t="s">
        <v>540</v>
      </c>
      <c r="C1679" s="9" t="s">
        <v>540</v>
      </c>
      <c r="D1679" s="8">
        <v>45897</v>
      </c>
      <c r="E1679" s="7" t="s">
        <v>60</v>
      </c>
      <c r="F1679" s="7">
        <v>1</v>
      </c>
      <c r="G1679" s="7" t="s">
        <v>14</v>
      </c>
      <c r="H1679" s="7" t="s">
        <v>492</v>
      </c>
      <c r="J1679" s="7">
        <f t="shared" si="137"/>
        <v>1900</v>
      </c>
      <c r="K1679" s="7">
        <f t="shared" si="139"/>
        <v>1</v>
      </c>
      <c r="L1679" s="7">
        <f t="shared" si="140"/>
        <v>45897</v>
      </c>
      <c r="M1679" s="7" t="s">
        <v>502</v>
      </c>
      <c r="N1679" s="7" t="s">
        <v>579</v>
      </c>
      <c r="O1679" s="17" t="s">
        <v>682</v>
      </c>
      <c r="P1679" s="7">
        <f t="shared" si="138"/>
        <v>8</v>
      </c>
      <c r="Q1679" s="7">
        <f t="shared" si="141"/>
        <v>2025</v>
      </c>
    </row>
    <row r="1680" spans="1:17" x14ac:dyDescent="0.25">
      <c r="A1680" s="7">
        <v>2542</v>
      </c>
      <c r="B1680" s="9" t="s">
        <v>540</v>
      </c>
      <c r="C1680" s="9" t="s">
        <v>540</v>
      </c>
      <c r="D1680" s="8">
        <v>45897</v>
      </c>
      <c r="E1680" s="7" t="s">
        <v>60</v>
      </c>
      <c r="F1680" s="7">
        <v>1</v>
      </c>
      <c r="G1680" s="7" t="s">
        <v>14</v>
      </c>
      <c r="H1680" s="7" t="s">
        <v>492</v>
      </c>
      <c r="J1680" s="7">
        <f t="shared" si="137"/>
        <v>1900</v>
      </c>
      <c r="K1680" s="7">
        <f t="shared" si="139"/>
        <v>1</v>
      </c>
      <c r="L1680" s="7">
        <f t="shared" si="140"/>
        <v>45897</v>
      </c>
      <c r="M1680" s="7" t="s">
        <v>502</v>
      </c>
      <c r="N1680" s="7" t="s">
        <v>579</v>
      </c>
      <c r="O1680" s="17" t="s">
        <v>682</v>
      </c>
      <c r="P1680" s="7">
        <f t="shared" si="138"/>
        <v>8</v>
      </c>
      <c r="Q1680" s="7">
        <f t="shared" si="141"/>
        <v>2025</v>
      </c>
    </row>
    <row r="1681" spans="1:17" x14ac:dyDescent="0.25">
      <c r="A1681" s="7">
        <v>2542</v>
      </c>
      <c r="B1681" s="9" t="s">
        <v>540</v>
      </c>
      <c r="C1681" s="9" t="s">
        <v>540</v>
      </c>
      <c r="D1681" s="8">
        <v>45897</v>
      </c>
      <c r="E1681" s="7" t="s">
        <v>60</v>
      </c>
      <c r="F1681" s="7">
        <v>1</v>
      </c>
      <c r="G1681" s="7" t="s">
        <v>14</v>
      </c>
      <c r="H1681" s="7" t="s">
        <v>492</v>
      </c>
      <c r="J1681" s="7">
        <f t="shared" ref="J1681:J1740" si="142">YEAR(I1681)</f>
        <v>1900</v>
      </c>
      <c r="K1681" s="7">
        <f t="shared" si="139"/>
        <v>1</v>
      </c>
      <c r="L1681" s="7">
        <f t="shared" si="140"/>
        <v>45897</v>
      </c>
      <c r="M1681" s="7" t="s">
        <v>502</v>
      </c>
      <c r="N1681" s="7" t="s">
        <v>579</v>
      </c>
      <c r="O1681" s="17" t="s">
        <v>682</v>
      </c>
      <c r="P1681" s="7">
        <f t="shared" si="138"/>
        <v>8</v>
      </c>
      <c r="Q1681" s="7">
        <f t="shared" si="141"/>
        <v>2025</v>
      </c>
    </row>
    <row r="1682" spans="1:17" x14ac:dyDescent="0.25">
      <c r="A1682" s="7">
        <v>2542</v>
      </c>
      <c r="B1682" s="9" t="s">
        <v>540</v>
      </c>
      <c r="C1682" s="9" t="s">
        <v>540</v>
      </c>
      <c r="D1682" s="8">
        <v>45897</v>
      </c>
      <c r="E1682" s="7" t="s">
        <v>60</v>
      </c>
      <c r="F1682" s="7">
        <v>1</v>
      </c>
      <c r="G1682" s="7" t="s">
        <v>14</v>
      </c>
      <c r="H1682" s="7" t="s">
        <v>492</v>
      </c>
      <c r="J1682" s="7">
        <f t="shared" si="142"/>
        <v>1900</v>
      </c>
      <c r="K1682" s="7">
        <f t="shared" si="139"/>
        <v>1</v>
      </c>
      <c r="L1682" s="7">
        <f t="shared" si="140"/>
        <v>45897</v>
      </c>
      <c r="M1682" s="7" t="s">
        <v>502</v>
      </c>
      <c r="N1682" s="7" t="s">
        <v>579</v>
      </c>
      <c r="O1682" s="17" t="s">
        <v>682</v>
      </c>
      <c r="P1682" s="7">
        <f t="shared" si="138"/>
        <v>8</v>
      </c>
      <c r="Q1682" s="7">
        <f t="shared" si="141"/>
        <v>2025</v>
      </c>
    </row>
    <row r="1683" spans="1:17" x14ac:dyDescent="0.25">
      <c r="A1683" s="7">
        <v>2542</v>
      </c>
      <c r="B1683" s="9" t="s">
        <v>540</v>
      </c>
      <c r="C1683" s="9" t="s">
        <v>540</v>
      </c>
      <c r="D1683" s="8">
        <v>45897</v>
      </c>
      <c r="E1683" s="7" t="s">
        <v>60</v>
      </c>
      <c r="F1683" s="7">
        <v>1</v>
      </c>
      <c r="G1683" s="7" t="s">
        <v>14</v>
      </c>
      <c r="H1683" s="7" t="s">
        <v>492</v>
      </c>
      <c r="J1683" s="7">
        <f t="shared" si="142"/>
        <v>1900</v>
      </c>
      <c r="K1683" s="7">
        <f t="shared" si="139"/>
        <v>1</v>
      </c>
      <c r="L1683" s="7">
        <f t="shared" si="140"/>
        <v>45897</v>
      </c>
      <c r="M1683" s="7" t="s">
        <v>502</v>
      </c>
      <c r="N1683" s="7" t="s">
        <v>579</v>
      </c>
      <c r="O1683" s="17" t="s">
        <v>682</v>
      </c>
      <c r="P1683" s="7">
        <f t="shared" si="138"/>
        <v>8</v>
      </c>
      <c r="Q1683" s="7">
        <f t="shared" si="141"/>
        <v>2025</v>
      </c>
    </row>
    <row r="1684" spans="1:17" x14ac:dyDescent="0.25">
      <c r="A1684" s="7">
        <v>2542</v>
      </c>
      <c r="B1684" s="9" t="s">
        <v>540</v>
      </c>
      <c r="C1684" s="9" t="s">
        <v>540</v>
      </c>
      <c r="D1684" s="8">
        <v>45897</v>
      </c>
      <c r="E1684" s="7" t="s">
        <v>60</v>
      </c>
      <c r="F1684" s="7">
        <v>1</v>
      </c>
      <c r="G1684" s="7" t="s">
        <v>14</v>
      </c>
      <c r="H1684" s="7" t="s">
        <v>492</v>
      </c>
      <c r="J1684" s="7">
        <f t="shared" si="142"/>
        <v>1900</v>
      </c>
      <c r="K1684" s="7">
        <f t="shared" si="139"/>
        <v>1</v>
      </c>
      <c r="L1684" s="7">
        <f t="shared" si="140"/>
        <v>45897</v>
      </c>
      <c r="M1684" s="7" t="s">
        <v>502</v>
      </c>
      <c r="N1684" s="7" t="s">
        <v>579</v>
      </c>
      <c r="O1684" s="17" t="s">
        <v>682</v>
      </c>
      <c r="P1684" s="7">
        <f t="shared" si="138"/>
        <v>8</v>
      </c>
      <c r="Q1684" s="7">
        <f t="shared" si="141"/>
        <v>2025</v>
      </c>
    </row>
    <row r="1685" spans="1:17" x14ac:dyDescent="0.25">
      <c r="A1685" s="7">
        <v>2542</v>
      </c>
      <c r="B1685" s="9" t="s">
        <v>540</v>
      </c>
      <c r="C1685" s="9" t="s">
        <v>540</v>
      </c>
      <c r="D1685" s="8">
        <v>45897</v>
      </c>
      <c r="E1685" s="7" t="s">
        <v>60</v>
      </c>
      <c r="F1685" s="7">
        <v>1</v>
      </c>
      <c r="G1685" s="7" t="s">
        <v>14</v>
      </c>
      <c r="H1685" s="7" t="s">
        <v>492</v>
      </c>
      <c r="J1685" s="7">
        <f t="shared" si="142"/>
        <v>1900</v>
      </c>
      <c r="K1685" s="7">
        <f t="shared" si="139"/>
        <v>1</v>
      </c>
      <c r="L1685" s="7">
        <f t="shared" si="140"/>
        <v>45897</v>
      </c>
      <c r="M1685" s="7" t="s">
        <v>502</v>
      </c>
      <c r="N1685" s="7" t="s">
        <v>579</v>
      </c>
      <c r="O1685" s="17" t="s">
        <v>682</v>
      </c>
      <c r="P1685" s="7">
        <f t="shared" si="138"/>
        <v>8</v>
      </c>
      <c r="Q1685" s="7">
        <f t="shared" si="141"/>
        <v>2025</v>
      </c>
    </row>
    <row r="1686" spans="1:17" x14ac:dyDescent="0.25">
      <c r="A1686" s="7">
        <v>2542</v>
      </c>
      <c r="B1686" s="9" t="s">
        <v>540</v>
      </c>
      <c r="C1686" s="9" t="s">
        <v>540</v>
      </c>
      <c r="D1686" s="8">
        <v>45897</v>
      </c>
      <c r="E1686" s="7" t="s">
        <v>60</v>
      </c>
      <c r="F1686" s="7">
        <v>1</v>
      </c>
      <c r="G1686" s="7" t="s">
        <v>14</v>
      </c>
      <c r="H1686" s="7" t="s">
        <v>492</v>
      </c>
      <c r="J1686" s="7">
        <f t="shared" si="142"/>
        <v>1900</v>
      </c>
      <c r="K1686" s="7">
        <f t="shared" si="139"/>
        <v>1</v>
      </c>
      <c r="L1686" s="7">
        <f t="shared" si="140"/>
        <v>45897</v>
      </c>
      <c r="M1686" s="7" t="s">
        <v>502</v>
      </c>
      <c r="N1686" s="7" t="s">
        <v>579</v>
      </c>
      <c r="O1686" s="17" t="s">
        <v>682</v>
      </c>
      <c r="P1686" s="7">
        <f t="shared" si="138"/>
        <v>8</v>
      </c>
      <c r="Q1686" s="7">
        <f t="shared" si="141"/>
        <v>2025</v>
      </c>
    </row>
    <row r="1687" spans="1:17" x14ac:dyDescent="0.25">
      <c r="A1687" s="7">
        <v>2542</v>
      </c>
      <c r="B1687" s="9" t="s">
        <v>540</v>
      </c>
      <c r="C1687" s="9" t="s">
        <v>540</v>
      </c>
      <c r="D1687" s="8">
        <v>45897</v>
      </c>
      <c r="E1687" s="7" t="s">
        <v>60</v>
      </c>
      <c r="F1687" s="7">
        <v>1</v>
      </c>
      <c r="G1687" s="7" t="s">
        <v>14</v>
      </c>
      <c r="H1687" s="7" t="s">
        <v>492</v>
      </c>
      <c r="J1687" s="7">
        <f t="shared" si="142"/>
        <v>1900</v>
      </c>
      <c r="K1687" s="7">
        <f t="shared" si="139"/>
        <v>1</v>
      </c>
      <c r="L1687" s="7">
        <f t="shared" si="140"/>
        <v>45897</v>
      </c>
      <c r="M1687" s="7" t="s">
        <v>502</v>
      </c>
      <c r="N1687" s="7" t="s">
        <v>579</v>
      </c>
      <c r="O1687" s="17" t="s">
        <v>682</v>
      </c>
      <c r="P1687" s="7">
        <f t="shared" si="138"/>
        <v>8</v>
      </c>
      <c r="Q1687" s="7">
        <f t="shared" si="141"/>
        <v>2025</v>
      </c>
    </row>
    <row r="1688" spans="1:17" x14ac:dyDescent="0.25">
      <c r="A1688" s="7">
        <v>2542</v>
      </c>
      <c r="B1688" s="9" t="s">
        <v>540</v>
      </c>
      <c r="C1688" s="9" t="s">
        <v>540</v>
      </c>
      <c r="D1688" s="8">
        <v>45897</v>
      </c>
      <c r="E1688" s="7" t="s">
        <v>60</v>
      </c>
      <c r="F1688" s="7">
        <v>1</v>
      </c>
      <c r="G1688" s="7" t="s">
        <v>14</v>
      </c>
      <c r="H1688" s="7" t="s">
        <v>492</v>
      </c>
      <c r="J1688" s="7">
        <f t="shared" si="142"/>
        <v>1900</v>
      </c>
      <c r="K1688" s="7">
        <f t="shared" si="139"/>
        <v>1</v>
      </c>
      <c r="L1688" s="7">
        <f t="shared" si="140"/>
        <v>45897</v>
      </c>
      <c r="M1688" s="7" t="s">
        <v>502</v>
      </c>
      <c r="N1688" s="7" t="s">
        <v>579</v>
      </c>
      <c r="O1688" s="17" t="s">
        <v>682</v>
      </c>
      <c r="P1688" s="7">
        <f t="shared" si="138"/>
        <v>8</v>
      </c>
      <c r="Q1688" s="7">
        <f t="shared" si="141"/>
        <v>2025</v>
      </c>
    </row>
    <row r="1689" spans="1:17" x14ac:dyDescent="0.25">
      <c r="A1689" s="7">
        <v>2542</v>
      </c>
      <c r="B1689" s="9" t="s">
        <v>540</v>
      </c>
      <c r="C1689" s="9" t="s">
        <v>540</v>
      </c>
      <c r="D1689" s="8">
        <v>45897</v>
      </c>
      <c r="E1689" s="7" t="s">
        <v>60</v>
      </c>
      <c r="F1689" s="7">
        <v>1</v>
      </c>
      <c r="G1689" s="7" t="s">
        <v>14</v>
      </c>
      <c r="H1689" s="7" t="s">
        <v>492</v>
      </c>
      <c r="J1689" s="7">
        <f t="shared" si="142"/>
        <v>1900</v>
      </c>
      <c r="K1689" s="7">
        <f t="shared" si="139"/>
        <v>1</v>
      </c>
      <c r="L1689" s="7">
        <f t="shared" si="140"/>
        <v>45897</v>
      </c>
      <c r="M1689" s="7" t="s">
        <v>502</v>
      </c>
      <c r="N1689" s="7" t="s">
        <v>579</v>
      </c>
      <c r="O1689" s="17" t="s">
        <v>682</v>
      </c>
      <c r="P1689" s="7">
        <f t="shared" si="138"/>
        <v>8</v>
      </c>
      <c r="Q1689" s="7">
        <f t="shared" si="141"/>
        <v>2025</v>
      </c>
    </row>
    <row r="1690" spans="1:17" x14ac:dyDescent="0.25">
      <c r="A1690" s="7">
        <v>2542</v>
      </c>
      <c r="B1690" s="9" t="s">
        <v>540</v>
      </c>
      <c r="C1690" s="9" t="s">
        <v>540</v>
      </c>
      <c r="D1690" s="8">
        <v>45897</v>
      </c>
      <c r="E1690" s="7" t="s">
        <v>60</v>
      </c>
      <c r="F1690" s="7">
        <v>1</v>
      </c>
      <c r="G1690" s="7" t="s">
        <v>14</v>
      </c>
      <c r="H1690" s="7" t="s">
        <v>492</v>
      </c>
      <c r="J1690" s="7">
        <f t="shared" si="142"/>
        <v>1900</v>
      </c>
      <c r="K1690" s="7">
        <f t="shared" si="139"/>
        <v>1</v>
      </c>
      <c r="L1690" s="7">
        <f t="shared" si="140"/>
        <v>45897</v>
      </c>
      <c r="M1690" s="7" t="s">
        <v>502</v>
      </c>
      <c r="N1690" s="7" t="s">
        <v>579</v>
      </c>
      <c r="O1690" s="17" t="s">
        <v>682</v>
      </c>
      <c r="P1690" s="7">
        <f t="shared" ref="P1690:P1758" si="143">MONTH(D1690)</f>
        <v>8</v>
      </c>
      <c r="Q1690" s="7">
        <f t="shared" si="141"/>
        <v>2025</v>
      </c>
    </row>
    <row r="1691" spans="1:17" x14ac:dyDescent="0.25">
      <c r="A1691" s="7">
        <v>2542</v>
      </c>
      <c r="B1691" s="9" t="s">
        <v>540</v>
      </c>
      <c r="C1691" s="9" t="s">
        <v>540</v>
      </c>
      <c r="D1691" s="8">
        <v>45897</v>
      </c>
      <c r="E1691" s="7" t="s">
        <v>60</v>
      </c>
      <c r="F1691" s="7">
        <v>1</v>
      </c>
      <c r="G1691" s="7" t="s">
        <v>14</v>
      </c>
      <c r="H1691" s="7" t="s">
        <v>492</v>
      </c>
      <c r="J1691" s="7">
        <f t="shared" si="142"/>
        <v>1900</v>
      </c>
      <c r="K1691" s="7">
        <f t="shared" si="139"/>
        <v>1</v>
      </c>
      <c r="L1691" s="7">
        <f t="shared" si="140"/>
        <v>45897</v>
      </c>
      <c r="M1691" s="7" t="s">
        <v>502</v>
      </c>
      <c r="N1691" s="7" t="s">
        <v>579</v>
      </c>
      <c r="O1691" s="17" t="s">
        <v>682</v>
      </c>
      <c r="P1691" s="7">
        <f t="shared" si="143"/>
        <v>8</v>
      </c>
      <c r="Q1691" s="7">
        <f t="shared" si="141"/>
        <v>2025</v>
      </c>
    </row>
    <row r="1692" spans="1:17" x14ac:dyDescent="0.25">
      <c r="A1692" s="7">
        <v>2542</v>
      </c>
      <c r="B1692" s="9" t="s">
        <v>540</v>
      </c>
      <c r="C1692" s="9" t="s">
        <v>540</v>
      </c>
      <c r="D1692" s="8">
        <v>45897</v>
      </c>
      <c r="E1692" s="7" t="s">
        <v>60</v>
      </c>
      <c r="F1692" s="7">
        <v>1</v>
      </c>
      <c r="G1692" s="7" t="s">
        <v>14</v>
      </c>
      <c r="H1692" s="7" t="s">
        <v>492</v>
      </c>
      <c r="J1692" s="7">
        <f t="shared" si="142"/>
        <v>1900</v>
      </c>
      <c r="K1692" s="7">
        <f t="shared" si="139"/>
        <v>1</v>
      </c>
      <c r="L1692" s="7">
        <f t="shared" si="140"/>
        <v>45897</v>
      </c>
      <c r="M1692" s="7" t="s">
        <v>502</v>
      </c>
      <c r="N1692" s="7" t="s">
        <v>579</v>
      </c>
      <c r="O1692" s="17" t="s">
        <v>682</v>
      </c>
      <c r="P1692" s="7">
        <f t="shared" si="143"/>
        <v>8</v>
      </c>
      <c r="Q1692" s="7">
        <f t="shared" si="141"/>
        <v>2025</v>
      </c>
    </row>
    <row r="1693" spans="1:17" x14ac:dyDescent="0.25">
      <c r="A1693" s="7">
        <v>2542</v>
      </c>
      <c r="B1693" s="9" t="s">
        <v>540</v>
      </c>
      <c r="C1693" s="9" t="s">
        <v>540</v>
      </c>
      <c r="D1693" s="8">
        <v>45897</v>
      </c>
      <c r="E1693" s="7" t="s">
        <v>60</v>
      </c>
      <c r="F1693" s="7">
        <v>1</v>
      </c>
      <c r="G1693" s="7" t="s">
        <v>14</v>
      </c>
      <c r="H1693" s="7" t="s">
        <v>492</v>
      </c>
      <c r="J1693" s="7">
        <f t="shared" si="142"/>
        <v>1900</v>
      </c>
      <c r="K1693" s="7">
        <f t="shared" si="139"/>
        <v>1</v>
      </c>
      <c r="L1693" s="7">
        <f t="shared" si="140"/>
        <v>45897</v>
      </c>
      <c r="M1693" s="7" t="s">
        <v>502</v>
      </c>
      <c r="N1693" s="7" t="s">
        <v>579</v>
      </c>
      <c r="O1693" s="17" t="s">
        <v>682</v>
      </c>
      <c r="P1693" s="7">
        <f t="shared" si="143"/>
        <v>8</v>
      </c>
      <c r="Q1693" s="7">
        <f t="shared" si="141"/>
        <v>2025</v>
      </c>
    </row>
    <row r="1694" spans="1:17" x14ac:dyDescent="0.25">
      <c r="A1694" s="7">
        <v>2543</v>
      </c>
      <c r="B1694" s="9" t="s">
        <v>551</v>
      </c>
      <c r="C1694" s="9" t="s">
        <v>550</v>
      </c>
      <c r="D1694" s="8">
        <v>45905</v>
      </c>
      <c r="E1694" s="7" t="s">
        <v>60</v>
      </c>
      <c r="F1694" s="7">
        <v>1</v>
      </c>
      <c r="G1694" s="7" t="s">
        <v>15</v>
      </c>
      <c r="H1694" s="7" t="s">
        <v>314</v>
      </c>
      <c r="J1694" s="7">
        <f t="shared" si="142"/>
        <v>1900</v>
      </c>
      <c r="K1694" s="7">
        <f t="shared" si="139"/>
        <v>1</v>
      </c>
      <c r="L1694" s="7">
        <f t="shared" si="140"/>
        <v>45905</v>
      </c>
      <c r="M1694" s="7" t="s">
        <v>917</v>
      </c>
      <c r="N1694" s="7" t="s">
        <v>580</v>
      </c>
      <c r="O1694" s="17" t="s">
        <v>682</v>
      </c>
      <c r="P1694" s="7">
        <f t="shared" si="143"/>
        <v>9</v>
      </c>
      <c r="Q1694" s="7">
        <f t="shared" si="141"/>
        <v>2025</v>
      </c>
    </row>
    <row r="1695" spans="1:17" x14ac:dyDescent="0.25">
      <c r="A1695" s="7">
        <v>2543</v>
      </c>
      <c r="B1695" s="9" t="s">
        <v>551</v>
      </c>
      <c r="C1695" s="9" t="s">
        <v>550</v>
      </c>
      <c r="D1695" s="8">
        <v>45905</v>
      </c>
      <c r="E1695" s="7" t="s">
        <v>60</v>
      </c>
      <c r="F1695" s="7">
        <v>1</v>
      </c>
      <c r="G1695" s="7" t="s">
        <v>15</v>
      </c>
      <c r="H1695" s="7" t="s">
        <v>314</v>
      </c>
      <c r="J1695" s="7">
        <f t="shared" si="142"/>
        <v>1900</v>
      </c>
      <c r="K1695" s="7">
        <f t="shared" si="139"/>
        <v>1</v>
      </c>
      <c r="L1695" s="7">
        <f t="shared" si="140"/>
        <v>45905</v>
      </c>
      <c r="M1695" s="7" t="s">
        <v>917</v>
      </c>
      <c r="N1695" s="7" t="s">
        <v>580</v>
      </c>
      <c r="O1695" s="17" t="s">
        <v>682</v>
      </c>
      <c r="P1695" s="7">
        <f t="shared" si="143"/>
        <v>9</v>
      </c>
      <c r="Q1695" s="7">
        <f t="shared" si="141"/>
        <v>2025</v>
      </c>
    </row>
    <row r="1696" spans="1:17" x14ac:dyDescent="0.25">
      <c r="A1696" s="7">
        <v>2543</v>
      </c>
      <c r="B1696" s="9" t="s">
        <v>551</v>
      </c>
      <c r="C1696" s="9" t="s">
        <v>550</v>
      </c>
      <c r="D1696" s="8">
        <v>45905</v>
      </c>
      <c r="E1696" s="7" t="s">
        <v>60</v>
      </c>
      <c r="F1696" s="7">
        <v>1</v>
      </c>
      <c r="G1696" s="7" t="s">
        <v>15</v>
      </c>
      <c r="H1696" s="7" t="s">
        <v>314</v>
      </c>
      <c r="J1696" s="7">
        <f t="shared" si="142"/>
        <v>1900</v>
      </c>
      <c r="K1696" s="7">
        <f t="shared" si="139"/>
        <v>1</v>
      </c>
      <c r="L1696" s="7">
        <f t="shared" si="140"/>
        <v>45905</v>
      </c>
      <c r="M1696" s="7" t="s">
        <v>917</v>
      </c>
      <c r="N1696" s="7" t="s">
        <v>580</v>
      </c>
      <c r="O1696" s="17" t="s">
        <v>682</v>
      </c>
      <c r="P1696" s="7">
        <f t="shared" si="143"/>
        <v>9</v>
      </c>
      <c r="Q1696" s="7">
        <f t="shared" si="141"/>
        <v>2025</v>
      </c>
    </row>
    <row r="1697" spans="1:17" x14ac:dyDescent="0.25">
      <c r="A1697" s="7">
        <v>2543</v>
      </c>
      <c r="B1697" s="9" t="s">
        <v>551</v>
      </c>
      <c r="C1697" s="9" t="s">
        <v>550</v>
      </c>
      <c r="D1697" s="8">
        <v>45905</v>
      </c>
      <c r="E1697" s="7" t="s">
        <v>60</v>
      </c>
      <c r="F1697" s="7">
        <v>1</v>
      </c>
      <c r="G1697" s="7" t="s">
        <v>15</v>
      </c>
      <c r="H1697" s="7" t="s">
        <v>314</v>
      </c>
      <c r="J1697" s="7">
        <f t="shared" si="142"/>
        <v>1900</v>
      </c>
      <c r="K1697" s="7">
        <f t="shared" si="139"/>
        <v>1</v>
      </c>
      <c r="L1697" s="7">
        <f t="shared" si="140"/>
        <v>45905</v>
      </c>
      <c r="M1697" s="7" t="s">
        <v>917</v>
      </c>
      <c r="N1697" s="7" t="s">
        <v>580</v>
      </c>
      <c r="O1697" s="17" t="s">
        <v>682</v>
      </c>
      <c r="P1697" s="7">
        <f t="shared" si="143"/>
        <v>9</v>
      </c>
      <c r="Q1697" s="7">
        <f t="shared" si="141"/>
        <v>2025</v>
      </c>
    </row>
    <row r="1698" spans="1:17" x14ac:dyDescent="0.25">
      <c r="A1698" s="7">
        <v>2543</v>
      </c>
      <c r="B1698" s="9" t="s">
        <v>551</v>
      </c>
      <c r="C1698" s="9" t="s">
        <v>550</v>
      </c>
      <c r="D1698" s="8">
        <v>45905</v>
      </c>
      <c r="E1698" s="7" t="s">
        <v>60</v>
      </c>
      <c r="F1698" s="7">
        <v>1</v>
      </c>
      <c r="G1698" s="7" t="s">
        <v>15</v>
      </c>
      <c r="H1698" s="7" t="s">
        <v>314</v>
      </c>
      <c r="J1698" s="7">
        <f t="shared" si="142"/>
        <v>1900</v>
      </c>
      <c r="K1698" s="7">
        <f t="shared" si="139"/>
        <v>1</v>
      </c>
      <c r="L1698" s="7">
        <f t="shared" si="140"/>
        <v>45905</v>
      </c>
      <c r="M1698" s="7" t="s">
        <v>917</v>
      </c>
      <c r="N1698" s="7" t="s">
        <v>580</v>
      </c>
      <c r="O1698" s="17" t="s">
        <v>682</v>
      </c>
      <c r="P1698" s="7">
        <f t="shared" si="143"/>
        <v>9</v>
      </c>
      <c r="Q1698" s="7">
        <f t="shared" si="141"/>
        <v>2025</v>
      </c>
    </row>
    <row r="1699" spans="1:17" x14ac:dyDescent="0.25">
      <c r="A1699" s="7">
        <v>2543</v>
      </c>
      <c r="B1699" s="9" t="s">
        <v>551</v>
      </c>
      <c r="C1699" s="9" t="s">
        <v>550</v>
      </c>
      <c r="D1699" s="8">
        <v>45905</v>
      </c>
      <c r="E1699" s="7" t="s">
        <v>60</v>
      </c>
      <c r="F1699" s="7">
        <v>1</v>
      </c>
      <c r="G1699" s="7" t="s">
        <v>15</v>
      </c>
      <c r="H1699" s="7" t="s">
        <v>314</v>
      </c>
      <c r="J1699" s="7">
        <f t="shared" si="142"/>
        <v>1900</v>
      </c>
      <c r="K1699" s="7">
        <f>MONTH(I1699)</f>
        <v>1</v>
      </c>
      <c r="L1699" s="7">
        <f>D1699-I1699</f>
        <v>45905</v>
      </c>
      <c r="M1699" s="7" t="s">
        <v>917</v>
      </c>
      <c r="N1699" s="7" t="s">
        <v>580</v>
      </c>
      <c r="O1699" s="17" t="s">
        <v>682</v>
      </c>
      <c r="P1699" s="7">
        <f t="shared" si="143"/>
        <v>9</v>
      </c>
      <c r="Q1699" s="7">
        <f t="shared" si="141"/>
        <v>2025</v>
      </c>
    </row>
    <row r="1700" spans="1:17" x14ac:dyDescent="0.25">
      <c r="A1700" s="7">
        <v>2544</v>
      </c>
      <c r="B1700" s="9" t="s">
        <v>9</v>
      </c>
      <c r="C1700" s="9" t="s">
        <v>290</v>
      </c>
      <c r="D1700" s="8">
        <v>45903</v>
      </c>
      <c r="E1700" s="7" t="s">
        <v>687</v>
      </c>
      <c r="F1700" s="7">
        <v>1</v>
      </c>
      <c r="G1700" s="7" t="s">
        <v>15</v>
      </c>
      <c r="J1700" s="7">
        <f t="shared" si="142"/>
        <v>1900</v>
      </c>
      <c r="K1700" s="7">
        <f t="shared" ref="K1700:K1714" si="144">MONTH(I1700)</f>
        <v>1</v>
      </c>
      <c r="L1700" s="7">
        <f t="shared" ref="L1700:L1714" si="145">D1700-I1700</f>
        <v>45903</v>
      </c>
      <c r="M1700" s="7" t="s">
        <v>917</v>
      </c>
      <c r="N1700" s="7" t="s">
        <v>580</v>
      </c>
      <c r="O1700" s="17" t="s">
        <v>682</v>
      </c>
      <c r="P1700" s="7">
        <f t="shared" si="143"/>
        <v>9</v>
      </c>
      <c r="Q1700" s="7">
        <f t="shared" si="141"/>
        <v>2025</v>
      </c>
    </row>
    <row r="1701" spans="1:17" x14ac:dyDescent="0.25">
      <c r="A1701" s="7">
        <v>2544</v>
      </c>
      <c r="B1701" s="9" t="s">
        <v>9</v>
      </c>
      <c r="C1701" s="9" t="s">
        <v>290</v>
      </c>
      <c r="D1701" s="8">
        <v>45903</v>
      </c>
      <c r="E1701" s="7" t="s">
        <v>688</v>
      </c>
      <c r="F1701" s="7">
        <v>1</v>
      </c>
      <c r="G1701" s="7" t="s">
        <v>15</v>
      </c>
      <c r="J1701" s="7">
        <f t="shared" si="142"/>
        <v>1900</v>
      </c>
      <c r="K1701" s="7">
        <f t="shared" si="144"/>
        <v>1</v>
      </c>
      <c r="L1701" s="7">
        <f t="shared" si="145"/>
        <v>45903</v>
      </c>
      <c r="M1701" s="7" t="s">
        <v>917</v>
      </c>
      <c r="N1701" s="7" t="s">
        <v>580</v>
      </c>
      <c r="O1701" s="17" t="s">
        <v>682</v>
      </c>
      <c r="P1701" s="7">
        <f t="shared" si="143"/>
        <v>9</v>
      </c>
      <c r="Q1701" s="7">
        <f t="shared" si="141"/>
        <v>2025</v>
      </c>
    </row>
    <row r="1702" spans="1:17" x14ac:dyDescent="0.25">
      <c r="A1702" s="7">
        <v>2544</v>
      </c>
      <c r="B1702" s="9" t="s">
        <v>9</v>
      </c>
      <c r="C1702" s="9" t="s">
        <v>290</v>
      </c>
      <c r="D1702" s="8">
        <v>45903</v>
      </c>
      <c r="E1702" s="7" t="s">
        <v>689</v>
      </c>
      <c r="F1702" s="7">
        <v>1</v>
      </c>
      <c r="G1702" s="7" t="s">
        <v>15</v>
      </c>
      <c r="J1702" s="7">
        <f t="shared" si="142"/>
        <v>1900</v>
      </c>
      <c r="K1702" s="7">
        <f t="shared" si="144"/>
        <v>1</v>
      </c>
      <c r="L1702" s="7">
        <f t="shared" si="145"/>
        <v>45903</v>
      </c>
      <c r="M1702" s="7" t="s">
        <v>917</v>
      </c>
      <c r="N1702" s="7" t="s">
        <v>580</v>
      </c>
      <c r="O1702" s="17" t="s">
        <v>682</v>
      </c>
      <c r="P1702" s="7">
        <f t="shared" si="143"/>
        <v>9</v>
      </c>
      <c r="Q1702" s="7">
        <f t="shared" si="141"/>
        <v>2025</v>
      </c>
    </row>
    <row r="1703" spans="1:17" x14ac:dyDescent="0.25">
      <c r="A1703" s="7">
        <v>2544</v>
      </c>
      <c r="B1703" s="9" t="s">
        <v>9</v>
      </c>
      <c r="C1703" s="9" t="s">
        <v>290</v>
      </c>
      <c r="D1703" s="8">
        <v>45903</v>
      </c>
      <c r="E1703" s="7" t="s">
        <v>690</v>
      </c>
      <c r="F1703" s="7">
        <v>1</v>
      </c>
      <c r="G1703" s="7" t="s">
        <v>15</v>
      </c>
      <c r="J1703" s="7">
        <f t="shared" si="142"/>
        <v>1900</v>
      </c>
      <c r="K1703" s="7">
        <f t="shared" si="144"/>
        <v>1</v>
      </c>
      <c r="L1703" s="7">
        <f t="shared" si="145"/>
        <v>45903</v>
      </c>
      <c r="M1703" s="7" t="s">
        <v>917</v>
      </c>
      <c r="N1703" s="7" t="s">
        <v>580</v>
      </c>
      <c r="O1703" s="17" t="s">
        <v>682</v>
      </c>
      <c r="P1703" s="7">
        <f t="shared" si="143"/>
        <v>9</v>
      </c>
      <c r="Q1703" s="7">
        <f t="shared" si="141"/>
        <v>2025</v>
      </c>
    </row>
    <row r="1704" spans="1:17" x14ac:dyDescent="0.25">
      <c r="A1704" s="7">
        <v>2544</v>
      </c>
      <c r="B1704" s="9" t="s">
        <v>9</v>
      </c>
      <c r="C1704" s="9" t="s">
        <v>290</v>
      </c>
      <c r="D1704" s="8">
        <v>45903</v>
      </c>
      <c r="E1704" s="7" t="s">
        <v>691</v>
      </c>
      <c r="F1704" s="7">
        <v>1</v>
      </c>
      <c r="G1704" s="7" t="s">
        <v>15</v>
      </c>
      <c r="J1704" s="7">
        <f t="shared" si="142"/>
        <v>1900</v>
      </c>
      <c r="K1704" s="7">
        <f t="shared" si="144"/>
        <v>1</v>
      </c>
      <c r="L1704" s="7">
        <f t="shared" si="145"/>
        <v>45903</v>
      </c>
      <c r="M1704" s="7" t="s">
        <v>917</v>
      </c>
      <c r="N1704" s="7" t="s">
        <v>580</v>
      </c>
      <c r="O1704" s="17" t="s">
        <v>682</v>
      </c>
      <c r="P1704" s="7">
        <f t="shared" si="143"/>
        <v>9</v>
      </c>
      <c r="Q1704" s="7">
        <f t="shared" si="141"/>
        <v>2025</v>
      </c>
    </row>
    <row r="1705" spans="1:17" x14ac:dyDescent="0.25">
      <c r="A1705" s="7">
        <v>2544</v>
      </c>
      <c r="B1705" s="9" t="s">
        <v>9</v>
      </c>
      <c r="C1705" s="9" t="s">
        <v>290</v>
      </c>
      <c r="D1705" s="8">
        <v>45903</v>
      </c>
      <c r="E1705" s="7" t="s">
        <v>692</v>
      </c>
      <c r="F1705" s="7">
        <v>1</v>
      </c>
      <c r="G1705" s="7" t="s">
        <v>15</v>
      </c>
      <c r="J1705" s="7">
        <f t="shared" si="142"/>
        <v>1900</v>
      </c>
      <c r="K1705" s="7">
        <f t="shared" si="144"/>
        <v>1</v>
      </c>
      <c r="L1705" s="7">
        <f t="shared" si="145"/>
        <v>45903</v>
      </c>
      <c r="M1705" s="7" t="s">
        <v>917</v>
      </c>
      <c r="N1705" s="7" t="s">
        <v>580</v>
      </c>
      <c r="O1705" s="17" t="s">
        <v>682</v>
      </c>
      <c r="P1705" s="7">
        <f t="shared" si="143"/>
        <v>9</v>
      </c>
      <c r="Q1705" s="7">
        <f t="shared" si="141"/>
        <v>2025</v>
      </c>
    </row>
    <row r="1706" spans="1:17" x14ac:dyDescent="0.25">
      <c r="A1706" s="7">
        <v>2544</v>
      </c>
      <c r="B1706" s="9" t="s">
        <v>9</v>
      </c>
      <c r="C1706" s="9" t="s">
        <v>290</v>
      </c>
      <c r="D1706" s="8">
        <v>45903</v>
      </c>
      <c r="E1706" s="7" t="s">
        <v>693</v>
      </c>
      <c r="F1706" s="7">
        <v>1</v>
      </c>
      <c r="G1706" s="7" t="s">
        <v>15</v>
      </c>
      <c r="J1706" s="7">
        <f t="shared" si="142"/>
        <v>1900</v>
      </c>
      <c r="K1706" s="7">
        <f t="shared" si="144"/>
        <v>1</v>
      </c>
      <c r="L1706" s="7">
        <f t="shared" si="145"/>
        <v>45903</v>
      </c>
      <c r="M1706" s="7" t="s">
        <v>917</v>
      </c>
      <c r="N1706" s="7" t="s">
        <v>580</v>
      </c>
      <c r="O1706" s="17" t="s">
        <v>682</v>
      </c>
      <c r="P1706" s="7">
        <f t="shared" si="143"/>
        <v>9</v>
      </c>
      <c r="Q1706" s="7">
        <f t="shared" si="141"/>
        <v>2025</v>
      </c>
    </row>
    <row r="1707" spans="1:17" x14ac:dyDescent="0.25">
      <c r="A1707" s="7">
        <v>2544</v>
      </c>
      <c r="B1707" s="9" t="s">
        <v>9</v>
      </c>
      <c r="C1707" s="9" t="s">
        <v>290</v>
      </c>
      <c r="D1707" s="8">
        <v>45903</v>
      </c>
      <c r="E1707" s="7" t="s">
        <v>694</v>
      </c>
      <c r="F1707" s="7">
        <v>1</v>
      </c>
      <c r="G1707" s="7" t="s">
        <v>15</v>
      </c>
      <c r="J1707" s="7">
        <f t="shared" si="142"/>
        <v>1900</v>
      </c>
      <c r="K1707" s="7">
        <f t="shared" si="144"/>
        <v>1</v>
      </c>
      <c r="L1707" s="7">
        <f t="shared" si="145"/>
        <v>45903</v>
      </c>
      <c r="M1707" s="7" t="s">
        <v>917</v>
      </c>
      <c r="N1707" s="7" t="s">
        <v>580</v>
      </c>
      <c r="O1707" s="17" t="s">
        <v>682</v>
      </c>
      <c r="P1707" s="7">
        <f t="shared" si="143"/>
        <v>9</v>
      </c>
      <c r="Q1707" s="7">
        <f t="shared" si="141"/>
        <v>2025</v>
      </c>
    </row>
    <row r="1708" spans="1:17" x14ac:dyDescent="0.25">
      <c r="A1708" s="7">
        <v>2544</v>
      </c>
      <c r="B1708" s="9" t="s">
        <v>9</v>
      </c>
      <c r="C1708" s="9" t="s">
        <v>290</v>
      </c>
      <c r="D1708" s="8">
        <v>45903</v>
      </c>
      <c r="E1708" s="7" t="s">
        <v>695</v>
      </c>
      <c r="F1708" s="7">
        <v>1</v>
      </c>
      <c r="G1708" s="7" t="s">
        <v>15</v>
      </c>
      <c r="J1708" s="7">
        <f t="shared" si="142"/>
        <v>1900</v>
      </c>
      <c r="K1708" s="7">
        <f t="shared" si="144"/>
        <v>1</v>
      </c>
      <c r="L1708" s="7">
        <f t="shared" si="145"/>
        <v>45903</v>
      </c>
      <c r="M1708" s="7" t="s">
        <v>917</v>
      </c>
      <c r="N1708" s="7" t="s">
        <v>580</v>
      </c>
      <c r="O1708" s="17" t="s">
        <v>682</v>
      </c>
      <c r="P1708" s="7">
        <f t="shared" si="143"/>
        <v>9</v>
      </c>
      <c r="Q1708" s="7">
        <f t="shared" si="141"/>
        <v>2025</v>
      </c>
    </row>
    <row r="1709" spans="1:17" x14ac:dyDescent="0.25">
      <c r="A1709" s="7">
        <v>2544</v>
      </c>
      <c r="B1709" s="9" t="s">
        <v>9</v>
      </c>
      <c r="C1709" s="9" t="s">
        <v>290</v>
      </c>
      <c r="D1709" s="8">
        <v>45903</v>
      </c>
      <c r="E1709" s="7" t="s">
        <v>696</v>
      </c>
      <c r="F1709" s="7">
        <v>1</v>
      </c>
      <c r="G1709" s="7" t="s">
        <v>15</v>
      </c>
      <c r="J1709" s="7">
        <f t="shared" si="142"/>
        <v>1900</v>
      </c>
      <c r="K1709" s="7">
        <f t="shared" si="144"/>
        <v>1</v>
      </c>
      <c r="L1709" s="7">
        <f t="shared" si="145"/>
        <v>45903</v>
      </c>
      <c r="M1709" s="7" t="s">
        <v>917</v>
      </c>
      <c r="N1709" s="7" t="s">
        <v>580</v>
      </c>
      <c r="O1709" s="17" t="s">
        <v>682</v>
      </c>
      <c r="P1709" s="7">
        <f t="shared" si="143"/>
        <v>9</v>
      </c>
      <c r="Q1709" s="7">
        <f t="shared" si="141"/>
        <v>2025</v>
      </c>
    </row>
    <row r="1710" spans="1:17" x14ac:dyDescent="0.25">
      <c r="A1710" s="7">
        <v>2544</v>
      </c>
      <c r="B1710" s="9" t="s">
        <v>9</v>
      </c>
      <c r="C1710" s="9" t="s">
        <v>290</v>
      </c>
      <c r="D1710" s="8">
        <v>45903</v>
      </c>
      <c r="E1710" s="7" t="s">
        <v>697</v>
      </c>
      <c r="F1710" s="7">
        <v>1</v>
      </c>
      <c r="G1710" s="7" t="s">
        <v>15</v>
      </c>
      <c r="J1710" s="7">
        <f t="shared" si="142"/>
        <v>1900</v>
      </c>
      <c r="K1710" s="7">
        <f t="shared" si="144"/>
        <v>1</v>
      </c>
      <c r="L1710" s="7">
        <f t="shared" si="145"/>
        <v>45903</v>
      </c>
      <c r="M1710" s="7" t="s">
        <v>917</v>
      </c>
      <c r="N1710" s="7" t="s">
        <v>580</v>
      </c>
      <c r="O1710" s="17" t="s">
        <v>682</v>
      </c>
      <c r="P1710" s="7">
        <f t="shared" si="143"/>
        <v>9</v>
      </c>
      <c r="Q1710" s="7">
        <f t="shared" si="141"/>
        <v>2025</v>
      </c>
    </row>
    <row r="1711" spans="1:17" x14ac:dyDescent="0.25">
      <c r="A1711" s="7">
        <v>2544</v>
      </c>
      <c r="B1711" s="9" t="s">
        <v>9</v>
      </c>
      <c r="C1711" s="9" t="s">
        <v>290</v>
      </c>
      <c r="D1711" s="8">
        <v>45903</v>
      </c>
      <c r="E1711" s="7" t="s">
        <v>698</v>
      </c>
      <c r="F1711" s="7">
        <v>1</v>
      </c>
      <c r="G1711" s="7" t="s">
        <v>15</v>
      </c>
      <c r="J1711" s="7">
        <f t="shared" si="142"/>
        <v>1900</v>
      </c>
      <c r="K1711" s="7">
        <f t="shared" si="144"/>
        <v>1</v>
      </c>
      <c r="L1711" s="7">
        <f t="shared" si="145"/>
        <v>45903</v>
      </c>
      <c r="M1711" s="7" t="s">
        <v>917</v>
      </c>
      <c r="N1711" s="7" t="s">
        <v>580</v>
      </c>
      <c r="O1711" s="17" t="s">
        <v>682</v>
      </c>
      <c r="P1711" s="7">
        <f t="shared" si="143"/>
        <v>9</v>
      </c>
      <c r="Q1711" s="7">
        <f t="shared" si="141"/>
        <v>2025</v>
      </c>
    </row>
    <row r="1712" spans="1:17" x14ac:dyDescent="0.25">
      <c r="A1712" s="7">
        <v>2544</v>
      </c>
      <c r="B1712" s="9" t="s">
        <v>9</v>
      </c>
      <c r="C1712" s="9" t="s">
        <v>290</v>
      </c>
      <c r="D1712" s="8">
        <v>45903</v>
      </c>
      <c r="E1712" s="7" t="s">
        <v>699</v>
      </c>
      <c r="F1712" s="7">
        <v>1</v>
      </c>
      <c r="G1712" s="7" t="s">
        <v>15</v>
      </c>
      <c r="J1712" s="7">
        <f t="shared" si="142"/>
        <v>1900</v>
      </c>
      <c r="K1712" s="7">
        <f t="shared" si="144"/>
        <v>1</v>
      </c>
      <c r="L1712" s="7">
        <f t="shared" si="145"/>
        <v>45903</v>
      </c>
      <c r="M1712" s="7" t="s">
        <v>917</v>
      </c>
      <c r="N1712" s="7" t="s">
        <v>580</v>
      </c>
      <c r="O1712" s="17" t="s">
        <v>682</v>
      </c>
      <c r="P1712" s="7">
        <f t="shared" si="143"/>
        <v>9</v>
      </c>
      <c r="Q1712" s="7">
        <f t="shared" si="141"/>
        <v>2025</v>
      </c>
    </row>
    <row r="1713" spans="1:17" x14ac:dyDescent="0.25">
      <c r="A1713" s="7">
        <v>2544</v>
      </c>
      <c r="B1713" s="9" t="s">
        <v>9</v>
      </c>
      <c r="C1713" s="9" t="s">
        <v>290</v>
      </c>
      <c r="D1713" s="8">
        <v>45903</v>
      </c>
      <c r="E1713" s="7" t="s">
        <v>1164</v>
      </c>
      <c r="F1713" s="7">
        <v>1</v>
      </c>
      <c r="G1713" s="7" t="s">
        <v>15</v>
      </c>
      <c r="J1713" s="7">
        <f t="shared" si="142"/>
        <v>1900</v>
      </c>
      <c r="K1713" s="7">
        <f t="shared" si="144"/>
        <v>1</v>
      </c>
      <c r="L1713" s="7">
        <f t="shared" si="145"/>
        <v>45903</v>
      </c>
      <c r="M1713" s="7" t="s">
        <v>917</v>
      </c>
      <c r="N1713" s="7" t="s">
        <v>580</v>
      </c>
      <c r="O1713" s="17" t="s">
        <v>682</v>
      </c>
      <c r="P1713" s="7">
        <f t="shared" si="143"/>
        <v>9</v>
      </c>
      <c r="Q1713" s="7">
        <f t="shared" si="141"/>
        <v>2025</v>
      </c>
    </row>
    <row r="1714" spans="1:17" x14ac:dyDescent="0.25">
      <c r="A1714" s="7">
        <v>2544</v>
      </c>
      <c r="B1714" s="9" t="s">
        <v>9</v>
      </c>
      <c r="C1714" s="9" t="s">
        <v>290</v>
      </c>
      <c r="D1714" s="8">
        <v>45903</v>
      </c>
      <c r="E1714" s="7" t="s">
        <v>700</v>
      </c>
      <c r="F1714" s="7">
        <v>1</v>
      </c>
      <c r="G1714" s="7" t="s">
        <v>15</v>
      </c>
      <c r="J1714" s="7">
        <f t="shared" si="142"/>
        <v>1900</v>
      </c>
      <c r="K1714" s="7">
        <f t="shared" si="144"/>
        <v>1</v>
      </c>
      <c r="L1714" s="7">
        <f t="shared" si="145"/>
        <v>45903</v>
      </c>
      <c r="M1714" s="7" t="s">
        <v>917</v>
      </c>
      <c r="N1714" s="7" t="s">
        <v>580</v>
      </c>
      <c r="O1714" s="17" t="s">
        <v>682</v>
      </c>
      <c r="P1714" s="7">
        <f t="shared" si="143"/>
        <v>9</v>
      </c>
      <c r="Q1714" s="7">
        <f t="shared" si="141"/>
        <v>2025</v>
      </c>
    </row>
    <row r="1715" spans="1:17" x14ac:dyDescent="0.25">
      <c r="A1715" s="7">
        <v>2544</v>
      </c>
      <c r="B1715" s="9" t="s">
        <v>9</v>
      </c>
      <c r="C1715" s="9" t="s">
        <v>290</v>
      </c>
      <c r="D1715" s="8">
        <v>45903</v>
      </c>
      <c r="E1715" s="7" t="s">
        <v>1179</v>
      </c>
      <c r="F1715" s="7">
        <v>1</v>
      </c>
      <c r="G1715" s="7" t="s">
        <v>15</v>
      </c>
      <c r="J1715" s="7">
        <f t="shared" si="142"/>
        <v>1900</v>
      </c>
      <c r="K1715" s="7">
        <f t="shared" ref="K1715:K1740" si="146">MONTH(I1715)</f>
        <v>1</v>
      </c>
      <c r="L1715" s="7">
        <f t="shared" ref="L1715:L1740" si="147">D1715-I1715</f>
        <v>45903</v>
      </c>
      <c r="M1715" s="7" t="s">
        <v>917</v>
      </c>
      <c r="N1715" s="7" t="s">
        <v>580</v>
      </c>
      <c r="O1715" s="17" t="s">
        <v>682</v>
      </c>
      <c r="P1715" s="7">
        <f t="shared" si="143"/>
        <v>9</v>
      </c>
      <c r="Q1715" s="7">
        <f t="shared" si="141"/>
        <v>2025</v>
      </c>
    </row>
    <row r="1716" spans="1:17" x14ac:dyDescent="0.25">
      <c r="A1716" s="7">
        <v>2544</v>
      </c>
      <c r="B1716" s="9" t="s">
        <v>9</v>
      </c>
      <c r="C1716" s="9" t="s">
        <v>290</v>
      </c>
      <c r="D1716" s="8">
        <v>45903</v>
      </c>
      <c r="E1716" s="7" t="s">
        <v>701</v>
      </c>
      <c r="F1716" s="7">
        <v>1</v>
      </c>
      <c r="G1716" s="7" t="s">
        <v>15</v>
      </c>
      <c r="J1716" s="7">
        <f t="shared" si="142"/>
        <v>1900</v>
      </c>
      <c r="K1716" s="7">
        <f t="shared" si="146"/>
        <v>1</v>
      </c>
      <c r="L1716" s="7">
        <f t="shared" si="147"/>
        <v>45903</v>
      </c>
      <c r="M1716" s="7" t="s">
        <v>917</v>
      </c>
      <c r="N1716" s="7" t="s">
        <v>580</v>
      </c>
      <c r="O1716" s="17" t="s">
        <v>682</v>
      </c>
      <c r="P1716" s="7">
        <f t="shared" si="143"/>
        <v>9</v>
      </c>
      <c r="Q1716" s="7">
        <f t="shared" si="141"/>
        <v>2025</v>
      </c>
    </row>
    <row r="1717" spans="1:17" x14ac:dyDescent="0.25">
      <c r="A1717" s="7">
        <v>2544</v>
      </c>
      <c r="B1717" s="9" t="s">
        <v>9</v>
      </c>
      <c r="C1717" s="9" t="s">
        <v>290</v>
      </c>
      <c r="D1717" s="8">
        <v>45903</v>
      </c>
      <c r="E1717" s="7" t="s">
        <v>702</v>
      </c>
      <c r="F1717" s="7">
        <v>1</v>
      </c>
      <c r="G1717" s="7" t="s">
        <v>15</v>
      </c>
      <c r="J1717" s="7">
        <f t="shared" si="142"/>
        <v>1900</v>
      </c>
      <c r="K1717" s="7">
        <f t="shared" si="146"/>
        <v>1</v>
      </c>
      <c r="L1717" s="7">
        <f t="shared" si="147"/>
        <v>45903</v>
      </c>
      <c r="M1717" s="7" t="s">
        <v>917</v>
      </c>
      <c r="O1717" s="17" t="s">
        <v>682</v>
      </c>
      <c r="P1717" s="7">
        <f t="shared" si="143"/>
        <v>9</v>
      </c>
      <c r="Q1717" s="7">
        <f t="shared" ref="Q1717:Q1780" si="148">YEAR(D1717)</f>
        <v>2025</v>
      </c>
    </row>
    <row r="1718" spans="1:17" x14ac:dyDescent="0.25">
      <c r="A1718" s="7">
        <v>2544</v>
      </c>
      <c r="B1718" s="9" t="s">
        <v>9</v>
      </c>
      <c r="C1718" s="9" t="s">
        <v>290</v>
      </c>
      <c r="D1718" s="8">
        <v>45903</v>
      </c>
      <c r="E1718" s="7" t="s">
        <v>703</v>
      </c>
      <c r="F1718" s="7">
        <v>1</v>
      </c>
      <c r="G1718" s="7" t="s">
        <v>15</v>
      </c>
      <c r="J1718" s="7">
        <f t="shared" si="142"/>
        <v>1900</v>
      </c>
      <c r="K1718" s="7">
        <f t="shared" si="146"/>
        <v>1</v>
      </c>
      <c r="L1718" s="7">
        <f t="shared" si="147"/>
        <v>45903</v>
      </c>
      <c r="M1718" s="7" t="s">
        <v>917</v>
      </c>
      <c r="N1718" s="7" t="s">
        <v>580</v>
      </c>
      <c r="O1718" s="17" t="s">
        <v>682</v>
      </c>
      <c r="P1718" s="7">
        <f t="shared" si="143"/>
        <v>9</v>
      </c>
      <c r="Q1718" s="7">
        <f t="shared" si="148"/>
        <v>2025</v>
      </c>
    </row>
    <row r="1719" spans="1:17" x14ac:dyDescent="0.25">
      <c r="A1719" s="7">
        <v>2544</v>
      </c>
      <c r="B1719" s="9" t="s">
        <v>9</v>
      </c>
      <c r="C1719" s="9" t="s">
        <v>290</v>
      </c>
      <c r="D1719" s="8">
        <v>45903</v>
      </c>
      <c r="E1719" s="7" t="s">
        <v>704</v>
      </c>
      <c r="F1719" s="7">
        <v>1</v>
      </c>
      <c r="G1719" s="7" t="s">
        <v>15</v>
      </c>
      <c r="J1719" s="7">
        <f t="shared" si="142"/>
        <v>1900</v>
      </c>
      <c r="K1719" s="7">
        <f t="shared" si="146"/>
        <v>1</v>
      </c>
      <c r="L1719" s="7">
        <f t="shared" si="147"/>
        <v>45903</v>
      </c>
      <c r="M1719" s="7" t="s">
        <v>917</v>
      </c>
      <c r="N1719" s="7" t="s">
        <v>580</v>
      </c>
      <c r="O1719" s="17" t="s">
        <v>682</v>
      </c>
      <c r="P1719" s="7">
        <f t="shared" si="143"/>
        <v>9</v>
      </c>
      <c r="Q1719" s="7">
        <f t="shared" si="148"/>
        <v>2025</v>
      </c>
    </row>
    <row r="1720" spans="1:17" x14ac:dyDescent="0.25">
      <c r="A1720" s="7">
        <v>2544</v>
      </c>
      <c r="B1720" s="9" t="s">
        <v>9</v>
      </c>
      <c r="C1720" s="9" t="s">
        <v>290</v>
      </c>
      <c r="D1720" s="8">
        <v>45903</v>
      </c>
      <c r="E1720" s="7" t="s">
        <v>705</v>
      </c>
      <c r="F1720" s="7">
        <v>1</v>
      </c>
      <c r="G1720" s="7" t="s">
        <v>15</v>
      </c>
      <c r="J1720" s="7">
        <f t="shared" si="142"/>
        <v>1900</v>
      </c>
      <c r="K1720" s="7">
        <f t="shared" si="146"/>
        <v>1</v>
      </c>
      <c r="L1720" s="7">
        <f t="shared" si="147"/>
        <v>45903</v>
      </c>
      <c r="M1720" s="7" t="s">
        <v>917</v>
      </c>
      <c r="N1720" s="7" t="s">
        <v>580</v>
      </c>
      <c r="O1720" s="17" t="s">
        <v>682</v>
      </c>
      <c r="P1720" s="7">
        <f t="shared" si="143"/>
        <v>9</v>
      </c>
      <c r="Q1720" s="7">
        <f t="shared" si="148"/>
        <v>2025</v>
      </c>
    </row>
    <row r="1721" spans="1:17" x14ac:dyDescent="0.25">
      <c r="A1721" s="7">
        <v>2544</v>
      </c>
      <c r="B1721" s="9" t="s">
        <v>9</v>
      </c>
      <c r="C1721" s="9" t="s">
        <v>290</v>
      </c>
      <c r="D1721" s="8">
        <v>45903</v>
      </c>
      <c r="E1721" s="7" t="s">
        <v>706</v>
      </c>
      <c r="F1721" s="7">
        <v>1</v>
      </c>
      <c r="G1721" s="7" t="s">
        <v>15</v>
      </c>
      <c r="J1721" s="7">
        <f t="shared" si="142"/>
        <v>1900</v>
      </c>
      <c r="K1721" s="7">
        <f t="shared" si="146"/>
        <v>1</v>
      </c>
      <c r="L1721" s="7">
        <f t="shared" si="147"/>
        <v>45903</v>
      </c>
      <c r="M1721" s="7" t="s">
        <v>917</v>
      </c>
      <c r="O1721" s="17" t="s">
        <v>682</v>
      </c>
      <c r="P1721" s="7">
        <f t="shared" si="143"/>
        <v>9</v>
      </c>
      <c r="Q1721" s="7">
        <f t="shared" si="148"/>
        <v>2025</v>
      </c>
    </row>
    <row r="1722" spans="1:17" x14ac:dyDescent="0.25">
      <c r="A1722" s="7">
        <v>2544</v>
      </c>
      <c r="B1722" s="9" t="s">
        <v>9</v>
      </c>
      <c r="C1722" s="9" t="s">
        <v>290</v>
      </c>
      <c r="D1722" s="8">
        <v>45903</v>
      </c>
      <c r="E1722" s="7" t="s">
        <v>707</v>
      </c>
      <c r="F1722" s="7">
        <v>1</v>
      </c>
      <c r="G1722" s="7" t="s">
        <v>15</v>
      </c>
      <c r="J1722" s="7">
        <f t="shared" si="142"/>
        <v>1900</v>
      </c>
      <c r="K1722" s="7">
        <f t="shared" si="146"/>
        <v>1</v>
      </c>
      <c r="L1722" s="7">
        <f t="shared" si="147"/>
        <v>45903</v>
      </c>
      <c r="M1722" s="7" t="s">
        <v>917</v>
      </c>
      <c r="N1722" s="7" t="s">
        <v>580</v>
      </c>
      <c r="O1722" s="17" t="s">
        <v>682</v>
      </c>
      <c r="P1722" s="7">
        <f t="shared" si="143"/>
        <v>9</v>
      </c>
      <c r="Q1722" s="7">
        <f t="shared" si="148"/>
        <v>2025</v>
      </c>
    </row>
    <row r="1723" spans="1:17" x14ac:dyDescent="0.25">
      <c r="A1723" s="7">
        <v>2544</v>
      </c>
      <c r="B1723" s="9" t="s">
        <v>9</v>
      </c>
      <c r="C1723" s="9" t="s">
        <v>290</v>
      </c>
      <c r="D1723" s="8">
        <v>45903</v>
      </c>
      <c r="E1723" s="7" t="s">
        <v>708</v>
      </c>
      <c r="F1723" s="7">
        <v>1</v>
      </c>
      <c r="G1723" s="7" t="s">
        <v>15</v>
      </c>
      <c r="J1723" s="7">
        <f t="shared" si="142"/>
        <v>1900</v>
      </c>
      <c r="K1723" s="7">
        <f t="shared" si="146"/>
        <v>1</v>
      </c>
      <c r="L1723" s="7">
        <f t="shared" si="147"/>
        <v>45903</v>
      </c>
      <c r="M1723" s="7" t="s">
        <v>917</v>
      </c>
      <c r="N1723" s="7" t="s">
        <v>580</v>
      </c>
      <c r="O1723" s="17" t="s">
        <v>682</v>
      </c>
      <c r="P1723" s="7">
        <f t="shared" si="143"/>
        <v>9</v>
      </c>
      <c r="Q1723" s="7">
        <f t="shared" si="148"/>
        <v>2025</v>
      </c>
    </row>
    <row r="1724" spans="1:17" x14ac:dyDescent="0.25">
      <c r="A1724" s="7">
        <v>2544</v>
      </c>
      <c r="B1724" s="9" t="s">
        <v>9</v>
      </c>
      <c r="C1724" s="9" t="s">
        <v>290</v>
      </c>
      <c r="D1724" s="8">
        <v>45903</v>
      </c>
      <c r="E1724" s="7" t="s">
        <v>709</v>
      </c>
      <c r="F1724" s="7">
        <v>1</v>
      </c>
      <c r="G1724" s="7" t="s">
        <v>15</v>
      </c>
      <c r="J1724" s="7">
        <f t="shared" si="142"/>
        <v>1900</v>
      </c>
      <c r="K1724" s="7">
        <f t="shared" si="146"/>
        <v>1</v>
      </c>
      <c r="L1724" s="7">
        <f t="shared" si="147"/>
        <v>45903</v>
      </c>
      <c r="M1724" s="7" t="s">
        <v>917</v>
      </c>
      <c r="N1724" s="7" t="s">
        <v>580</v>
      </c>
      <c r="O1724" s="17" t="s">
        <v>682</v>
      </c>
      <c r="P1724" s="7">
        <f t="shared" si="143"/>
        <v>9</v>
      </c>
      <c r="Q1724" s="7">
        <f t="shared" si="148"/>
        <v>2025</v>
      </c>
    </row>
    <row r="1725" spans="1:17" x14ac:dyDescent="0.25">
      <c r="A1725" s="7">
        <v>2544</v>
      </c>
      <c r="B1725" s="9" t="s">
        <v>9</v>
      </c>
      <c r="C1725" s="9" t="s">
        <v>290</v>
      </c>
      <c r="D1725" s="8">
        <v>45903</v>
      </c>
      <c r="E1725" s="7" t="s">
        <v>710</v>
      </c>
      <c r="F1725" s="7">
        <v>1</v>
      </c>
      <c r="G1725" s="7" t="s">
        <v>15</v>
      </c>
      <c r="J1725" s="7">
        <f t="shared" si="142"/>
        <v>1900</v>
      </c>
      <c r="K1725" s="7">
        <f t="shared" si="146"/>
        <v>1</v>
      </c>
      <c r="L1725" s="7">
        <f t="shared" si="147"/>
        <v>45903</v>
      </c>
      <c r="M1725" s="7" t="s">
        <v>917</v>
      </c>
      <c r="N1725" s="7" t="s">
        <v>580</v>
      </c>
      <c r="O1725" s="17" t="s">
        <v>682</v>
      </c>
      <c r="P1725" s="7">
        <f t="shared" si="143"/>
        <v>9</v>
      </c>
      <c r="Q1725" s="7">
        <f t="shared" si="148"/>
        <v>2025</v>
      </c>
    </row>
    <row r="1726" spans="1:17" x14ac:dyDescent="0.25">
      <c r="A1726" s="7">
        <v>2544</v>
      </c>
      <c r="B1726" s="9" t="s">
        <v>9</v>
      </c>
      <c r="C1726" s="9" t="s">
        <v>290</v>
      </c>
      <c r="D1726" s="8">
        <v>45903</v>
      </c>
      <c r="E1726" s="7" t="s">
        <v>711</v>
      </c>
      <c r="F1726" s="7">
        <v>1</v>
      </c>
      <c r="G1726" s="7" t="s">
        <v>15</v>
      </c>
      <c r="J1726" s="7">
        <f t="shared" si="142"/>
        <v>1900</v>
      </c>
      <c r="K1726" s="7">
        <f t="shared" si="146"/>
        <v>1</v>
      </c>
      <c r="L1726" s="7">
        <f t="shared" si="147"/>
        <v>45903</v>
      </c>
      <c r="M1726" s="7" t="s">
        <v>917</v>
      </c>
      <c r="N1726" s="7" t="s">
        <v>580</v>
      </c>
      <c r="O1726" s="17" t="s">
        <v>682</v>
      </c>
      <c r="P1726" s="7">
        <f t="shared" si="143"/>
        <v>9</v>
      </c>
      <c r="Q1726" s="7">
        <f t="shared" si="148"/>
        <v>2025</v>
      </c>
    </row>
    <row r="1727" spans="1:17" x14ac:dyDescent="0.25">
      <c r="A1727" s="7">
        <v>2544</v>
      </c>
      <c r="B1727" s="9" t="s">
        <v>9</v>
      </c>
      <c r="C1727" s="9" t="s">
        <v>290</v>
      </c>
      <c r="D1727" s="8">
        <v>45903</v>
      </c>
      <c r="E1727" s="7" t="s">
        <v>712</v>
      </c>
      <c r="F1727" s="7">
        <v>1</v>
      </c>
      <c r="G1727" s="7" t="s">
        <v>15</v>
      </c>
      <c r="J1727" s="7">
        <f t="shared" si="142"/>
        <v>1900</v>
      </c>
      <c r="K1727" s="7">
        <f t="shared" si="146"/>
        <v>1</v>
      </c>
      <c r="L1727" s="7">
        <f t="shared" si="147"/>
        <v>45903</v>
      </c>
      <c r="M1727" s="7" t="s">
        <v>917</v>
      </c>
      <c r="O1727" s="17" t="s">
        <v>682</v>
      </c>
      <c r="P1727" s="7">
        <f t="shared" si="143"/>
        <v>9</v>
      </c>
      <c r="Q1727" s="7">
        <f t="shared" si="148"/>
        <v>2025</v>
      </c>
    </row>
    <row r="1728" spans="1:17" x14ac:dyDescent="0.25">
      <c r="A1728" s="7">
        <v>2544</v>
      </c>
      <c r="B1728" s="9" t="s">
        <v>9</v>
      </c>
      <c r="C1728" s="9" t="s">
        <v>290</v>
      </c>
      <c r="D1728" s="8">
        <v>45903</v>
      </c>
      <c r="E1728" s="7" t="s">
        <v>713</v>
      </c>
      <c r="F1728" s="7">
        <v>1</v>
      </c>
      <c r="G1728" s="7" t="s">
        <v>15</v>
      </c>
      <c r="J1728" s="7">
        <f t="shared" si="142"/>
        <v>1900</v>
      </c>
      <c r="K1728" s="7">
        <f t="shared" si="146"/>
        <v>1</v>
      </c>
      <c r="L1728" s="7">
        <f t="shared" si="147"/>
        <v>45903</v>
      </c>
      <c r="M1728" s="7" t="s">
        <v>917</v>
      </c>
      <c r="O1728" s="17" t="s">
        <v>682</v>
      </c>
      <c r="P1728" s="7">
        <f t="shared" si="143"/>
        <v>9</v>
      </c>
      <c r="Q1728" s="7">
        <f t="shared" si="148"/>
        <v>2025</v>
      </c>
    </row>
    <row r="1729" spans="1:17" x14ac:dyDescent="0.25">
      <c r="A1729" s="7">
        <v>2544</v>
      </c>
      <c r="B1729" s="9" t="s">
        <v>9</v>
      </c>
      <c r="C1729" s="9" t="s">
        <v>290</v>
      </c>
      <c r="D1729" s="8">
        <v>45903</v>
      </c>
      <c r="E1729" s="7" t="s">
        <v>714</v>
      </c>
      <c r="F1729" s="7">
        <v>1</v>
      </c>
      <c r="G1729" s="7" t="s">
        <v>15</v>
      </c>
      <c r="J1729" s="7">
        <f t="shared" si="142"/>
        <v>1900</v>
      </c>
      <c r="K1729" s="7">
        <f t="shared" si="146"/>
        <v>1</v>
      </c>
      <c r="L1729" s="7">
        <f t="shared" si="147"/>
        <v>45903</v>
      </c>
      <c r="M1729" s="7" t="s">
        <v>917</v>
      </c>
      <c r="N1729" s="7" t="s">
        <v>580</v>
      </c>
      <c r="O1729" s="17" t="s">
        <v>682</v>
      </c>
      <c r="P1729" s="7">
        <f t="shared" si="143"/>
        <v>9</v>
      </c>
      <c r="Q1729" s="7">
        <f t="shared" si="148"/>
        <v>2025</v>
      </c>
    </row>
    <row r="1730" spans="1:17" x14ac:dyDescent="0.25">
      <c r="A1730" s="7">
        <v>2544</v>
      </c>
      <c r="B1730" s="9" t="s">
        <v>9</v>
      </c>
      <c r="C1730" s="9" t="s">
        <v>290</v>
      </c>
      <c r="D1730" s="8">
        <v>45903</v>
      </c>
      <c r="E1730" s="7" t="s">
        <v>715</v>
      </c>
      <c r="F1730" s="7">
        <v>1</v>
      </c>
      <c r="G1730" s="7" t="s">
        <v>15</v>
      </c>
      <c r="J1730" s="7">
        <f t="shared" si="142"/>
        <v>1900</v>
      </c>
      <c r="K1730" s="7">
        <f t="shared" si="146"/>
        <v>1</v>
      </c>
      <c r="L1730" s="7">
        <f t="shared" si="147"/>
        <v>45903</v>
      </c>
      <c r="M1730" s="7" t="s">
        <v>917</v>
      </c>
      <c r="N1730" s="7" t="s">
        <v>580</v>
      </c>
      <c r="O1730" s="17" t="s">
        <v>682</v>
      </c>
      <c r="P1730" s="7">
        <f t="shared" si="143"/>
        <v>9</v>
      </c>
      <c r="Q1730" s="7">
        <f t="shared" si="148"/>
        <v>2025</v>
      </c>
    </row>
    <row r="1731" spans="1:17" x14ac:dyDescent="0.25">
      <c r="A1731" s="7">
        <v>2544</v>
      </c>
      <c r="B1731" s="9" t="s">
        <v>9</v>
      </c>
      <c r="C1731" s="9" t="s">
        <v>290</v>
      </c>
      <c r="D1731" s="8">
        <v>45903</v>
      </c>
      <c r="E1731" s="7" t="s">
        <v>716</v>
      </c>
      <c r="F1731" s="7">
        <v>1</v>
      </c>
      <c r="G1731" s="7" t="s">
        <v>15</v>
      </c>
      <c r="J1731" s="7">
        <f t="shared" si="142"/>
        <v>1900</v>
      </c>
      <c r="K1731" s="7">
        <f t="shared" si="146"/>
        <v>1</v>
      </c>
      <c r="L1731" s="7">
        <f t="shared" si="147"/>
        <v>45903</v>
      </c>
      <c r="M1731" s="7" t="s">
        <v>917</v>
      </c>
      <c r="N1731" s="7" t="s">
        <v>580</v>
      </c>
      <c r="O1731" s="17" t="s">
        <v>682</v>
      </c>
      <c r="P1731" s="7">
        <f t="shared" si="143"/>
        <v>9</v>
      </c>
      <c r="Q1731" s="7">
        <f t="shared" si="148"/>
        <v>2025</v>
      </c>
    </row>
    <row r="1732" spans="1:17" x14ac:dyDescent="0.25">
      <c r="A1732" s="7">
        <v>2544</v>
      </c>
      <c r="B1732" s="9" t="s">
        <v>9</v>
      </c>
      <c r="C1732" s="9" t="s">
        <v>290</v>
      </c>
      <c r="D1732" s="8">
        <v>45903</v>
      </c>
      <c r="E1732" s="7" t="s">
        <v>717</v>
      </c>
      <c r="F1732" s="7">
        <v>1</v>
      </c>
      <c r="G1732" s="7" t="s">
        <v>15</v>
      </c>
      <c r="J1732" s="7">
        <f t="shared" si="142"/>
        <v>1900</v>
      </c>
      <c r="K1732" s="7">
        <f t="shared" si="146"/>
        <v>1</v>
      </c>
      <c r="L1732" s="7">
        <f t="shared" si="147"/>
        <v>45903</v>
      </c>
      <c r="M1732" s="7" t="s">
        <v>917</v>
      </c>
      <c r="N1732" s="7" t="s">
        <v>580</v>
      </c>
      <c r="O1732" s="17" t="s">
        <v>682</v>
      </c>
      <c r="P1732" s="7">
        <f t="shared" si="143"/>
        <v>9</v>
      </c>
      <c r="Q1732" s="7">
        <f t="shared" si="148"/>
        <v>2025</v>
      </c>
    </row>
    <row r="1733" spans="1:17" x14ac:dyDescent="0.25">
      <c r="A1733" s="7">
        <v>2544</v>
      </c>
      <c r="B1733" s="9" t="s">
        <v>9</v>
      </c>
      <c r="C1733" s="9" t="s">
        <v>290</v>
      </c>
      <c r="D1733" s="8">
        <v>45903</v>
      </c>
      <c r="E1733" s="7" t="s">
        <v>718</v>
      </c>
      <c r="F1733" s="7">
        <v>1</v>
      </c>
      <c r="G1733" s="7" t="s">
        <v>15</v>
      </c>
      <c r="J1733" s="7">
        <f t="shared" si="142"/>
        <v>1900</v>
      </c>
      <c r="K1733" s="7">
        <f t="shared" si="146"/>
        <v>1</v>
      </c>
      <c r="L1733" s="7">
        <f t="shared" si="147"/>
        <v>45903</v>
      </c>
      <c r="M1733" s="7" t="s">
        <v>917</v>
      </c>
      <c r="N1733" s="7" t="s">
        <v>580</v>
      </c>
      <c r="O1733" s="17" t="s">
        <v>682</v>
      </c>
      <c r="P1733" s="7">
        <f t="shared" si="143"/>
        <v>9</v>
      </c>
      <c r="Q1733" s="7">
        <f t="shared" si="148"/>
        <v>2025</v>
      </c>
    </row>
    <row r="1734" spans="1:17" x14ac:dyDescent="0.25">
      <c r="A1734" s="7">
        <v>2544</v>
      </c>
      <c r="B1734" s="9" t="s">
        <v>9</v>
      </c>
      <c r="C1734" s="9" t="s">
        <v>290</v>
      </c>
      <c r="D1734" s="8">
        <v>45903</v>
      </c>
      <c r="E1734" s="7" t="s">
        <v>719</v>
      </c>
      <c r="F1734" s="7">
        <v>1</v>
      </c>
      <c r="G1734" s="7" t="s">
        <v>15</v>
      </c>
      <c r="J1734" s="7">
        <f t="shared" si="142"/>
        <v>1900</v>
      </c>
      <c r="K1734" s="7">
        <f t="shared" si="146"/>
        <v>1</v>
      </c>
      <c r="L1734" s="7">
        <f t="shared" si="147"/>
        <v>45903</v>
      </c>
      <c r="M1734" s="7" t="s">
        <v>917</v>
      </c>
      <c r="N1734" s="7" t="s">
        <v>580</v>
      </c>
      <c r="O1734" s="17" t="s">
        <v>682</v>
      </c>
      <c r="P1734" s="7">
        <f t="shared" si="143"/>
        <v>9</v>
      </c>
      <c r="Q1734" s="7">
        <f t="shared" si="148"/>
        <v>2025</v>
      </c>
    </row>
    <row r="1735" spans="1:17" x14ac:dyDescent="0.25">
      <c r="A1735" s="7">
        <v>2544</v>
      </c>
      <c r="B1735" s="9" t="s">
        <v>9</v>
      </c>
      <c r="C1735" s="9" t="s">
        <v>290</v>
      </c>
      <c r="D1735" s="8">
        <v>45903</v>
      </c>
      <c r="E1735" s="7" t="s">
        <v>720</v>
      </c>
      <c r="F1735" s="7">
        <v>1</v>
      </c>
      <c r="G1735" s="7" t="s">
        <v>15</v>
      </c>
      <c r="J1735" s="7">
        <f t="shared" si="142"/>
        <v>1900</v>
      </c>
      <c r="K1735" s="7">
        <f t="shared" si="146"/>
        <v>1</v>
      </c>
      <c r="L1735" s="7">
        <f t="shared" si="147"/>
        <v>45903</v>
      </c>
      <c r="M1735" s="7" t="s">
        <v>917</v>
      </c>
      <c r="N1735" s="7" t="s">
        <v>580</v>
      </c>
      <c r="O1735" s="17" t="s">
        <v>682</v>
      </c>
      <c r="P1735" s="7">
        <f t="shared" si="143"/>
        <v>9</v>
      </c>
      <c r="Q1735" s="7">
        <f t="shared" si="148"/>
        <v>2025</v>
      </c>
    </row>
    <row r="1736" spans="1:17" x14ac:dyDescent="0.25">
      <c r="A1736" s="7">
        <v>2544</v>
      </c>
      <c r="B1736" s="9" t="s">
        <v>9</v>
      </c>
      <c r="C1736" s="9" t="s">
        <v>290</v>
      </c>
      <c r="D1736" s="8">
        <v>45903</v>
      </c>
      <c r="E1736" s="7" t="s">
        <v>721</v>
      </c>
      <c r="F1736" s="7">
        <v>1</v>
      </c>
      <c r="G1736" s="7" t="s">
        <v>15</v>
      </c>
      <c r="J1736" s="7">
        <f t="shared" si="142"/>
        <v>1900</v>
      </c>
      <c r="K1736" s="7">
        <f t="shared" si="146"/>
        <v>1</v>
      </c>
      <c r="L1736" s="7">
        <f t="shared" si="147"/>
        <v>45903</v>
      </c>
      <c r="M1736" s="7" t="s">
        <v>917</v>
      </c>
      <c r="N1736" s="7" t="s">
        <v>580</v>
      </c>
      <c r="O1736" s="17" t="s">
        <v>682</v>
      </c>
      <c r="P1736" s="7">
        <f t="shared" si="143"/>
        <v>9</v>
      </c>
      <c r="Q1736" s="7">
        <f t="shared" si="148"/>
        <v>2025</v>
      </c>
    </row>
    <row r="1737" spans="1:17" x14ac:dyDescent="0.25">
      <c r="A1737" s="7">
        <v>2544</v>
      </c>
      <c r="B1737" s="9" t="s">
        <v>9</v>
      </c>
      <c r="C1737" s="9" t="s">
        <v>290</v>
      </c>
      <c r="D1737" s="8">
        <v>45903</v>
      </c>
      <c r="E1737" s="7" t="s">
        <v>722</v>
      </c>
      <c r="F1737" s="7">
        <v>1</v>
      </c>
      <c r="G1737" s="7" t="s">
        <v>15</v>
      </c>
      <c r="J1737" s="7">
        <f>YEAR(I1737)</f>
        <v>1900</v>
      </c>
      <c r="K1737" s="7">
        <f>MONTH(I1737)</f>
        <v>1</v>
      </c>
      <c r="L1737" s="7">
        <f>D1737-I1737</f>
        <v>45903</v>
      </c>
      <c r="M1737" s="7" t="s">
        <v>917</v>
      </c>
      <c r="N1737" s="7" t="s">
        <v>580</v>
      </c>
      <c r="O1737" s="17" t="s">
        <v>682</v>
      </c>
      <c r="P1737" s="7">
        <f>MONTH(D1737)</f>
        <v>9</v>
      </c>
      <c r="Q1737" s="7">
        <f t="shared" si="148"/>
        <v>2025</v>
      </c>
    </row>
    <row r="1738" spans="1:17" x14ac:dyDescent="0.25">
      <c r="A1738" s="7">
        <v>2544</v>
      </c>
      <c r="B1738" s="9" t="s">
        <v>9</v>
      </c>
      <c r="C1738" s="9" t="s">
        <v>290</v>
      </c>
      <c r="D1738" s="8">
        <v>45903</v>
      </c>
      <c r="E1738" s="7" t="s">
        <v>723</v>
      </c>
      <c r="F1738" s="7">
        <v>1</v>
      </c>
      <c r="G1738" s="7" t="s">
        <v>15</v>
      </c>
      <c r="J1738" s="7">
        <f>YEAR(I1738)</f>
        <v>1900</v>
      </c>
      <c r="K1738" s="7">
        <f>MONTH(I1738)</f>
        <v>1</v>
      </c>
      <c r="L1738" s="7">
        <f>D1738-I1738</f>
        <v>45903</v>
      </c>
      <c r="M1738" s="7" t="s">
        <v>917</v>
      </c>
      <c r="O1738" s="17" t="s">
        <v>682</v>
      </c>
      <c r="P1738" s="7">
        <f>MONTH(D1738)</f>
        <v>9</v>
      </c>
      <c r="Q1738" s="7">
        <f t="shared" si="148"/>
        <v>2025</v>
      </c>
    </row>
    <row r="1739" spans="1:17" x14ac:dyDescent="0.25">
      <c r="A1739" s="7">
        <v>2544</v>
      </c>
      <c r="B1739" s="9" t="s">
        <v>9</v>
      </c>
      <c r="C1739" s="9" t="s">
        <v>290</v>
      </c>
      <c r="D1739" s="8">
        <v>45903</v>
      </c>
      <c r="E1739" s="7" t="s">
        <v>724</v>
      </c>
      <c r="F1739" s="7">
        <v>1</v>
      </c>
      <c r="G1739" s="7" t="s">
        <v>15</v>
      </c>
      <c r="J1739" s="7">
        <f>YEAR(I1739)</f>
        <v>1900</v>
      </c>
      <c r="K1739" s="7">
        <f>MONTH(I1739)</f>
        <v>1</v>
      </c>
      <c r="L1739" s="7">
        <f>D1739-I1739</f>
        <v>45903</v>
      </c>
      <c r="M1739" s="7" t="s">
        <v>917</v>
      </c>
      <c r="N1739" s="7" t="s">
        <v>580</v>
      </c>
      <c r="O1739" s="17" t="s">
        <v>682</v>
      </c>
      <c r="P1739" s="7">
        <f>MONTH(D1739)</f>
        <v>9</v>
      </c>
      <c r="Q1739" s="7">
        <f t="shared" si="148"/>
        <v>2025</v>
      </c>
    </row>
    <row r="1740" spans="1:17" x14ac:dyDescent="0.25">
      <c r="A1740" s="7">
        <v>2544</v>
      </c>
      <c r="B1740" s="9" t="s">
        <v>9</v>
      </c>
      <c r="C1740" s="9" t="s">
        <v>290</v>
      </c>
      <c r="D1740" s="8">
        <v>45903</v>
      </c>
      <c r="E1740" s="7" t="s">
        <v>725</v>
      </c>
      <c r="F1740" s="7">
        <v>1</v>
      </c>
      <c r="G1740" s="7" t="s">
        <v>15</v>
      </c>
      <c r="J1740" s="7">
        <f t="shared" si="142"/>
        <v>1900</v>
      </c>
      <c r="K1740" s="7">
        <f t="shared" si="146"/>
        <v>1</v>
      </c>
      <c r="L1740" s="7">
        <f t="shared" si="147"/>
        <v>45903</v>
      </c>
      <c r="M1740" s="7" t="s">
        <v>917</v>
      </c>
      <c r="N1740" s="7" t="s">
        <v>580</v>
      </c>
      <c r="O1740" s="17" t="s">
        <v>682</v>
      </c>
      <c r="P1740" s="7">
        <f t="shared" si="143"/>
        <v>9</v>
      </c>
      <c r="Q1740" s="7">
        <f t="shared" si="148"/>
        <v>2025</v>
      </c>
    </row>
    <row r="1741" spans="1:17" x14ac:dyDescent="0.25">
      <c r="A1741" s="7">
        <v>2544</v>
      </c>
      <c r="B1741" s="9" t="s">
        <v>9</v>
      </c>
      <c r="C1741" s="9" t="s">
        <v>290</v>
      </c>
      <c r="D1741" s="8">
        <v>45903</v>
      </c>
      <c r="E1741" s="7" t="s">
        <v>726</v>
      </c>
      <c r="F1741" s="7">
        <v>1</v>
      </c>
      <c r="G1741" s="7" t="s">
        <v>15</v>
      </c>
      <c r="J1741" s="7">
        <f>YEAR(I1741)</f>
        <v>1900</v>
      </c>
      <c r="K1741" s="7">
        <f>MONTH(I1741)</f>
        <v>1</v>
      </c>
      <c r="L1741" s="7">
        <f>D1741-I1741</f>
        <v>45903</v>
      </c>
      <c r="M1741" s="7" t="s">
        <v>917</v>
      </c>
      <c r="N1741" s="7" t="s">
        <v>580</v>
      </c>
      <c r="O1741" s="17" t="s">
        <v>682</v>
      </c>
      <c r="P1741" s="7">
        <f>MONTH(D1741)</f>
        <v>9</v>
      </c>
      <c r="Q1741" s="7">
        <f t="shared" si="148"/>
        <v>2025</v>
      </c>
    </row>
    <row r="1742" spans="1:17" x14ac:dyDescent="0.25">
      <c r="A1742" s="7">
        <v>2545</v>
      </c>
      <c r="B1742" s="9" t="s">
        <v>636</v>
      </c>
      <c r="C1742" s="9" t="s">
        <v>636</v>
      </c>
      <c r="D1742" s="8">
        <v>45912</v>
      </c>
      <c r="E1742" s="7" t="s">
        <v>781</v>
      </c>
      <c r="F1742" s="7">
        <v>1</v>
      </c>
      <c r="G1742" s="7" t="s">
        <v>15</v>
      </c>
      <c r="J1742" s="7">
        <f t="shared" ref="J1742:J1805" si="149">YEAR(I1742)</f>
        <v>1900</v>
      </c>
      <c r="K1742" s="7">
        <f t="shared" ref="K1742:K1805" si="150">MONTH(I1742)</f>
        <v>1</v>
      </c>
      <c r="L1742" s="7">
        <f t="shared" ref="L1742:L1805" si="151">D1742-I1742</f>
        <v>45912</v>
      </c>
      <c r="M1742" s="7" t="s">
        <v>638</v>
      </c>
      <c r="O1742" s="17" t="s">
        <v>682</v>
      </c>
      <c r="P1742" s="7">
        <f t="shared" si="143"/>
        <v>9</v>
      </c>
      <c r="Q1742" s="7">
        <f t="shared" si="148"/>
        <v>2025</v>
      </c>
    </row>
    <row r="1743" spans="1:17" x14ac:dyDescent="0.25">
      <c r="A1743" s="7">
        <v>2545</v>
      </c>
      <c r="B1743" s="9" t="s">
        <v>636</v>
      </c>
      <c r="C1743" s="9" t="s">
        <v>636</v>
      </c>
      <c r="D1743" s="8">
        <v>45912</v>
      </c>
      <c r="E1743" s="7" t="s">
        <v>782</v>
      </c>
      <c r="F1743" s="7">
        <v>1</v>
      </c>
      <c r="G1743" s="7" t="s">
        <v>15</v>
      </c>
      <c r="J1743" s="7">
        <f t="shared" si="149"/>
        <v>1900</v>
      </c>
      <c r="K1743" s="7">
        <f t="shared" si="150"/>
        <v>1</v>
      </c>
      <c r="L1743" s="7">
        <f t="shared" si="151"/>
        <v>45912</v>
      </c>
      <c r="M1743" s="7" t="s">
        <v>638</v>
      </c>
      <c r="O1743" s="17" t="s">
        <v>682</v>
      </c>
      <c r="P1743" s="7">
        <f t="shared" si="143"/>
        <v>9</v>
      </c>
      <c r="Q1743" s="7">
        <f t="shared" si="148"/>
        <v>2025</v>
      </c>
    </row>
    <row r="1744" spans="1:17" x14ac:dyDescent="0.25">
      <c r="A1744" s="7">
        <v>2545</v>
      </c>
      <c r="B1744" s="9" t="s">
        <v>636</v>
      </c>
      <c r="C1744" s="9" t="s">
        <v>636</v>
      </c>
      <c r="D1744" s="8">
        <v>45912</v>
      </c>
      <c r="E1744" s="7" t="s">
        <v>783</v>
      </c>
      <c r="F1744" s="7">
        <v>1</v>
      </c>
      <c r="G1744" s="7" t="s">
        <v>15</v>
      </c>
      <c r="J1744" s="7">
        <f t="shared" si="149"/>
        <v>1900</v>
      </c>
      <c r="K1744" s="7">
        <f t="shared" si="150"/>
        <v>1</v>
      </c>
      <c r="L1744" s="7">
        <f t="shared" si="151"/>
        <v>45912</v>
      </c>
      <c r="M1744" s="7" t="s">
        <v>638</v>
      </c>
      <c r="O1744" s="17" t="s">
        <v>682</v>
      </c>
      <c r="P1744" s="7">
        <f t="shared" si="143"/>
        <v>9</v>
      </c>
      <c r="Q1744" s="7">
        <f t="shared" si="148"/>
        <v>2025</v>
      </c>
    </row>
    <row r="1745" spans="1:17" x14ac:dyDescent="0.25">
      <c r="A1745" s="7">
        <v>2545</v>
      </c>
      <c r="B1745" s="9" t="s">
        <v>636</v>
      </c>
      <c r="C1745" s="9" t="s">
        <v>636</v>
      </c>
      <c r="D1745" s="8">
        <v>45912</v>
      </c>
      <c r="E1745" s="7" t="s">
        <v>784</v>
      </c>
      <c r="F1745" s="7">
        <v>1</v>
      </c>
      <c r="G1745" s="7" t="s">
        <v>15</v>
      </c>
      <c r="J1745" s="7">
        <f t="shared" si="149"/>
        <v>1900</v>
      </c>
      <c r="K1745" s="7">
        <f t="shared" si="150"/>
        <v>1</v>
      </c>
      <c r="L1745" s="7">
        <f t="shared" si="151"/>
        <v>45912</v>
      </c>
      <c r="M1745" s="7" t="s">
        <v>638</v>
      </c>
      <c r="O1745" s="17" t="s">
        <v>682</v>
      </c>
      <c r="P1745" s="7">
        <f t="shared" si="143"/>
        <v>9</v>
      </c>
      <c r="Q1745" s="7">
        <f t="shared" si="148"/>
        <v>2025</v>
      </c>
    </row>
    <row r="1746" spans="1:17" x14ac:dyDescent="0.25">
      <c r="A1746" s="7">
        <v>2545</v>
      </c>
      <c r="B1746" s="9" t="s">
        <v>636</v>
      </c>
      <c r="C1746" s="9" t="s">
        <v>636</v>
      </c>
      <c r="D1746" s="8">
        <v>45912</v>
      </c>
      <c r="E1746" s="7" t="s">
        <v>60</v>
      </c>
      <c r="F1746" s="7">
        <v>1</v>
      </c>
      <c r="G1746" s="7" t="s">
        <v>15</v>
      </c>
      <c r="J1746" s="7">
        <f t="shared" si="149"/>
        <v>1900</v>
      </c>
      <c r="K1746" s="7">
        <f t="shared" si="150"/>
        <v>1</v>
      </c>
      <c r="L1746" s="7">
        <f t="shared" si="151"/>
        <v>45912</v>
      </c>
      <c r="M1746" s="7" t="s">
        <v>638</v>
      </c>
      <c r="O1746" s="17" t="s">
        <v>682</v>
      </c>
      <c r="P1746" s="7">
        <f t="shared" si="143"/>
        <v>9</v>
      </c>
      <c r="Q1746" s="7">
        <f t="shared" si="148"/>
        <v>2025</v>
      </c>
    </row>
    <row r="1747" spans="1:17" x14ac:dyDescent="0.25">
      <c r="A1747" s="7">
        <v>2545</v>
      </c>
      <c r="B1747" s="9" t="s">
        <v>636</v>
      </c>
      <c r="C1747" s="9" t="s">
        <v>636</v>
      </c>
      <c r="D1747" s="8">
        <v>45912</v>
      </c>
      <c r="E1747" s="7" t="s">
        <v>60</v>
      </c>
      <c r="F1747" s="7">
        <v>1</v>
      </c>
      <c r="G1747" s="7" t="s">
        <v>15</v>
      </c>
      <c r="J1747" s="7">
        <f t="shared" si="149"/>
        <v>1900</v>
      </c>
      <c r="K1747" s="7">
        <f t="shared" si="150"/>
        <v>1</v>
      </c>
      <c r="L1747" s="7">
        <f t="shared" si="151"/>
        <v>45912</v>
      </c>
      <c r="M1747" s="7" t="s">
        <v>638</v>
      </c>
      <c r="O1747" s="17" t="s">
        <v>682</v>
      </c>
      <c r="P1747" s="7">
        <f t="shared" si="143"/>
        <v>9</v>
      </c>
      <c r="Q1747" s="7">
        <f t="shared" si="148"/>
        <v>2025</v>
      </c>
    </row>
    <row r="1748" spans="1:17" x14ac:dyDescent="0.25">
      <c r="A1748" s="7">
        <v>2545</v>
      </c>
      <c r="B1748" s="9" t="s">
        <v>636</v>
      </c>
      <c r="C1748" s="9" t="s">
        <v>636</v>
      </c>
      <c r="D1748" s="8">
        <v>45912</v>
      </c>
      <c r="E1748" s="7" t="s">
        <v>60</v>
      </c>
      <c r="F1748" s="7">
        <v>1</v>
      </c>
      <c r="G1748" s="7" t="s">
        <v>15</v>
      </c>
      <c r="J1748" s="7">
        <f t="shared" si="149"/>
        <v>1900</v>
      </c>
      <c r="K1748" s="7">
        <f t="shared" si="150"/>
        <v>1</v>
      </c>
      <c r="L1748" s="7">
        <f t="shared" si="151"/>
        <v>45912</v>
      </c>
      <c r="M1748" s="7" t="s">
        <v>638</v>
      </c>
      <c r="O1748" s="17" t="s">
        <v>682</v>
      </c>
      <c r="P1748" s="7">
        <f t="shared" si="143"/>
        <v>9</v>
      </c>
      <c r="Q1748" s="7">
        <f t="shared" si="148"/>
        <v>2025</v>
      </c>
    </row>
    <row r="1749" spans="1:17" x14ac:dyDescent="0.25">
      <c r="A1749" s="7">
        <v>2545</v>
      </c>
      <c r="B1749" s="9" t="s">
        <v>636</v>
      </c>
      <c r="C1749" s="9" t="s">
        <v>636</v>
      </c>
      <c r="D1749" s="8">
        <v>45912</v>
      </c>
      <c r="E1749" s="7" t="s">
        <v>60</v>
      </c>
      <c r="F1749" s="7">
        <v>1</v>
      </c>
      <c r="G1749" s="7" t="s">
        <v>15</v>
      </c>
      <c r="J1749" s="7">
        <f t="shared" si="149"/>
        <v>1900</v>
      </c>
      <c r="K1749" s="7">
        <f t="shared" si="150"/>
        <v>1</v>
      </c>
      <c r="L1749" s="7">
        <f t="shared" si="151"/>
        <v>45912</v>
      </c>
      <c r="M1749" s="7" t="s">
        <v>638</v>
      </c>
      <c r="O1749" s="17" t="s">
        <v>682</v>
      </c>
      <c r="P1749" s="7">
        <f t="shared" si="143"/>
        <v>9</v>
      </c>
      <c r="Q1749" s="7">
        <f t="shared" si="148"/>
        <v>2025</v>
      </c>
    </row>
    <row r="1750" spans="1:17" x14ac:dyDescent="0.25">
      <c r="A1750" s="7">
        <v>2545</v>
      </c>
      <c r="B1750" s="9" t="s">
        <v>636</v>
      </c>
      <c r="C1750" s="9" t="s">
        <v>636</v>
      </c>
      <c r="D1750" s="8">
        <v>45912</v>
      </c>
      <c r="E1750" s="7" t="s">
        <v>60</v>
      </c>
      <c r="F1750" s="7">
        <v>1</v>
      </c>
      <c r="G1750" s="7" t="s">
        <v>15</v>
      </c>
      <c r="J1750" s="7">
        <f t="shared" si="149"/>
        <v>1900</v>
      </c>
      <c r="K1750" s="7">
        <f t="shared" si="150"/>
        <v>1</v>
      </c>
      <c r="L1750" s="7">
        <f t="shared" si="151"/>
        <v>45912</v>
      </c>
      <c r="M1750" s="7" t="s">
        <v>638</v>
      </c>
      <c r="O1750" s="17" t="s">
        <v>682</v>
      </c>
      <c r="P1750" s="7">
        <f t="shared" si="143"/>
        <v>9</v>
      </c>
      <c r="Q1750" s="7">
        <f t="shared" si="148"/>
        <v>2025</v>
      </c>
    </row>
    <row r="1751" spans="1:17" x14ac:dyDescent="0.25">
      <c r="A1751" s="7">
        <v>2545</v>
      </c>
      <c r="B1751" s="9" t="s">
        <v>636</v>
      </c>
      <c r="C1751" s="9" t="s">
        <v>636</v>
      </c>
      <c r="D1751" s="8">
        <v>45912</v>
      </c>
      <c r="E1751" s="7" t="s">
        <v>60</v>
      </c>
      <c r="F1751" s="7">
        <v>1</v>
      </c>
      <c r="G1751" s="7" t="s">
        <v>15</v>
      </c>
      <c r="J1751" s="7">
        <f t="shared" si="149"/>
        <v>1900</v>
      </c>
      <c r="K1751" s="7">
        <f t="shared" si="150"/>
        <v>1</v>
      </c>
      <c r="L1751" s="7">
        <f t="shared" si="151"/>
        <v>45912</v>
      </c>
      <c r="M1751" s="7" t="s">
        <v>638</v>
      </c>
      <c r="O1751" s="17" t="s">
        <v>682</v>
      </c>
      <c r="P1751" s="7">
        <f t="shared" si="143"/>
        <v>9</v>
      </c>
      <c r="Q1751" s="7">
        <f t="shared" si="148"/>
        <v>2025</v>
      </c>
    </row>
    <row r="1752" spans="1:17" x14ac:dyDescent="0.25">
      <c r="A1752" s="7">
        <v>2545</v>
      </c>
      <c r="B1752" s="9" t="s">
        <v>636</v>
      </c>
      <c r="C1752" s="9" t="s">
        <v>636</v>
      </c>
      <c r="D1752" s="8">
        <v>45912</v>
      </c>
      <c r="E1752" s="7" t="s">
        <v>60</v>
      </c>
      <c r="F1752" s="7">
        <v>1</v>
      </c>
      <c r="G1752" s="7" t="s">
        <v>15</v>
      </c>
      <c r="J1752" s="7">
        <f t="shared" si="149"/>
        <v>1900</v>
      </c>
      <c r="K1752" s="7">
        <f t="shared" si="150"/>
        <v>1</v>
      </c>
      <c r="L1752" s="7">
        <f t="shared" si="151"/>
        <v>45912</v>
      </c>
      <c r="M1752" s="7" t="s">
        <v>638</v>
      </c>
      <c r="O1752" s="17" t="s">
        <v>682</v>
      </c>
      <c r="P1752" s="7">
        <f t="shared" si="143"/>
        <v>9</v>
      </c>
      <c r="Q1752" s="7">
        <f t="shared" si="148"/>
        <v>2025</v>
      </c>
    </row>
    <row r="1753" spans="1:17" x14ac:dyDescent="0.25">
      <c r="A1753" s="7">
        <v>2545</v>
      </c>
      <c r="B1753" s="9" t="s">
        <v>636</v>
      </c>
      <c r="C1753" s="9" t="s">
        <v>636</v>
      </c>
      <c r="D1753" s="8">
        <v>45912</v>
      </c>
      <c r="E1753" s="7" t="s">
        <v>60</v>
      </c>
      <c r="F1753" s="7">
        <v>1</v>
      </c>
      <c r="G1753" s="7" t="s">
        <v>15</v>
      </c>
      <c r="J1753" s="7">
        <f t="shared" si="149"/>
        <v>1900</v>
      </c>
      <c r="K1753" s="7">
        <f t="shared" si="150"/>
        <v>1</v>
      </c>
      <c r="L1753" s="7">
        <f t="shared" si="151"/>
        <v>45912</v>
      </c>
      <c r="M1753" s="7" t="s">
        <v>638</v>
      </c>
      <c r="O1753" s="17" t="s">
        <v>682</v>
      </c>
      <c r="P1753" s="7">
        <f t="shared" si="143"/>
        <v>9</v>
      </c>
      <c r="Q1753" s="7">
        <f t="shared" si="148"/>
        <v>2025</v>
      </c>
    </row>
    <row r="1754" spans="1:17" x14ac:dyDescent="0.25">
      <c r="A1754" s="7">
        <v>2545</v>
      </c>
      <c r="B1754" s="9" t="s">
        <v>636</v>
      </c>
      <c r="C1754" s="9" t="s">
        <v>636</v>
      </c>
      <c r="D1754" s="8">
        <v>45912</v>
      </c>
      <c r="E1754" s="7" t="s">
        <v>60</v>
      </c>
      <c r="F1754" s="7">
        <v>1</v>
      </c>
      <c r="G1754" s="7" t="s">
        <v>15</v>
      </c>
      <c r="J1754" s="7">
        <f t="shared" si="149"/>
        <v>1900</v>
      </c>
      <c r="K1754" s="7">
        <f t="shared" si="150"/>
        <v>1</v>
      </c>
      <c r="L1754" s="7">
        <f t="shared" si="151"/>
        <v>45912</v>
      </c>
      <c r="M1754" s="7" t="s">
        <v>638</v>
      </c>
      <c r="O1754" s="17" t="s">
        <v>682</v>
      </c>
      <c r="P1754" s="7">
        <f t="shared" si="143"/>
        <v>9</v>
      </c>
      <c r="Q1754" s="7">
        <f t="shared" si="148"/>
        <v>2025</v>
      </c>
    </row>
    <row r="1755" spans="1:17" x14ac:dyDescent="0.25">
      <c r="A1755" s="7">
        <v>2545</v>
      </c>
      <c r="B1755" s="9" t="s">
        <v>636</v>
      </c>
      <c r="C1755" s="9" t="s">
        <v>636</v>
      </c>
      <c r="D1755" s="8">
        <v>45912</v>
      </c>
      <c r="E1755" s="7" t="s">
        <v>60</v>
      </c>
      <c r="F1755" s="7">
        <v>1</v>
      </c>
      <c r="G1755" s="7" t="s">
        <v>15</v>
      </c>
      <c r="J1755" s="7">
        <f t="shared" si="149"/>
        <v>1900</v>
      </c>
      <c r="K1755" s="7">
        <f t="shared" si="150"/>
        <v>1</v>
      </c>
      <c r="L1755" s="7">
        <f t="shared" si="151"/>
        <v>45912</v>
      </c>
      <c r="M1755" s="7" t="s">
        <v>638</v>
      </c>
      <c r="O1755" s="17" t="s">
        <v>682</v>
      </c>
      <c r="P1755" s="7">
        <f t="shared" si="143"/>
        <v>9</v>
      </c>
      <c r="Q1755" s="7">
        <f t="shared" si="148"/>
        <v>2025</v>
      </c>
    </row>
    <row r="1756" spans="1:17" x14ac:dyDescent="0.25">
      <c r="A1756" s="7">
        <v>2545</v>
      </c>
      <c r="B1756" s="9" t="s">
        <v>636</v>
      </c>
      <c r="C1756" s="9" t="s">
        <v>636</v>
      </c>
      <c r="D1756" s="8">
        <v>45912</v>
      </c>
      <c r="E1756" s="7" t="s">
        <v>60</v>
      </c>
      <c r="F1756" s="7">
        <v>1</v>
      </c>
      <c r="G1756" s="7" t="s">
        <v>15</v>
      </c>
      <c r="J1756" s="7">
        <f t="shared" si="149"/>
        <v>1900</v>
      </c>
      <c r="K1756" s="7">
        <f t="shared" si="150"/>
        <v>1</v>
      </c>
      <c r="L1756" s="7">
        <f t="shared" si="151"/>
        <v>45912</v>
      </c>
      <c r="M1756" s="7" t="s">
        <v>638</v>
      </c>
      <c r="O1756" s="17" t="s">
        <v>682</v>
      </c>
      <c r="P1756" s="7">
        <f t="shared" si="143"/>
        <v>9</v>
      </c>
      <c r="Q1756" s="7">
        <f t="shared" si="148"/>
        <v>2025</v>
      </c>
    </row>
    <row r="1757" spans="1:17" x14ac:dyDescent="0.25">
      <c r="A1757" s="7">
        <v>2545</v>
      </c>
      <c r="B1757" s="9" t="s">
        <v>636</v>
      </c>
      <c r="C1757" s="9" t="s">
        <v>636</v>
      </c>
      <c r="D1757" s="8">
        <v>45912</v>
      </c>
      <c r="E1757" s="7" t="s">
        <v>60</v>
      </c>
      <c r="F1757" s="7">
        <v>1</v>
      </c>
      <c r="G1757" s="7" t="s">
        <v>15</v>
      </c>
      <c r="J1757" s="7">
        <f t="shared" si="149"/>
        <v>1900</v>
      </c>
      <c r="K1757" s="7">
        <f t="shared" si="150"/>
        <v>1</v>
      </c>
      <c r="L1757" s="7">
        <f t="shared" si="151"/>
        <v>45912</v>
      </c>
      <c r="M1757" s="7" t="s">
        <v>638</v>
      </c>
      <c r="O1757" s="17" t="s">
        <v>682</v>
      </c>
      <c r="P1757" s="7">
        <f t="shared" si="143"/>
        <v>9</v>
      </c>
      <c r="Q1757" s="7">
        <f t="shared" si="148"/>
        <v>2025</v>
      </c>
    </row>
    <row r="1758" spans="1:17" x14ac:dyDescent="0.25">
      <c r="A1758" s="7">
        <v>2545</v>
      </c>
      <c r="B1758" s="9" t="s">
        <v>636</v>
      </c>
      <c r="C1758" s="9" t="s">
        <v>636</v>
      </c>
      <c r="D1758" s="8">
        <v>45912</v>
      </c>
      <c r="E1758" s="7" t="s">
        <v>60</v>
      </c>
      <c r="F1758" s="7">
        <v>1</v>
      </c>
      <c r="G1758" s="7" t="s">
        <v>15</v>
      </c>
      <c r="J1758" s="7">
        <f t="shared" si="149"/>
        <v>1900</v>
      </c>
      <c r="K1758" s="7">
        <f t="shared" si="150"/>
        <v>1</v>
      </c>
      <c r="L1758" s="7">
        <f t="shared" si="151"/>
        <v>45912</v>
      </c>
      <c r="M1758" s="7" t="s">
        <v>638</v>
      </c>
      <c r="O1758" s="17" t="s">
        <v>682</v>
      </c>
      <c r="P1758" s="7">
        <f t="shared" si="143"/>
        <v>9</v>
      </c>
      <c r="Q1758" s="7">
        <f t="shared" si="148"/>
        <v>2025</v>
      </c>
    </row>
    <row r="1759" spans="1:17" x14ac:dyDescent="0.25">
      <c r="A1759" s="7">
        <v>2545</v>
      </c>
      <c r="B1759" s="9" t="s">
        <v>636</v>
      </c>
      <c r="C1759" s="9" t="s">
        <v>636</v>
      </c>
      <c r="D1759" s="8">
        <v>45912</v>
      </c>
      <c r="E1759" s="7" t="s">
        <v>60</v>
      </c>
      <c r="F1759" s="7">
        <v>1</v>
      </c>
      <c r="G1759" s="7" t="s">
        <v>15</v>
      </c>
      <c r="J1759" s="7">
        <f t="shared" si="149"/>
        <v>1900</v>
      </c>
      <c r="K1759" s="7">
        <f t="shared" si="150"/>
        <v>1</v>
      </c>
      <c r="L1759" s="7">
        <f t="shared" si="151"/>
        <v>45912</v>
      </c>
      <c r="M1759" s="7" t="s">
        <v>638</v>
      </c>
      <c r="O1759" s="17" t="s">
        <v>682</v>
      </c>
      <c r="P1759" s="7">
        <f t="shared" ref="P1759:P1822" si="152">MONTH(D1759)</f>
        <v>9</v>
      </c>
      <c r="Q1759" s="7">
        <f t="shared" si="148"/>
        <v>2025</v>
      </c>
    </row>
    <row r="1760" spans="1:17" x14ac:dyDescent="0.25">
      <c r="A1760" s="7">
        <v>2545</v>
      </c>
      <c r="B1760" s="9" t="s">
        <v>636</v>
      </c>
      <c r="C1760" s="9" t="s">
        <v>636</v>
      </c>
      <c r="D1760" s="8">
        <v>45912</v>
      </c>
      <c r="E1760" s="7" t="s">
        <v>60</v>
      </c>
      <c r="F1760" s="7">
        <v>1</v>
      </c>
      <c r="G1760" s="7" t="s">
        <v>15</v>
      </c>
      <c r="J1760" s="7">
        <f t="shared" si="149"/>
        <v>1900</v>
      </c>
      <c r="K1760" s="7">
        <f t="shared" si="150"/>
        <v>1</v>
      </c>
      <c r="L1760" s="7">
        <f t="shared" si="151"/>
        <v>45912</v>
      </c>
      <c r="M1760" s="7" t="s">
        <v>638</v>
      </c>
      <c r="O1760" s="17" t="s">
        <v>682</v>
      </c>
      <c r="P1760" s="7">
        <f t="shared" si="152"/>
        <v>9</v>
      </c>
      <c r="Q1760" s="7">
        <f t="shared" si="148"/>
        <v>2025</v>
      </c>
    </row>
    <row r="1761" spans="1:17" x14ac:dyDescent="0.25">
      <c r="A1761" s="7">
        <v>2545</v>
      </c>
      <c r="B1761" s="9" t="s">
        <v>636</v>
      </c>
      <c r="C1761" s="9" t="s">
        <v>636</v>
      </c>
      <c r="D1761" s="8">
        <v>45912</v>
      </c>
      <c r="E1761" s="7" t="s">
        <v>60</v>
      </c>
      <c r="F1761" s="7">
        <v>1</v>
      </c>
      <c r="G1761" s="7" t="s">
        <v>15</v>
      </c>
      <c r="J1761" s="7">
        <f t="shared" si="149"/>
        <v>1900</v>
      </c>
      <c r="K1761" s="7">
        <f t="shared" si="150"/>
        <v>1</v>
      </c>
      <c r="L1761" s="7">
        <f t="shared" si="151"/>
        <v>45912</v>
      </c>
      <c r="M1761" s="7" t="s">
        <v>638</v>
      </c>
      <c r="O1761" s="17" t="s">
        <v>682</v>
      </c>
      <c r="P1761" s="7">
        <f t="shared" si="152"/>
        <v>9</v>
      </c>
      <c r="Q1761" s="7">
        <f t="shared" si="148"/>
        <v>2025</v>
      </c>
    </row>
    <row r="1762" spans="1:17" x14ac:dyDescent="0.25">
      <c r="A1762" s="7">
        <v>2545</v>
      </c>
      <c r="B1762" s="9" t="s">
        <v>636</v>
      </c>
      <c r="C1762" s="9" t="s">
        <v>636</v>
      </c>
      <c r="D1762" s="8">
        <v>45912</v>
      </c>
      <c r="E1762" s="7" t="s">
        <v>60</v>
      </c>
      <c r="F1762" s="7">
        <v>1</v>
      </c>
      <c r="G1762" s="7" t="s">
        <v>15</v>
      </c>
      <c r="J1762" s="7">
        <f t="shared" si="149"/>
        <v>1900</v>
      </c>
      <c r="K1762" s="7">
        <f t="shared" si="150"/>
        <v>1</v>
      </c>
      <c r="L1762" s="7">
        <f t="shared" si="151"/>
        <v>45912</v>
      </c>
      <c r="M1762" s="7" t="s">
        <v>638</v>
      </c>
      <c r="O1762" s="17" t="s">
        <v>682</v>
      </c>
      <c r="P1762" s="7">
        <f t="shared" si="152"/>
        <v>9</v>
      </c>
      <c r="Q1762" s="7">
        <f t="shared" si="148"/>
        <v>2025</v>
      </c>
    </row>
    <row r="1763" spans="1:17" x14ac:dyDescent="0.25">
      <c r="A1763" s="7">
        <v>2545</v>
      </c>
      <c r="B1763" s="9" t="s">
        <v>636</v>
      </c>
      <c r="C1763" s="9" t="s">
        <v>636</v>
      </c>
      <c r="D1763" s="8">
        <v>45912</v>
      </c>
      <c r="E1763" s="7" t="s">
        <v>60</v>
      </c>
      <c r="F1763" s="7">
        <v>1</v>
      </c>
      <c r="G1763" s="7" t="s">
        <v>15</v>
      </c>
      <c r="J1763" s="7">
        <f t="shared" si="149"/>
        <v>1900</v>
      </c>
      <c r="K1763" s="7">
        <f t="shared" si="150"/>
        <v>1</v>
      </c>
      <c r="L1763" s="7">
        <f t="shared" si="151"/>
        <v>45912</v>
      </c>
      <c r="M1763" s="7" t="s">
        <v>638</v>
      </c>
      <c r="O1763" s="17" t="s">
        <v>682</v>
      </c>
      <c r="P1763" s="7">
        <f t="shared" si="152"/>
        <v>9</v>
      </c>
      <c r="Q1763" s="7">
        <f t="shared" si="148"/>
        <v>2025</v>
      </c>
    </row>
    <row r="1764" spans="1:17" x14ac:dyDescent="0.25">
      <c r="A1764" s="7">
        <v>2545</v>
      </c>
      <c r="B1764" s="9" t="s">
        <v>636</v>
      </c>
      <c r="C1764" s="9" t="s">
        <v>636</v>
      </c>
      <c r="D1764" s="8">
        <v>45912</v>
      </c>
      <c r="E1764" s="7" t="s">
        <v>60</v>
      </c>
      <c r="F1764" s="7">
        <v>1</v>
      </c>
      <c r="G1764" s="7" t="s">
        <v>15</v>
      </c>
      <c r="J1764" s="7">
        <f t="shared" si="149"/>
        <v>1900</v>
      </c>
      <c r="K1764" s="7">
        <f t="shared" si="150"/>
        <v>1</v>
      </c>
      <c r="L1764" s="7">
        <f t="shared" si="151"/>
        <v>45912</v>
      </c>
      <c r="M1764" s="7" t="s">
        <v>638</v>
      </c>
      <c r="O1764" s="17" t="s">
        <v>682</v>
      </c>
      <c r="P1764" s="7">
        <f t="shared" si="152"/>
        <v>9</v>
      </c>
      <c r="Q1764" s="7">
        <f t="shared" si="148"/>
        <v>2025</v>
      </c>
    </row>
    <row r="1765" spans="1:17" x14ac:dyDescent="0.25">
      <c r="A1765" s="7">
        <v>2545</v>
      </c>
      <c r="B1765" s="9" t="s">
        <v>636</v>
      </c>
      <c r="C1765" s="9" t="s">
        <v>636</v>
      </c>
      <c r="D1765" s="8">
        <v>45912</v>
      </c>
      <c r="E1765" s="7" t="s">
        <v>60</v>
      </c>
      <c r="F1765" s="7">
        <v>1</v>
      </c>
      <c r="G1765" s="7" t="s">
        <v>15</v>
      </c>
      <c r="J1765" s="7">
        <f t="shared" si="149"/>
        <v>1900</v>
      </c>
      <c r="K1765" s="7">
        <f t="shared" si="150"/>
        <v>1</v>
      </c>
      <c r="L1765" s="7">
        <f t="shared" si="151"/>
        <v>45912</v>
      </c>
      <c r="M1765" s="7" t="s">
        <v>638</v>
      </c>
      <c r="O1765" s="17" t="s">
        <v>682</v>
      </c>
      <c r="P1765" s="7">
        <f t="shared" si="152"/>
        <v>9</v>
      </c>
      <c r="Q1765" s="7">
        <f t="shared" si="148"/>
        <v>2025</v>
      </c>
    </row>
    <row r="1766" spans="1:17" x14ac:dyDescent="0.25">
      <c r="A1766" s="7">
        <v>2545</v>
      </c>
      <c r="B1766" s="9" t="s">
        <v>636</v>
      </c>
      <c r="C1766" s="9" t="s">
        <v>636</v>
      </c>
      <c r="D1766" s="8">
        <v>45912</v>
      </c>
      <c r="E1766" s="7" t="s">
        <v>60</v>
      </c>
      <c r="F1766" s="7">
        <v>1</v>
      </c>
      <c r="G1766" s="7" t="s">
        <v>15</v>
      </c>
      <c r="J1766" s="7">
        <f t="shared" si="149"/>
        <v>1900</v>
      </c>
      <c r="K1766" s="7">
        <f t="shared" si="150"/>
        <v>1</v>
      </c>
      <c r="L1766" s="7">
        <f t="shared" si="151"/>
        <v>45912</v>
      </c>
      <c r="M1766" s="7" t="s">
        <v>638</v>
      </c>
      <c r="O1766" s="17" t="s">
        <v>682</v>
      </c>
      <c r="P1766" s="7">
        <f t="shared" si="152"/>
        <v>9</v>
      </c>
      <c r="Q1766" s="7">
        <f t="shared" si="148"/>
        <v>2025</v>
      </c>
    </row>
    <row r="1767" spans="1:17" x14ac:dyDescent="0.25">
      <c r="A1767" s="7">
        <v>2545</v>
      </c>
      <c r="B1767" s="9" t="s">
        <v>636</v>
      </c>
      <c r="C1767" s="9" t="s">
        <v>636</v>
      </c>
      <c r="D1767" s="8">
        <v>45912</v>
      </c>
      <c r="E1767" s="7" t="s">
        <v>60</v>
      </c>
      <c r="F1767" s="7">
        <v>1</v>
      </c>
      <c r="G1767" s="7" t="s">
        <v>15</v>
      </c>
      <c r="J1767" s="7">
        <f t="shared" si="149"/>
        <v>1900</v>
      </c>
      <c r="K1767" s="7">
        <f t="shared" si="150"/>
        <v>1</v>
      </c>
      <c r="L1767" s="7">
        <f t="shared" si="151"/>
        <v>45912</v>
      </c>
      <c r="M1767" s="7" t="s">
        <v>638</v>
      </c>
      <c r="O1767" s="17" t="s">
        <v>682</v>
      </c>
      <c r="P1767" s="7">
        <f t="shared" si="152"/>
        <v>9</v>
      </c>
      <c r="Q1767" s="7">
        <f t="shared" si="148"/>
        <v>2025</v>
      </c>
    </row>
    <row r="1768" spans="1:17" x14ac:dyDescent="0.25">
      <c r="A1768" s="7">
        <v>2545</v>
      </c>
      <c r="B1768" s="9" t="s">
        <v>636</v>
      </c>
      <c r="C1768" s="9" t="s">
        <v>636</v>
      </c>
      <c r="D1768" s="8">
        <v>45912</v>
      </c>
      <c r="E1768" s="7" t="s">
        <v>60</v>
      </c>
      <c r="F1768" s="7">
        <v>1</v>
      </c>
      <c r="G1768" s="7" t="s">
        <v>15</v>
      </c>
      <c r="J1768" s="7">
        <f t="shared" si="149"/>
        <v>1900</v>
      </c>
      <c r="K1768" s="7">
        <f t="shared" si="150"/>
        <v>1</v>
      </c>
      <c r="L1768" s="7">
        <f t="shared" si="151"/>
        <v>45912</v>
      </c>
      <c r="M1768" s="7" t="s">
        <v>638</v>
      </c>
      <c r="O1768" s="17" t="s">
        <v>682</v>
      </c>
      <c r="P1768" s="7">
        <f t="shared" si="152"/>
        <v>9</v>
      </c>
      <c r="Q1768" s="7">
        <f t="shared" si="148"/>
        <v>2025</v>
      </c>
    </row>
    <row r="1769" spans="1:17" x14ac:dyDescent="0.25">
      <c r="A1769" s="7">
        <v>2545</v>
      </c>
      <c r="B1769" s="9" t="s">
        <v>636</v>
      </c>
      <c r="C1769" s="9" t="s">
        <v>636</v>
      </c>
      <c r="D1769" s="8">
        <v>45912</v>
      </c>
      <c r="E1769" s="7" t="s">
        <v>60</v>
      </c>
      <c r="F1769" s="7">
        <v>1</v>
      </c>
      <c r="G1769" s="7" t="s">
        <v>15</v>
      </c>
      <c r="J1769" s="7">
        <f t="shared" si="149"/>
        <v>1900</v>
      </c>
      <c r="K1769" s="7">
        <f t="shared" si="150"/>
        <v>1</v>
      </c>
      <c r="L1769" s="7">
        <f t="shared" si="151"/>
        <v>45912</v>
      </c>
      <c r="M1769" s="7" t="s">
        <v>638</v>
      </c>
      <c r="O1769" s="17" t="s">
        <v>682</v>
      </c>
      <c r="P1769" s="7">
        <f t="shared" si="152"/>
        <v>9</v>
      </c>
      <c r="Q1769" s="7">
        <f t="shared" si="148"/>
        <v>2025</v>
      </c>
    </row>
    <row r="1770" spans="1:17" x14ac:dyDescent="0.25">
      <c r="A1770" s="7">
        <v>2545</v>
      </c>
      <c r="B1770" s="9" t="s">
        <v>636</v>
      </c>
      <c r="C1770" s="9" t="s">
        <v>636</v>
      </c>
      <c r="D1770" s="8">
        <v>45912</v>
      </c>
      <c r="E1770" s="7" t="s">
        <v>60</v>
      </c>
      <c r="F1770" s="7">
        <v>1</v>
      </c>
      <c r="G1770" s="7" t="s">
        <v>15</v>
      </c>
      <c r="J1770" s="7">
        <f t="shared" si="149"/>
        <v>1900</v>
      </c>
      <c r="K1770" s="7">
        <f t="shared" si="150"/>
        <v>1</v>
      </c>
      <c r="L1770" s="7">
        <f t="shared" si="151"/>
        <v>45912</v>
      </c>
      <c r="M1770" s="7" t="s">
        <v>638</v>
      </c>
      <c r="O1770" s="17" t="s">
        <v>682</v>
      </c>
      <c r="P1770" s="7">
        <f t="shared" si="152"/>
        <v>9</v>
      </c>
      <c r="Q1770" s="7">
        <f t="shared" si="148"/>
        <v>2025</v>
      </c>
    </row>
    <row r="1771" spans="1:17" x14ac:dyDescent="0.25">
      <c r="A1771" s="7">
        <v>2545</v>
      </c>
      <c r="B1771" s="9" t="s">
        <v>636</v>
      </c>
      <c r="C1771" s="9" t="s">
        <v>636</v>
      </c>
      <c r="D1771" s="8">
        <v>45912</v>
      </c>
      <c r="E1771" s="7" t="s">
        <v>60</v>
      </c>
      <c r="F1771" s="7">
        <v>1</v>
      </c>
      <c r="G1771" s="7" t="s">
        <v>15</v>
      </c>
      <c r="J1771" s="7">
        <f t="shared" si="149"/>
        <v>1900</v>
      </c>
      <c r="K1771" s="7">
        <f t="shared" si="150"/>
        <v>1</v>
      </c>
      <c r="L1771" s="7">
        <f t="shared" si="151"/>
        <v>45912</v>
      </c>
      <c r="M1771" s="7" t="s">
        <v>638</v>
      </c>
      <c r="O1771" s="17" t="s">
        <v>682</v>
      </c>
      <c r="P1771" s="7">
        <f t="shared" si="152"/>
        <v>9</v>
      </c>
      <c r="Q1771" s="7">
        <f t="shared" si="148"/>
        <v>2025</v>
      </c>
    </row>
    <row r="1772" spans="1:17" x14ac:dyDescent="0.25">
      <c r="A1772" s="7">
        <v>2545</v>
      </c>
      <c r="B1772" s="9" t="s">
        <v>636</v>
      </c>
      <c r="C1772" s="9" t="s">
        <v>636</v>
      </c>
      <c r="D1772" s="8">
        <v>45912</v>
      </c>
      <c r="E1772" s="7" t="s">
        <v>60</v>
      </c>
      <c r="F1772" s="7">
        <v>1</v>
      </c>
      <c r="G1772" s="7" t="s">
        <v>15</v>
      </c>
      <c r="J1772" s="7">
        <f t="shared" si="149"/>
        <v>1900</v>
      </c>
      <c r="K1772" s="7">
        <f t="shared" si="150"/>
        <v>1</v>
      </c>
      <c r="L1772" s="7">
        <f t="shared" si="151"/>
        <v>45912</v>
      </c>
      <c r="M1772" s="7" t="s">
        <v>638</v>
      </c>
      <c r="O1772" s="17" t="s">
        <v>682</v>
      </c>
      <c r="P1772" s="7">
        <f t="shared" si="152"/>
        <v>9</v>
      </c>
      <c r="Q1772" s="7">
        <f t="shared" si="148"/>
        <v>2025</v>
      </c>
    </row>
    <row r="1773" spans="1:17" x14ac:dyDescent="0.25">
      <c r="A1773" s="7">
        <v>2545</v>
      </c>
      <c r="B1773" s="9" t="s">
        <v>636</v>
      </c>
      <c r="C1773" s="9" t="s">
        <v>636</v>
      </c>
      <c r="D1773" s="8">
        <v>45912</v>
      </c>
      <c r="E1773" s="7" t="s">
        <v>60</v>
      </c>
      <c r="F1773" s="7">
        <v>1</v>
      </c>
      <c r="G1773" s="7" t="s">
        <v>15</v>
      </c>
      <c r="J1773" s="7">
        <f t="shared" si="149"/>
        <v>1900</v>
      </c>
      <c r="K1773" s="7">
        <f t="shared" si="150"/>
        <v>1</v>
      </c>
      <c r="L1773" s="7">
        <f t="shared" si="151"/>
        <v>45912</v>
      </c>
      <c r="M1773" s="7" t="s">
        <v>638</v>
      </c>
      <c r="O1773" s="17" t="s">
        <v>682</v>
      </c>
      <c r="P1773" s="7">
        <f t="shared" si="152"/>
        <v>9</v>
      </c>
      <c r="Q1773" s="7">
        <f t="shared" si="148"/>
        <v>2025</v>
      </c>
    </row>
    <row r="1774" spans="1:17" x14ac:dyDescent="0.25">
      <c r="A1774" s="7">
        <v>2545</v>
      </c>
      <c r="B1774" s="9" t="s">
        <v>636</v>
      </c>
      <c r="C1774" s="9" t="s">
        <v>636</v>
      </c>
      <c r="D1774" s="8">
        <v>45912</v>
      </c>
      <c r="E1774" s="7" t="s">
        <v>60</v>
      </c>
      <c r="F1774" s="7">
        <v>1</v>
      </c>
      <c r="G1774" s="7" t="s">
        <v>15</v>
      </c>
      <c r="J1774" s="7">
        <f t="shared" si="149"/>
        <v>1900</v>
      </c>
      <c r="K1774" s="7">
        <f t="shared" si="150"/>
        <v>1</v>
      </c>
      <c r="L1774" s="7">
        <f t="shared" si="151"/>
        <v>45912</v>
      </c>
      <c r="M1774" s="7" t="s">
        <v>638</v>
      </c>
      <c r="O1774" s="17" t="s">
        <v>682</v>
      </c>
      <c r="P1774" s="7">
        <f t="shared" si="152"/>
        <v>9</v>
      </c>
      <c r="Q1774" s="7">
        <f t="shared" si="148"/>
        <v>2025</v>
      </c>
    </row>
    <row r="1775" spans="1:17" x14ac:dyDescent="0.25">
      <c r="A1775" s="7">
        <v>2545</v>
      </c>
      <c r="B1775" s="9" t="s">
        <v>636</v>
      </c>
      <c r="C1775" s="9" t="s">
        <v>636</v>
      </c>
      <c r="D1775" s="8">
        <v>45912</v>
      </c>
      <c r="E1775" s="7" t="s">
        <v>60</v>
      </c>
      <c r="F1775" s="7">
        <v>1</v>
      </c>
      <c r="G1775" s="7" t="s">
        <v>15</v>
      </c>
      <c r="J1775" s="7">
        <f t="shared" si="149"/>
        <v>1900</v>
      </c>
      <c r="K1775" s="7">
        <f t="shared" si="150"/>
        <v>1</v>
      </c>
      <c r="L1775" s="7">
        <f t="shared" si="151"/>
        <v>45912</v>
      </c>
      <c r="M1775" s="7" t="s">
        <v>638</v>
      </c>
      <c r="O1775" s="17" t="s">
        <v>682</v>
      </c>
      <c r="P1775" s="7">
        <f t="shared" si="152"/>
        <v>9</v>
      </c>
      <c r="Q1775" s="7">
        <f t="shared" si="148"/>
        <v>2025</v>
      </c>
    </row>
    <row r="1776" spans="1:17" x14ac:dyDescent="0.25">
      <c r="A1776" s="7">
        <v>2545</v>
      </c>
      <c r="B1776" s="9" t="s">
        <v>636</v>
      </c>
      <c r="C1776" s="9" t="s">
        <v>636</v>
      </c>
      <c r="D1776" s="8">
        <v>45912</v>
      </c>
      <c r="E1776" s="7" t="s">
        <v>60</v>
      </c>
      <c r="F1776" s="7">
        <v>1</v>
      </c>
      <c r="G1776" s="7" t="s">
        <v>15</v>
      </c>
      <c r="J1776" s="7">
        <f t="shared" si="149"/>
        <v>1900</v>
      </c>
      <c r="K1776" s="7">
        <f t="shared" si="150"/>
        <v>1</v>
      </c>
      <c r="L1776" s="7">
        <f t="shared" si="151"/>
        <v>45912</v>
      </c>
      <c r="M1776" s="7" t="s">
        <v>638</v>
      </c>
      <c r="O1776" s="17" t="s">
        <v>682</v>
      </c>
      <c r="P1776" s="7">
        <f t="shared" si="152"/>
        <v>9</v>
      </c>
      <c r="Q1776" s="7">
        <f t="shared" si="148"/>
        <v>2025</v>
      </c>
    </row>
    <row r="1777" spans="1:17" x14ac:dyDescent="0.25">
      <c r="A1777" s="7">
        <v>2545</v>
      </c>
      <c r="B1777" s="9" t="s">
        <v>636</v>
      </c>
      <c r="C1777" s="9" t="s">
        <v>636</v>
      </c>
      <c r="D1777" s="8">
        <v>45912</v>
      </c>
      <c r="E1777" s="7" t="s">
        <v>60</v>
      </c>
      <c r="F1777" s="7">
        <v>1</v>
      </c>
      <c r="G1777" s="7" t="s">
        <v>15</v>
      </c>
      <c r="J1777" s="7">
        <f t="shared" si="149"/>
        <v>1900</v>
      </c>
      <c r="K1777" s="7">
        <f t="shared" si="150"/>
        <v>1</v>
      </c>
      <c r="L1777" s="7">
        <f t="shared" si="151"/>
        <v>45912</v>
      </c>
      <c r="M1777" s="7" t="s">
        <v>638</v>
      </c>
      <c r="O1777" s="17" t="s">
        <v>682</v>
      </c>
      <c r="P1777" s="7">
        <f t="shared" si="152"/>
        <v>9</v>
      </c>
      <c r="Q1777" s="7">
        <f t="shared" si="148"/>
        <v>2025</v>
      </c>
    </row>
    <row r="1778" spans="1:17" x14ac:dyDescent="0.25">
      <c r="A1778" s="7">
        <v>2545</v>
      </c>
      <c r="B1778" s="9" t="s">
        <v>636</v>
      </c>
      <c r="C1778" s="9" t="s">
        <v>636</v>
      </c>
      <c r="D1778" s="8">
        <v>45912</v>
      </c>
      <c r="E1778" s="7" t="s">
        <v>60</v>
      </c>
      <c r="F1778" s="7">
        <v>1</v>
      </c>
      <c r="G1778" s="7" t="s">
        <v>15</v>
      </c>
      <c r="J1778" s="7">
        <f t="shared" si="149"/>
        <v>1900</v>
      </c>
      <c r="K1778" s="7">
        <f t="shared" si="150"/>
        <v>1</v>
      </c>
      <c r="L1778" s="7">
        <f t="shared" si="151"/>
        <v>45912</v>
      </c>
      <c r="M1778" s="7" t="s">
        <v>638</v>
      </c>
      <c r="O1778" s="17" t="s">
        <v>682</v>
      </c>
      <c r="P1778" s="7">
        <f t="shared" si="152"/>
        <v>9</v>
      </c>
      <c r="Q1778" s="7">
        <f t="shared" si="148"/>
        <v>2025</v>
      </c>
    </row>
    <row r="1779" spans="1:17" x14ac:dyDescent="0.25">
      <c r="A1779" s="7">
        <v>2545</v>
      </c>
      <c r="B1779" s="9" t="s">
        <v>636</v>
      </c>
      <c r="C1779" s="9" t="s">
        <v>636</v>
      </c>
      <c r="D1779" s="8">
        <v>45912</v>
      </c>
      <c r="E1779" s="7" t="s">
        <v>60</v>
      </c>
      <c r="F1779" s="7">
        <v>1</v>
      </c>
      <c r="G1779" s="7" t="s">
        <v>15</v>
      </c>
      <c r="J1779" s="7">
        <f t="shared" si="149"/>
        <v>1900</v>
      </c>
      <c r="K1779" s="7">
        <f t="shared" si="150"/>
        <v>1</v>
      </c>
      <c r="L1779" s="7">
        <f t="shared" si="151"/>
        <v>45912</v>
      </c>
      <c r="M1779" s="7" t="s">
        <v>638</v>
      </c>
      <c r="O1779" s="17" t="s">
        <v>682</v>
      </c>
      <c r="P1779" s="7">
        <f t="shared" si="152"/>
        <v>9</v>
      </c>
      <c r="Q1779" s="7">
        <f t="shared" si="148"/>
        <v>2025</v>
      </c>
    </row>
    <row r="1780" spans="1:17" x14ac:dyDescent="0.25">
      <c r="A1780" s="7">
        <v>2545</v>
      </c>
      <c r="B1780" s="9" t="s">
        <v>636</v>
      </c>
      <c r="C1780" s="9" t="s">
        <v>636</v>
      </c>
      <c r="D1780" s="8">
        <v>45912</v>
      </c>
      <c r="E1780" s="7" t="s">
        <v>60</v>
      </c>
      <c r="F1780" s="7">
        <v>1</v>
      </c>
      <c r="G1780" s="7" t="s">
        <v>15</v>
      </c>
      <c r="J1780" s="7">
        <f t="shared" si="149"/>
        <v>1900</v>
      </c>
      <c r="K1780" s="7">
        <f t="shared" si="150"/>
        <v>1</v>
      </c>
      <c r="L1780" s="7">
        <f t="shared" si="151"/>
        <v>45912</v>
      </c>
      <c r="M1780" s="7" t="s">
        <v>638</v>
      </c>
      <c r="O1780" s="17" t="s">
        <v>682</v>
      </c>
      <c r="P1780" s="7">
        <f t="shared" si="152"/>
        <v>9</v>
      </c>
      <c r="Q1780" s="7">
        <f t="shared" si="148"/>
        <v>2025</v>
      </c>
    </row>
    <row r="1781" spans="1:17" x14ac:dyDescent="0.25">
      <c r="A1781" s="7">
        <v>2545</v>
      </c>
      <c r="B1781" s="9" t="s">
        <v>636</v>
      </c>
      <c r="C1781" s="9" t="s">
        <v>636</v>
      </c>
      <c r="D1781" s="8">
        <v>45912</v>
      </c>
      <c r="E1781" s="7" t="s">
        <v>60</v>
      </c>
      <c r="F1781" s="7">
        <v>1</v>
      </c>
      <c r="G1781" s="7" t="s">
        <v>15</v>
      </c>
      <c r="J1781" s="7">
        <f t="shared" si="149"/>
        <v>1900</v>
      </c>
      <c r="K1781" s="7">
        <f t="shared" si="150"/>
        <v>1</v>
      </c>
      <c r="L1781" s="7">
        <f t="shared" si="151"/>
        <v>45912</v>
      </c>
      <c r="M1781" s="7" t="s">
        <v>638</v>
      </c>
      <c r="O1781" s="17" t="s">
        <v>682</v>
      </c>
      <c r="P1781" s="7">
        <f t="shared" si="152"/>
        <v>9</v>
      </c>
      <c r="Q1781" s="7">
        <f t="shared" ref="Q1781:Q1844" si="153">YEAR(D1781)</f>
        <v>2025</v>
      </c>
    </row>
    <row r="1782" spans="1:17" x14ac:dyDescent="0.25">
      <c r="A1782" s="7">
        <v>2545</v>
      </c>
      <c r="B1782" s="9" t="s">
        <v>636</v>
      </c>
      <c r="C1782" s="9" t="s">
        <v>636</v>
      </c>
      <c r="D1782" s="8">
        <v>45912</v>
      </c>
      <c r="E1782" s="7" t="s">
        <v>60</v>
      </c>
      <c r="F1782" s="7">
        <v>1</v>
      </c>
      <c r="G1782" s="7" t="s">
        <v>15</v>
      </c>
      <c r="J1782" s="7">
        <f t="shared" si="149"/>
        <v>1900</v>
      </c>
      <c r="K1782" s="7">
        <f t="shared" si="150"/>
        <v>1</v>
      </c>
      <c r="L1782" s="7">
        <f t="shared" si="151"/>
        <v>45912</v>
      </c>
      <c r="M1782" s="7" t="s">
        <v>638</v>
      </c>
      <c r="O1782" s="17" t="s">
        <v>682</v>
      </c>
      <c r="P1782" s="7">
        <f t="shared" si="152"/>
        <v>9</v>
      </c>
      <c r="Q1782" s="7">
        <f t="shared" si="153"/>
        <v>2025</v>
      </c>
    </row>
    <row r="1783" spans="1:17" x14ac:dyDescent="0.25">
      <c r="A1783" s="7">
        <v>2545</v>
      </c>
      <c r="B1783" s="9" t="s">
        <v>636</v>
      </c>
      <c r="C1783" s="9" t="s">
        <v>636</v>
      </c>
      <c r="D1783" s="8">
        <v>45912</v>
      </c>
      <c r="E1783" s="7" t="s">
        <v>60</v>
      </c>
      <c r="F1783" s="7">
        <v>1</v>
      </c>
      <c r="G1783" s="7" t="s">
        <v>15</v>
      </c>
      <c r="J1783" s="7">
        <f t="shared" si="149"/>
        <v>1900</v>
      </c>
      <c r="K1783" s="7">
        <f t="shared" si="150"/>
        <v>1</v>
      </c>
      <c r="L1783" s="7">
        <f t="shared" si="151"/>
        <v>45912</v>
      </c>
      <c r="M1783" s="7" t="s">
        <v>638</v>
      </c>
      <c r="O1783" s="17" t="s">
        <v>682</v>
      </c>
      <c r="P1783" s="7">
        <f t="shared" si="152"/>
        <v>9</v>
      </c>
      <c r="Q1783" s="7">
        <f t="shared" si="153"/>
        <v>2025</v>
      </c>
    </row>
    <row r="1784" spans="1:17" x14ac:dyDescent="0.25">
      <c r="A1784" s="7">
        <v>2545</v>
      </c>
      <c r="B1784" s="9" t="s">
        <v>636</v>
      </c>
      <c r="C1784" s="9" t="s">
        <v>636</v>
      </c>
      <c r="D1784" s="8">
        <v>45912</v>
      </c>
      <c r="E1784" s="7" t="s">
        <v>60</v>
      </c>
      <c r="F1784" s="7">
        <v>1</v>
      </c>
      <c r="G1784" s="7" t="s">
        <v>15</v>
      </c>
      <c r="J1784" s="7">
        <f t="shared" si="149"/>
        <v>1900</v>
      </c>
      <c r="K1784" s="7">
        <f t="shared" si="150"/>
        <v>1</v>
      </c>
      <c r="L1784" s="7">
        <f t="shared" si="151"/>
        <v>45912</v>
      </c>
      <c r="M1784" s="7" t="s">
        <v>638</v>
      </c>
      <c r="O1784" s="17" t="s">
        <v>682</v>
      </c>
      <c r="P1784" s="7">
        <f t="shared" si="152"/>
        <v>9</v>
      </c>
      <c r="Q1784" s="7">
        <f t="shared" si="153"/>
        <v>2025</v>
      </c>
    </row>
    <row r="1785" spans="1:17" x14ac:dyDescent="0.25">
      <c r="A1785" s="7">
        <v>2545</v>
      </c>
      <c r="B1785" s="9" t="s">
        <v>636</v>
      </c>
      <c r="C1785" s="9" t="s">
        <v>636</v>
      </c>
      <c r="D1785" s="8">
        <v>45912</v>
      </c>
      <c r="E1785" s="7" t="s">
        <v>60</v>
      </c>
      <c r="F1785" s="7">
        <v>1</v>
      </c>
      <c r="G1785" s="7" t="s">
        <v>15</v>
      </c>
      <c r="J1785" s="7">
        <f t="shared" si="149"/>
        <v>1900</v>
      </c>
      <c r="K1785" s="7">
        <f t="shared" si="150"/>
        <v>1</v>
      </c>
      <c r="L1785" s="7">
        <f t="shared" si="151"/>
        <v>45912</v>
      </c>
      <c r="M1785" s="7" t="s">
        <v>638</v>
      </c>
      <c r="O1785" s="17" t="s">
        <v>682</v>
      </c>
      <c r="P1785" s="7">
        <f t="shared" si="152"/>
        <v>9</v>
      </c>
      <c r="Q1785" s="7">
        <f t="shared" si="153"/>
        <v>2025</v>
      </c>
    </row>
    <row r="1786" spans="1:17" x14ac:dyDescent="0.25">
      <c r="A1786" s="7">
        <v>2545</v>
      </c>
      <c r="B1786" s="9" t="s">
        <v>636</v>
      </c>
      <c r="C1786" s="9" t="s">
        <v>636</v>
      </c>
      <c r="D1786" s="8">
        <v>45912</v>
      </c>
      <c r="E1786" s="7" t="s">
        <v>60</v>
      </c>
      <c r="F1786" s="7">
        <v>1</v>
      </c>
      <c r="G1786" s="7" t="s">
        <v>15</v>
      </c>
      <c r="J1786" s="7">
        <f t="shared" si="149"/>
        <v>1900</v>
      </c>
      <c r="K1786" s="7">
        <f t="shared" si="150"/>
        <v>1</v>
      </c>
      <c r="L1786" s="7">
        <f t="shared" si="151"/>
        <v>45912</v>
      </c>
      <c r="M1786" s="7" t="s">
        <v>638</v>
      </c>
      <c r="O1786" s="17" t="s">
        <v>682</v>
      </c>
      <c r="P1786" s="7">
        <f t="shared" si="152"/>
        <v>9</v>
      </c>
      <c r="Q1786" s="7">
        <f t="shared" si="153"/>
        <v>2025</v>
      </c>
    </row>
    <row r="1787" spans="1:17" x14ac:dyDescent="0.25">
      <c r="A1787" s="7">
        <v>2545</v>
      </c>
      <c r="B1787" s="9" t="s">
        <v>636</v>
      </c>
      <c r="C1787" s="9" t="s">
        <v>636</v>
      </c>
      <c r="D1787" s="8">
        <v>45912</v>
      </c>
      <c r="E1787" s="7" t="s">
        <v>60</v>
      </c>
      <c r="F1787" s="7">
        <v>1</v>
      </c>
      <c r="G1787" s="7" t="s">
        <v>15</v>
      </c>
      <c r="J1787" s="7">
        <f t="shared" si="149"/>
        <v>1900</v>
      </c>
      <c r="K1787" s="7">
        <f t="shared" si="150"/>
        <v>1</v>
      </c>
      <c r="L1787" s="7">
        <f t="shared" si="151"/>
        <v>45912</v>
      </c>
      <c r="M1787" s="7" t="s">
        <v>638</v>
      </c>
      <c r="O1787" s="17" t="s">
        <v>682</v>
      </c>
      <c r="P1787" s="7">
        <f t="shared" si="152"/>
        <v>9</v>
      </c>
      <c r="Q1787" s="7">
        <f t="shared" si="153"/>
        <v>2025</v>
      </c>
    </row>
    <row r="1788" spans="1:17" x14ac:dyDescent="0.25">
      <c r="A1788" s="7">
        <v>2545</v>
      </c>
      <c r="B1788" s="9" t="s">
        <v>636</v>
      </c>
      <c r="C1788" s="9" t="s">
        <v>636</v>
      </c>
      <c r="D1788" s="8">
        <v>45912</v>
      </c>
      <c r="E1788" s="7" t="s">
        <v>60</v>
      </c>
      <c r="F1788" s="7">
        <v>1</v>
      </c>
      <c r="G1788" s="7" t="s">
        <v>15</v>
      </c>
      <c r="J1788" s="7">
        <f t="shared" si="149"/>
        <v>1900</v>
      </c>
      <c r="K1788" s="7">
        <f t="shared" si="150"/>
        <v>1</v>
      </c>
      <c r="L1788" s="7">
        <f t="shared" si="151"/>
        <v>45912</v>
      </c>
      <c r="M1788" s="7" t="s">
        <v>638</v>
      </c>
      <c r="O1788" s="17" t="s">
        <v>682</v>
      </c>
      <c r="P1788" s="7">
        <f t="shared" si="152"/>
        <v>9</v>
      </c>
      <c r="Q1788" s="7">
        <f t="shared" si="153"/>
        <v>2025</v>
      </c>
    </row>
    <row r="1789" spans="1:17" x14ac:dyDescent="0.25">
      <c r="A1789" s="7">
        <v>2545</v>
      </c>
      <c r="B1789" s="9" t="s">
        <v>636</v>
      </c>
      <c r="C1789" s="9" t="s">
        <v>636</v>
      </c>
      <c r="D1789" s="8">
        <v>45912</v>
      </c>
      <c r="E1789" s="7" t="s">
        <v>60</v>
      </c>
      <c r="F1789" s="7">
        <v>1</v>
      </c>
      <c r="G1789" s="7" t="s">
        <v>15</v>
      </c>
      <c r="J1789" s="7">
        <f t="shared" si="149"/>
        <v>1900</v>
      </c>
      <c r="K1789" s="7">
        <f t="shared" si="150"/>
        <v>1</v>
      </c>
      <c r="L1789" s="7">
        <f t="shared" si="151"/>
        <v>45912</v>
      </c>
      <c r="M1789" s="7" t="s">
        <v>638</v>
      </c>
      <c r="O1789" s="17" t="s">
        <v>682</v>
      </c>
      <c r="P1789" s="7">
        <f t="shared" si="152"/>
        <v>9</v>
      </c>
      <c r="Q1789" s="7">
        <f t="shared" si="153"/>
        <v>2025</v>
      </c>
    </row>
    <row r="1790" spans="1:17" x14ac:dyDescent="0.25">
      <c r="A1790" s="7">
        <v>2545</v>
      </c>
      <c r="B1790" s="9" t="s">
        <v>636</v>
      </c>
      <c r="C1790" s="9" t="s">
        <v>636</v>
      </c>
      <c r="D1790" s="8">
        <v>45912</v>
      </c>
      <c r="E1790" s="7" t="s">
        <v>60</v>
      </c>
      <c r="F1790" s="7">
        <v>1</v>
      </c>
      <c r="G1790" s="7" t="s">
        <v>15</v>
      </c>
      <c r="J1790" s="7">
        <f t="shared" si="149"/>
        <v>1900</v>
      </c>
      <c r="K1790" s="7">
        <f t="shared" si="150"/>
        <v>1</v>
      </c>
      <c r="L1790" s="7">
        <f t="shared" si="151"/>
        <v>45912</v>
      </c>
      <c r="M1790" s="7" t="s">
        <v>638</v>
      </c>
      <c r="O1790" s="17" t="s">
        <v>682</v>
      </c>
      <c r="P1790" s="7">
        <f t="shared" si="152"/>
        <v>9</v>
      </c>
      <c r="Q1790" s="7">
        <f t="shared" si="153"/>
        <v>2025</v>
      </c>
    </row>
    <row r="1791" spans="1:17" x14ac:dyDescent="0.25">
      <c r="A1791" s="7">
        <v>2545</v>
      </c>
      <c r="B1791" s="9" t="s">
        <v>636</v>
      </c>
      <c r="C1791" s="9" t="s">
        <v>636</v>
      </c>
      <c r="D1791" s="8">
        <v>45912</v>
      </c>
      <c r="E1791" s="7" t="s">
        <v>60</v>
      </c>
      <c r="F1791" s="7">
        <v>1</v>
      </c>
      <c r="G1791" s="7" t="s">
        <v>15</v>
      </c>
      <c r="J1791" s="7">
        <f t="shared" si="149"/>
        <v>1900</v>
      </c>
      <c r="K1791" s="7">
        <f t="shared" si="150"/>
        <v>1</v>
      </c>
      <c r="L1791" s="7">
        <f t="shared" si="151"/>
        <v>45912</v>
      </c>
      <c r="M1791" s="7" t="s">
        <v>638</v>
      </c>
      <c r="O1791" s="17" t="s">
        <v>682</v>
      </c>
      <c r="P1791" s="7">
        <f t="shared" si="152"/>
        <v>9</v>
      </c>
      <c r="Q1791" s="7">
        <f t="shared" si="153"/>
        <v>2025</v>
      </c>
    </row>
    <row r="1792" spans="1:17" x14ac:dyDescent="0.25">
      <c r="A1792" s="7">
        <v>2545</v>
      </c>
      <c r="B1792" s="9" t="s">
        <v>636</v>
      </c>
      <c r="C1792" s="9" t="s">
        <v>636</v>
      </c>
      <c r="D1792" s="8">
        <v>45912</v>
      </c>
      <c r="E1792" s="7" t="s">
        <v>60</v>
      </c>
      <c r="F1792" s="7">
        <v>1</v>
      </c>
      <c r="G1792" s="7" t="s">
        <v>15</v>
      </c>
      <c r="J1792" s="7">
        <f t="shared" si="149"/>
        <v>1900</v>
      </c>
      <c r="K1792" s="7">
        <f t="shared" si="150"/>
        <v>1</v>
      </c>
      <c r="L1792" s="7">
        <f t="shared" si="151"/>
        <v>45912</v>
      </c>
      <c r="M1792" s="7" t="s">
        <v>638</v>
      </c>
      <c r="O1792" s="17" t="s">
        <v>682</v>
      </c>
      <c r="P1792" s="7">
        <f t="shared" si="152"/>
        <v>9</v>
      </c>
      <c r="Q1792" s="7">
        <f t="shared" si="153"/>
        <v>2025</v>
      </c>
    </row>
    <row r="1793" spans="1:17" x14ac:dyDescent="0.25">
      <c r="A1793" s="7">
        <v>2545</v>
      </c>
      <c r="B1793" s="9" t="s">
        <v>636</v>
      </c>
      <c r="C1793" s="9" t="s">
        <v>636</v>
      </c>
      <c r="D1793" s="8">
        <v>45912</v>
      </c>
      <c r="E1793" s="7" t="s">
        <v>60</v>
      </c>
      <c r="F1793" s="7">
        <v>1</v>
      </c>
      <c r="G1793" s="7" t="s">
        <v>15</v>
      </c>
      <c r="J1793" s="7">
        <f t="shared" si="149"/>
        <v>1900</v>
      </c>
      <c r="K1793" s="7">
        <f t="shared" si="150"/>
        <v>1</v>
      </c>
      <c r="L1793" s="7">
        <f t="shared" si="151"/>
        <v>45912</v>
      </c>
      <c r="M1793" s="7" t="s">
        <v>638</v>
      </c>
      <c r="O1793" s="17" t="s">
        <v>682</v>
      </c>
      <c r="P1793" s="7">
        <f t="shared" si="152"/>
        <v>9</v>
      </c>
      <c r="Q1793" s="7">
        <f t="shared" si="153"/>
        <v>2025</v>
      </c>
    </row>
    <row r="1794" spans="1:17" x14ac:dyDescent="0.25">
      <c r="A1794" s="7">
        <v>2545</v>
      </c>
      <c r="B1794" s="9" t="s">
        <v>636</v>
      </c>
      <c r="C1794" s="9" t="s">
        <v>636</v>
      </c>
      <c r="D1794" s="8">
        <v>45912</v>
      </c>
      <c r="E1794" s="7" t="s">
        <v>60</v>
      </c>
      <c r="F1794" s="7">
        <v>1</v>
      </c>
      <c r="G1794" s="7" t="s">
        <v>15</v>
      </c>
      <c r="J1794" s="7">
        <f t="shared" si="149"/>
        <v>1900</v>
      </c>
      <c r="K1794" s="7">
        <f t="shared" si="150"/>
        <v>1</v>
      </c>
      <c r="L1794" s="7">
        <f t="shared" si="151"/>
        <v>45912</v>
      </c>
      <c r="M1794" s="7" t="s">
        <v>638</v>
      </c>
      <c r="O1794" s="17" t="s">
        <v>682</v>
      </c>
      <c r="P1794" s="7">
        <f t="shared" si="152"/>
        <v>9</v>
      </c>
      <c r="Q1794" s="7">
        <f t="shared" si="153"/>
        <v>2025</v>
      </c>
    </row>
    <row r="1795" spans="1:17" x14ac:dyDescent="0.25">
      <c r="A1795" s="7">
        <v>2545</v>
      </c>
      <c r="B1795" s="9" t="s">
        <v>636</v>
      </c>
      <c r="C1795" s="9" t="s">
        <v>636</v>
      </c>
      <c r="D1795" s="8">
        <v>45912</v>
      </c>
      <c r="E1795" s="7" t="s">
        <v>60</v>
      </c>
      <c r="F1795" s="7">
        <v>1</v>
      </c>
      <c r="G1795" s="7" t="s">
        <v>15</v>
      </c>
      <c r="J1795" s="7">
        <f t="shared" si="149"/>
        <v>1900</v>
      </c>
      <c r="K1795" s="7">
        <f t="shared" si="150"/>
        <v>1</v>
      </c>
      <c r="L1795" s="7">
        <f t="shared" si="151"/>
        <v>45912</v>
      </c>
      <c r="M1795" s="7" t="s">
        <v>638</v>
      </c>
      <c r="O1795" s="17" t="s">
        <v>682</v>
      </c>
      <c r="P1795" s="7">
        <f t="shared" si="152"/>
        <v>9</v>
      </c>
      <c r="Q1795" s="7">
        <f t="shared" si="153"/>
        <v>2025</v>
      </c>
    </row>
    <row r="1796" spans="1:17" x14ac:dyDescent="0.25">
      <c r="A1796" s="7">
        <v>2545</v>
      </c>
      <c r="B1796" s="9" t="s">
        <v>636</v>
      </c>
      <c r="C1796" s="9" t="s">
        <v>636</v>
      </c>
      <c r="D1796" s="8">
        <v>45912</v>
      </c>
      <c r="E1796" s="7" t="s">
        <v>60</v>
      </c>
      <c r="F1796" s="7">
        <v>1</v>
      </c>
      <c r="G1796" s="7" t="s">
        <v>15</v>
      </c>
      <c r="J1796" s="7">
        <f t="shared" si="149"/>
        <v>1900</v>
      </c>
      <c r="K1796" s="7">
        <f t="shared" si="150"/>
        <v>1</v>
      </c>
      <c r="L1796" s="7">
        <f t="shared" si="151"/>
        <v>45912</v>
      </c>
      <c r="M1796" s="7" t="s">
        <v>638</v>
      </c>
      <c r="O1796" s="17" t="s">
        <v>682</v>
      </c>
      <c r="P1796" s="7">
        <f t="shared" si="152"/>
        <v>9</v>
      </c>
      <c r="Q1796" s="7">
        <f t="shared" si="153"/>
        <v>2025</v>
      </c>
    </row>
    <row r="1797" spans="1:17" x14ac:dyDescent="0.25">
      <c r="A1797" s="7">
        <v>2545</v>
      </c>
      <c r="B1797" s="9" t="s">
        <v>636</v>
      </c>
      <c r="C1797" s="9" t="s">
        <v>636</v>
      </c>
      <c r="D1797" s="8">
        <v>45912</v>
      </c>
      <c r="E1797" s="7" t="s">
        <v>60</v>
      </c>
      <c r="F1797" s="7">
        <v>1</v>
      </c>
      <c r="G1797" s="7" t="s">
        <v>15</v>
      </c>
      <c r="J1797" s="7">
        <f t="shared" si="149"/>
        <v>1900</v>
      </c>
      <c r="K1797" s="7">
        <f t="shared" si="150"/>
        <v>1</v>
      </c>
      <c r="L1797" s="7">
        <f t="shared" si="151"/>
        <v>45912</v>
      </c>
      <c r="M1797" s="7" t="s">
        <v>638</v>
      </c>
      <c r="O1797" s="17" t="s">
        <v>682</v>
      </c>
      <c r="P1797" s="7">
        <f t="shared" si="152"/>
        <v>9</v>
      </c>
      <c r="Q1797" s="7">
        <f t="shared" si="153"/>
        <v>2025</v>
      </c>
    </row>
    <row r="1798" spans="1:17" x14ac:dyDescent="0.25">
      <c r="A1798" s="7">
        <v>2545</v>
      </c>
      <c r="B1798" s="9" t="s">
        <v>636</v>
      </c>
      <c r="C1798" s="9" t="s">
        <v>636</v>
      </c>
      <c r="D1798" s="8">
        <v>45912</v>
      </c>
      <c r="E1798" s="7" t="s">
        <v>60</v>
      </c>
      <c r="F1798" s="7">
        <v>1</v>
      </c>
      <c r="G1798" s="7" t="s">
        <v>15</v>
      </c>
      <c r="J1798" s="7">
        <f t="shared" si="149"/>
        <v>1900</v>
      </c>
      <c r="K1798" s="7">
        <f t="shared" si="150"/>
        <v>1</v>
      </c>
      <c r="L1798" s="7">
        <f t="shared" si="151"/>
        <v>45912</v>
      </c>
      <c r="M1798" s="7" t="s">
        <v>638</v>
      </c>
      <c r="O1798" s="17" t="s">
        <v>682</v>
      </c>
      <c r="P1798" s="7">
        <f t="shared" si="152"/>
        <v>9</v>
      </c>
      <c r="Q1798" s="7">
        <f t="shared" si="153"/>
        <v>2025</v>
      </c>
    </row>
    <row r="1799" spans="1:17" x14ac:dyDescent="0.25">
      <c r="A1799" s="7">
        <v>2545</v>
      </c>
      <c r="B1799" s="9" t="s">
        <v>636</v>
      </c>
      <c r="C1799" s="9" t="s">
        <v>636</v>
      </c>
      <c r="D1799" s="8">
        <v>45912</v>
      </c>
      <c r="E1799" s="7" t="s">
        <v>60</v>
      </c>
      <c r="F1799" s="7">
        <v>1</v>
      </c>
      <c r="G1799" s="7" t="s">
        <v>15</v>
      </c>
      <c r="J1799" s="7">
        <f t="shared" si="149"/>
        <v>1900</v>
      </c>
      <c r="K1799" s="7">
        <f t="shared" si="150"/>
        <v>1</v>
      </c>
      <c r="L1799" s="7">
        <f t="shared" si="151"/>
        <v>45912</v>
      </c>
      <c r="M1799" s="7" t="s">
        <v>638</v>
      </c>
      <c r="O1799" s="17" t="s">
        <v>682</v>
      </c>
      <c r="P1799" s="7">
        <f t="shared" si="152"/>
        <v>9</v>
      </c>
      <c r="Q1799" s="7">
        <f t="shared" si="153"/>
        <v>2025</v>
      </c>
    </row>
    <row r="1800" spans="1:17" x14ac:dyDescent="0.25">
      <c r="A1800" s="7">
        <v>2545</v>
      </c>
      <c r="B1800" s="9" t="s">
        <v>636</v>
      </c>
      <c r="C1800" s="9" t="s">
        <v>636</v>
      </c>
      <c r="D1800" s="8">
        <v>45912</v>
      </c>
      <c r="E1800" s="7" t="s">
        <v>60</v>
      </c>
      <c r="F1800" s="7">
        <v>1</v>
      </c>
      <c r="G1800" s="7" t="s">
        <v>15</v>
      </c>
      <c r="J1800" s="7">
        <f t="shared" si="149"/>
        <v>1900</v>
      </c>
      <c r="K1800" s="7">
        <f t="shared" si="150"/>
        <v>1</v>
      </c>
      <c r="L1800" s="7">
        <f t="shared" si="151"/>
        <v>45912</v>
      </c>
      <c r="M1800" s="7" t="s">
        <v>638</v>
      </c>
      <c r="O1800" s="17" t="s">
        <v>682</v>
      </c>
      <c r="P1800" s="7">
        <f t="shared" si="152"/>
        <v>9</v>
      </c>
      <c r="Q1800" s="7">
        <f t="shared" si="153"/>
        <v>2025</v>
      </c>
    </row>
    <row r="1801" spans="1:17" x14ac:dyDescent="0.25">
      <c r="A1801" s="7">
        <v>2545</v>
      </c>
      <c r="B1801" s="9" t="s">
        <v>636</v>
      </c>
      <c r="C1801" s="9" t="s">
        <v>636</v>
      </c>
      <c r="D1801" s="8">
        <v>45912</v>
      </c>
      <c r="E1801" s="7" t="s">
        <v>60</v>
      </c>
      <c r="F1801" s="7">
        <v>1</v>
      </c>
      <c r="G1801" s="7" t="s">
        <v>15</v>
      </c>
      <c r="J1801" s="7">
        <f t="shared" si="149"/>
        <v>1900</v>
      </c>
      <c r="K1801" s="7">
        <f t="shared" si="150"/>
        <v>1</v>
      </c>
      <c r="L1801" s="7">
        <f t="shared" si="151"/>
        <v>45912</v>
      </c>
      <c r="M1801" s="7" t="s">
        <v>638</v>
      </c>
      <c r="O1801" s="17" t="s">
        <v>682</v>
      </c>
      <c r="P1801" s="7">
        <f t="shared" si="152"/>
        <v>9</v>
      </c>
      <c r="Q1801" s="7">
        <f t="shared" si="153"/>
        <v>2025</v>
      </c>
    </row>
    <row r="1802" spans="1:17" x14ac:dyDescent="0.25">
      <c r="A1802" s="7">
        <v>2545</v>
      </c>
      <c r="B1802" s="9" t="s">
        <v>636</v>
      </c>
      <c r="C1802" s="9" t="s">
        <v>636</v>
      </c>
      <c r="D1802" s="8">
        <v>45912</v>
      </c>
      <c r="E1802" s="7" t="s">
        <v>60</v>
      </c>
      <c r="F1802" s="7">
        <v>1</v>
      </c>
      <c r="G1802" s="7" t="s">
        <v>15</v>
      </c>
      <c r="J1802" s="7">
        <f t="shared" si="149"/>
        <v>1900</v>
      </c>
      <c r="K1802" s="7">
        <f t="shared" si="150"/>
        <v>1</v>
      </c>
      <c r="L1802" s="7">
        <f t="shared" si="151"/>
        <v>45912</v>
      </c>
      <c r="M1802" s="7" t="s">
        <v>638</v>
      </c>
      <c r="O1802" s="17" t="s">
        <v>682</v>
      </c>
      <c r="P1802" s="7">
        <f t="shared" si="152"/>
        <v>9</v>
      </c>
      <c r="Q1802" s="7">
        <f t="shared" si="153"/>
        <v>2025</v>
      </c>
    </row>
    <row r="1803" spans="1:17" x14ac:dyDescent="0.25">
      <c r="A1803" s="7">
        <v>2545</v>
      </c>
      <c r="B1803" s="9" t="s">
        <v>636</v>
      </c>
      <c r="C1803" s="9" t="s">
        <v>636</v>
      </c>
      <c r="D1803" s="8">
        <v>45912</v>
      </c>
      <c r="E1803" s="7" t="s">
        <v>60</v>
      </c>
      <c r="F1803" s="7">
        <v>1</v>
      </c>
      <c r="G1803" s="7" t="s">
        <v>15</v>
      </c>
      <c r="J1803" s="7">
        <f t="shared" si="149"/>
        <v>1900</v>
      </c>
      <c r="K1803" s="7">
        <f t="shared" si="150"/>
        <v>1</v>
      </c>
      <c r="L1803" s="7">
        <f t="shared" si="151"/>
        <v>45912</v>
      </c>
      <c r="M1803" s="7" t="s">
        <v>638</v>
      </c>
      <c r="O1803" s="17" t="s">
        <v>682</v>
      </c>
      <c r="P1803" s="7">
        <f t="shared" si="152"/>
        <v>9</v>
      </c>
      <c r="Q1803" s="7">
        <f t="shared" si="153"/>
        <v>2025</v>
      </c>
    </row>
    <row r="1804" spans="1:17" x14ac:dyDescent="0.25">
      <c r="A1804" s="7">
        <v>2545</v>
      </c>
      <c r="B1804" s="9" t="s">
        <v>636</v>
      </c>
      <c r="C1804" s="9" t="s">
        <v>636</v>
      </c>
      <c r="D1804" s="8">
        <v>45912</v>
      </c>
      <c r="E1804" s="7" t="s">
        <v>60</v>
      </c>
      <c r="F1804" s="7">
        <v>1</v>
      </c>
      <c r="G1804" s="7" t="s">
        <v>15</v>
      </c>
      <c r="J1804" s="7">
        <f t="shared" si="149"/>
        <v>1900</v>
      </c>
      <c r="K1804" s="7">
        <f t="shared" si="150"/>
        <v>1</v>
      </c>
      <c r="L1804" s="7">
        <f t="shared" si="151"/>
        <v>45912</v>
      </c>
      <c r="M1804" s="7" t="s">
        <v>638</v>
      </c>
      <c r="O1804" s="17" t="s">
        <v>682</v>
      </c>
      <c r="P1804" s="7">
        <f t="shared" si="152"/>
        <v>9</v>
      </c>
      <c r="Q1804" s="7">
        <f t="shared" si="153"/>
        <v>2025</v>
      </c>
    </row>
    <row r="1805" spans="1:17" x14ac:dyDescent="0.25">
      <c r="A1805" s="7">
        <v>2545</v>
      </c>
      <c r="B1805" s="9" t="s">
        <v>636</v>
      </c>
      <c r="C1805" s="9" t="s">
        <v>636</v>
      </c>
      <c r="D1805" s="8">
        <v>45912</v>
      </c>
      <c r="E1805" s="7" t="s">
        <v>60</v>
      </c>
      <c r="F1805" s="7">
        <v>1</v>
      </c>
      <c r="G1805" s="7" t="s">
        <v>15</v>
      </c>
      <c r="J1805" s="7">
        <f t="shared" si="149"/>
        <v>1900</v>
      </c>
      <c r="K1805" s="7">
        <f t="shared" si="150"/>
        <v>1</v>
      </c>
      <c r="L1805" s="7">
        <f t="shared" si="151"/>
        <v>45912</v>
      </c>
      <c r="M1805" s="7" t="s">
        <v>638</v>
      </c>
      <c r="O1805" s="17" t="s">
        <v>682</v>
      </c>
      <c r="P1805" s="7">
        <f t="shared" si="152"/>
        <v>9</v>
      </c>
      <c r="Q1805" s="7">
        <f t="shared" si="153"/>
        <v>2025</v>
      </c>
    </row>
    <row r="1806" spans="1:17" x14ac:dyDescent="0.25">
      <c r="A1806" s="7">
        <v>2545</v>
      </c>
      <c r="B1806" s="9" t="s">
        <v>636</v>
      </c>
      <c r="C1806" s="9" t="s">
        <v>636</v>
      </c>
      <c r="D1806" s="8">
        <v>45912</v>
      </c>
      <c r="E1806" s="7" t="s">
        <v>60</v>
      </c>
      <c r="F1806" s="7">
        <v>1</v>
      </c>
      <c r="G1806" s="7" t="s">
        <v>15</v>
      </c>
      <c r="J1806" s="7">
        <f t="shared" ref="J1806:J1869" si="154">YEAR(I1806)</f>
        <v>1900</v>
      </c>
      <c r="K1806" s="7">
        <f t="shared" ref="K1806:K1869" si="155">MONTH(I1806)</f>
        <v>1</v>
      </c>
      <c r="L1806" s="7">
        <f t="shared" ref="L1806:L1869" si="156">D1806-I1806</f>
        <v>45912</v>
      </c>
      <c r="M1806" s="7" t="s">
        <v>638</v>
      </c>
      <c r="O1806" s="17" t="s">
        <v>682</v>
      </c>
      <c r="P1806" s="7">
        <f t="shared" si="152"/>
        <v>9</v>
      </c>
      <c r="Q1806" s="7">
        <f t="shared" si="153"/>
        <v>2025</v>
      </c>
    </row>
    <row r="1807" spans="1:17" x14ac:dyDescent="0.25">
      <c r="A1807" s="7">
        <v>2545</v>
      </c>
      <c r="B1807" s="9" t="s">
        <v>636</v>
      </c>
      <c r="C1807" s="9" t="s">
        <v>636</v>
      </c>
      <c r="D1807" s="8">
        <v>45912</v>
      </c>
      <c r="E1807" s="7" t="s">
        <v>60</v>
      </c>
      <c r="F1807" s="7">
        <v>1</v>
      </c>
      <c r="G1807" s="7" t="s">
        <v>15</v>
      </c>
      <c r="J1807" s="7">
        <f t="shared" si="154"/>
        <v>1900</v>
      </c>
      <c r="K1807" s="7">
        <f t="shared" si="155"/>
        <v>1</v>
      </c>
      <c r="L1807" s="7">
        <f t="shared" si="156"/>
        <v>45912</v>
      </c>
      <c r="M1807" s="7" t="s">
        <v>638</v>
      </c>
      <c r="O1807" s="17" t="s">
        <v>682</v>
      </c>
      <c r="P1807" s="7">
        <f t="shared" si="152"/>
        <v>9</v>
      </c>
      <c r="Q1807" s="7">
        <f t="shared" si="153"/>
        <v>2025</v>
      </c>
    </row>
    <row r="1808" spans="1:17" x14ac:dyDescent="0.25">
      <c r="A1808" s="7">
        <v>2545</v>
      </c>
      <c r="B1808" s="9" t="s">
        <v>636</v>
      </c>
      <c r="C1808" s="9" t="s">
        <v>636</v>
      </c>
      <c r="D1808" s="8">
        <v>45912</v>
      </c>
      <c r="E1808" s="7" t="s">
        <v>60</v>
      </c>
      <c r="F1808" s="7">
        <v>1</v>
      </c>
      <c r="G1808" s="7" t="s">
        <v>15</v>
      </c>
      <c r="J1808" s="7">
        <f t="shared" si="154"/>
        <v>1900</v>
      </c>
      <c r="K1808" s="7">
        <f t="shared" si="155"/>
        <v>1</v>
      </c>
      <c r="L1808" s="7">
        <f t="shared" si="156"/>
        <v>45912</v>
      </c>
      <c r="M1808" s="7" t="s">
        <v>638</v>
      </c>
      <c r="O1808" s="17" t="s">
        <v>682</v>
      </c>
      <c r="P1808" s="7">
        <f t="shared" si="152"/>
        <v>9</v>
      </c>
      <c r="Q1808" s="7">
        <f t="shared" si="153"/>
        <v>2025</v>
      </c>
    </row>
    <row r="1809" spans="1:17" x14ac:dyDescent="0.25">
      <c r="A1809" s="7">
        <v>2545</v>
      </c>
      <c r="B1809" s="9" t="s">
        <v>636</v>
      </c>
      <c r="C1809" s="9" t="s">
        <v>636</v>
      </c>
      <c r="D1809" s="8">
        <v>45912</v>
      </c>
      <c r="E1809" s="7" t="s">
        <v>60</v>
      </c>
      <c r="F1809" s="7">
        <v>1</v>
      </c>
      <c r="G1809" s="7" t="s">
        <v>15</v>
      </c>
      <c r="J1809" s="7">
        <f t="shared" si="154"/>
        <v>1900</v>
      </c>
      <c r="K1809" s="7">
        <f t="shared" si="155"/>
        <v>1</v>
      </c>
      <c r="L1809" s="7">
        <f t="shared" si="156"/>
        <v>45912</v>
      </c>
      <c r="M1809" s="7" t="s">
        <v>638</v>
      </c>
      <c r="O1809" s="17" t="s">
        <v>682</v>
      </c>
      <c r="P1809" s="7">
        <f t="shared" si="152"/>
        <v>9</v>
      </c>
      <c r="Q1809" s="7">
        <f t="shared" si="153"/>
        <v>2025</v>
      </c>
    </row>
    <row r="1810" spans="1:17" x14ac:dyDescent="0.25">
      <c r="A1810" s="7">
        <v>2545</v>
      </c>
      <c r="B1810" s="9" t="s">
        <v>636</v>
      </c>
      <c r="C1810" s="9" t="s">
        <v>636</v>
      </c>
      <c r="D1810" s="8">
        <v>45912</v>
      </c>
      <c r="E1810" s="7" t="s">
        <v>60</v>
      </c>
      <c r="F1810" s="7">
        <v>1</v>
      </c>
      <c r="G1810" s="7" t="s">
        <v>15</v>
      </c>
      <c r="J1810" s="7">
        <f t="shared" si="154"/>
        <v>1900</v>
      </c>
      <c r="K1810" s="7">
        <f t="shared" si="155"/>
        <v>1</v>
      </c>
      <c r="L1810" s="7">
        <f t="shared" si="156"/>
        <v>45912</v>
      </c>
      <c r="M1810" s="7" t="s">
        <v>638</v>
      </c>
      <c r="O1810" s="17" t="s">
        <v>682</v>
      </c>
      <c r="P1810" s="7">
        <f t="shared" si="152"/>
        <v>9</v>
      </c>
      <c r="Q1810" s="7">
        <f t="shared" si="153"/>
        <v>2025</v>
      </c>
    </row>
    <row r="1811" spans="1:17" x14ac:dyDescent="0.25">
      <c r="A1811" s="7">
        <v>2545</v>
      </c>
      <c r="B1811" s="9" t="s">
        <v>636</v>
      </c>
      <c r="C1811" s="9" t="s">
        <v>636</v>
      </c>
      <c r="D1811" s="8">
        <v>45912</v>
      </c>
      <c r="E1811" s="7" t="s">
        <v>60</v>
      </c>
      <c r="F1811" s="7">
        <v>1</v>
      </c>
      <c r="G1811" s="7" t="s">
        <v>15</v>
      </c>
      <c r="J1811" s="7">
        <f t="shared" si="154"/>
        <v>1900</v>
      </c>
      <c r="K1811" s="7">
        <f t="shared" si="155"/>
        <v>1</v>
      </c>
      <c r="L1811" s="7">
        <f t="shared" si="156"/>
        <v>45912</v>
      </c>
      <c r="M1811" s="7" t="s">
        <v>638</v>
      </c>
      <c r="O1811" s="17" t="s">
        <v>682</v>
      </c>
      <c r="P1811" s="7">
        <f t="shared" si="152"/>
        <v>9</v>
      </c>
      <c r="Q1811" s="7">
        <f t="shared" si="153"/>
        <v>2025</v>
      </c>
    </row>
    <row r="1812" spans="1:17" x14ac:dyDescent="0.25">
      <c r="A1812" s="7">
        <v>2545</v>
      </c>
      <c r="B1812" s="9" t="s">
        <v>636</v>
      </c>
      <c r="C1812" s="9" t="s">
        <v>636</v>
      </c>
      <c r="D1812" s="8">
        <v>45912</v>
      </c>
      <c r="E1812" s="7" t="s">
        <v>60</v>
      </c>
      <c r="F1812" s="7">
        <v>1</v>
      </c>
      <c r="G1812" s="7" t="s">
        <v>15</v>
      </c>
      <c r="J1812" s="7">
        <f t="shared" si="154"/>
        <v>1900</v>
      </c>
      <c r="K1812" s="7">
        <f t="shared" si="155"/>
        <v>1</v>
      </c>
      <c r="L1812" s="7">
        <f t="shared" si="156"/>
        <v>45912</v>
      </c>
      <c r="M1812" s="7" t="s">
        <v>638</v>
      </c>
      <c r="O1812" s="17" t="s">
        <v>682</v>
      </c>
      <c r="P1812" s="7">
        <f t="shared" si="152"/>
        <v>9</v>
      </c>
      <c r="Q1812" s="7">
        <f t="shared" si="153"/>
        <v>2025</v>
      </c>
    </row>
    <row r="1813" spans="1:17" x14ac:dyDescent="0.25">
      <c r="A1813" s="7">
        <v>2545</v>
      </c>
      <c r="B1813" s="9" t="s">
        <v>636</v>
      </c>
      <c r="C1813" s="9" t="s">
        <v>636</v>
      </c>
      <c r="D1813" s="8">
        <v>45912</v>
      </c>
      <c r="E1813" s="7" t="s">
        <v>60</v>
      </c>
      <c r="F1813" s="7">
        <v>1</v>
      </c>
      <c r="G1813" s="7" t="s">
        <v>15</v>
      </c>
      <c r="J1813" s="7">
        <f t="shared" si="154"/>
        <v>1900</v>
      </c>
      <c r="K1813" s="7">
        <f t="shared" si="155"/>
        <v>1</v>
      </c>
      <c r="L1813" s="7">
        <f t="shared" si="156"/>
        <v>45912</v>
      </c>
      <c r="M1813" s="7" t="s">
        <v>638</v>
      </c>
      <c r="O1813" s="17" t="s">
        <v>682</v>
      </c>
      <c r="P1813" s="7">
        <f t="shared" si="152"/>
        <v>9</v>
      </c>
      <c r="Q1813" s="7">
        <f t="shared" si="153"/>
        <v>2025</v>
      </c>
    </row>
    <row r="1814" spans="1:17" x14ac:dyDescent="0.25">
      <c r="A1814" s="7">
        <v>2545</v>
      </c>
      <c r="B1814" s="9" t="s">
        <v>636</v>
      </c>
      <c r="C1814" s="9" t="s">
        <v>636</v>
      </c>
      <c r="D1814" s="8">
        <v>45912</v>
      </c>
      <c r="E1814" s="7" t="s">
        <v>60</v>
      </c>
      <c r="F1814" s="7">
        <v>1</v>
      </c>
      <c r="G1814" s="7" t="s">
        <v>15</v>
      </c>
      <c r="J1814" s="7">
        <f t="shared" si="154"/>
        <v>1900</v>
      </c>
      <c r="K1814" s="7">
        <f t="shared" si="155"/>
        <v>1</v>
      </c>
      <c r="L1814" s="7">
        <f t="shared" si="156"/>
        <v>45912</v>
      </c>
      <c r="M1814" s="7" t="s">
        <v>638</v>
      </c>
      <c r="O1814" s="17" t="s">
        <v>682</v>
      </c>
      <c r="P1814" s="7">
        <f t="shared" si="152"/>
        <v>9</v>
      </c>
      <c r="Q1814" s="7">
        <f t="shared" si="153"/>
        <v>2025</v>
      </c>
    </row>
    <row r="1815" spans="1:17" x14ac:dyDescent="0.25">
      <c r="A1815" s="7">
        <v>2545</v>
      </c>
      <c r="B1815" s="9" t="s">
        <v>636</v>
      </c>
      <c r="C1815" s="9" t="s">
        <v>636</v>
      </c>
      <c r="D1815" s="8">
        <v>45912</v>
      </c>
      <c r="E1815" s="7" t="s">
        <v>60</v>
      </c>
      <c r="F1815" s="7">
        <v>1</v>
      </c>
      <c r="G1815" s="7" t="s">
        <v>15</v>
      </c>
      <c r="J1815" s="7">
        <f t="shared" si="154"/>
        <v>1900</v>
      </c>
      <c r="K1815" s="7">
        <f t="shared" si="155"/>
        <v>1</v>
      </c>
      <c r="L1815" s="7">
        <f t="shared" si="156"/>
        <v>45912</v>
      </c>
      <c r="M1815" s="7" t="s">
        <v>638</v>
      </c>
      <c r="O1815" s="17" t="s">
        <v>682</v>
      </c>
      <c r="P1815" s="7">
        <f t="shared" si="152"/>
        <v>9</v>
      </c>
      <c r="Q1815" s="7">
        <f t="shared" si="153"/>
        <v>2025</v>
      </c>
    </row>
    <row r="1816" spans="1:17" x14ac:dyDescent="0.25">
      <c r="A1816" s="7">
        <v>2545</v>
      </c>
      <c r="B1816" s="9" t="s">
        <v>636</v>
      </c>
      <c r="C1816" s="9" t="s">
        <v>636</v>
      </c>
      <c r="D1816" s="8">
        <v>45912</v>
      </c>
      <c r="E1816" s="7" t="s">
        <v>60</v>
      </c>
      <c r="F1816" s="7">
        <v>1</v>
      </c>
      <c r="G1816" s="7" t="s">
        <v>15</v>
      </c>
      <c r="J1816" s="7">
        <f t="shared" si="154"/>
        <v>1900</v>
      </c>
      <c r="K1816" s="7">
        <f t="shared" si="155"/>
        <v>1</v>
      </c>
      <c r="L1816" s="7">
        <f t="shared" si="156"/>
        <v>45912</v>
      </c>
      <c r="M1816" s="7" t="s">
        <v>638</v>
      </c>
      <c r="O1816" s="17" t="s">
        <v>682</v>
      </c>
      <c r="P1816" s="7">
        <f t="shared" si="152"/>
        <v>9</v>
      </c>
      <c r="Q1816" s="7">
        <f t="shared" si="153"/>
        <v>2025</v>
      </c>
    </row>
    <row r="1817" spans="1:17" x14ac:dyDescent="0.25">
      <c r="A1817" s="7">
        <v>2545</v>
      </c>
      <c r="B1817" s="9" t="s">
        <v>636</v>
      </c>
      <c r="C1817" s="9" t="s">
        <v>636</v>
      </c>
      <c r="D1817" s="8">
        <v>45912</v>
      </c>
      <c r="E1817" s="7" t="s">
        <v>60</v>
      </c>
      <c r="F1817" s="7">
        <v>1</v>
      </c>
      <c r="G1817" s="7" t="s">
        <v>15</v>
      </c>
      <c r="J1817" s="7">
        <f t="shared" si="154"/>
        <v>1900</v>
      </c>
      <c r="K1817" s="7">
        <f t="shared" si="155"/>
        <v>1</v>
      </c>
      <c r="L1817" s="7">
        <f t="shared" si="156"/>
        <v>45912</v>
      </c>
      <c r="M1817" s="7" t="s">
        <v>638</v>
      </c>
      <c r="O1817" s="17" t="s">
        <v>682</v>
      </c>
      <c r="P1817" s="7">
        <f t="shared" si="152"/>
        <v>9</v>
      </c>
      <c r="Q1817" s="7">
        <f t="shared" si="153"/>
        <v>2025</v>
      </c>
    </row>
    <row r="1818" spans="1:17" x14ac:dyDescent="0.25">
      <c r="A1818" s="7">
        <v>2545</v>
      </c>
      <c r="B1818" s="9" t="s">
        <v>636</v>
      </c>
      <c r="C1818" s="9" t="s">
        <v>636</v>
      </c>
      <c r="D1818" s="8">
        <v>45912</v>
      </c>
      <c r="E1818" s="7" t="s">
        <v>60</v>
      </c>
      <c r="F1818" s="7">
        <v>1</v>
      </c>
      <c r="G1818" s="7" t="s">
        <v>15</v>
      </c>
      <c r="J1818" s="7">
        <f t="shared" si="154"/>
        <v>1900</v>
      </c>
      <c r="K1818" s="7">
        <f t="shared" si="155"/>
        <v>1</v>
      </c>
      <c r="L1818" s="7">
        <f t="shared" si="156"/>
        <v>45912</v>
      </c>
      <c r="M1818" s="7" t="s">
        <v>638</v>
      </c>
      <c r="O1818" s="17" t="s">
        <v>682</v>
      </c>
      <c r="P1818" s="7">
        <f t="shared" si="152"/>
        <v>9</v>
      </c>
      <c r="Q1818" s="7">
        <f t="shared" si="153"/>
        <v>2025</v>
      </c>
    </row>
    <row r="1819" spans="1:17" x14ac:dyDescent="0.25">
      <c r="A1819" s="7">
        <v>2545</v>
      </c>
      <c r="B1819" s="9" t="s">
        <v>636</v>
      </c>
      <c r="C1819" s="9" t="s">
        <v>636</v>
      </c>
      <c r="D1819" s="8">
        <v>45912</v>
      </c>
      <c r="E1819" s="7" t="s">
        <v>60</v>
      </c>
      <c r="F1819" s="7">
        <v>1</v>
      </c>
      <c r="G1819" s="7" t="s">
        <v>15</v>
      </c>
      <c r="J1819" s="7">
        <f t="shared" si="154"/>
        <v>1900</v>
      </c>
      <c r="K1819" s="7">
        <f t="shared" si="155"/>
        <v>1</v>
      </c>
      <c r="L1819" s="7">
        <f t="shared" si="156"/>
        <v>45912</v>
      </c>
      <c r="M1819" s="7" t="s">
        <v>638</v>
      </c>
      <c r="O1819" s="17" t="s">
        <v>682</v>
      </c>
      <c r="P1819" s="7">
        <f t="shared" si="152"/>
        <v>9</v>
      </c>
      <c r="Q1819" s="7">
        <f t="shared" si="153"/>
        <v>2025</v>
      </c>
    </row>
    <row r="1820" spans="1:17" x14ac:dyDescent="0.25">
      <c r="A1820" s="7">
        <v>2545</v>
      </c>
      <c r="B1820" s="9" t="s">
        <v>636</v>
      </c>
      <c r="C1820" s="9" t="s">
        <v>636</v>
      </c>
      <c r="D1820" s="8">
        <v>45912</v>
      </c>
      <c r="E1820" s="7" t="s">
        <v>60</v>
      </c>
      <c r="F1820" s="7">
        <v>1</v>
      </c>
      <c r="G1820" s="7" t="s">
        <v>15</v>
      </c>
      <c r="J1820" s="7">
        <f t="shared" si="154"/>
        <v>1900</v>
      </c>
      <c r="K1820" s="7">
        <f t="shared" si="155"/>
        <v>1</v>
      </c>
      <c r="L1820" s="7">
        <f t="shared" si="156"/>
        <v>45912</v>
      </c>
      <c r="M1820" s="7" t="s">
        <v>638</v>
      </c>
      <c r="O1820" s="17" t="s">
        <v>682</v>
      </c>
      <c r="P1820" s="7">
        <f t="shared" si="152"/>
        <v>9</v>
      </c>
      <c r="Q1820" s="7">
        <f t="shared" si="153"/>
        <v>2025</v>
      </c>
    </row>
    <row r="1821" spans="1:17" x14ac:dyDescent="0.25">
      <c r="A1821" s="7">
        <v>2545</v>
      </c>
      <c r="B1821" s="9" t="s">
        <v>636</v>
      </c>
      <c r="C1821" s="9" t="s">
        <v>636</v>
      </c>
      <c r="D1821" s="8">
        <v>45912</v>
      </c>
      <c r="E1821" s="7" t="s">
        <v>60</v>
      </c>
      <c r="F1821" s="7">
        <v>1</v>
      </c>
      <c r="G1821" s="7" t="s">
        <v>15</v>
      </c>
      <c r="J1821" s="7">
        <f t="shared" si="154"/>
        <v>1900</v>
      </c>
      <c r="K1821" s="7">
        <f t="shared" si="155"/>
        <v>1</v>
      </c>
      <c r="L1821" s="7">
        <f t="shared" si="156"/>
        <v>45912</v>
      </c>
      <c r="M1821" s="7" t="s">
        <v>638</v>
      </c>
      <c r="O1821" s="17" t="s">
        <v>682</v>
      </c>
      <c r="P1821" s="7">
        <f t="shared" si="152"/>
        <v>9</v>
      </c>
      <c r="Q1821" s="7">
        <f t="shared" si="153"/>
        <v>2025</v>
      </c>
    </row>
    <row r="1822" spans="1:17" x14ac:dyDescent="0.25">
      <c r="A1822" s="7">
        <v>2545</v>
      </c>
      <c r="B1822" s="9" t="s">
        <v>636</v>
      </c>
      <c r="C1822" s="9" t="s">
        <v>636</v>
      </c>
      <c r="D1822" s="8">
        <v>45912</v>
      </c>
      <c r="E1822" s="7" t="s">
        <v>60</v>
      </c>
      <c r="F1822" s="7">
        <v>1</v>
      </c>
      <c r="G1822" s="7" t="s">
        <v>15</v>
      </c>
      <c r="J1822" s="7">
        <f t="shared" si="154"/>
        <v>1900</v>
      </c>
      <c r="K1822" s="7">
        <f t="shared" si="155"/>
        <v>1</v>
      </c>
      <c r="L1822" s="7">
        <f t="shared" si="156"/>
        <v>45912</v>
      </c>
      <c r="M1822" s="7" t="s">
        <v>638</v>
      </c>
      <c r="O1822" s="17" t="s">
        <v>682</v>
      </c>
      <c r="P1822" s="7">
        <f t="shared" si="152"/>
        <v>9</v>
      </c>
      <c r="Q1822" s="7">
        <f t="shared" si="153"/>
        <v>2025</v>
      </c>
    </row>
    <row r="1823" spans="1:17" x14ac:dyDescent="0.25">
      <c r="A1823" s="7">
        <v>2545</v>
      </c>
      <c r="B1823" s="9" t="s">
        <v>636</v>
      </c>
      <c r="C1823" s="9" t="s">
        <v>636</v>
      </c>
      <c r="D1823" s="8">
        <v>45912</v>
      </c>
      <c r="E1823" s="7" t="s">
        <v>60</v>
      </c>
      <c r="F1823" s="7">
        <v>1</v>
      </c>
      <c r="G1823" s="7" t="s">
        <v>15</v>
      </c>
      <c r="J1823" s="7">
        <f t="shared" si="154"/>
        <v>1900</v>
      </c>
      <c r="K1823" s="7">
        <f t="shared" si="155"/>
        <v>1</v>
      </c>
      <c r="L1823" s="7">
        <f t="shared" si="156"/>
        <v>45912</v>
      </c>
      <c r="M1823" s="7" t="s">
        <v>638</v>
      </c>
      <c r="O1823" s="17" t="s">
        <v>682</v>
      </c>
      <c r="P1823" s="7">
        <f t="shared" ref="P1823:P1886" si="157">MONTH(D1823)</f>
        <v>9</v>
      </c>
      <c r="Q1823" s="7">
        <f t="shared" si="153"/>
        <v>2025</v>
      </c>
    </row>
    <row r="1824" spans="1:17" x14ac:dyDescent="0.25">
      <c r="A1824" s="7">
        <v>2545</v>
      </c>
      <c r="B1824" s="9" t="s">
        <v>636</v>
      </c>
      <c r="C1824" s="9" t="s">
        <v>636</v>
      </c>
      <c r="D1824" s="8">
        <v>45912</v>
      </c>
      <c r="E1824" s="7" t="s">
        <v>60</v>
      </c>
      <c r="F1824" s="7">
        <v>1</v>
      </c>
      <c r="G1824" s="7" t="s">
        <v>15</v>
      </c>
      <c r="J1824" s="7">
        <f t="shared" si="154"/>
        <v>1900</v>
      </c>
      <c r="K1824" s="7">
        <f t="shared" si="155"/>
        <v>1</v>
      </c>
      <c r="L1824" s="7">
        <f t="shared" si="156"/>
        <v>45912</v>
      </c>
      <c r="M1824" s="7" t="s">
        <v>638</v>
      </c>
      <c r="O1824" s="17" t="s">
        <v>682</v>
      </c>
      <c r="P1824" s="7">
        <f t="shared" si="157"/>
        <v>9</v>
      </c>
      <c r="Q1824" s="7">
        <f t="shared" si="153"/>
        <v>2025</v>
      </c>
    </row>
    <row r="1825" spans="1:17" x14ac:dyDescent="0.25">
      <c r="A1825" s="7">
        <v>2545</v>
      </c>
      <c r="B1825" s="9" t="s">
        <v>636</v>
      </c>
      <c r="C1825" s="9" t="s">
        <v>636</v>
      </c>
      <c r="D1825" s="8">
        <v>45912</v>
      </c>
      <c r="E1825" s="7" t="s">
        <v>60</v>
      </c>
      <c r="F1825" s="7">
        <v>1</v>
      </c>
      <c r="G1825" s="7" t="s">
        <v>15</v>
      </c>
      <c r="J1825" s="7">
        <f t="shared" si="154"/>
        <v>1900</v>
      </c>
      <c r="K1825" s="7">
        <f t="shared" si="155"/>
        <v>1</v>
      </c>
      <c r="L1825" s="7">
        <f t="shared" si="156"/>
        <v>45912</v>
      </c>
      <c r="M1825" s="7" t="s">
        <v>638</v>
      </c>
      <c r="O1825" s="17" t="s">
        <v>682</v>
      </c>
      <c r="P1825" s="7">
        <f t="shared" si="157"/>
        <v>9</v>
      </c>
      <c r="Q1825" s="7">
        <f t="shared" si="153"/>
        <v>2025</v>
      </c>
    </row>
    <row r="1826" spans="1:17" x14ac:dyDescent="0.25">
      <c r="A1826" s="7">
        <v>2545</v>
      </c>
      <c r="B1826" s="9" t="s">
        <v>636</v>
      </c>
      <c r="C1826" s="9" t="s">
        <v>636</v>
      </c>
      <c r="D1826" s="8">
        <v>45912</v>
      </c>
      <c r="E1826" s="7" t="s">
        <v>60</v>
      </c>
      <c r="F1826" s="7">
        <v>1</v>
      </c>
      <c r="G1826" s="7" t="s">
        <v>15</v>
      </c>
      <c r="J1826" s="7">
        <f t="shared" si="154"/>
        <v>1900</v>
      </c>
      <c r="K1826" s="7">
        <f t="shared" si="155"/>
        <v>1</v>
      </c>
      <c r="L1826" s="7">
        <f t="shared" si="156"/>
        <v>45912</v>
      </c>
      <c r="M1826" s="7" t="s">
        <v>638</v>
      </c>
      <c r="O1826" s="17" t="s">
        <v>682</v>
      </c>
      <c r="P1826" s="7">
        <f t="shared" si="157"/>
        <v>9</v>
      </c>
      <c r="Q1826" s="7">
        <f t="shared" si="153"/>
        <v>2025</v>
      </c>
    </row>
    <row r="1827" spans="1:17" x14ac:dyDescent="0.25">
      <c r="A1827" s="7">
        <v>2545</v>
      </c>
      <c r="B1827" s="9" t="s">
        <v>636</v>
      </c>
      <c r="C1827" s="9" t="s">
        <v>636</v>
      </c>
      <c r="D1827" s="8">
        <v>45912</v>
      </c>
      <c r="E1827" s="7" t="s">
        <v>60</v>
      </c>
      <c r="F1827" s="7">
        <v>1</v>
      </c>
      <c r="G1827" s="7" t="s">
        <v>15</v>
      </c>
      <c r="J1827" s="7">
        <f t="shared" si="154"/>
        <v>1900</v>
      </c>
      <c r="K1827" s="7">
        <f t="shared" si="155"/>
        <v>1</v>
      </c>
      <c r="L1827" s="7">
        <f t="shared" si="156"/>
        <v>45912</v>
      </c>
      <c r="M1827" s="7" t="s">
        <v>638</v>
      </c>
      <c r="O1827" s="17" t="s">
        <v>682</v>
      </c>
      <c r="P1827" s="7">
        <f t="shared" si="157"/>
        <v>9</v>
      </c>
      <c r="Q1827" s="7">
        <f t="shared" si="153"/>
        <v>2025</v>
      </c>
    </row>
    <row r="1828" spans="1:17" x14ac:dyDescent="0.25">
      <c r="A1828" s="7">
        <v>2545</v>
      </c>
      <c r="B1828" s="9" t="s">
        <v>636</v>
      </c>
      <c r="C1828" s="9" t="s">
        <v>636</v>
      </c>
      <c r="D1828" s="8">
        <v>45912</v>
      </c>
      <c r="E1828" s="7" t="s">
        <v>60</v>
      </c>
      <c r="F1828" s="7">
        <v>1</v>
      </c>
      <c r="G1828" s="7" t="s">
        <v>15</v>
      </c>
      <c r="J1828" s="7">
        <f t="shared" si="154"/>
        <v>1900</v>
      </c>
      <c r="K1828" s="7">
        <f t="shared" si="155"/>
        <v>1</v>
      </c>
      <c r="L1828" s="7">
        <f t="shared" si="156"/>
        <v>45912</v>
      </c>
      <c r="M1828" s="7" t="s">
        <v>638</v>
      </c>
      <c r="O1828" s="17" t="s">
        <v>682</v>
      </c>
      <c r="P1828" s="7">
        <f t="shared" si="157"/>
        <v>9</v>
      </c>
      <c r="Q1828" s="7">
        <f t="shared" si="153"/>
        <v>2025</v>
      </c>
    </row>
    <row r="1829" spans="1:17" x14ac:dyDescent="0.25">
      <c r="A1829" s="7">
        <v>2545</v>
      </c>
      <c r="B1829" s="9" t="s">
        <v>636</v>
      </c>
      <c r="C1829" s="9" t="s">
        <v>636</v>
      </c>
      <c r="D1829" s="8">
        <v>45912</v>
      </c>
      <c r="E1829" s="7" t="s">
        <v>60</v>
      </c>
      <c r="F1829" s="7">
        <v>1</v>
      </c>
      <c r="G1829" s="7" t="s">
        <v>15</v>
      </c>
      <c r="J1829" s="7">
        <f t="shared" si="154"/>
        <v>1900</v>
      </c>
      <c r="K1829" s="7">
        <f t="shared" si="155"/>
        <v>1</v>
      </c>
      <c r="L1829" s="7">
        <f t="shared" si="156"/>
        <v>45912</v>
      </c>
      <c r="M1829" s="7" t="s">
        <v>638</v>
      </c>
      <c r="O1829" s="17" t="s">
        <v>682</v>
      </c>
      <c r="P1829" s="7">
        <f t="shared" si="157"/>
        <v>9</v>
      </c>
      <c r="Q1829" s="7">
        <f t="shared" si="153"/>
        <v>2025</v>
      </c>
    </row>
    <row r="1830" spans="1:17" x14ac:dyDescent="0.25">
      <c r="A1830" s="7">
        <v>2545</v>
      </c>
      <c r="B1830" s="9" t="s">
        <v>636</v>
      </c>
      <c r="C1830" s="9" t="s">
        <v>636</v>
      </c>
      <c r="D1830" s="8">
        <v>45912</v>
      </c>
      <c r="E1830" s="7" t="s">
        <v>60</v>
      </c>
      <c r="F1830" s="7">
        <v>1</v>
      </c>
      <c r="G1830" s="7" t="s">
        <v>15</v>
      </c>
      <c r="J1830" s="7">
        <f t="shared" si="154"/>
        <v>1900</v>
      </c>
      <c r="K1830" s="7">
        <f t="shared" si="155"/>
        <v>1</v>
      </c>
      <c r="L1830" s="7">
        <f t="shared" si="156"/>
        <v>45912</v>
      </c>
      <c r="M1830" s="7" t="s">
        <v>638</v>
      </c>
      <c r="O1830" s="17" t="s">
        <v>682</v>
      </c>
      <c r="P1830" s="7">
        <f t="shared" si="157"/>
        <v>9</v>
      </c>
      <c r="Q1830" s="7">
        <f t="shared" si="153"/>
        <v>2025</v>
      </c>
    </row>
    <row r="1831" spans="1:17" x14ac:dyDescent="0.25">
      <c r="A1831" s="7">
        <v>2545</v>
      </c>
      <c r="B1831" s="9" t="s">
        <v>636</v>
      </c>
      <c r="C1831" s="9" t="s">
        <v>636</v>
      </c>
      <c r="D1831" s="8">
        <v>45912</v>
      </c>
      <c r="E1831" s="7" t="s">
        <v>60</v>
      </c>
      <c r="F1831" s="7">
        <v>1</v>
      </c>
      <c r="G1831" s="7" t="s">
        <v>15</v>
      </c>
      <c r="J1831" s="7">
        <f t="shared" si="154"/>
        <v>1900</v>
      </c>
      <c r="K1831" s="7">
        <f t="shared" si="155"/>
        <v>1</v>
      </c>
      <c r="L1831" s="7">
        <f t="shared" si="156"/>
        <v>45912</v>
      </c>
      <c r="M1831" s="7" t="s">
        <v>638</v>
      </c>
      <c r="O1831" s="17" t="s">
        <v>682</v>
      </c>
      <c r="P1831" s="7">
        <f t="shared" si="157"/>
        <v>9</v>
      </c>
      <c r="Q1831" s="7">
        <f t="shared" si="153"/>
        <v>2025</v>
      </c>
    </row>
    <row r="1832" spans="1:17" x14ac:dyDescent="0.25">
      <c r="A1832" s="7">
        <v>2545</v>
      </c>
      <c r="B1832" s="9" t="s">
        <v>636</v>
      </c>
      <c r="C1832" s="9" t="s">
        <v>636</v>
      </c>
      <c r="D1832" s="8">
        <v>45912</v>
      </c>
      <c r="E1832" s="7" t="s">
        <v>60</v>
      </c>
      <c r="F1832" s="7">
        <v>1</v>
      </c>
      <c r="G1832" s="7" t="s">
        <v>15</v>
      </c>
      <c r="J1832" s="7">
        <f t="shared" si="154"/>
        <v>1900</v>
      </c>
      <c r="K1832" s="7">
        <f t="shared" si="155"/>
        <v>1</v>
      </c>
      <c r="L1832" s="7">
        <f t="shared" si="156"/>
        <v>45912</v>
      </c>
      <c r="M1832" s="7" t="s">
        <v>638</v>
      </c>
      <c r="O1832" s="17" t="s">
        <v>682</v>
      </c>
      <c r="P1832" s="7">
        <f t="shared" si="157"/>
        <v>9</v>
      </c>
      <c r="Q1832" s="7">
        <f t="shared" si="153"/>
        <v>2025</v>
      </c>
    </row>
    <row r="1833" spans="1:17" x14ac:dyDescent="0.25">
      <c r="A1833" s="7">
        <v>2545</v>
      </c>
      <c r="B1833" s="9" t="s">
        <v>636</v>
      </c>
      <c r="C1833" s="9" t="s">
        <v>636</v>
      </c>
      <c r="D1833" s="8">
        <v>45912</v>
      </c>
      <c r="E1833" s="7" t="s">
        <v>60</v>
      </c>
      <c r="F1833" s="7">
        <v>1</v>
      </c>
      <c r="G1833" s="7" t="s">
        <v>15</v>
      </c>
      <c r="J1833" s="7">
        <f t="shared" si="154"/>
        <v>1900</v>
      </c>
      <c r="K1833" s="7">
        <f t="shared" si="155"/>
        <v>1</v>
      </c>
      <c r="L1833" s="7">
        <f t="shared" si="156"/>
        <v>45912</v>
      </c>
      <c r="M1833" s="7" t="s">
        <v>638</v>
      </c>
      <c r="O1833" s="17" t="s">
        <v>682</v>
      </c>
      <c r="P1833" s="7">
        <f t="shared" si="157"/>
        <v>9</v>
      </c>
      <c r="Q1833" s="7">
        <f t="shared" si="153"/>
        <v>2025</v>
      </c>
    </row>
    <row r="1834" spans="1:17" x14ac:dyDescent="0.25">
      <c r="A1834" s="7">
        <v>2545</v>
      </c>
      <c r="B1834" s="9" t="s">
        <v>636</v>
      </c>
      <c r="C1834" s="9" t="s">
        <v>636</v>
      </c>
      <c r="D1834" s="8">
        <v>45912</v>
      </c>
      <c r="E1834" s="7" t="s">
        <v>60</v>
      </c>
      <c r="F1834" s="7">
        <v>1</v>
      </c>
      <c r="G1834" s="7" t="s">
        <v>15</v>
      </c>
      <c r="J1834" s="7">
        <f t="shared" si="154"/>
        <v>1900</v>
      </c>
      <c r="K1834" s="7">
        <f t="shared" si="155"/>
        <v>1</v>
      </c>
      <c r="L1834" s="7">
        <f t="shared" si="156"/>
        <v>45912</v>
      </c>
      <c r="M1834" s="7" t="s">
        <v>638</v>
      </c>
      <c r="O1834" s="17" t="s">
        <v>682</v>
      </c>
      <c r="P1834" s="7">
        <f t="shared" si="157"/>
        <v>9</v>
      </c>
      <c r="Q1834" s="7">
        <f t="shared" si="153"/>
        <v>2025</v>
      </c>
    </row>
    <row r="1835" spans="1:17" x14ac:dyDescent="0.25">
      <c r="A1835" s="7">
        <v>2545</v>
      </c>
      <c r="B1835" s="9" t="s">
        <v>636</v>
      </c>
      <c r="C1835" s="9" t="s">
        <v>636</v>
      </c>
      <c r="D1835" s="8">
        <v>45912</v>
      </c>
      <c r="E1835" s="7" t="s">
        <v>60</v>
      </c>
      <c r="F1835" s="7">
        <v>1</v>
      </c>
      <c r="G1835" s="7" t="s">
        <v>15</v>
      </c>
      <c r="J1835" s="7">
        <f t="shared" si="154"/>
        <v>1900</v>
      </c>
      <c r="K1835" s="7">
        <f t="shared" si="155"/>
        <v>1</v>
      </c>
      <c r="L1835" s="7">
        <f t="shared" si="156"/>
        <v>45912</v>
      </c>
      <c r="M1835" s="7" t="s">
        <v>638</v>
      </c>
      <c r="O1835" s="17" t="s">
        <v>682</v>
      </c>
      <c r="P1835" s="7">
        <f t="shared" si="157"/>
        <v>9</v>
      </c>
      <c r="Q1835" s="7">
        <f t="shared" si="153"/>
        <v>2025</v>
      </c>
    </row>
    <row r="1836" spans="1:17" x14ac:dyDescent="0.25">
      <c r="A1836" s="7">
        <v>2545</v>
      </c>
      <c r="B1836" s="9" t="s">
        <v>636</v>
      </c>
      <c r="C1836" s="9" t="s">
        <v>636</v>
      </c>
      <c r="D1836" s="8">
        <v>45912</v>
      </c>
      <c r="E1836" s="7" t="s">
        <v>60</v>
      </c>
      <c r="F1836" s="7">
        <v>1</v>
      </c>
      <c r="G1836" s="7" t="s">
        <v>15</v>
      </c>
      <c r="J1836" s="7">
        <f t="shared" si="154"/>
        <v>1900</v>
      </c>
      <c r="K1836" s="7">
        <f t="shared" si="155"/>
        <v>1</v>
      </c>
      <c r="L1836" s="7">
        <f t="shared" si="156"/>
        <v>45912</v>
      </c>
      <c r="M1836" s="7" t="s">
        <v>638</v>
      </c>
      <c r="O1836" s="17" t="s">
        <v>682</v>
      </c>
      <c r="P1836" s="7">
        <f t="shared" si="157"/>
        <v>9</v>
      </c>
      <c r="Q1836" s="7">
        <f t="shared" si="153"/>
        <v>2025</v>
      </c>
    </row>
    <row r="1837" spans="1:17" x14ac:dyDescent="0.25">
      <c r="A1837" s="7">
        <v>2545</v>
      </c>
      <c r="B1837" s="9" t="s">
        <v>636</v>
      </c>
      <c r="C1837" s="9" t="s">
        <v>636</v>
      </c>
      <c r="D1837" s="8">
        <v>45912</v>
      </c>
      <c r="E1837" s="7" t="s">
        <v>60</v>
      </c>
      <c r="F1837" s="7">
        <v>1</v>
      </c>
      <c r="G1837" s="7" t="s">
        <v>15</v>
      </c>
      <c r="J1837" s="7">
        <f t="shared" si="154"/>
        <v>1900</v>
      </c>
      <c r="K1837" s="7">
        <f t="shared" si="155"/>
        <v>1</v>
      </c>
      <c r="L1837" s="7">
        <f t="shared" si="156"/>
        <v>45912</v>
      </c>
      <c r="M1837" s="7" t="s">
        <v>638</v>
      </c>
      <c r="O1837" s="17" t="s">
        <v>682</v>
      </c>
      <c r="P1837" s="7">
        <f t="shared" si="157"/>
        <v>9</v>
      </c>
      <c r="Q1837" s="7">
        <f t="shared" si="153"/>
        <v>2025</v>
      </c>
    </row>
    <row r="1838" spans="1:17" x14ac:dyDescent="0.25">
      <c r="A1838" s="7">
        <v>2545</v>
      </c>
      <c r="B1838" s="9" t="s">
        <v>636</v>
      </c>
      <c r="C1838" s="9" t="s">
        <v>636</v>
      </c>
      <c r="D1838" s="8">
        <v>45912</v>
      </c>
      <c r="E1838" s="7" t="s">
        <v>60</v>
      </c>
      <c r="F1838" s="7">
        <v>1</v>
      </c>
      <c r="G1838" s="7" t="s">
        <v>15</v>
      </c>
      <c r="J1838" s="7">
        <f t="shared" si="154"/>
        <v>1900</v>
      </c>
      <c r="K1838" s="7">
        <f t="shared" si="155"/>
        <v>1</v>
      </c>
      <c r="L1838" s="7">
        <f t="shared" si="156"/>
        <v>45912</v>
      </c>
      <c r="M1838" s="7" t="s">
        <v>638</v>
      </c>
      <c r="O1838" s="17" t="s">
        <v>682</v>
      </c>
      <c r="P1838" s="7">
        <f t="shared" si="157"/>
        <v>9</v>
      </c>
      <c r="Q1838" s="7">
        <f t="shared" si="153"/>
        <v>2025</v>
      </c>
    </row>
    <row r="1839" spans="1:17" x14ac:dyDescent="0.25">
      <c r="A1839" s="7">
        <v>2545</v>
      </c>
      <c r="B1839" s="9" t="s">
        <v>636</v>
      </c>
      <c r="C1839" s="9" t="s">
        <v>636</v>
      </c>
      <c r="D1839" s="8">
        <v>45912</v>
      </c>
      <c r="E1839" s="7" t="s">
        <v>60</v>
      </c>
      <c r="F1839" s="7">
        <v>1</v>
      </c>
      <c r="G1839" s="7" t="s">
        <v>15</v>
      </c>
      <c r="J1839" s="7">
        <f t="shared" si="154"/>
        <v>1900</v>
      </c>
      <c r="K1839" s="7">
        <f t="shared" si="155"/>
        <v>1</v>
      </c>
      <c r="L1839" s="7">
        <f t="shared" si="156"/>
        <v>45912</v>
      </c>
      <c r="M1839" s="7" t="s">
        <v>638</v>
      </c>
      <c r="O1839" s="17" t="s">
        <v>682</v>
      </c>
      <c r="P1839" s="7">
        <f t="shared" si="157"/>
        <v>9</v>
      </c>
      <c r="Q1839" s="7">
        <f t="shared" si="153"/>
        <v>2025</v>
      </c>
    </row>
    <row r="1840" spans="1:17" x14ac:dyDescent="0.25">
      <c r="A1840" s="7">
        <v>2545</v>
      </c>
      <c r="B1840" s="9" t="s">
        <v>636</v>
      </c>
      <c r="C1840" s="9" t="s">
        <v>636</v>
      </c>
      <c r="D1840" s="8">
        <v>45912</v>
      </c>
      <c r="E1840" s="7" t="s">
        <v>60</v>
      </c>
      <c r="F1840" s="7">
        <v>1</v>
      </c>
      <c r="G1840" s="7" t="s">
        <v>15</v>
      </c>
      <c r="J1840" s="7">
        <f t="shared" si="154"/>
        <v>1900</v>
      </c>
      <c r="K1840" s="7">
        <f t="shared" si="155"/>
        <v>1</v>
      </c>
      <c r="L1840" s="7">
        <f t="shared" si="156"/>
        <v>45912</v>
      </c>
      <c r="M1840" s="7" t="s">
        <v>638</v>
      </c>
      <c r="O1840" s="17" t="s">
        <v>682</v>
      </c>
      <c r="P1840" s="7">
        <f t="shared" si="157"/>
        <v>9</v>
      </c>
      <c r="Q1840" s="7">
        <f t="shared" si="153"/>
        <v>2025</v>
      </c>
    </row>
    <row r="1841" spans="1:17" x14ac:dyDescent="0.25">
      <c r="A1841" s="7">
        <v>2545</v>
      </c>
      <c r="B1841" s="9" t="s">
        <v>636</v>
      </c>
      <c r="C1841" s="9" t="s">
        <v>636</v>
      </c>
      <c r="D1841" s="8">
        <v>45912</v>
      </c>
      <c r="E1841" s="7" t="s">
        <v>60</v>
      </c>
      <c r="F1841" s="7">
        <v>1</v>
      </c>
      <c r="G1841" s="7" t="s">
        <v>15</v>
      </c>
      <c r="J1841" s="7">
        <f t="shared" si="154"/>
        <v>1900</v>
      </c>
      <c r="K1841" s="7">
        <f t="shared" si="155"/>
        <v>1</v>
      </c>
      <c r="L1841" s="7">
        <f t="shared" si="156"/>
        <v>45912</v>
      </c>
      <c r="M1841" s="7" t="s">
        <v>638</v>
      </c>
      <c r="O1841" s="17" t="s">
        <v>682</v>
      </c>
      <c r="P1841" s="7">
        <f t="shared" si="157"/>
        <v>9</v>
      </c>
      <c r="Q1841" s="7">
        <f t="shared" si="153"/>
        <v>2025</v>
      </c>
    </row>
    <row r="1842" spans="1:17" x14ac:dyDescent="0.25">
      <c r="A1842" s="7">
        <v>2545</v>
      </c>
      <c r="B1842" s="9" t="s">
        <v>636</v>
      </c>
      <c r="C1842" s="9" t="s">
        <v>636</v>
      </c>
      <c r="D1842" s="8">
        <v>45912</v>
      </c>
      <c r="E1842" s="7" t="s">
        <v>60</v>
      </c>
      <c r="F1842" s="7">
        <v>1</v>
      </c>
      <c r="G1842" s="7" t="s">
        <v>15</v>
      </c>
      <c r="J1842" s="7">
        <f t="shared" si="154"/>
        <v>1900</v>
      </c>
      <c r="K1842" s="7">
        <f t="shared" si="155"/>
        <v>1</v>
      </c>
      <c r="L1842" s="7">
        <f t="shared" si="156"/>
        <v>45912</v>
      </c>
      <c r="M1842" s="7" t="s">
        <v>638</v>
      </c>
      <c r="O1842" s="17" t="s">
        <v>682</v>
      </c>
      <c r="P1842" s="7">
        <f t="shared" si="157"/>
        <v>9</v>
      </c>
      <c r="Q1842" s="7">
        <f t="shared" si="153"/>
        <v>2025</v>
      </c>
    </row>
    <row r="1843" spans="1:17" x14ac:dyDescent="0.25">
      <c r="A1843" s="7">
        <v>2545</v>
      </c>
      <c r="B1843" s="9" t="s">
        <v>636</v>
      </c>
      <c r="C1843" s="9" t="s">
        <v>636</v>
      </c>
      <c r="D1843" s="8">
        <v>45912</v>
      </c>
      <c r="E1843" s="7" t="s">
        <v>60</v>
      </c>
      <c r="F1843" s="7">
        <v>1</v>
      </c>
      <c r="G1843" s="7" t="s">
        <v>15</v>
      </c>
      <c r="J1843" s="7">
        <f t="shared" si="154"/>
        <v>1900</v>
      </c>
      <c r="K1843" s="7">
        <f t="shared" si="155"/>
        <v>1</v>
      </c>
      <c r="L1843" s="7">
        <f t="shared" si="156"/>
        <v>45912</v>
      </c>
      <c r="M1843" s="7" t="s">
        <v>638</v>
      </c>
      <c r="O1843" s="17" t="s">
        <v>682</v>
      </c>
      <c r="P1843" s="7">
        <f t="shared" si="157"/>
        <v>9</v>
      </c>
      <c r="Q1843" s="7">
        <f t="shared" si="153"/>
        <v>2025</v>
      </c>
    </row>
    <row r="1844" spans="1:17" x14ac:dyDescent="0.25">
      <c r="A1844" s="7">
        <v>2545</v>
      </c>
      <c r="B1844" s="9" t="s">
        <v>636</v>
      </c>
      <c r="C1844" s="9" t="s">
        <v>636</v>
      </c>
      <c r="D1844" s="8">
        <v>45912</v>
      </c>
      <c r="E1844" s="7" t="s">
        <v>60</v>
      </c>
      <c r="F1844" s="7">
        <v>1</v>
      </c>
      <c r="G1844" s="7" t="s">
        <v>15</v>
      </c>
      <c r="J1844" s="7">
        <f t="shared" si="154"/>
        <v>1900</v>
      </c>
      <c r="K1844" s="7">
        <f t="shared" si="155"/>
        <v>1</v>
      </c>
      <c r="L1844" s="7">
        <f t="shared" si="156"/>
        <v>45912</v>
      </c>
      <c r="M1844" s="7" t="s">
        <v>638</v>
      </c>
      <c r="O1844" s="17" t="s">
        <v>682</v>
      </c>
      <c r="P1844" s="7">
        <f t="shared" si="157"/>
        <v>9</v>
      </c>
      <c r="Q1844" s="7">
        <f t="shared" si="153"/>
        <v>2025</v>
      </c>
    </row>
    <row r="1845" spans="1:17" x14ac:dyDescent="0.25">
      <c r="A1845" s="7">
        <v>2545</v>
      </c>
      <c r="B1845" s="9" t="s">
        <v>636</v>
      </c>
      <c r="C1845" s="9" t="s">
        <v>636</v>
      </c>
      <c r="D1845" s="8">
        <v>45912</v>
      </c>
      <c r="E1845" s="7" t="s">
        <v>60</v>
      </c>
      <c r="F1845" s="7">
        <v>1</v>
      </c>
      <c r="G1845" s="7" t="s">
        <v>15</v>
      </c>
      <c r="J1845" s="7">
        <f t="shared" si="154"/>
        <v>1900</v>
      </c>
      <c r="K1845" s="7">
        <f t="shared" si="155"/>
        <v>1</v>
      </c>
      <c r="L1845" s="7">
        <f t="shared" si="156"/>
        <v>45912</v>
      </c>
      <c r="M1845" s="7" t="s">
        <v>638</v>
      </c>
      <c r="O1845" s="17" t="s">
        <v>682</v>
      </c>
      <c r="P1845" s="7">
        <f t="shared" si="157"/>
        <v>9</v>
      </c>
      <c r="Q1845" s="7">
        <f t="shared" ref="Q1845:Q1908" si="158">YEAR(D1845)</f>
        <v>2025</v>
      </c>
    </row>
    <row r="1846" spans="1:17" x14ac:dyDescent="0.25">
      <c r="A1846" s="7">
        <v>2545</v>
      </c>
      <c r="B1846" s="9" t="s">
        <v>636</v>
      </c>
      <c r="C1846" s="9" t="s">
        <v>636</v>
      </c>
      <c r="D1846" s="8">
        <v>45912</v>
      </c>
      <c r="E1846" s="7" t="s">
        <v>60</v>
      </c>
      <c r="F1846" s="7">
        <v>1</v>
      </c>
      <c r="G1846" s="7" t="s">
        <v>15</v>
      </c>
      <c r="J1846" s="7">
        <f t="shared" si="154"/>
        <v>1900</v>
      </c>
      <c r="K1846" s="7">
        <f t="shared" si="155"/>
        <v>1</v>
      </c>
      <c r="L1846" s="7">
        <f t="shared" si="156"/>
        <v>45912</v>
      </c>
      <c r="M1846" s="7" t="s">
        <v>638</v>
      </c>
      <c r="O1846" s="17" t="s">
        <v>682</v>
      </c>
      <c r="P1846" s="7">
        <f t="shared" si="157"/>
        <v>9</v>
      </c>
      <c r="Q1846" s="7">
        <f t="shared" si="158"/>
        <v>2025</v>
      </c>
    </row>
    <row r="1847" spans="1:17" x14ac:dyDescent="0.25">
      <c r="A1847" s="7">
        <v>2545</v>
      </c>
      <c r="B1847" s="9" t="s">
        <v>636</v>
      </c>
      <c r="C1847" s="9" t="s">
        <v>636</v>
      </c>
      <c r="D1847" s="8">
        <v>45912</v>
      </c>
      <c r="E1847" s="7" t="s">
        <v>60</v>
      </c>
      <c r="F1847" s="7">
        <v>1</v>
      </c>
      <c r="G1847" s="7" t="s">
        <v>15</v>
      </c>
      <c r="J1847" s="7">
        <f t="shared" si="154"/>
        <v>1900</v>
      </c>
      <c r="K1847" s="7">
        <f t="shared" si="155"/>
        <v>1</v>
      </c>
      <c r="L1847" s="7">
        <f t="shared" si="156"/>
        <v>45912</v>
      </c>
      <c r="M1847" s="7" t="s">
        <v>638</v>
      </c>
      <c r="O1847" s="17" t="s">
        <v>682</v>
      </c>
      <c r="P1847" s="7">
        <f t="shared" si="157"/>
        <v>9</v>
      </c>
      <c r="Q1847" s="7">
        <f t="shared" si="158"/>
        <v>2025</v>
      </c>
    </row>
    <row r="1848" spans="1:17" x14ac:dyDescent="0.25">
      <c r="A1848" s="7">
        <v>2545</v>
      </c>
      <c r="B1848" s="9" t="s">
        <v>636</v>
      </c>
      <c r="C1848" s="9" t="s">
        <v>636</v>
      </c>
      <c r="D1848" s="8">
        <v>45912</v>
      </c>
      <c r="E1848" s="7" t="s">
        <v>60</v>
      </c>
      <c r="F1848" s="7">
        <v>1</v>
      </c>
      <c r="G1848" s="7" t="s">
        <v>15</v>
      </c>
      <c r="J1848" s="7">
        <f t="shared" si="154"/>
        <v>1900</v>
      </c>
      <c r="K1848" s="7">
        <f t="shared" si="155"/>
        <v>1</v>
      </c>
      <c r="L1848" s="7">
        <f t="shared" si="156"/>
        <v>45912</v>
      </c>
      <c r="M1848" s="7" t="s">
        <v>638</v>
      </c>
      <c r="O1848" s="17" t="s">
        <v>682</v>
      </c>
      <c r="P1848" s="7">
        <f t="shared" si="157"/>
        <v>9</v>
      </c>
      <c r="Q1848" s="7">
        <f t="shared" si="158"/>
        <v>2025</v>
      </c>
    </row>
    <row r="1849" spans="1:17" x14ac:dyDescent="0.25">
      <c r="A1849" s="7">
        <v>2545</v>
      </c>
      <c r="B1849" s="9" t="s">
        <v>636</v>
      </c>
      <c r="C1849" s="9" t="s">
        <v>636</v>
      </c>
      <c r="D1849" s="8">
        <v>45912</v>
      </c>
      <c r="E1849" s="7" t="s">
        <v>60</v>
      </c>
      <c r="F1849" s="7">
        <v>1</v>
      </c>
      <c r="G1849" s="7" t="s">
        <v>15</v>
      </c>
      <c r="J1849" s="7">
        <f t="shared" si="154"/>
        <v>1900</v>
      </c>
      <c r="K1849" s="7">
        <f t="shared" si="155"/>
        <v>1</v>
      </c>
      <c r="L1849" s="7">
        <f t="shared" si="156"/>
        <v>45912</v>
      </c>
      <c r="M1849" s="7" t="s">
        <v>638</v>
      </c>
      <c r="O1849" s="17" t="s">
        <v>682</v>
      </c>
      <c r="P1849" s="7">
        <f t="shared" si="157"/>
        <v>9</v>
      </c>
      <c r="Q1849" s="7">
        <f t="shared" si="158"/>
        <v>2025</v>
      </c>
    </row>
    <row r="1850" spans="1:17" x14ac:dyDescent="0.25">
      <c r="A1850" s="7">
        <v>2545</v>
      </c>
      <c r="B1850" s="9" t="s">
        <v>636</v>
      </c>
      <c r="C1850" s="9" t="s">
        <v>636</v>
      </c>
      <c r="D1850" s="8">
        <v>45912</v>
      </c>
      <c r="E1850" s="7" t="s">
        <v>60</v>
      </c>
      <c r="F1850" s="7">
        <v>1</v>
      </c>
      <c r="G1850" s="7" t="s">
        <v>15</v>
      </c>
      <c r="J1850" s="7">
        <f t="shared" si="154"/>
        <v>1900</v>
      </c>
      <c r="K1850" s="7">
        <f t="shared" si="155"/>
        <v>1</v>
      </c>
      <c r="L1850" s="7">
        <f t="shared" si="156"/>
        <v>45912</v>
      </c>
      <c r="M1850" s="7" t="s">
        <v>638</v>
      </c>
      <c r="O1850" s="17" t="s">
        <v>682</v>
      </c>
      <c r="P1850" s="7">
        <f t="shared" si="157"/>
        <v>9</v>
      </c>
      <c r="Q1850" s="7">
        <f t="shared" si="158"/>
        <v>2025</v>
      </c>
    </row>
    <row r="1851" spans="1:17" x14ac:dyDescent="0.25">
      <c r="A1851" s="7">
        <v>2545</v>
      </c>
      <c r="B1851" s="9" t="s">
        <v>636</v>
      </c>
      <c r="C1851" s="9" t="s">
        <v>636</v>
      </c>
      <c r="D1851" s="8">
        <v>45912</v>
      </c>
      <c r="E1851" s="7" t="s">
        <v>60</v>
      </c>
      <c r="F1851" s="7">
        <v>1</v>
      </c>
      <c r="G1851" s="7" t="s">
        <v>15</v>
      </c>
      <c r="J1851" s="7">
        <f t="shared" si="154"/>
        <v>1900</v>
      </c>
      <c r="K1851" s="7">
        <f t="shared" si="155"/>
        <v>1</v>
      </c>
      <c r="L1851" s="7">
        <f t="shared" si="156"/>
        <v>45912</v>
      </c>
      <c r="M1851" s="7" t="s">
        <v>638</v>
      </c>
      <c r="O1851" s="17" t="s">
        <v>682</v>
      </c>
      <c r="P1851" s="7">
        <f t="shared" si="157"/>
        <v>9</v>
      </c>
      <c r="Q1851" s="7">
        <f t="shared" si="158"/>
        <v>2025</v>
      </c>
    </row>
    <row r="1852" spans="1:17" x14ac:dyDescent="0.25">
      <c r="A1852" s="7">
        <v>2545</v>
      </c>
      <c r="B1852" s="9" t="s">
        <v>636</v>
      </c>
      <c r="C1852" s="9" t="s">
        <v>636</v>
      </c>
      <c r="D1852" s="8">
        <v>45912</v>
      </c>
      <c r="E1852" s="7" t="s">
        <v>60</v>
      </c>
      <c r="F1852" s="7">
        <v>1</v>
      </c>
      <c r="G1852" s="7" t="s">
        <v>15</v>
      </c>
      <c r="J1852" s="7">
        <f t="shared" si="154"/>
        <v>1900</v>
      </c>
      <c r="K1852" s="7">
        <f t="shared" si="155"/>
        <v>1</v>
      </c>
      <c r="L1852" s="7">
        <f t="shared" si="156"/>
        <v>45912</v>
      </c>
      <c r="M1852" s="7" t="s">
        <v>638</v>
      </c>
      <c r="O1852" s="17" t="s">
        <v>682</v>
      </c>
      <c r="P1852" s="7">
        <f t="shared" si="157"/>
        <v>9</v>
      </c>
      <c r="Q1852" s="7">
        <f t="shared" si="158"/>
        <v>2025</v>
      </c>
    </row>
    <row r="1853" spans="1:17" x14ac:dyDescent="0.25">
      <c r="A1853" s="7">
        <v>2545</v>
      </c>
      <c r="B1853" s="9" t="s">
        <v>636</v>
      </c>
      <c r="C1853" s="9" t="s">
        <v>636</v>
      </c>
      <c r="D1853" s="8">
        <v>45912</v>
      </c>
      <c r="E1853" s="7" t="s">
        <v>60</v>
      </c>
      <c r="F1853" s="7">
        <v>1</v>
      </c>
      <c r="G1853" s="7" t="s">
        <v>15</v>
      </c>
      <c r="J1853" s="7">
        <f t="shared" si="154"/>
        <v>1900</v>
      </c>
      <c r="K1853" s="7">
        <f t="shared" si="155"/>
        <v>1</v>
      </c>
      <c r="L1853" s="7">
        <f t="shared" si="156"/>
        <v>45912</v>
      </c>
      <c r="M1853" s="7" t="s">
        <v>638</v>
      </c>
      <c r="O1853" s="17" t="s">
        <v>682</v>
      </c>
      <c r="P1853" s="7">
        <f t="shared" si="157"/>
        <v>9</v>
      </c>
      <c r="Q1853" s="7">
        <f t="shared" si="158"/>
        <v>2025</v>
      </c>
    </row>
    <row r="1854" spans="1:17" x14ac:dyDescent="0.25">
      <c r="A1854" s="7">
        <v>2545</v>
      </c>
      <c r="B1854" s="9" t="s">
        <v>636</v>
      </c>
      <c r="C1854" s="9" t="s">
        <v>636</v>
      </c>
      <c r="D1854" s="8">
        <v>45912</v>
      </c>
      <c r="E1854" s="7" t="s">
        <v>60</v>
      </c>
      <c r="F1854" s="7">
        <v>1</v>
      </c>
      <c r="G1854" s="7" t="s">
        <v>15</v>
      </c>
      <c r="J1854" s="7">
        <f t="shared" si="154"/>
        <v>1900</v>
      </c>
      <c r="K1854" s="7">
        <f t="shared" si="155"/>
        <v>1</v>
      </c>
      <c r="L1854" s="7">
        <f t="shared" si="156"/>
        <v>45912</v>
      </c>
      <c r="M1854" s="7" t="s">
        <v>638</v>
      </c>
      <c r="O1854" s="17" t="s">
        <v>682</v>
      </c>
      <c r="P1854" s="7">
        <f t="shared" si="157"/>
        <v>9</v>
      </c>
      <c r="Q1854" s="7">
        <f t="shared" si="158"/>
        <v>2025</v>
      </c>
    </row>
    <row r="1855" spans="1:17" x14ac:dyDescent="0.25">
      <c r="A1855" s="7">
        <v>2545</v>
      </c>
      <c r="B1855" s="9" t="s">
        <v>636</v>
      </c>
      <c r="C1855" s="9" t="s">
        <v>636</v>
      </c>
      <c r="D1855" s="8">
        <v>45912</v>
      </c>
      <c r="E1855" s="7" t="s">
        <v>60</v>
      </c>
      <c r="F1855" s="7">
        <v>1</v>
      </c>
      <c r="G1855" s="7" t="s">
        <v>15</v>
      </c>
      <c r="J1855" s="7">
        <f t="shared" si="154"/>
        <v>1900</v>
      </c>
      <c r="K1855" s="7">
        <f t="shared" si="155"/>
        <v>1</v>
      </c>
      <c r="L1855" s="7">
        <f t="shared" si="156"/>
        <v>45912</v>
      </c>
      <c r="M1855" s="7" t="s">
        <v>638</v>
      </c>
      <c r="O1855" s="17" t="s">
        <v>682</v>
      </c>
      <c r="P1855" s="7">
        <f t="shared" si="157"/>
        <v>9</v>
      </c>
      <c r="Q1855" s="7">
        <f t="shared" si="158"/>
        <v>2025</v>
      </c>
    </row>
    <row r="1856" spans="1:17" x14ac:dyDescent="0.25">
      <c r="A1856" s="7">
        <v>2545</v>
      </c>
      <c r="B1856" s="9" t="s">
        <v>636</v>
      </c>
      <c r="C1856" s="9" t="s">
        <v>636</v>
      </c>
      <c r="D1856" s="8">
        <v>45912</v>
      </c>
      <c r="E1856" s="7" t="s">
        <v>60</v>
      </c>
      <c r="F1856" s="7">
        <v>1</v>
      </c>
      <c r="G1856" s="7" t="s">
        <v>15</v>
      </c>
      <c r="J1856" s="7">
        <f t="shared" si="154"/>
        <v>1900</v>
      </c>
      <c r="K1856" s="7">
        <f t="shared" si="155"/>
        <v>1</v>
      </c>
      <c r="L1856" s="7">
        <f t="shared" si="156"/>
        <v>45912</v>
      </c>
      <c r="M1856" s="7" t="s">
        <v>638</v>
      </c>
      <c r="O1856" s="17" t="s">
        <v>682</v>
      </c>
      <c r="P1856" s="7">
        <f t="shared" si="157"/>
        <v>9</v>
      </c>
      <c r="Q1856" s="7">
        <f t="shared" si="158"/>
        <v>2025</v>
      </c>
    </row>
    <row r="1857" spans="1:17" x14ac:dyDescent="0.25">
      <c r="A1857" s="7">
        <v>2545</v>
      </c>
      <c r="B1857" s="9" t="s">
        <v>636</v>
      </c>
      <c r="C1857" s="9" t="s">
        <v>636</v>
      </c>
      <c r="D1857" s="8">
        <v>45912</v>
      </c>
      <c r="E1857" s="7" t="s">
        <v>60</v>
      </c>
      <c r="F1857" s="7">
        <v>1</v>
      </c>
      <c r="G1857" s="7" t="s">
        <v>15</v>
      </c>
      <c r="J1857" s="7">
        <f t="shared" si="154"/>
        <v>1900</v>
      </c>
      <c r="K1857" s="7">
        <f t="shared" si="155"/>
        <v>1</v>
      </c>
      <c r="L1857" s="7">
        <f t="shared" si="156"/>
        <v>45912</v>
      </c>
      <c r="M1857" s="7" t="s">
        <v>638</v>
      </c>
      <c r="O1857" s="17" t="s">
        <v>682</v>
      </c>
      <c r="P1857" s="7">
        <f t="shared" si="157"/>
        <v>9</v>
      </c>
      <c r="Q1857" s="7">
        <f t="shared" si="158"/>
        <v>2025</v>
      </c>
    </row>
    <row r="1858" spans="1:17" x14ac:dyDescent="0.25">
      <c r="A1858" s="7">
        <v>2545</v>
      </c>
      <c r="B1858" s="9" t="s">
        <v>636</v>
      </c>
      <c r="C1858" s="9" t="s">
        <v>636</v>
      </c>
      <c r="D1858" s="8">
        <v>45912</v>
      </c>
      <c r="E1858" s="7" t="s">
        <v>60</v>
      </c>
      <c r="F1858" s="7">
        <v>1</v>
      </c>
      <c r="G1858" s="7" t="s">
        <v>15</v>
      </c>
      <c r="J1858" s="7">
        <f t="shared" si="154"/>
        <v>1900</v>
      </c>
      <c r="K1858" s="7">
        <f t="shared" si="155"/>
        <v>1</v>
      </c>
      <c r="L1858" s="7">
        <f t="shared" si="156"/>
        <v>45912</v>
      </c>
      <c r="M1858" s="7" t="s">
        <v>638</v>
      </c>
      <c r="O1858" s="17" t="s">
        <v>682</v>
      </c>
      <c r="P1858" s="7">
        <f t="shared" si="157"/>
        <v>9</v>
      </c>
      <c r="Q1858" s="7">
        <f t="shared" si="158"/>
        <v>2025</v>
      </c>
    </row>
    <row r="1859" spans="1:17" x14ac:dyDescent="0.25">
      <c r="A1859" s="7">
        <v>2545</v>
      </c>
      <c r="B1859" s="9" t="s">
        <v>636</v>
      </c>
      <c r="C1859" s="9" t="s">
        <v>636</v>
      </c>
      <c r="D1859" s="8">
        <v>45912</v>
      </c>
      <c r="E1859" s="7" t="s">
        <v>60</v>
      </c>
      <c r="F1859" s="7">
        <v>1</v>
      </c>
      <c r="G1859" s="7" t="s">
        <v>15</v>
      </c>
      <c r="J1859" s="7">
        <f t="shared" si="154"/>
        <v>1900</v>
      </c>
      <c r="K1859" s="7">
        <f t="shared" si="155"/>
        <v>1</v>
      </c>
      <c r="L1859" s="7">
        <f t="shared" si="156"/>
        <v>45912</v>
      </c>
      <c r="M1859" s="7" t="s">
        <v>638</v>
      </c>
      <c r="O1859" s="17" t="s">
        <v>682</v>
      </c>
      <c r="P1859" s="7">
        <f t="shared" si="157"/>
        <v>9</v>
      </c>
      <c r="Q1859" s="7">
        <f t="shared" si="158"/>
        <v>2025</v>
      </c>
    </row>
    <row r="1860" spans="1:17" x14ac:dyDescent="0.25">
      <c r="A1860" s="7">
        <v>2545</v>
      </c>
      <c r="B1860" s="9" t="s">
        <v>636</v>
      </c>
      <c r="C1860" s="9" t="s">
        <v>636</v>
      </c>
      <c r="D1860" s="8">
        <v>45912</v>
      </c>
      <c r="E1860" s="7" t="s">
        <v>60</v>
      </c>
      <c r="F1860" s="7">
        <v>1</v>
      </c>
      <c r="G1860" s="7" t="s">
        <v>15</v>
      </c>
      <c r="J1860" s="7">
        <f t="shared" si="154"/>
        <v>1900</v>
      </c>
      <c r="K1860" s="7">
        <f t="shared" si="155"/>
        <v>1</v>
      </c>
      <c r="L1860" s="7">
        <f t="shared" si="156"/>
        <v>45912</v>
      </c>
      <c r="M1860" s="7" t="s">
        <v>638</v>
      </c>
      <c r="O1860" s="17" t="s">
        <v>682</v>
      </c>
      <c r="P1860" s="7">
        <f t="shared" si="157"/>
        <v>9</v>
      </c>
      <c r="Q1860" s="7">
        <f t="shared" si="158"/>
        <v>2025</v>
      </c>
    </row>
    <row r="1861" spans="1:17" x14ac:dyDescent="0.25">
      <c r="A1861" s="7">
        <v>2545</v>
      </c>
      <c r="B1861" s="9" t="s">
        <v>636</v>
      </c>
      <c r="C1861" s="9" t="s">
        <v>636</v>
      </c>
      <c r="D1861" s="8">
        <v>45912</v>
      </c>
      <c r="E1861" s="7" t="s">
        <v>60</v>
      </c>
      <c r="F1861" s="7">
        <v>1</v>
      </c>
      <c r="G1861" s="7" t="s">
        <v>15</v>
      </c>
      <c r="J1861" s="7">
        <f t="shared" si="154"/>
        <v>1900</v>
      </c>
      <c r="K1861" s="7">
        <f t="shared" si="155"/>
        <v>1</v>
      </c>
      <c r="L1861" s="7">
        <f t="shared" si="156"/>
        <v>45912</v>
      </c>
      <c r="M1861" s="7" t="s">
        <v>638</v>
      </c>
      <c r="O1861" s="17" t="s">
        <v>682</v>
      </c>
      <c r="P1861" s="7">
        <f t="shared" si="157"/>
        <v>9</v>
      </c>
      <c r="Q1861" s="7">
        <f t="shared" si="158"/>
        <v>2025</v>
      </c>
    </row>
    <row r="1862" spans="1:17" x14ac:dyDescent="0.25">
      <c r="A1862" s="7">
        <v>2545</v>
      </c>
      <c r="B1862" s="9" t="s">
        <v>636</v>
      </c>
      <c r="C1862" s="9" t="s">
        <v>636</v>
      </c>
      <c r="D1862" s="8">
        <v>45912</v>
      </c>
      <c r="E1862" s="7" t="s">
        <v>60</v>
      </c>
      <c r="F1862" s="7">
        <v>1</v>
      </c>
      <c r="G1862" s="7" t="s">
        <v>15</v>
      </c>
      <c r="J1862" s="7">
        <f t="shared" si="154"/>
        <v>1900</v>
      </c>
      <c r="K1862" s="7">
        <f t="shared" si="155"/>
        <v>1</v>
      </c>
      <c r="L1862" s="7">
        <f t="shared" si="156"/>
        <v>45912</v>
      </c>
      <c r="M1862" s="7" t="s">
        <v>638</v>
      </c>
      <c r="O1862" s="17" t="s">
        <v>682</v>
      </c>
      <c r="P1862" s="7">
        <f t="shared" si="157"/>
        <v>9</v>
      </c>
      <c r="Q1862" s="7">
        <f t="shared" si="158"/>
        <v>2025</v>
      </c>
    </row>
    <row r="1863" spans="1:17" x14ac:dyDescent="0.25">
      <c r="A1863" s="7">
        <v>2545</v>
      </c>
      <c r="B1863" s="9" t="s">
        <v>636</v>
      </c>
      <c r="C1863" s="9" t="s">
        <v>636</v>
      </c>
      <c r="D1863" s="8">
        <v>45912</v>
      </c>
      <c r="E1863" s="7" t="s">
        <v>60</v>
      </c>
      <c r="F1863" s="7">
        <v>1</v>
      </c>
      <c r="G1863" s="7" t="s">
        <v>15</v>
      </c>
      <c r="J1863" s="7">
        <f t="shared" si="154"/>
        <v>1900</v>
      </c>
      <c r="K1863" s="7">
        <f t="shared" si="155"/>
        <v>1</v>
      </c>
      <c r="L1863" s="7">
        <f t="shared" si="156"/>
        <v>45912</v>
      </c>
      <c r="M1863" s="7" t="s">
        <v>638</v>
      </c>
      <c r="O1863" s="17" t="s">
        <v>682</v>
      </c>
      <c r="P1863" s="7">
        <f t="shared" si="157"/>
        <v>9</v>
      </c>
      <c r="Q1863" s="7">
        <f t="shared" si="158"/>
        <v>2025</v>
      </c>
    </row>
    <row r="1864" spans="1:17" x14ac:dyDescent="0.25">
      <c r="A1864" s="7">
        <v>2545</v>
      </c>
      <c r="B1864" s="9" t="s">
        <v>636</v>
      </c>
      <c r="C1864" s="9" t="s">
        <v>636</v>
      </c>
      <c r="D1864" s="8">
        <v>45912</v>
      </c>
      <c r="E1864" s="7" t="s">
        <v>60</v>
      </c>
      <c r="F1864" s="7">
        <v>1</v>
      </c>
      <c r="G1864" s="7" t="s">
        <v>15</v>
      </c>
      <c r="J1864" s="7">
        <f t="shared" si="154"/>
        <v>1900</v>
      </c>
      <c r="K1864" s="7">
        <f t="shared" si="155"/>
        <v>1</v>
      </c>
      <c r="L1864" s="7">
        <f t="shared" si="156"/>
        <v>45912</v>
      </c>
      <c r="M1864" s="7" t="s">
        <v>638</v>
      </c>
      <c r="O1864" s="17" t="s">
        <v>682</v>
      </c>
      <c r="P1864" s="7">
        <f t="shared" si="157"/>
        <v>9</v>
      </c>
      <c r="Q1864" s="7">
        <f t="shared" si="158"/>
        <v>2025</v>
      </c>
    </row>
    <row r="1865" spans="1:17" x14ac:dyDescent="0.25">
      <c r="A1865" s="7">
        <v>2545</v>
      </c>
      <c r="B1865" s="9" t="s">
        <v>636</v>
      </c>
      <c r="C1865" s="9" t="s">
        <v>636</v>
      </c>
      <c r="D1865" s="8">
        <v>45912</v>
      </c>
      <c r="E1865" s="7" t="s">
        <v>60</v>
      </c>
      <c r="F1865" s="7">
        <v>1</v>
      </c>
      <c r="G1865" s="7" t="s">
        <v>15</v>
      </c>
      <c r="J1865" s="7">
        <f t="shared" si="154"/>
        <v>1900</v>
      </c>
      <c r="K1865" s="7">
        <f t="shared" si="155"/>
        <v>1</v>
      </c>
      <c r="L1865" s="7">
        <f t="shared" si="156"/>
        <v>45912</v>
      </c>
      <c r="M1865" s="7" t="s">
        <v>638</v>
      </c>
      <c r="O1865" s="17" t="s">
        <v>682</v>
      </c>
      <c r="P1865" s="7">
        <f t="shared" si="157"/>
        <v>9</v>
      </c>
      <c r="Q1865" s="7">
        <f t="shared" si="158"/>
        <v>2025</v>
      </c>
    </row>
    <row r="1866" spans="1:17" x14ac:dyDescent="0.25">
      <c r="A1866" s="7">
        <v>2545</v>
      </c>
      <c r="B1866" s="9" t="s">
        <v>636</v>
      </c>
      <c r="C1866" s="9" t="s">
        <v>636</v>
      </c>
      <c r="D1866" s="8">
        <v>45912</v>
      </c>
      <c r="E1866" s="7" t="s">
        <v>60</v>
      </c>
      <c r="F1866" s="7">
        <v>1</v>
      </c>
      <c r="G1866" s="7" t="s">
        <v>15</v>
      </c>
      <c r="J1866" s="7">
        <f t="shared" si="154"/>
        <v>1900</v>
      </c>
      <c r="K1866" s="7">
        <f t="shared" si="155"/>
        <v>1</v>
      </c>
      <c r="L1866" s="7">
        <f t="shared" si="156"/>
        <v>45912</v>
      </c>
      <c r="M1866" s="7" t="s">
        <v>638</v>
      </c>
      <c r="O1866" s="17" t="s">
        <v>682</v>
      </c>
      <c r="P1866" s="7">
        <f t="shared" si="157"/>
        <v>9</v>
      </c>
      <c r="Q1866" s="7">
        <f t="shared" si="158"/>
        <v>2025</v>
      </c>
    </row>
    <row r="1867" spans="1:17" x14ac:dyDescent="0.25">
      <c r="A1867" s="7">
        <v>2545</v>
      </c>
      <c r="B1867" s="9" t="s">
        <v>636</v>
      </c>
      <c r="C1867" s="9" t="s">
        <v>636</v>
      </c>
      <c r="D1867" s="8">
        <v>45912</v>
      </c>
      <c r="E1867" s="7" t="s">
        <v>60</v>
      </c>
      <c r="F1867" s="7">
        <v>1</v>
      </c>
      <c r="G1867" s="7" t="s">
        <v>15</v>
      </c>
      <c r="J1867" s="7">
        <f t="shared" si="154"/>
        <v>1900</v>
      </c>
      <c r="K1867" s="7">
        <f t="shared" si="155"/>
        <v>1</v>
      </c>
      <c r="L1867" s="7">
        <f t="shared" si="156"/>
        <v>45912</v>
      </c>
      <c r="M1867" s="7" t="s">
        <v>638</v>
      </c>
      <c r="O1867" s="17" t="s">
        <v>682</v>
      </c>
      <c r="P1867" s="7">
        <f t="shared" si="157"/>
        <v>9</v>
      </c>
      <c r="Q1867" s="7">
        <f t="shared" si="158"/>
        <v>2025</v>
      </c>
    </row>
    <row r="1868" spans="1:17" x14ac:dyDescent="0.25">
      <c r="A1868" s="7">
        <v>2545</v>
      </c>
      <c r="B1868" s="9" t="s">
        <v>636</v>
      </c>
      <c r="C1868" s="9" t="s">
        <v>636</v>
      </c>
      <c r="D1868" s="8">
        <v>45912</v>
      </c>
      <c r="E1868" s="7" t="s">
        <v>60</v>
      </c>
      <c r="F1868" s="7">
        <v>1</v>
      </c>
      <c r="G1868" s="7" t="s">
        <v>15</v>
      </c>
      <c r="J1868" s="7">
        <f t="shared" si="154"/>
        <v>1900</v>
      </c>
      <c r="K1868" s="7">
        <f t="shared" si="155"/>
        <v>1</v>
      </c>
      <c r="L1868" s="7">
        <f t="shared" si="156"/>
        <v>45912</v>
      </c>
      <c r="M1868" s="7" t="s">
        <v>638</v>
      </c>
      <c r="O1868" s="17" t="s">
        <v>682</v>
      </c>
      <c r="P1868" s="7">
        <f t="shared" si="157"/>
        <v>9</v>
      </c>
      <c r="Q1868" s="7">
        <f t="shared" si="158"/>
        <v>2025</v>
      </c>
    </row>
    <row r="1869" spans="1:17" x14ac:dyDescent="0.25">
      <c r="A1869" s="7">
        <v>2545</v>
      </c>
      <c r="B1869" s="9" t="s">
        <v>636</v>
      </c>
      <c r="C1869" s="9" t="s">
        <v>636</v>
      </c>
      <c r="D1869" s="8">
        <v>45912</v>
      </c>
      <c r="E1869" s="7" t="s">
        <v>60</v>
      </c>
      <c r="F1869" s="7">
        <v>1</v>
      </c>
      <c r="G1869" s="7" t="s">
        <v>15</v>
      </c>
      <c r="J1869" s="7">
        <f t="shared" si="154"/>
        <v>1900</v>
      </c>
      <c r="K1869" s="7">
        <f t="shared" si="155"/>
        <v>1</v>
      </c>
      <c r="L1869" s="7">
        <f t="shared" si="156"/>
        <v>45912</v>
      </c>
      <c r="M1869" s="7" t="s">
        <v>638</v>
      </c>
      <c r="O1869" s="17" t="s">
        <v>682</v>
      </c>
      <c r="P1869" s="7">
        <f t="shared" si="157"/>
        <v>9</v>
      </c>
      <c r="Q1869" s="7">
        <f t="shared" si="158"/>
        <v>2025</v>
      </c>
    </row>
    <row r="1870" spans="1:17" x14ac:dyDescent="0.25">
      <c r="A1870" s="7">
        <v>2545</v>
      </c>
      <c r="B1870" s="9" t="s">
        <v>636</v>
      </c>
      <c r="C1870" s="9" t="s">
        <v>636</v>
      </c>
      <c r="D1870" s="8">
        <v>45912</v>
      </c>
      <c r="E1870" s="7" t="s">
        <v>60</v>
      </c>
      <c r="F1870" s="7">
        <v>1</v>
      </c>
      <c r="G1870" s="7" t="s">
        <v>15</v>
      </c>
      <c r="J1870" s="7">
        <f t="shared" ref="J1870:J1933" si="159">YEAR(I1870)</f>
        <v>1900</v>
      </c>
      <c r="K1870" s="7">
        <f t="shared" ref="K1870:K1933" si="160">MONTH(I1870)</f>
        <v>1</v>
      </c>
      <c r="L1870" s="7">
        <f t="shared" ref="L1870:L1933" si="161">D1870-I1870</f>
        <v>45912</v>
      </c>
      <c r="M1870" s="7" t="s">
        <v>638</v>
      </c>
      <c r="O1870" s="17" t="s">
        <v>682</v>
      </c>
      <c r="P1870" s="7">
        <f t="shared" si="157"/>
        <v>9</v>
      </c>
      <c r="Q1870" s="7">
        <f t="shared" si="158"/>
        <v>2025</v>
      </c>
    </row>
    <row r="1871" spans="1:17" x14ac:dyDescent="0.25">
      <c r="A1871" s="7">
        <v>2545</v>
      </c>
      <c r="B1871" s="9" t="s">
        <v>636</v>
      </c>
      <c r="C1871" s="9" t="s">
        <v>636</v>
      </c>
      <c r="D1871" s="8">
        <v>45912</v>
      </c>
      <c r="E1871" s="7" t="s">
        <v>60</v>
      </c>
      <c r="F1871" s="7">
        <v>1</v>
      </c>
      <c r="G1871" s="7" t="s">
        <v>15</v>
      </c>
      <c r="J1871" s="7">
        <f t="shared" si="159"/>
        <v>1900</v>
      </c>
      <c r="K1871" s="7">
        <f t="shared" si="160"/>
        <v>1</v>
      </c>
      <c r="L1871" s="7">
        <f t="shared" si="161"/>
        <v>45912</v>
      </c>
      <c r="M1871" s="7" t="s">
        <v>638</v>
      </c>
      <c r="O1871" s="17" t="s">
        <v>682</v>
      </c>
      <c r="P1871" s="7">
        <f t="shared" si="157"/>
        <v>9</v>
      </c>
      <c r="Q1871" s="7">
        <f t="shared" si="158"/>
        <v>2025</v>
      </c>
    </row>
    <row r="1872" spans="1:17" x14ac:dyDescent="0.25">
      <c r="A1872" s="7">
        <v>2545</v>
      </c>
      <c r="B1872" s="9" t="s">
        <v>636</v>
      </c>
      <c r="C1872" s="9" t="s">
        <v>636</v>
      </c>
      <c r="D1872" s="8">
        <v>45912</v>
      </c>
      <c r="E1872" s="7" t="s">
        <v>60</v>
      </c>
      <c r="F1872" s="7">
        <v>1</v>
      </c>
      <c r="G1872" s="7" t="s">
        <v>15</v>
      </c>
      <c r="J1872" s="7">
        <f t="shared" si="159"/>
        <v>1900</v>
      </c>
      <c r="K1872" s="7">
        <f t="shared" si="160"/>
        <v>1</v>
      </c>
      <c r="L1872" s="7">
        <f t="shared" si="161"/>
        <v>45912</v>
      </c>
      <c r="M1872" s="7" t="s">
        <v>638</v>
      </c>
      <c r="O1872" s="17" t="s">
        <v>682</v>
      </c>
      <c r="P1872" s="7">
        <f t="shared" si="157"/>
        <v>9</v>
      </c>
      <c r="Q1872" s="7">
        <f t="shared" si="158"/>
        <v>2025</v>
      </c>
    </row>
    <row r="1873" spans="1:17" x14ac:dyDescent="0.25">
      <c r="A1873" s="7">
        <v>2545</v>
      </c>
      <c r="B1873" s="9" t="s">
        <v>636</v>
      </c>
      <c r="C1873" s="9" t="s">
        <v>636</v>
      </c>
      <c r="D1873" s="8">
        <v>45912</v>
      </c>
      <c r="E1873" s="7" t="s">
        <v>60</v>
      </c>
      <c r="F1873" s="7">
        <v>1</v>
      </c>
      <c r="G1873" s="7" t="s">
        <v>15</v>
      </c>
      <c r="J1873" s="7">
        <f t="shared" si="159"/>
        <v>1900</v>
      </c>
      <c r="K1873" s="7">
        <f t="shared" si="160"/>
        <v>1</v>
      </c>
      <c r="L1873" s="7">
        <f t="shared" si="161"/>
        <v>45912</v>
      </c>
      <c r="M1873" s="7" t="s">
        <v>638</v>
      </c>
      <c r="O1873" s="17" t="s">
        <v>682</v>
      </c>
      <c r="P1873" s="7">
        <f t="shared" si="157"/>
        <v>9</v>
      </c>
      <c r="Q1873" s="7">
        <f t="shared" si="158"/>
        <v>2025</v>
      </c>
    </row>
    <row r="1874" spans="1:17" x14ac:dyDescent="0.25">
      <c r="A1874" s="7">
        <v>2545</v>
      </c>
      <c r="B1874" s="9" t="s">
        <v>636</v>
      </c>
      <c r="C1874" s="9" t="s">
        <v>636</v>
      </c>
      <c r="D1874" s="8">
        <v>45912</v>
      </c>
      <c r="E1874" s="7" t="s">
        <v>60</v>
      </c>
      <c r="F1874" s="7">
        <v>1</v>
      </c>
      <c r="G1874" s="7" t="s">
        <v>15</v>
      </c>
      <c r="J1874" s="7">
        <f t="shared" si="159"/>
        <v>1900</v>
      </c>
      <c r="K1874" s="7">
        <f t="shared" si="160"/>
        <v>1</v>
      </c>
      <c r="L1874" s="7">
        <f t="shared" si="161"/>
        <v>45912</v>
      </c>
      <c r="M1874" s="7" t="s">
        <v>638</v>
      </c>
      <c r="O1874" s="17" t="s">
        <v>682</v>
      </c>
      <c r="P1874" s="7">
        <f t="shared" si="157"/>
        <v>9</v>
      </c>
      <c r="Q1874" s="7">
        <f t="shared" si="158"/>
        <v>2025</v>
      </c>
    </row>
    <row r="1875" spans="1:17" x14ac:dyDescent="0.25">
      <c r="A1875" s="7">
        <v>2545</v>
      </c>
      <c r="B1875" s="9" t="s">
        <v>636</v>
      </c>
      <c r="C1875" s="9" t="s">
        <v>636</v>
      </c>
      <c r="D1875" s="8">
        <v>45912</v>
      </c>
      <c r="E1875" s="7" t="s">
        <v>60</v>
      </c>
      <c r="F1875" s="7">
        <v>1</v>
      </c>
      <c r="G1875" s="7" t="s">
        <v>15</v>
      </c>
      <c r="J1875" s="7">
        <f t="shared" si="159"/>
        <v>1900</v>
      </c>
      <c r="K1875" s="7">
        <f t="shared" si="160"/>
        <v>1</v>
      </c>
      <c r="L1875" s="7">
        <f t="shared" si="161"/>
        <v>45912</v>
      </c>
      <c r="M1875" s="7" t="s">
        <v>638</v>
      </c>
      <c r="O1875" s="17" t="s">
        <v>682</v>
      </c>
      <c r="P1875" s="7">
        <f t="shared" si="157"/>
        <v>9</v>
      </c>
      <c r="Q1875" s="7">
        <f t="shared" si="158"/>
        <v>2025</v>
      </c>
    </row>
    <row r="1876" spans="1:17" x14ac:dyDescent="0.25">
      <c r="A1876" s="7">
        <v>2545</v>
      </c>
      <c r="B1876" s="9" t="s">
        <v>636</v>
      </c>
      <c r="C1876" s="9" t="s">
        <v>636</v>
      </c>
      <c r="D1876" s="8">
        <v>45912</v>
      </c>
      <c r="E1876" s="7" t="s">
        <v>60</v>
      </c>
      <c r="F1876" s="7">
        <v>1</v>
      </c>
      <c r="G1876" s="7" t="s">
        <v>15</v>
      </c>
      <c r="J1876" s="7">
        <f t="shared" si="159"/>
        <v>1900</v>
      </c>
      <c r="K1876" s="7">
        <f t="shared" si="160"/>
        <v>1</v>
      </c>
      <c r="L1876" s="7">
        <f t="shared" si="161"/>
        <v>45912</v>
      </c>
      <c r="M1876" s="7" t="s">
        <v>638</v>
      </c>
      <c r="O1876" s="17" t="s">
        <v>682</v>
      </c>
      <c r="P1876" s="7">
        <f t="shared" si="157"/>
        <v>9</v>
      </c>
      <c r="Q1876" s="7">
        <f t="shared" si="158"/>
        <v>2025</v>
      </c>
    </row>
    <row r="1877" spans="1:17" x14ac:dyDescent="0.25">
      <c r="A1877" s="7">
        <v>2545</v>
      </c>
      <c r="B1877" s="9" t="s">
        <v>636</v>
      </c>
      <c r="C1877" s="9" t="s">
        <v>636</v>
      </c>
      <c r="D1877" s="8">
        <v>45912</v>
      </c>
      <c r="E1877" s="7" t="s">
        <v>60</v>
      </c>
      <c r="F1877" s="7">
        <v>1</v>
      </c>
      <c r="G1877" s="7" t="s">
        <v>15</v>
      </c>
      <c r="J1877" s="7">
        <f t="shared" si="159"/>
        <v>1900</v>
      </c>
      <c r="K1877" s="7">
        <f t="shared" si="160"/>
        <v>1</v>
      </c>
      <c r="L1877" s="7">
        <f t="shared" si="161"/>
        <v>45912</v>
      </c>
      <c r="M1877" s="7" t="s">
        <v>638</v>
      </c>
      <c r="O1877" s="17" t="s">
        <v>682</v>
      </c>
      <c r="P1877" s="7">
        <f t="shared" si="157"/>
        <v>9</v>
      </c>
      <c r="Q1877" s="7">
        <f t="shared" si="158"/>
        <v>2025</v>
      </c>
    </row>
    <row r="1878" spans="1:17" x14ac:dyDescent="0.25">
      <c r="A1878" s="7">
        <v>2545</v>
      </c>
      <c r="B1878" s="9" t="s">
        <v>636</v>
      </c>
      <c r="C1878" s="9" t="s">
        <v>636</v>
      </c>
      <c r="D1878" s="8">
        <v>45912</v>
      </c>
      <c r="E1878" s="7" t="s">
        <v>60</v>
      </c>
      <c r="F1878" s="7">
        <v>1</v>
      </c>
      <c r="G1878" s="7" t="s">
        <v>15</v>
      </c>
      <c r="J1878" s="7">
        <f t="shared" si="159"/>
        <v>1900</v>
      </c>
      <c r="K1878" s="7">
        <f t="shared" si="160"/>
        <v>1</v>
      </c>
      <c r="L1878" s="7">
        <f t="shared" si="161"/>
        <v>45912</v>
      </c>
      <c r="M1878" s="7" t="s">
        <v>638</v>
      </c>
      <c r="O1878" s="17" t="s">
        <v>682</v>
      </c>
      <c r="P1878" s="7">
        <f t="shared" si="157"/>
        <v>9</v>
      </c>
      <c r="Q1878" s="7">
        <f t="shared" si="158"/>
        <v>2025</v>
      </c>
    </row>
    <row r="1879" spans="1:17" x14ac:dyDescent="0.25">
      <c r="A1879" s="7">
        <v>2545</v>
      </c>
      <c r="B1879" s="9" t="s">
        <v>636</v>
      </c>
      <c r="C1879" s="9" t="s">
        <v>636</v>
      </c>
      <c r="D1879" s="8">
        <v>45912</v>
      </c>
      <c r="E1879" s="7" t="s">
        <v>60</v>
      </c>
      <c r="F1879" s="7">
        <v>1</v>
      </c>
      <c r="G1879" s="7" t="s">
        <v>15</v>
      </c>
      <c r="J1879" s="7">
        <f t="shared" si="159"/>
        <v>1900</v>
      </c>
      <c r="K1879" s="7">
        <f t="shared" si="160"/>
        <v>1</v>
      </c>
      <c r="L1879" s="7">
        <f t="shared" si="161"/>
        <v>45912</v>
      </c>
      <c r="M1879" s="7" t="s">
        <v>638</v>
      </c>
      <c r="O1879" s="17" t="s">
        <v>682</v>
      </c>
      <c r="P1879" s="7">
        <f t="shared" si="157"/>
        <v>9</v>
      </c>
      <c r="Q1879" s="7">
        <f t="shared" si="158"/>
        <v>2025</v>
      </c>
    </row>
    <row r="1880" spans="1:17" x14ac:dyDescent="0.25">
      <c r="A1880" s="7">
        <v>2545</v>
      </c>
      <c r="B1880" s="9" t="s">
        <v>636</v>
      </c>
      <c r="C1880" s="9" t="s">
        <v>636</v>
      </c>
      <c r="D1880" s="8">
        <v>45912</v>
      </c>
      <c r="E1880" s="7" t="s">
        <v>60</v>
      </c>
      <c r="F1880" s="7">
        <v>1</v>
      </c>
      <c r="G1880" s="7" t="s">
        <v>15</v>
      </c>
      <c r="J1880" s="7">
        <f t="shared" si="159"/>
        <v>1900</v>
      </c>
      <c r="K1880" s="7">
        <f t="shared" si="160"/>
        <v>1</v>
      </c>
      <c r="L1880" s="7">
        <f t="shared" si="161"/>
        <v>45912</v>
      </c>
      <c r="M1880" s="7" t="s">
        <v>638</v>
      </c>
      <c r="O1880" s="17" t="s">
        <v>682</v>
      </c>
      <c r="P1880" s="7">
        <f t="shared" si="157"/>
        <v>9</v>
      </c>
      <c r="Q1880" s="7">
        <f t="shared" si="158"/>
        <v>2025</v>
      </c>
    </row>
    <row r="1881" spans="1:17" x14ac:dyDescent="0.25">
      <c r="A1881" s="7">
        <v>2545</v>
      </c>
      <c r="B1881" s="9" t="s">
        <v>636</v>
      </c>
      <c r="C1881" s="9" t="s">
        <v>636</v>
      </c>
      <c r="D1881" s="8">
        <v>45912</v>
      </c>
      <c r="E1881" s="7" t="s">
        <v>60</v>
      </c>
      <c r="F1881" s="7">
        <v>1</v>
      </c>
      <c r="G1881" s="7" t="s">
        <v>15</v>
      </c>
      <c r="J1881" s="7">
        <f t="shared" si="159"/>
        <v>1900</v>
      </c>
      <c r="K1881" s="7">
        <f t="shared" si="160"/>
        <v>1</v>
      </c>
      <c r="L1881" s="7">
        <f t="shared" si="161"/>
        <v>45912</v>
      </c>
      <c r="M1881" s="7" t="s">
        <v>638</v>
      </c>
      <c r="O1881" s="17" t="s">
        <v>682</v>
      </c>
      <c r="P1881" s="7">
        <f t="shared" si="157"/>
        <v>9</v>
      </c>
      <c r="Q1881" s="7">
        <f t="shared" si="158"/>
        <v>2025</v>
      </c>
    </row>
    <row r="1882" spans="1:17" x14ac:dyDescent="0.25">
      <c r="A1882" s="7">
        <v>2545</v>
      </c>
      <c r="B1882" s="9" t="s">
        <v>636</v>
      </c>
      <c r="C1882" s="9" t="s">
        <v>636</v>
      </c>
      <c r="D1882" s="8">
        <v>45912</v>
      </c>
      <c r="E1882" s="7" t="s">
        <v>60</v>
      </c>
      <c r="F1882" s="7">
        <v>1</v>
      </c>
      <c r="G1882" s="7" t="s">
        <v>15</v>
      </c>
      <c r="J1882" s="7">
        <f t="shared" si="159"/>
        <v>1900</v>
      </c>
      <c r="K1882" s="7">
        <f t="shared" si="160"/>
        <v>1</v>
      </c>
      <c r="L1882" s="7">
        <f t="shared" si="161"/>
        <v>45912</v>
      </c>
      <c r="M1882" s="7" t="s">
        <v>638</v>
      </c>
      <c r="O1882" s="17" t="s">
        <v>682</v>
      </c>
      <c r="P1882" s="7">
        <f t="shared" si="157"/>
        <v>9</v>
      </c>
      <c r="Q1882" s="7">
        <f t="shared" si="158"/>
        <v>2025</v>
      </c>
    </row>
    <row r="1883" spans="1:17" x14ac:dyDescent="0.25">
      <c r="A1883" s="7">
        <v>2545</v>
      </c>
      <c r="B1883" s="9" t="s">
        <v>636</v>
      </c>
      <c r="C1883" s="9" t="s">
        <v>636</v>
      </c>
      <c r="D1883" s="8">
        <v>45912</v>
      </c>
      <c r="E1883" s="7" t="s">
        <v>60</v>
      </c>
      <c r="F1883" s="7">
        <v>1</v>
      </c>
      <c r="G1883" s="7" t="s">
        <v>15</v>
      </c>
      <c r="J1883" s="7">
        <f t="shared" si="159"/>
        <v>1900</v>
      </c>
      <c r="K1883" s="7">
        <f t="shared" si="160"/>
        <v>1</v>
      </c>
      <c r="L1883" s="7">
        <f t="shared" si="161"/>
        <v>45912</v>
      </c>
      <c r="M1883" s="7" t="s">
        <v>638</v>
      </c>
      <c r="O1883" s="17" t="s">
        <v>682</v>
      </c>
      <c r="P1883" s="7">
        <f t="shared" si="157"/>
        <v>9</v>
      </c>
      <c r="Q1883" s="7">
        <f t="shared" si="158"/>
        <v>2025</v>
      </c>
    </row>
    <row r="1884" spans="1:17" x14ac:dyDescent="0.25">
      <c r="A1884" s="7">
        <v>2545</v>
      </c>
      <c r="B1884" s="9" t="s">
        <v>636</v>
      </c>
      <c r="C1884" s="9" t="s">
        <v>636</v>
      </c>
      <c r="D1884" s="8">
        <v>45912</v>
      </c>
      <c r="E1884" s="7" t="s">
        <v>60</v>
      </c>
      <c r="F1884" s="7">
        <v>1</v>
      </c>
      <c r="G1884" s="7" t="s">
        <v>15</v>
      </c>
      <c r="J1884" s="7">
        <f t="shared" si="159"/>
        <v>1900</v>
      </c>
      <c r="K1884" s="7">
        <f t="shared" si="160"/>
        <v>1</v>
      </c>
      <c r="L1884" s="7">
        <f t="shared" si="161"/>
        <v>45912</v>
      </c>
      <c r="M1884" s="7" t="s">
        <v>638</v>
      </c>
      <c r="O1884" s="17" t="s">
        <v>682</v>
      </c>
      <c r="P1884" s="7">
        <f t="shared" si="157"/>
        <v>9</v>
      </c>
      <c r="Q1884" s="7">
        <f t="shared" si="158"/>
        <v>2025</v>
      </c>
    </row>
    <row r="1885" spans="1:17" x14ac:dyDescent="0.25">
      <c r="A1885" s="7">
        <v>2545</v>
      </c>
      <c r="B1885" s="9" t="s">
        <v>636</v>
      </c>
      <c r="C1885" s="9" t="s">
        <v>636</v>
      </c>
      <c r="D1885" s="8">
        <v>45912</v>
      </c>
      <c r="E1885" s="7" t="s">
        <v>60</v>
      </c>
      <c r="F1885" s="7">
        <v>1</v>
      </c>
      <c r="G1885" s="7" t="s">
        <v>15</v>
      </c>
      <c r="J1885" s="7">
        <f t="shared" si="159"/>
        <v>1900</v>
      </c>
      <c r="K1885" s="7">
        <f t="shared" si="160"/>
        <v>1</v>
      </c>
      <c r="L1885" s="7">
        <f t="shared" si="161"/>
        <v>45912</v>
      </c>
      <c r="M1885" s="7" t="s">
        <v>638</v>
      </c>
      <c r="O1885" s="17" t="s">
        <v>682</v>
      </c>
      <c r="P1885" s="7">
        <f t="shared" si="157"/>
        <v>9</v>
      </c>
      <c r="Q1885" s="7">
        <f t="shared" si="158"/>
        <v>2025</v>
      </c>
    </row>
    <row r="1886" spans="1:17" x14ac:dyDescent="0.25">
      <c r="A1886" s="7">
        <v>2545</v>
      </c>
      <c r="B1886" s="9" t="s">
        <v>636</v>
      </c>
      <c r="C1886" s="9" t="s">
        <v>636</v>
      </c>
      <c r="D1886" s="8">
        <v>45912</v>
      </c>
      <c r="E1886" s="7" t="s">
        <v>60</v>
      </c>
      <c r="F1886" s="7">
        <v>1</v>
      </c>
      <c r="G1886" s="7" t="s">
        <v>15</v>
      </c>
      <c r="J1886" s="7">
        <f t="shared" si="159"/>
        <v>1900</v>
      </c>
      <c r="K1886" s="7">
        <f t="shared" si="160"/>
        <v>1</v>
      </c>
      <c r="L1886" s="7">
        <f t="shared" si="161"/>
        <v>45912</v>
      </c>
      <c r="M1886" s="7" t="s">
        <v>638</v>
      </c>
      <c r="O1886" s="17" t="s">
        <v>682</v>
      </c>
      <c r="P1886" s="7">
        <f t="shared" si="157"/>
        <v>9</v>
      </c>
      <c r="Q1886" s="7">
        <f t="shared" si="158"/>
        <v>2025</v>
      </c>
    </row>
    <row r="1887" spans="1:17" x14ac:dyDescent="0.25">
      <c r="A1887" s="7">
        <v>2545</v>
      </c>
      <c r="B1887" s="9" t="s">
        <v>636</v>
      </c>
      <c r="C1887" s="9" t="s">
        <v>636</v>
      </c>
      <c r="D1887" s="8">
        <v>45912</v>
      </c>
      <c r="E1887" s="7" t="s">
        <v>60</v>
      </c>
      <c r="F1887" s="7">
        <v>1</v>
      </c>
      <c r="G1887" s="7" t="s">
        <v>15</v>
      </c>
      <c r="J1887" s="7">
        <f t="shared" si="159"/>
        <v>1900</v>
      </c>
      <c r="K1887" s="7">
        <f t="shared" si="160"/>
        <v>1</v>
      </c>
      <c r="L1887" s="7">
        <f t="shared" si="161"/>
        <v>45912</v>
      </c>
      <c r="M1887" s="7" t="s">
        <v>638</v>
      </c>
      <c r="O1887" s="17" t="s">
        <v>682</v>
      </c>
      <c r="P1887" s="7">
        <f t="shared" ref="P1887:P1949" si="162">MONTH(D1887)</f>
        <v>9</v>
      </c>
      <c r="Q1887" s="7">
        <f t="shared" si="158"/>
        <v>2025</v>
      </c>
    </row>
    <row r="1888" spans="1:17" x14ac:dyDescent="0.25">
      <c r="A1888" s="7">
        <v>2545</v>
      </c>
      <c r="B1888" s="9" t="s">
        <v>636</v>
      </c>
      <c r="C1888" s="9" t="s">
        <v>636</v>
      </c>
      <c r="D1888" s="8">
        <v>45912</v>
      </c>
      <c r="E1888" s="7" t="s">
        <v>60</v>
      </c>
      <c r="F1888" s="7">
        <v>1</v>
      </c>
      <c r="G1888" s="7" t="s">
        <v>15</v>
      </c>
      <c r="J1888" s="7">
        <f t="shared" si="159"/>
        <v>1900</v>
      </c>
      <c r="K1888" s="7">
        <f t="shared" si="160"/>
        <v>1</v>
      </c>
      <c r="L1888" s="7">
        <f t="shared" si="161"/>
        <v>45912</v>
      </c>
      <c r="M1888" s="7" t="s">
        <v>638</v>
      </c>
      <c r="O1888" s="17" t="s">
        <v>682</v>
      </c>
      <c r="P1888" s="7">
        <f t="shared" si="162"/>
        <v>9</v>
      </c>
      <c r="Q1888" s="7">
        <f t="shared" si="158"/>
        <v>2025</v>
      </c>
    </row>
    <row r="1889" spans="1:17" x14ac:dyDescent="0.25">
      <c r="A1889" s="7">
        <v>2545</v>
      </c>
      <c r="B1889" s="9" t="s">
        <v>636</v>
      </c>
      <c r="C1889" s="9" t="s">
        <v>636</v>
      </c>
      <c r="D1889" s="8">
        <v>45912</v>
      </c>
      <c r="E1889" s="7" t="s">
        <v>60</v>
      </c>
      <c r="F1889" s="7">
        <v>1</v>
      </c>
      <c r="G1889" s="7" t="s">
        <v>15</v>
      </c>
      <c r="J1889" s="7">
        <f t="shared" si="159"/>
        <v>1900</v>
      </c>
      <c r="K1889" s="7">
        <f t="shared" si="160"/>
        <v>1</v>
      </c>
      <c r="L1889" s="7">
        <f t="shared" si="161"/>
        <v>45912</v>
      </c>
      <c r="M1889" s="7" t="s">
        <v>638</v>
      </c>
      <c r="O1889" s="17" t="s">
        <v>682</v>
      </c>
      <c r="P1889" s="7">
        <f t="shared" si="162"/>
        <v>9</v>
      </c>
      <c r="Q1889" s="7">
        <f t="shared" si="158"/>
        <v>2025</v>
      </c>
    </row>
    <row r="1890" spans="1:17" x14ac:dyDescent="0.25">
      <c r="A1890" s="7">
        <v>2545</v>
      </c>
      <c r="B1890" s="9" t="s">
        <v>636</v>
      </c>
      <c r="C1890" s="9" t="s">
        <v>636</v>
      </c>
      <c r="D1890" s="8">
        <v>45912</v>
      </c>
      <c r="E1890" s="7" t="s">
        <v>60</v>
      </c>
      <c r="F1890" s="7">
        <v>1</v>
      </c>
      <c r="G1890" s="7" t="s">
        <v>15</v>
      </c>
      <c r="J1890" s="7">
        <f t="shared" si="159"/>
        <v>1900</v>
      </c>
      <c r="K1890" s="7">
        <f t="shared" si="160"/>
        <v>1</v>
      </c>
      <c r="L1890" s="7">
        <f t="shared" si="161"/>
        <v>45912</v>
      </c>
      <c r="M1890" s="7" t="s">
        <v>638</v>
      </c>
      <c r="O1890" s="17" t="s">
        <v>682</v>
      </c>
      <c r="P1890" s="7">
        <f t="shared" si="162"/>
        <v>9</v>
      </c>
      <c r="Q1890" s="7">
        <f t="shared" si="158"/>
        <v>2025</v>
      </c>
    </row>
    <row r="1891" spans="1:17" x14ac:dyDescent="0.25">
      <c r="A1891" s="7">
        <v>2545</v>
      </c>
      <c r="B1891" s="9" t="s">
        <v>636</v>
      </c>
      <c r="C1891" s="9" t="s">
        <v>636</v>
      </c>
      <c r="D1891" s="8">
        <v>45912</v>
      </c>
      <c r="E1891" s="7" t="s">
        <v>60</v>
      </c>
      <c r="F1891" s="7">
        <v>1</v>
      </c>
      <c r="G1891" s="7" t="s">
        <v>15</v>
      </c>
      <c r="J1891" s="7">
        <f t="shared" si="159"/>
        <v>1900</v>
      </c>
      <c r="K1891" s="7">
        <f t="shared" si="160"/>
        <v>1</v>
      </c>
      <c r="L1891" s="7">
        <f t="shared" si="161"/>
        <v>45912</v>
      </c>
      <c r="M1891" s="7" t="s">
        <v>638</v>
      </c>
      <c r="O1891" s="17" t="s">
        <v>682</v>
      </c>
      <c r="P1891" s="7">
        <f t="shared" si="162"/>
        <v>9</v>
      </c>
      <c r="Q1891" s="7">
        <f t="shared" si="158"/>
        <v>2025</v>
      </c>
    </row>
    <row r="1892" spans="1:17" x14ac:dyDescent="0.25">
      <c r="A1892" s="7">
        <v>2545</v>
      </c>
      <c r="B1892" s="9" t="s">
        <v>636</v>
      </c>
      <c r="C1892" s="9" t="s">
        <v>636</v>
      </c>
      <c r="D1892" s="8">
        <v>45912</v>
      </c>
      <c r="E1892" s="7" t="s">
        <v>60</v>
      </c>
      <c r="F1892" s="7">
        <v>1</v>
      </c>
      <c r="G1892" s="7" t="s">
        <v>15</v>
      </c>
      <c r="J1892" s="7">
        <f t="shared" si="159"/>
        <v>1900</v>
      </c>
      <c r="K1892" s="7">
        <f t="shared" si="160"/>
        <v>1</v>
      </c>
      <c r="L1892" s="7">
        <f t="shared" si="161"/>
        <v>45912</v>
      </c>
      <c r="M1892" s="7" t="s">
        <v>638</v>
      </c>
      <c r="O1892" s="17" t="s">
        <v>682</v>
      </c>
      <c r="P1892" s="7">
        <f t="shared" si="162"/>
        <v>9</v>
      </c>
      <c r="Q1892" s="7">
        <f t="shared" si="158"/>
        <v>2025</v>
      </c>
    </row>
    <row r="1893" spans="1:17" x14ac:dyDescent="0.25">
      <c r="A1893" s="7">
        <v>2545</v>
      </c>
      <c r="B1893" s="9" t="s">
        <v>636</v>
      </c>
      <c r="C1893" s="9" t="s">
        <v>636</v>
      </c>
      <c r="D1893" s="8">
        <v>45912</v>
      </c>
      <c r="E1893" s="7" t="s">
        <v>60</v>
      </c>
      <c r="F1893" s="7">
        <v>1</v>
      </c>
      <c r="G1893" s="7" t="s">
        <v>15</v>
      </c>
      <c r="J1893" s="7">
        <f t="shared" si="159"/>
        <v>1900</v>
      </c>
      <c r="K1893" s="7">
        <f t="shared" si="160"/>
        <v>1</v>
      </c>
      <c r="L1893" s="7">
        <f t="shared" si="161"/>
        <v>45912</v>
      </c>
      <c r="M1893" s="7" t="s">
        <v>638</v>
      </c>
      <c r="O1893" s="17" t="s">
        <v>682</v>
      </c>
      <c r="P1893" s="7">
        <f t="shared" si="162"/>
        <v>9</v>
      </c>
      <c r="Q1893" s="7">
        <f t="shared" si="158"/>
        <v>2025</v>
      </c>
    </row>
    <row r="1894" spans="1:17" x14ac:dyDescent="0.25">
      <c r="A1894" s="7">
        <v>2545</v>
      </c>
      <c r="B1894" s="9" t="s">
        <v>636</v>
      </c>
      <c r="C1894" s="9" t="s">
        <v>636</v>
      </c>
      <c r="D1894" s="8">
        <v>45912</v>
      </c>
      <c r="E1894" s="7" t="s">
        <v>60</v>
      </c>
      <c r="F1894" s="7">
        <v>1</v>
      </c>
      <c r="G1894" s="7" t="s">
        <v>15</v>
      </c>
      <c r="J1894" s="7">
        <f t="shared" si="159"/>
        <v>1900</v>
      </c>
      <c r="K1894" s="7">
        <f t="shared" si="160"/>
        <v>1</v>
      </c>
      <c r="L1894" s="7">
        <f t="shared" si="161"/>
        <v>45912</v>
      </c>
      <c r="M1894" s="7" t="s">
        <v>638</v>
      </c>
      <c r="O1894" s="17" t="s">
        <v>682</v>
      </c>
      <c r="P1894" s="7">
        <f t="shared" si="162"/>
        <v>9</v>
      </c>
      <c r="Q1894" s="7">
        <f t="shared" si="158"/>
        <v>2025</v>
      </c>
    </row>
    <row r="1895" spans="1:17" x14ac:dyDescent="0.25">
      <c r="A1895" s="7">
        <v>2545</v>
      </c>
      <c r="B1895" s="9" t="s">
        <v>636</v>
      </c>
      <c r="C1895" s="9" t="s">
        <v>636</v>
      </c>
      <c r="D1895" s="8">
        <v>45912</v>
      </c>
      <c r="E1895" s="7" t="s">
        <v>60</v>
      </c>
      <c r="F1895" s="7">
        <v>1</v>
      </c>
      <c r="G1895" s="7" t="s">
        <v>15</v>
      </c>
      <c r="J1895" s="7">
        <f t="shared" si="159"/>
        <v>1900</v>
      </c>
      <c r="K1895" s="7">
        <f t="shared" si="160"/>
        <v>1</v>
      </c>
      <c r="L1895" s="7">
        <f t="shared" si="161"/>
        <v>45912</v>
      </c>
      <c r="M1895" s="7" t="s">
        <v>638</v>
      </c>
      <c r="O1895" s="17" t="s">
        <v>682</v>
      </c>
      <c r="P1895" s="7">
        <f t="shared" si="162"/>
        <v>9</v>
      </c>
      <c r="Q1895" s="7">
        <f t="shared" si="158"/>
        <v>2025</v>
      </c>
    </row>
    <row r="1896" spans="1:17" x14ac:dyDescent="0.25">
      <c r="A1896" s="7">
        <v>2545</v>
      </c>
      <c r="B1896" s="9" t="s">
        <v>636</v>
      </c>
      <c r="C1896" s="9" t="s">
        <v>636</v>
      </c>
      <c r="D1896" s="8">
        <v>45912</v>
      </c>
      <c r="E1896" s="7" t="s">
        <v>60</v>
      </c>
      <c r="F1896" s="7">
        <v>1</v>
      </c>
      <c r="G1896" s="7" t="s">
        <v>15</v>
      </c>
      <c r="J1896" s="7">
        <f t="shared" si="159"/>
        <v>1900</v>
      </c>
      <c r="K1896" s="7">
        <f t="shared" si="160"/>
        <v>1</v>
      </c>
      <c r="L1896" s="7">
        <f t="shared" si="161"/>
        <v>45912</v>
      </c>
      <c r="M1896" s="7" t="s">
        <v>638</v>
      </c>
      <c r="O1896" s="17" t="s">
        <v>682</v>
      </c>
      <c r="P1896" s="7">
        <f t="shared" si="162"/>
        <v>9</v>
      </c>
      <c r="Q1896" s="7">
        <f t="shared" si="158"/>
        <v>2025</v>
      </c>
    </row>
    <row r="1897" spans="1:17" x14ac:dyDescent="0.25">
      <c r="A1897" s="7">
        <v>2545</v>
      </c>
      <c r="B1897" s="9" t="s">
        <v>636</v>
      </c>
      <c r="C1897" s="9" t="s">
        <v>636</v>
      </c>
      <c r="D1897" s="8">
        <v>45912</v>
      </c>
      <c r="E1897" s="7" t="s">
        <v>60</v>
      </c>
      <c r="F1897" s="7">
        <v>1</v>
      </c>
      <c r="G1897" s="7" t="s">
        <v>15</v>
      </c>
      <c r="J1897" s="7">
        <f t="shared" si="159"/>
        <v>1900</v>
      </c>
      <c r="K1897" s="7">
        <f t="shared" si="160"/>
        <v>1</v>
      </c>
      <c r="L1897" s="7">
        <f t="shared" si="161"/>
        <v>45912</v>
      </c>
      <c r="M1897" s="7" t="s">
        <v>638</v>
      </c>
      <c r="O1897" s="17" t="s">
        <v>682</v>
      </c>
      <c r="P1897" s="7">
        <f t="shared" si="162"/>
        <v>9</v>
      </c>
      <c r="Q1897" s="7">
        <f t="shared" si="158"/>
        <v>2025</v>
      </c>
    </row>
    <row r="1898" spans="1:17" x14ac:dyDescent="0.25">
      <c r="A1898" s="7">
        <v>2545</v>
      </c>
      <c r="B1898" s="9" t="s">
        <v>636</v>
      </c>
      <c r="C1898" s="9" t="s">
        <v>636</v>
      </c>
      <c r="D1898" s="8">
        <v>45912</v>
      </c>
      <c r="E1898" s="7" t="s">
        <v>60</v>
      </c>
      <c r="F1898" s="7">
        <v>1</v>
      </c>
      <c r="G1898" s="7" t="s">
        <v>15</v>
      </c>
      <c r="J1898" s="7">
        <f t="shared" si="159"/>
        <v>1900</v>
      </c>
      <c r="K1898" s="7">
        <f t="shared" si="160"/>
        <v>1</v>
      </c>
      <c r="L1898" s="7">
        <f t="shared" si="161"/>
        <v>45912</v>
      </c>
      <c r="M1898" s="7" t="s">
        <v>638</v>
      </c>
      <c r="O1898" s="17" t="s">
        <v>682</v>
      </c>
      <c r="P1898" s="7">
        <f t="shared" si="162"/>
        <v>9</v>
      </c>
      <c r="Q1898" s="7">
        <f t="shared" si="158"/>
        <v>2025</v>
      </c>
    </row>
    <row r="1899" spans="1:17" x14ac:dyDescent="0.25">
      <c r="A1899" s="7">
        <v>2545</v>
      </c>
      <c r="B1899" s="9" t="s">
        <v>636</v>
      </c>
      <c r="C1899" s="9" t="s">
        <v>636</v>
      </c>
      <c r="D1899" s="8">
        <v>45912</v>
      </c>
      <c r="E1899" s="7" t="s">
        <v>60</v>
      </c>
      <c r="F1899" s="7">
        <v>1</v>
      </c>
      <c r="G1899" s="7" t="s">
        <v>15</v>
      </c>
      <c r="J1899" s="7">
        <f t="shared" si="159"/>
        <v>1900</v>
      </c>
      <c r="K1899" s="7">
        <f t="shared" si="160"/>
        <v>1</v>
      </c>
      <c r="L1899" s="7">
        <f t="shared" si="161"/>
        <v>45912</v>
      </c>
      <c r="M1899" s="7" t="s">
        <v>638</v>
      </c>
      <c r="O1899" s="17" t="s">
        <v>682</v>
      </c>
      <c r="P1899" s="7">
        <f t="shared" si="162"/>
        <v>9</v>
      </c>
      <c r="Q1899" s="7">
        <f t="shared" si="158"/>
        <v>2025</v>
      </c>
    </row>
    <row r="1900" spans="1:17" x14ac:dyDescent="0.25">
      <c r="A1900" s="7">
        <v>2545</v>
      </c>
      <c r="B1900" s="9" t="s">
        <v>636</v>
      </c>
      <c r="C1900" s="9" t="s">
        <v>636</v>
      </c>
      <c r="D1900" s="8">
        <v>45912</v>
      </c>
      <c r="E1900" s="7" t="s">
        <v>60</v>
      </c>
      <c r="F1900" s="7">
        <v>1</v>
      </c>
      <c r="G1900" s="7" t="s">
        <v>15</v>
      </c>
      <c r="J1900" s="7">
        <f t="shared" si="159"/>
        <v>1900</v>
      </c>
      <c r="K1900" s="7">
        <f t="shared" si="160"/>
        <v>1</v>
      </c>
      <c r="L1900" s="7">
        <f t="shared" si="161"/>
        <v>45912</v>
      </c>
      <c r="M1900" s="7" t="s">
        <v>638</v>
      </c>
      <c r="O1900" s="17" t="s">
        <v>682</v>
      </c>
      <c r="P1900" s="7">
        <f t="shared" si="162"/>
        <v>9</v>
      </c>
      <c r="Q1900" s="7">
        <f t="shared" si="158"/>
        <v>2025</v>
      </c>
    </row>
    <row r="1901" spans="1:17" x14ac:dyDescent="0.25">
      <c r="A1901" s="7">
        <v>2545</v>
      </c>
      <c r="B1901" s="9" t="s">
        <v>636</v>
      </c>
      <c r="C1901" s="9" t="s">
        <v>636</v>
      </c>
      <c r="D1901" s="8">
        <v>45912</v>
      </c>
      <c r="E1901" s="7" t="s">
        <v>60</v>
      </c>
      <c r="F1901" s="7">
        <v>1</v>
      </c>
      <c r="G1901" s="7" t="s">
        <v>15</v>
      </c>
      <c r="J1901" s="7">
        <f t="shared" si="159"/>
        <v>1900</v>
      </c>
      <c r="K1901" s="7">
        <f t="shared" si="160"/>
        <v>1</v>
      </c>
      <c r="L1901" s="7">
        <f t="shared" si="161"/>
        <v>45912</v>
      </c>
      <c r="M1901" s="7" t="s">
        <v>638</v>
      </c>
      <c r="O1901" s="17" t="s">
        <v>682</v>
      </c>
      <c r="P1901" s="7">
        <f t="shared" si="162"/>
        <v>9</v>
      </c>
      <c r="Q1901" s="7">
        <f t="shared" si="158"/>
        <v>2025</v>
      </c>
    </row>
    <row r="1902" spans="1:17" x14ac:dyDescent="0.25">
      <c r="A1902" s="7">
        <v>2545</v>
      </c>
      <c r="B1902" s="9" t="s">
        <v>636</v>
      </c>
      <c r="C1902" s="9" t="s">
        <v>636</v>
      </c>
      <c r="D1902" s="8">
        <v>45912</v>
      </c>
      <c r="E1902" s="7" t="s">
        <v>60</v>
      </c>
      <c r="F1902" s="7">
        <v>1</v>
      </c>
      <c r="G1902" s="7" t="s">
        <v>15</v>
      </c>
      <c r="J1902" s="7">
        <f t="shared" si="159"/>
        <v>1900</v>
      </c>
      <c r="K1902" s="7">
        <f t="shared" si="160"/>
        <v>1</v>
      </c>
      <c r="L1902" s="7">
        <f t="shared" si="161"/>
        <v>45912</v>
      </c>
      <c r="M1902" s="7" t="s">
        <v>638</v>
      </c>
      <c r="O1902" s="17" t="s">
        <v>682</v>
      </c>
      <c r="P1902" s="7">
        <f t="shared" si="162"/>
        <v>9</v>
      </c>
      <c r="Q1902" s="7">
        <f t="shared" si="158"/>
        <v>2025</v>
      </c>
    </row>
    <row r="1903" spans="1:17" x14ac:dyDescent="0.25">
      <c r="A1903" s="7">
        <v>2545</v>
      </c>
      <c r="B1903" s="9" t="s">
        <v>636</v>
      </c>
      <c r="C1903" s="9" t="s">
        <v>636</v>
      </c>
      <c r="D1903" s="8">
        <v>45912</v>
      </c>
      <c r="E1903" s="7" t="s">
        <v>60</v>
      </c>
      <c r="F1903" s="7">
        <v>1</v>
      </c>
      <c r="G1903" s="7" t="s">
        <v>15</v>
      </c>
      <c r="J1903" s="7">
        <f t="shared" si="159"/>
        <v>1900</v>
      </c>
      <c r="K1903" s="7">
        <f t="shared" si="160"/>
        <v>1</v>
      </c>
      <c r="L1903" s="7">
        <f t="shared" si="161"/>
        <v>45912</v>
      </c>
      <c r="M1903" s="7" t="s">
        <v>638</v>
      </c>
      <c r="O1903" s="17" t="s">
        <v>682</v>
      </c>
      <c r="P1903" s="7">
        <f t="shared" si="162"/>
        <v>9</v>
      </c>
      <c r="Q1903" s="7">
        <f t="shared" si="158"/>
        <v>2025</v>
      </c>
    </row>
    <row r="1904" spans="1:17" x14ac:dyDescent="0.25">
      <c r="A1904" s="7">
        <v>2545</v>
      </c>
      <c r="B1904" s="9" t="s">
        <v>636</v>
      </c>
      <c r="C1904" s="9" t="s">
        <v>636</v>
      </c>
      <c r="D1904" s="8">
        <v>45912</v>
      </c>
      <c r="E1904" s="7" t="s">
        <v>60</v>
      </c>
      <c r="F1904" s="7">
        <v>1</v>
      </c>
      <c r="G1904" s="7" t="s">
        <v>15</v>
      </c>
      <c r="J1904" s="7">
        <f t="shared" si="159"/>
        <v>1900</v>
      </c>
      <c r="K1904" s="7">
        <f t="shared" si="160"/>
        <v>1</v>
      </c>
      <c r="L1904" s="7">
        <f t="shared" si="161"/>
        <v>45912</v>
      </c>
      <c r="M1904" s="7" t="s">
        <v>638</v>
      </c>
      <c r="O1904" s="17" t="s">
        <v>682</v>
      </c>
      <c r="P1904" s="7">
        <f t="shared" si="162"/>
        <v>9</v>
      </c>
      <c r="Q1904" s="7">
        <f t="shared" si="158"/>
        <v>2025</v>
      </c>
    </row>
    <row r="1905" spans="1:17" x14ac:dyDescent="0.25">
      <c r="A1905" s="7">
        <v>2545</v>
      </c>
      <c r="B1905" s="9" t="s">
        <v>636</v>
      </c>
      <c r="C1905" s="9" t="s">
        <v>636</v>
      </c>
      <c r="D1905" s="8">
        <v>45912</v>
      </c>
      <c r="E1905" s="7" t="s">
        <v>60</v>
      </c>
      <c r="F1905" s="7">
        <v>1</v>
      </c>
      <c r="G1905" s="7" t="s">
        <v>15</v>
      </c>
      <c r="J1905" s="7">
        <f t="shared" si="159"/>
        <v>1900</v>
      </c>
      <c r="K1905" s="7">
        <f t="shared" si="160"/>
        <v>1</v>
      </c>
      <c r="L1905" s="7">
        <f t="shared" si="161"/>
        <v>45912</v>
      </c>
      <c r="M1905" s="7" t="s">
        <v>638</v>
      </c>
      <c r="O1905" s="17" t="s">
        <v>682</v>
      </c>
      <c r="P1905" s="7">
        <f t="shared" si="162"/>
        <v>9</v>
      </c>
      <c r="Q1905" s="7">
        <f t="shared" si="158"/>
        <v>2025</v>
      </c>
    </row>
    <row r="1906" spans="1:17" x14ac:dyDescent="0.25">
      <c r="A1906" s="7">
        <v>2545</v>
      </c>
      <c r="B1906" s="9" t="s">
        <v>636</v>
      </c>
      <c r="C1906" s="9" t="s">
        <v>636</v>
      </c>
      <c r="D1906" s="8">
        <v>45912</v>
      </c>
      <c r="E1906" s="7" t="s">
        <v>60</v>
      </c>
      <c r="F1906" s="7">
        <v>1</v>
      </c>
      <c r="G1906" s="7" t="s">
        <v>15</v>
      </c>
      <c r="J1906" s="7">
        <f t="shared" si="159"/>
        <v>1900</v>
      </c>
      <c r="K1906" s="7">
        <f t="shared" si="160"/>
        <v>1</v>
      </c>
      <c r="L1906" s="7">
        <f t="shared" si="161"/>
        <v>45912</v>
      </c>
      <c r="M1906" s="7" t="s">
        <v>638</v>
      </c>
      <c r="O1906" s="17" t="s">
        <v>682</v>
      </c>
      <c r="P1906" s="7">
        <f t="shared" si="162"/>
        <v>9</v>
      </c>
      <c r="Q1906" s="7">
        <f t="shared" si="158"/>
        <v>2025</v>
      </c>
    </row>
    <row r="1907" spans="1:17" x14ac:dyDescent="0.25">
      <c r="A1907" s="7">
        <v>2545</v>
      </c>
      <c r="B1907" s="9" t="s">
        <v>636</v>
      </c>
      <c r="C1907" s="9" t="s">
        <v>636</v>
      </c>
      <c r="D1907" s="8">
        <v>45912</v>
      </c>
      <c r="E1907" s="7" t="s">
        <v>60</v>
      </c>
      <c r="F1907" s="7">
        <v>1</v>
      </c>
      <c r="G1907" s="7" t="s">
        <v>15</v>
      </c>
      <c r="J1907" s="7">
        <f t="shared" si="159"/>
        <v>1900</v>
      </c>
      <c r="K1907" s="7">
        <f t="shared" si="160"/>
        <v>1</v>
      </c>
      <c r="L1907" s="7">
        <f t="shared" si="161"/>
        <v>45912</v>
      </c>
      <c r="M1907" s="7" t="s">
        <v>638</v>
      </c>
      <c r="O1907" s="17" t="s">
        <v>682</v>
      </c>
      <c r="P1907" s="7">
        <f t="shared" si="162"/>
        <v>9</v>
      </c>
      <c r="Q1907" s="7">
        <f t="shared" si="158"/>
        <v>2025</v>
      </c>
    </row>
    <row r="1908" spans="1:17" x14ac:dyDescent="0.25">
      <c r="A1908" s="7">
        <v>2545</v>
      </c>
      <c r="B1908" s="9" t="s">
        <v>636</v>
      </c>
      <c r="C1908" s="9" t="s">
        <v>636</v>
      </c>
      <c r="D1908" s="8">
        <v>45912</v>
      </c>
      <c r="E1908" s="7" t="s">
        <v>60</v>
      </c>
      <c r="F1908" s="7">
        <v>1</v>
      </c>
      <c r="G1908" s="7" t="s">
        <v>15</v>
      </c>
      <c r="J1908" s="7">
        <f t="shared" si="159"/>
        <v>1900</v>
      </c>
      <c r="K1908" s="7">
        <f t="shared" si="160"/>
        <v>1</v>
      </c>
      <c r="L1908" s="7">
        <f t="shared" si="161"/>
        <v>45912</v>
      </c>
      <c r="M1908" s="7" t="s">
        <v>638</v>
      </c>
      <c r="O1908" s="17" t="s">
        <v>682</v>
      </c>
      <c r="P1908" s="7">
        <f t="shared" si="162"/>
        <v>9</v>
      </c>
      <c r="Q1908" s="7">
        <f t="shared" si="158"/>
        <v>2025</v>
      </c>
    </row>
    <row r="1909" spans="1:17" x14ac:dyDescent="0.25">
      <c r="A1909" s="7">
        <v>2545</v>
      </c>
      <c r="B1909" s="9" t="s">
        <v>636</v>
      </c>
      <c r="C1909" s="9" t="s">
        <v>636</v>
      </c>
      <c r="D1909" s="8">
        <v>45912</v>
      </c>
      <c r="E1909" s="7" t="s">
        <v>60</v>
      </c>
      <c r="F1909" s="7">
        <v>1</v>
      </c>
      <c r="G1909" s="7" t="s">
        <v>15</v>
      </c>
      <c r="J1909" s="7">
        <f t="shared" si="159"/>
        <v>1900</v>
      </c>
      <c r="K1909" s="7">
        <f t="shared" si="160"/>
        <v>1</v>
      </c>
      <c r="L1909" s="7">
        <f t="shared" si="161"/>
        <v>45912</v>
      </c>
      <c r="M1909" s="7" t="s">
        <v>638</v>
      </c>
      <c r="O1909" s="17" t="s">
        <v>682</v>
      </c>
      <c r="P1909" s="7">
        <f t="shared" si="162"/>
        <v>9</v>
      </c>
      <c r="Q1909" s="7">
        <f t="shared" ref="Q1909:Q1972" si="163">YEAR(D1909)</f>
        <v>2025</v>
      </c>
    </row>
    <row r="1910" spans="1:17" x14ac:dyDescent="0.25">
      <c r="A1910" s="7">
        <v>2545</v>
      </c>
      <c r="B1910" s="9" t="s">
        <v>636</v>
      </c>
      <c r="C1910" s="9" t="s">
        <v>636</v>
      </c>
      <c r="D1910" s="8">
        <v>45912</v>
      </c>
      <c r="E1910" s="7" t="s">
        <v>60</v>
      </c>
      <c r="F1910" s="7">
        <v>1</v>
      </c>
      <c r="G1910" s="7" t="s">
        <v>15</v>
      </c>
      <c r="J1910" s="7">
        <f t="shared" si="159"/>
        <v>1900</v>
      </c>
      <c r="K1910" s="7">
        <f t="shared" si="160"/>
        <v>1</v>
      </c>
      <c r="L1910" s="7">
        <f t="shared" si="161"/>
        <v>45912</v>
      </c>
      <c r="M1910" s="7" t="s">
        <v>638</v>
      </c>
      <c r="O1910" s="17" t="s">
        <v>682</v>
      </c>
      <c r="P1910" s="7">
        <f t="shared" si="162"/>
        <v>9</v>
      </c>
      <c r="Q1910" s="7">
        <f t="shared" si="163"/>
        <v>2025</v>
      </c>
    </row>
    <row r="1911" spans="1:17" x14ac:dyDescent="0.25">
      <c r="A1911" s="7">
        <v>2545</v>
      </c>
      <c r="B1911" s="9" t="s">
        <v>636</v>
      </c>
      <c r="C1911" s="9" t="s">
        <v>636</v>
      </c>
      <c r="D1911" s="8">
        <v>45912</v>
      </c>
      <c r="E1911" s="7" t="s">
        <v>60</v>
      </c>
      <c r="F1911" s="7">
        <v>1</v>
      </c>
      <c r="G1911" s="7" t="s">
        <v>15</v>
      </c>
      <c r="J1911" s="7">
        <f t="shared" si="159"/>
        <v>1900</v>
      </c>
      <c r="K1911" s="7">
        <f t="shared" si="160"/>
        <v>1</v>
      </c>
      <c r="L1911" s="7">
        <f t="shared" si="161"/>
        <v>45912</v>
      </c>
      <c r="M1911" s="7" t="s">
        <v>638</v>
      </c>
      <c r="O1911" s="17" t="s">
        <v>682</v>
      </c>
      <c r="P1911" s="7">
        <f t="shared" si="162"/>
        <v>9</v>
      </c>
      <c r="Q1911" s="7">
        <f t="shared" si="163"/>
        <v>2025</v>
      </c>
    </row>
    <row r="1912" spans="1:17" x14ac:dyDescent="0.25">
      <c r="A1912" s="7">
        <v>2545</v>
      </c>
      <c r="B1912" s="9" t="s">
        <v>636</v>
      </c>
      <c r="C1912" s="9" t="s">
        <v>636</v>
      </c>
      <c r="D1912" s="8">
        <v>45912</v>
      </c>
      <c r="E1912" s="7" t="s">
        <v>60</v>
      </c>
      <c r="F1912" s="7">
        <v>1</v>
      </c>
      <c r="G1912" s="7" t="s">
        <v>15</v>
      </c>
      <c r="J1912" s="7">
        <f t="shared" si="159"/>
        <v>1900</v>
      </c>
      <c r="K1912" s="7">
        <f t="shared" si="160"/>
        <v>1</v>
      </c>
      <c r="L1912" s="7">
        <f t="shared" si="161"/>
        <v>45912</v>
      </c>
      <c r="M1912" s="7" t="s">
        <v>638</v>
      </c>
      <c r="O1912" s="17" t="s">
        <v>682</v>
      </c>
      <c r="P1912" s="7">
        <f t="shared" si="162"/>
        <v>9</v>
      </c>
      <c r="Q1912" s="7">
        <f t="shared" si="163"/>
        <v>2025</v>
      </c>
    </row>
    <row r="1913" spans="1:17" x14ac:dyDescent="0.25">
      <c r="A1913" s="7">
        <v>2545</v>
      </c>
      <c r="B1913" s="9" t="s">
        <v>636</v>
      </c>
      <c r="C1913" s="9" t="s">
        <v>636</v>
      </c>
      <c r="D1913" s="8">
        <v>45912</v>
      </c>
      <c r="E1913" s="7" t="s">
        <v>60</v>
      </c>
      <c r="F1913" s="7">
        <v>1</v>
      </c>
      <c r="G1913" s="7" t="s">
        <v>15</v>
      </c>
      <c r="J1913" s="7">
        <f t="shared" si="159"/>
        <v>1900</v>
      </c>
      <c r="K1913" s="7">
        <f t="shared" si="160"/>
        <v>1</v>
      </c>
      <c r="L1913" s="7">
        <f t="shared" si="161"/>
        <v>45912</v>
      </c>
      <c r="M1913" s="7" t="s">
        <v>638</v>
      </c>
      <c r="O1913" s="17" t="s">
        <v>682</v>
      </c>
      <c r="P1913" s="7">
        <f t="shared" si="162"/>
        <v>9</v>
      </c>
      <c r="Q1913" s="7">
        <f t="shared" si="163"/>
        <v>2025</v>
      </c>
    </row>
    <row r="1914" spans="1:17" x14ac:dyDescent="0.25">
      <c r="A1914" s="7">
        <v>2545</v>
      </c>
      <c r="B1914" s="9" t="s">
        <v>636</v>
      </c>
      <c r="C1914" s="9" t="s">
        <v>636</v>
      </c>
      <c r="D1914" s="8">
        <v>45912</v>
      </c>
      <c r="E1914" s="7" t="s">
        <v>60</v>
      </c>
      <c r="F1914" s="7">
        <v>1</v>
      </c>
      <c r="G1914" s="7" t="s">
        <v>15</v>
      </c>
      <c r="J1914" s="7">
        <f t="shared" si="159"/>
        <v>1900</v>
      </c>
      <c r="K1914" s="7">
        <f t="shared" si="160"/>
        <v>1</v>
      </c>
      <c r="L1914" s="7">
        <f t="shared" si="161"/>
        <v>45912</v>
      </c>
      <c r="M1914" s="7" t="s">
        <v>638</v>
      </c>
      <c r="O1914" s="17" t="s">
        <v>682</v>
      </c>
      <c r="P1914" s="7">
        <f t="shared" si="162"/>
        <v>9</v>
      </c>
      <c r="Q1914" s="7">
        <f t="shared" si="163"/>
        <v>2025</v>
      </c>
    </row>
    <row r="1915" spans="1:17" x14ac:dyDescent="0.25">
      <c r="A1915" s="7">
        <v>2545</v>
      </c>
      <c r="B1915" s="9" t="s">
        <v>636</v>
      </c>
      <c r="C1915" s="9" t="s">
        <v>636</v>
      </c>
      <c r="D1915" s="8">
        <v>45912</v>
      </c>
      <c r="E1915" s="7" t="s">
        <v>60</v>
      </c>
      <c r="F1915" s="7">
        <v>1</v>
      </c>
      <c r="G1915" s="7" t="s">
        <v>15</v>
      </c>
      <c r="J1915" s="7">
        <f t="shared" si="159"/>
        <v>1900</v>
      </c>
      <c r="K1915" s="7">
        <f t="shared" si="160"/>
        <v>1</v>
      </c>
      <c r="L1915" s="7">
        <f t="shared" si="161"/>
        <v>45912</v>
      </c>
      <c r="M1915" s="7" t="s">
        <v>638</v>
      </c>
      <c r="O1915" s="17" t="s">
        <v>682</v>
      </c>
      <c r="P1915" s="7">
        <f t="shared" si="162"/>
        <v>9</v>
      </c>
      <c r="Q1915" s="7">
        <f t="shared" si="163"/>
        <v>2025</v>
      </c>
    </row>
    <row r="1916" spans="1:17" x14ac:dyDescent="0.25">
      <c r="A1916" s="7">
        <v>2545</v>
      </c>
      <c r="B1916" s="9" t="s">
        <v>636</v>
      </c>
      <c r="C1916" s="9" t="s">
        <v>636</v>
      </c>
      <c r="D1916" s="8">
        <v>45912</v>
      </c>
      <c r="E1916" s="7" t="s">
        <v>60</v>
      </c>
      <c r="F1916" s="7">
        <v>1</v>
      </c>
      <c r="G1916" s="7" t="s">
        <v>15</v>
      </c>
      <c r="J1916" s="7">
        <f t="shared" si="159"/>
        <v>1900</v>
      </c>
      <c r="K1916" s="7">
        <f t="shared" si="160"/>
        <v>1</v>
      </c>
      <c r="L1916" s="7">
        <f t="shared" si="161"/>
        <v>45912</v>
      </c>
      <c r="M1916" s="7" t="s">
        <v>638</v>
      </c>
      <c r="O1916" s="17" t="s">
        <v>682</v>
      </c>
      <c r="P1916" s="7">
        <f t="shared" si="162"/>
        <v>9</v>
      </c>
      <c r="Q1916" s="7">
        <f t="shared" si="163"/>
        <v>2025</v>
      </c>
    </row>
    <row r="1917" spans="1:17" x14ac:dyDescent="0.25">
      <c r="A1917" s="7">
        <v>2545</v>
      </c>
      <c r="B1917" s="9" t="s">
        <v>636</v>
      </c>
      <c r="C1917" s="9" t="s">
        <v>636</v>
      </c>
      <c r="D1917" s="8">
        <v>45912</v>
      </c>
      <c r="E1917" s="7" t="s">
        <v>60</v>
      </c>
      <c r="F1917" s="7">
        <v>1</v>
      </c>
      <c r="G1917" s="7" t="s">
        <v>15</v>
      </c>
      <c r="J1917" s="7">
        <f t="shared" si="159"/>
        <v>1900</v>
      </c>
      <c r="K1917" s="7">
        <f t="shared" si="160"/>
        <v>1</v>
      </c>
      <c r="L1917" s="7">
        <f t="shared" si="161"/>
        <v>45912</v>
      </c>
      <c r="M1917" s="7" t="s">
        <v>638</v>
      </c>
      <c r="O1917" s="17" t="s">
        <v>682</v>
      </c>
      <c r="P1917" s="7">
        <f t="shared" si="162"/>
        <v>9</v>
      </c>
      <c r="Q1917" s="7">
        <f t="shared" si="163"/>
        <v>2025</v>
      </c>
    </row>
    <row r="1918" spans="1:17" x14ac:dyDescent="0.25">
      <c r="A1918" s="7">
        <v>2545</v>
      </c>
      <c r="B1918" s="9" t="s">
        <v>636</v>
      </c>
      <c r="C1918" s="9" t="s">
        <v>636</v>
      </c>
      <c r="D1918" s="8">
        <v>45912</v>
      </c>
      <c r="E1918" s="7" t="s">
        <v>60</v>
      </c>
      <c r="F1918" s="7">
        <v>1</v>
      </c>
      <c r="G1918" s="7" t="s">
        <v>15</v>
      </c>
      <c r="J1918" s="7">
        <f t="shared" si="159"/>
        <v>1900</v>
      </c>
      <c r="K1918" s="7">
        <f t="shared" si="160"/>
        <v>1</v>
      </c>
      <c r="L1918" s="7">
        <f t="shared" si="161"/>
        <v>45912</v>
      </c>
      <c r="M1918" s="7" t="s">
        <v>638</v>
      </c>
      <c r="O1918" s="17" t="s">
        <v>682</v>
      </c>
      <c r="P1918" s="7">
        <f t="shared" si="162"/>
        <v>9</v>
      </c>
      <c r="Q1918" s="7">
        <f t="shared" si="163"/>
        <v>2025</v>
      </c>
    </row>
    <row r="1919" spans="1:17" x14ac:dyDescent="0.25">
      <c r="A1919" s="7">
        <v>2545</v>
      </c>
      <c r="B1919" s="9" t="s">
        <v>636</v>
      </c>
      <c r="C1919" s="9" t="s">
        <v>636</v>
      </c>
      <c r="D1919" s="8">
        <v>45912</v>
      </c>
      <c r="E1919" s="7" t="s">
        <v>60</v>
      </c>
      <c r="F1919" s="7">
        <v>1</v>
      </c>
      <c r="G1919" s="7" t="s">
        <v>15</v>
      </c>
      <c r="J1919" s="7">
        <f t="shared" si="159"/>
        <v>1900</v>
      </c>
      <c r="K1919" s="7">
        <f t="shared" si="160"/>
        <v>1</v>
      </c>
      <c r="L1919" s="7">
        <f t="shared" si="161"/>
        <v>45912</v>
      </c>
      <c r="M1919" s="7" t="s">
        <v>638</v>
      </c>
      <c r="O1919" s="17" t="s">
        <v>682</v>
      </c>
      <c r="P1919" s="7">
        <f t="shared" si="162"/>
        <v>9</v>
      </c>
      <c r="Q1919" s="7">
        <f t="shared" si="163"/>
        <v>2025</v>
      </c>
    </row>
    <row r="1920" spans="1:17" x14ac:dyDescent="0.25">
      <c r="A1920" s="7">
        <v>2545</v>
      </c>
      <c r="B1920" s="9" t="s">
        <v>636</v>
      </c>
      <c r="C1920" s="9" t="s">
        <v>636</v>
      </c>
      <c r="D1920" s="8">
        <v>45912</v>
      </c>
      <c r="E1920" s="7" t="s">
        <v>60</v>
      </c>
      <c r="F1920" s="7">
        <v>1</v>
      </c>
      <c r="G1920" s="7" t="s">
        <v>15</v>
      </c>
      <c r="J1920" s="7">
        <f t="shared" si="159"/>
        <v>1900</v>
      </c>
      <c r="K1920" s="7">
        <f t="shared" si="160"/>
        <v>1</v>
      </c>
      <c r="L1920" s="7">
        <f t="shared" si="161"/>
        <v>45912</v>
      </c>
      <c r="M1920" s="7" t="s">
        <v>638</v>
      </c>
      <c r="O1920" s="17" t="s">
        <v>682</v>
      </c>
      <c r="P1920" s="7">
        <f t="shared" si="162"/>
        <v>9</v>
      </c>
      <c r="Q1920" s="7">
        <f t="shared" si="163"/>
        <v>2025</v>
      </c>
    </row>
    <row r="1921" spans="1:17" x14ac:dyDescent="0.25">
      <c r="A1921" s="7">
        <v>2545</v>
      </c>
      <c r="B1921" s="9" t="s">
        <v>636</v>
      </c>
      <c r="C1921" s="9" t="s">
        <v>636</v>
      </c>
      <c r="D1921" s="8">
        <v>45912</v>
      </c>
      <c r="E1921" s="7" t="s">
        <v>60</v>
      </c>
      <c r="F1921" s="7">
        <v>1</v>
      </c>
      <c r="G1921" s="7" t="s">
        <v>15</v>
      </c>
      <c r="J1921" s="7">
        <f t="shared" si="159"/>
        <v>1900</v>
      </c>
      <c r="K1921" s="7">
        <f t="shared" si="160"/>
        <v>1</v>
      </c>
      <c r="L1921" s="7">
        <f t="shared" si="161"/>
        <v>45912</v>
      </c>
      <c r="M1921" s="7" t="s">
        <v>638</v>
      </c>
      <c r="O1921" s="17" t="s">
        <v>682</v>
      </c>
      <c r="P1921" s="7">
        <f t="shared" si="162"/>
        <v>9</v>
      </c>
      <c r="Q1921" s="7">
        <f t="shared" si="163"/>
        <v>2025</v>
      </c>
    </row>
    <row r="1922" spans="1:17" x14ac:dyDescent="0.25">
      <c r="A1922" s="7">
        <v>2545</v>
      </c>
      <c r="B1922" s="9" t="s">
        <v>636</v>
      </c>
      <c r="C1922" s="9" t="s">
        <v>636</v>
      </c>
      <c r="D1922" s="8">
        <v>45912</v>
      </c>
      <c r="E1922" s="7" t="s">
        <v>60</v>
      </c>
      <c r="F1922" s="7">
        <v>1</v>
      </c>
      <c r="G1922" s="7" t="s">
        <v>15</v>
      </c>
      <c r="J1922" s="7">
        <f t="shared" si="159"/>
        <v>1900</v>
      </c>
      <c r="K1922" s="7">
        <f t="shared" si="160"/>
        <v>1</v>
      </c>
      <c r="L1922" s="7">
        <f t="shared" si="161"/>
        <v>45912</v>
      </c>
      <c r="M1922" s="7" t="s">
        <v>638</v>
      </c>
      <c r="O1922" s="17" t="s">
        <v>682</v>
      </c>
      <c r="P1922" s="7">
        <f t="shared" si="162"/>
        <v>9</v>
      </c>
      <c r="Q1922" s="7">
        <f t="shared" si="163"/>
        <v>2025</v>
      </c>
    </row>
    <row r="1923" spans="1:17" x14ac:dyDescent="0.25">
      <c r="A1923" s="7">
        <v>2545</v>
      </c>
      <c r="B1923" s="9" t="s">
        <v>636</v>
      </c>
      <c r="C1923" s="9" t="s">
        <v>636</v>
      </c>
      <c r="D1923" s="8">
        <v>45912</v>
      </c>
      <c r="E1923" s="7" t="s">
        <v>60</v>
      </c>
      <c r="F1923" s="7">
        <v>1</v>
      </c>
      <c r="G1923" s="7" t="s">
        <v>15</v>
      </c>
      <c r="J1923" s="7">
        <f t="shared" si="159"/>
        <v>1900</v>
      </c>
      <c r="K1923" s="7">
        <f t="shared" si="160"/>
        <v>1</v>
      </c>
      <c r="L1923" s="7">
        <f t="shared" si="161"/>
        <v>45912</v>
      </c>
      <c r="M1923" s="7" t="s">
        <v>638</v>
      </c>
      <c r="O1923" s="17" t="s">
        <v>682</v>
      </c>
      <c r="P1923" s="7">
        <f t="shared" si="162"/>
        <v>9</v>
      </c>
      <c r="Q1923" s="7">
        <f t="shared" si="163"/>
        <v>2025</v>
      </c>
    </row>
    <row r="1924" spans="1:17" x14ac:dyDescent="0.25">
      <c r="A1924" s="7">
        <v>2545</v>
      </c>
      <c r="B1924" s="9" t="s">
        <v>636</v>
      </c>
      <c r="C1924" s="9" t="s">
        <v>636</v>
      </c>
      <c r="D1924" s="8">
        <v>45912</v>
      </c>
      <c r="E1924" s="7" t="s">
        <v>60</v>
      </c>
      <c r="F1924" s="7">
        <v>1</v>
      </c>
      <c r="G1924" s="7" t="s">
        <v>15</v>
      </c>
      <c r="J1924" s="7">
        <f t="shared" si="159"/>
        <v>1900</v>
      </c>
      <c r="K1924" s="7">
        <f t="shared" si="160"/>
        <v>1</v>
      </c>
      <c r="L1924" s="7">
        <f t="shared" si="161"/>
        <v>45912</v>
      </c>
      <c r="M1924" s="7" t="s">
        <v>638</v>
      </c>
      <c r="O1924" s="17" t="s">
        <v>682</v>
      </c>
      <c r="P1924" s="7">
        <f t="shared" si="162"/>
        <v>9</v>
      </c>
      <c r="Q1924" s="7">
        <f t="shared" si="163"/>
        <v>2025</v>
      </c>
    </row>
    <row r="1925" spans="1:17" x14ac:dyDescent="0.25">
      <c r="A1925" s="7">
        <v>2545</v>
      </c>
      <c r="B1925" s="9" t="s">
        <v>636</v>
      </c>
      <c r="C1925" s="9" t="s">
        <v>636</v>
      </c>
      <c r="D1925" s="8">
        <v>45912</v>
      </c>
      <c r="E1925" s="7" t="s">
        <v>60</v>
      </c>
      <c r="F1925" s="7">
        <v>1</v>
      </c>
      <c r="G1925" s="7" t="s">
        <v>15</v>
      </c>
      <c r="J1925" s="7">
        <f t="shared" si="159"/>
        <v>1900</v>
      </c>
      <c r="K1925" s="7">
        <f t="shared" si="160"/>
        <v>1</v>
      </c>
      <c r="L1925" s="7">
        <f t="shared" si="161"/>
        <v>45912</v>
      </c>
      <c r="M1925" s="7" t="s">
        <v>638</v>
      </c>
      <c r="O1925" s="17" t="s">
        <v>682</v>
      </c>
      <c r="P1925" s="7">
        <f t="shared" si="162"/>
        <v>9</v>
      </c>
      <c r="Q1925" s="7">
        <f t="shared" si="163"/>
        <v>2025</v>
      </c>
    </row>
    <row r="1926" spans="1:17" x14ac:dyDescent="0.25">
      <c r="A1926" s="7">
        <v>2545</v>
      </c>
      <c r="B1926" s="9" t="s">
        <v>636</v>
      </c>
      <c r="C1926" s="9" t="s">
        <v>636</v>
      </c>
      <c r="D1926" s="8">
        <v>45912</v>
      </c>
      <c r="E1926" s="7" t="s">
        <v>60</v>
      </c>
      <c r="F1926" s="7">
        <v>1</v>
      </c>
      <c r="G1926" s="7" t="s">
        <v>15</v>
      </c>
      <c r="J1926" s="7">
        <f t="shared" si="159"/>
        <v>1900</v>
      </c>
      <c r="K1926" s="7">
        <f t="shared" si="160"/>
        <v>1</v>
      </c>
      <c r="L1926" s="7">
        <f t="shared" si="161"/>
        <v>45912</v>
      </c>
      <c r="M1926" s="7" t="s">
        <v>638</v>
      </c>
      <c r="O1926" s="17" t="s">
        <v>682</v>
      </c>
      <c r="P1926" s="7">
        <f t="shared" si="162"/>
        <v>9</v>
      </c>
      <c r="Q1926" s="7">
        <f t="shared" si="163"/>
        <v>2025</v>
      </c>
    </row>
    <row r="1927" spans="1:17" x14ac:dyDescent="0.25">
      <c r="A1927" s="7">
        <v>2545</v>
      </c>
      <c r="B1927" s="9" t="s">
        <v>636</v>
      </c>
      <c r="C1927" s="9" t="s">
        <v>636</v>
      </c>
      <c r="D1927" s="8">
        <v>45912</v>
      </c>
      <c r="E1927" s="7" t="s">
        <v>60</v>
      </c>
      <c r="F1927" s="7">
        <v>1</v>
      </c>
      <c r="G1927" s="7" t="s">
        <v>15</v>
      </c>
      <c r="J1927" s="7">
        <f t="shared" si="159"/>
        <v>1900</v>
      </c>
      <c r="K1927" s="7">
        <f t="shared" si="160"/>
        <v>1</v>
      </c>
      <c r="L1927" s="7">
        <f t="shared" si="161"/>
        <v>45912</v>
      </c>
      <c r="M1927" s="7" t="s">
        <v>638</v>
      </c>
      <c r="O1927" s="17" t="s">
        <v>682</v>
      </c>
      <c r="P1927" s="7">
        <f t="shared" si="162"/>
        <v>9</v>
      </c>
      <c r="Q1927" s="7">
        <f t="shared" si="163"/>
        <v>2025</v>
      </c>
    </row>
    <row r="1928" spans="1:17" x14ac:dyDescent="0.25">
      <c r="A1928" s="7">
        <v>2546</v>
      </c>
      <c r="B1928" s="9" t="s">
        <v>641</v>
      </c>
      <c r="C1928" s="9" t="s">
        <v>641</v>
      </c>
      <c r="D1928" s="8">
        <v>45906</v>
      </c>
      <c r="E1928" s="7" t="s">
        <v>642</v>
      </c>
      <c r="F1928" s="7">
        <v>1</v>
      </c>
      <c r="G1928" s="7" t="s">
        <v>15</v>
      </c>
      <c r="J1928" s="7">
        <f t="shared" si="159"/>
        <v>1900</v>
      </c>
      <c r="K1928" s="7">
        <f t="shared" si="160"/>
        <v>1</v>
      </c>
      <c r="L1928" s="7">
        <f t="shared" si="161"/>
        <v>45906</v>
      </c>
      <c r="M1928" s="16" t="s">
        <v>497</v>
      </c>
      <c r="O1928" s="17" t="s">
        <v>682</v>
      </c>
      <c r="P1928" s="7">
        <f t="shared" si="162"/>
        <v>9</v>
      </c>
      <c r="Q1928" s="7">
        <f t="shared" si="163"/>
        <v>2025</v>
      </c>
    </row>
    <row r="1929" spans="1:17" x14ac:dyDescent="0.25">
      <c r="A1929" s="7">
        <v>2546</v>
      </c>
      <c r="B1929" s="9" t="s">
        <v>641</v>
      </c>
      <c r="C1929" s="9" t="s">
        <v>641</v>
      </c>
      <c r="D1929" s="8">
        <v>45906</v>
      </c>
      <c r="E1929" s="7" t="s">
        <v>643</v>
      </c>
      <c r="F1929" s="7">
        <v>1</v>
      </c>
      <c r="G1929" s="7" t="s">
        <v>15</v>
      </c>
      <c r="J1929" s="7">
        <f t="shared" si="159"/>
        <v>1900</v>
      </c>
      <c r="K1929" s="7">
        <f t="shared" si="160"/>
        <v>1</v>
      </c>
      <c r="L1929" s="7">
        <f t="shared" si="161"/>
        <v>45906</v>
      </c>
      <c r="M1929" s="16" t="s">
        <v>497</v>
      </c>
      <c r="N1929" s="7" t="s">
        <v>579</v>
      </c>
      <c r="O1929" s="17" t="s">
        <v>680</v>
      </c>
      <c r="P1929" s="7">
        <f t="shared" si="162"/>
        <v>9</v>
      </c>
      <c r="Q1929" s="7">
        <f t="shared" si="163"/>
        <v>2025</v>
      </c>
    </row>
    <row r="1930" spans="1:17" x14ac:dyDescent="0.25">
      <c r="A1930" s="7">
        <v>2546</v>
      </c>
      <c r="B1930" s="9" t="s">
        <v>641</v>
      </c>
      <c r="C1930" s="9" t="s">
        <v>641</v>
      </c>
      <c r="D1930" s="8">
        <v>45906</v>
      </c>
      <c r="E1930" s="7" t="s">
        <v>644</v>
      </c>
      <c r="F1930" s="7">
        <v>1</v>
      </c>
      <c r="G1930" s="7" t="s">
        <v>15</v>
      </c>
      <c r="J1930" s="7">
        <f t="shared" si="159"/>
        <v>1900</v>
      </c>
      <c r="K1930" s="7">
        <f t="shared" si="160"/>
        <v>1</v>
      </c>
      <c r="L1930" s="7">
        <f t="shared" si="161"/>
        <v>45906</v>
      </c>
      <c r="M1930" s="16" t="s">
        <v>497</v>
      </c>
      <c r="N1930" s="7" t="s">
        <v>579</v>
      </c>
      <c r="O1930" s="17" t="s">
        <v>680</v>
      </c>
      <c r="P1930" s="7">
        <f t="shared" si="162"/>
        <v>9</v>
      </c>
      <c r="Q1930" s="7">
        <f t="shared" si="163"/>
        <v>2025</v>
      </c>
    </row>
    <row r="1931" spans="1:17" x14ac:dyDescent="0.25">
      <c r="A1931" s="7">
        <v>2546</v>
      </c>
      <c r="B1931" s="9" t="s">
        <v>641</v>
      </c>
      <c r="C1931" s="9" t="s">
        <v>641</v>
      </c>
      <c r="D1931" s="8">
        <v>45906</v>
      </c>
      <c r="E1931" s="7" t="s">
        <v>645</v>
      </c>
      <c r="F1931" s="7">
        <v>1</v>
      </c>
      <c r="G1931" s="7" t="s">
        <v>15</v>
      </c>
      <c r="J1931" s="7">
        <f t="shared" si="159"/>
        <v>1900</v>
      </c>
      <c r="K1931" s="7">
        <f t="shared" si="160"/>
        <v>1</v>
      </c>
      <c r="L1931" s="7">
        <f t="shared" si="161"/>
        <v>45906</v>
      </c>
      <c r="M1931" s="16" t="s">
        <v>497</v>
      </c>
      <c r="N1931" s="7" t="s">
        <v>579</v>
      </c>
      <c r="O1931" s="17" t="s">
        <v>680</v>
      </c>
      <c r="P1931" s="7">
        <f t="shared" si="162"/>
        <v>9</v>
      </c>
      <c r="Q1931" s="7">
        <f t="shared" si="163"/>
        <v>2025</v>
      </c>
    </row>
    <row r="1932" spans="1:17" x14ac:dyDescent="0.25">
      <c r="A1932" s="7">
        <v>2546</v>
      </c>
      <c r="B1932" s="9" t="s">
        <v>641</v>
      </c>
      <c r="C1932" s="9" t="s">
        <v>641</v>
      </c>
      <c r="D1932" s="8">
        <v>45906</v>
      </c>
      <c r="E1932" s="7" t="s">
        <v>646</v>
      </c>
      <c r="F1932" s="7">
        <v>1</v>
      </c>
      <c r="G1932" s="7" t="s">
        <v>15</v>
      </c>
      <c r="J1932" s="7">
        <f t="shared" si="159"/>
        <v>1900</v>
      </c>
      <c r="K1932" s="7">
        <f t="shared" si="160"/>
        <v>1</v>
      </c>
      <c r="L1932" s="7">
        <f t="shared" si="161"/>
        <v>45906</v>
      </c>
      <c r="M1932" s="16" t="s">
        <v>497</v>
      </c>
      <c r="O1932" s="17" t="s">
        <v>682</v>
      </c>
      <c r="P1932" s="7">
        <f t="shared" si="162"/>
        <v>9</v>
      </c>
      <c r="Q1932" s="7">
        <f t="shared" si="163"/>
        <v>2025</v>
      </c>
    </row>
    <row r="1933" spans="1:17" x14ac:dyDescent="0.25">
      <c r="A1933" s="7">
        <v>2546</v>
      </c>
      <c r="B1933" s="9" t="s">
        <v>641</v>
      </c>
      <c r="C1933" s="9" t="s">
        <v>641</v>
      </c>
      <c r="D1933" s="8">
        <v>45906</v>
      </c>
      <c r="E1933" s="7" t="s">
        <v>647</v>
      </c>
      <c r="F1933" s="7">
        <v>1</v>
      </c>
      <c r="G1933" s="7" t="s">
        <v>15</v>
      </c>
      <c r="J1933" s="7">
        <f t="shared" si="159"/>
        <v>1900</v>
      </c>
      <c r="K1933" s="7">
        <f t="shared" si="160"/>
        <v>1</v>
      </c>
      <c r="L1933" s="7">
        <f t="shared" si="161"/>
        <v>45906</v>
      </c>
      <c r="M1933" s="16" t="s">
        <v>497</v>
      </c>
      <c r="O1933" s="17" t="s">
        <v>682</v>
      </c>
      <c r="P1933" s="7">
        <f t="shared" si="162"/>
        <v>9</v>
      </c>
      <c r="Q1933" s="7">
        <f t="shared" si="163"/>
        <v>2025</v>
      </c>
    </row>
    <row r="1934" spans="1:17" x14ac:dyDescent="0.25">
      <c r="A1934" s="7">
        <v>2546</v>
      </c>
      <c r="B1934" s="9" t="s">
        <v>641</v>
      </c>
      <c r="C1934" s="9" t="s">
        <v>641</v>
      </c>
      <c r="D1934" s="8">
        <v>45906</v>
      </c>
      <c r="E1934" s="7" t="s">
        <v>648</v>
      </c>
      <c r="F1934" s="7">
        <v>1</v>
      </c>
      <c r="G1934" s="7" t="s">
        <v>15</v>
      </c>
      <c r="J1934" s="7">
        <f t="shared" ref="J1934:J1963" si="164">YEAR(I1934)</f>
        <v>1900</v>
      </c>
      <c r="K1934" s="7">
        <f t="shared" ref="K1934:K1963" si="165">MONTH(I1934)</f>
        <v>1</v>
      </c>
      <c r="L1934" s="7">
        <f t="shared" ref="L1934:L1963" si="166">D1934-I1934</f>
        <v>45906</v>
      </c>
      <c r="M1934" s="16" t="s">
        <v>497</v>
      </c>
      <c r="O1934" s="17" t="s">
        <v>682</v>
      </c>
      <c r="P1934" s="7">
        <f t="shared" si="162"/>
        <v>9</v>
      </c>
      <c r="Q1934" s="7">
        <f t="shared" si="163"/>
        <v>2025</v>
      </c>
    </row>
    <row r="1935" spans="1:17" x14ac:dyDescent="0.25">
      <c r="A1935" s="7">
        <v>2546</v>
      </c>
      <c r="B1935" s="9" t="s">
        <v>641</v>
      </c>
      <c r="C1935" s="9" t="s">
        <v>641</v>
      </c>
      <c r="D1935" s="8">
        <v>45906</v>
      </c>
      <c r="E1935" s="7" t="s">
        <v>649</v>
      </c>
      <c r="F1935" s="7">
        <v>1</v>
      </c>
      <c r="G1935" s="7" t="s">
        <v>15</v>
      </c>
      <c r="J1935" s="7">
        <f t="shared" si="164"/>
        <v>1900</v>
      </c>
      <c r="K1935" s="7">
        <f t="shared" si="165"/>
        <v>1</v>
      </c>
      <c r="L1935" s="7">
        <f t="shared" si="166"/>
        <v>45906</v>
      </c>
      <c r="M1935" s="16" t="s">
        <v>497</v>
      </c>
      <c r="N1935" s="7" t="s">
        <v>579</v>
      </c>
      <c r="O1935" s="17" t="s">
        <v>680</v>
      </c>
      <c r="P1935" s="7">
        <f t="shared" si="162"/>
        <v>9</v>
      </c>
      <c r="Q1935" s="7">
        <f t="shared" si="163"/>
        <v>2025</v>
      </c>
    </row>
    <row r="1936" spans="1:17" x14ac:dyDescent="0.25">
      <c r="A1936" s="7">
        <v>2546</v>
      </c>
      <c r="B1936" s="9" t="s">
        <v>641</v>
      </c>
      <c r="C1936" s="9" t="s">
        <v>641</v>
      </c>
      <c r="D1936" s="8">
        <v>45906</v>
      </c>
      <c r="E1936" s="7" t="s">
        <v>650</v>
      </c>
      <c r="F1936" s="7">
        <v>1</v>
      </c>
      <c r="G1936" s="7" t="s">
        <v>15</v>
      </c>
      <c r="J1936" s="7">
        <f t="shared" si="164"/>
        <v>1900</v>
      </c>
      <c r="K1936" s="7">
        <f t="shared" si="165"/>
        <v>1</v>
      </c>
      <c r="L1936" s="7">
        <f t="shared" si="166"/>
        <v>45906</v>
      </c>
      <c r="M1936" s="16" t="s">
        <v>497</v>
      </c>
      <c r="O1936" s="17" t="s">
        <v>682</v>
      </c>
      <c r="P1936" s="7">
        <f t="shared" si="162"/>
        <v>9</v>
      </c>
      <c r="Q1936" s="7">
        <f t="shared" si="163"/>
        <v>2025</v>
      </c>
    </row>
    <row r="1937" spans="1:17" x14ac:dyDescent="0.25">
      <c r="A1937" s="7">
        <v>2546</v>
      </c>
      <c r="B1937" s="9" t="s">
        <v>641</v>
      </c>
      <c r="C1937" s="9" t="s">
        <v>641</v>
      </c>
      <c r="D1937" s="8">
        <v>45906</v>
      </c>
      <c r="E1937" s="7" t="s">
        <v>651</v>
      </c>
      <c r="F1937" s="7">
        <v>1</v>
      </c>
      <c r="G1937" s="7" t="s">
        <v>15</v>
      </c>
      <c r="J1937" s="7">
        <f t="shared" si="164"/>
        <v>1900</v>
      </c>
      <c r="K1937" s="7">
        <f t="shared" si="165"/>
        <v>1</v>
      </c>
      <c r="L1937" s="7">
        <f t="shared" si="166"/>
        <v>45906</v>
      </c>
      <c r="M1937" s="16" t="s">
        <v>497</v>
      </c>
      <c r="N1937" s="7" t="s">
        <v>579</v>
      </c>
      <c r="O1937" s="17" t="s">
        <v>680</v>
      </c>
      <c r="P1937" s="7">
        <f t="shared" si="162"/>
        <v>9</v>
      </c>
      <c r="Q1937" s="7">
        <f t="shared" si="163"/>
        <v>2025</v>
      </c>
    </row>
    <row r="1938" spans="1:17" x14ac:dyDescent="0.25">
      <c r="A1938" s="7">
        <v>2546</v>
      </c>
      <c r="B1938" s="9" t="s">
        <v>641</v>
      </c>
      <c r="C1938" s="9" t="s">
        <v>641</v>
      </c>
      <c r="D1938" s="8">
        <v>45906</v>
      </c>
      <c r="E1938" s="7" t="s">
        <v>652</v>
      </c>
      <c r="F1938" s="7">
        <v>1</v>
      </c>
      <c r="G1938" s="7" t="s">
        <v>15</v>
      </c>
      <c r="J1938" s="7">
        <f t="shared" si="164"/>
        <v>1900</v>
      </c>
      <c r="K1938" s="7">
        <f t="shared" si="165"/>
        <v>1</v>
      </c>
      <c r="L1938" s="7">
        <f t="shared" si="166"/>
        <v>45906</v>
      </c>
      <c r="M1938" s="16" t="s">
        <v>497</v>
      </c>
      <c r="O1938" s="17" t="s">
        <v>682</v>
      </c>
      <c r="P1938" s="7">
        <f t="shared" si="162"/>
        <v>9</v>
      </c>
      <c r="Q1938" s="7">
        <f t="shared" si="163"/>
        <v>2025</v>
      </c>
    </row>
    <row r="1939" spans="1:17" x14ac:dyDescent="0.25">
      <c r="A1939" s="7">
        <v>2546</v>
      </c>
      <c r="B1939" s="9" t="s">
        <v>641</v>
      </c>
      <c r="C1939" s="9" t="s">
        <v>641</v>
      </c>
      <c r="D1939" s="8">
        <v>45906</v>
      </c>
      <c r="E1939" s="7" t="s">
        <v>653</v>
      </c>
      <c r="F1939" s="7">
        <v>1</v>
      </c>
      <c r="G1939" s="7" t="s">
        <v>15</v>
      </c>
      <c r="J1939" s="7">
        <f t="shared" si="164"/>
        <v>1900</v>
      </c>
      <c r="K1939" s="7">
        <f t="shared" si="165"/>
        <v>1</v>
      </c>
      <c r="L1939" s="7">
        <f t="shared" si="166"/>
        <v>45906</v>
      </c>
      <c r="M1939" s="16" t="s">
        <v>497</v>
      </c>
      <c r="N1939" s="7" t="s">
        <v>579</v>
      </c>
      <c r="O1939" s="17" t="s">
        <v>680</v>
      </c>
      <c r="P1939" s="7">
        <f t="shared" si="162"/>
        <v>9</v>
      </c>
      <c r="Q1939" s="7">
        <f t="shared" si="163"/>
        <v>2025</v>
      </c>
    </row>
    <row r="1940" spans="1:17" x14ac:dyDescent="0.25">
      <c r="A1940" s="7">
        <v>2546</v>
      </c>
      <c r="B1940" s="9" t="s">
        <v>641</v>
      </c>
      <c r="C1940" s="9" t="s">
        <v>641</v>
      </c>
      <c r="D1940" s="8">
        <v>45906</v>
      </c>
      <c r="E1940" s="7" t="s">
        <v>654</v>
      </c>
      <c r="F1940" s="7">
        <v>1</v>
      </c>
      <c r="G1940" s="7" t="s">
        <v>15</v>
      </c>
      <c r="J1940" s="7">
        <f t="shared" si="164"/>
        <v>1900</v>
      </c>
      <c r="K1940" s="7">
        <f t="shared" si="165"/>
        <v>1</v>
      </c>
      <c r="L1940" s="7">
        <f t="shared" si="166"/>
        <v>45906</v>
      </c>
      <c r="M1940" s="16" t="s">
        <v>497</v>
      </c>
      <c r="N1940" s="7" t="s">
        <v>579</v>
      </c>
      <c r="O1940" s="17" t="s">
        <v>680</v>
      </c>
      <c r="P1940" s="7">
        <f t="shared" si="162"/>
        <v>9</v>
      </c>
      <c r="Q1940" s="7">
        <f t="shared" si="163"/>
        <v>2025</v>
      </c>
    </row>
    <row r="1941" spans="1:17" x14ac:dyDescent="0.25">
      <c r="A1941" s="7">
        <v>2546</v>
      </c>
      <c r="B1941" s="9" t="s">
        <v>641</v>
      </c>
      <c r="C1941" s="9" t="s">
        <v>641</v>
      </c>
      <c r="D1941" s="8">
        <v>45906</v>
      </c>
      <c r="E1941" s="7" t="s">
        <v>655</v>
      </c>
      <c r="F1941" s="7">
        <v>1</v>
      </c>
      <c r="G1941" s="7" t="s">
        <v>15</v>
      </c>
      <c r="J1941" s="7">
        <f t="shared" si="164"/>
        <v>1900</v>
      </c>
      <c r="K1941" s="7">
        <f t="shared" si="165"/>
        <v>1</v>
      </c>
      <c r="L1941" s="7">
        <f t="shared" si="166"/>
        <v>45906</v>
      </c>
      <c r="M1941" s="16" t="s">
        <v>497</v>
      </c>
      <c r="N1941" s="7" t="s">
        <v>579</v>
      </c>
      <c r="O1941" s="17" t="s">
        <v>680</v>
      </c>
      <c r="P1941" s="7">
        <f t="shared" si="162"/>
        <v>9</v>
      </c>
      <c r="Q1941" s="7">
        <f t="shared" si="163"/>
        <v>2025</v>
      </c>
    </row>
    <row r="1942" spans="1:17" x14ac:dyDescent="0.25">
      <c r="A1942" s="7">
        <v>2546</v>
      </c>
      <c r="B1942" s="9" t="s">
        <v>641</v>
      </c>
      <c r="C1942" s="9" t="s">
        <v>641</v>
      </c>
      <c r="D1942" s="8">
        <v>45906</v>
      </c>
      <c r="E1942" s="7" t="s">
        <v>656</v>
      </c>
      <c r="F1942" s="7">
        <v>1</v>
      </c>
      <c r="G1942" s="7" t="s">
        <v>15</v>
      </c>
      <c r="J1942" s="7">
        <f t="shared" si="164"/>
        <v>1900</v>
      </c>
      <c r="K1942" s="7">
        <f t="shared" si="165"/>
        <v>1</v>
      </c>
      <c r="L1942" s="7">
        <f t="shared" si="166"/>
        <v>45906</v>
      </c>
      <c r="M1942" s="16" t="s">
        <v>497</v>
      </c>
      <c r="O1942" s="17" t="s">
        <v>682</v>
      </c>
      <c r="P1942" s="7">
        <f t="shared" si="162"/>
        <v>9</v>
      </c>
      <c r="Q1942" s="7">
        <f t="shared" si="163"/>
        <v>2025</v>
      </c>
    </row>
    <row r="1943" spans="1:17" x14ac:dyDescent="0.25">
      <c r="A1943" s="7">
        <v>2546</v>
      </c>
      <c r="B1943" s="9" t="s">
        <v>641</v>
      </c>
      <c r="C1943" s="9" t="s">
        <v>641</v>
      </c>
      <c r="D1943" s="8">
        <v>45906</v>
      </c>
      <c r="E1943" s="7" t="s">
        <v>657</v>
      </c>
      <c r="F1943" s="7">
        <v>1</v>
      </c>
      <c r="G1943" s="7" t="s">
        <v>15</v>
      </c>
      <c r="J1943" s="7">
        <f t="shared" si="164"/>
        <v>1900</v>
      </c>
      <c r="K1943" s="7">
        <f t="shared" si="165"/>
        <v>1</v>
      </c>
      <c r="L1943" s="7">
        <f t="shared" si="166"/>
        <v>45906</v>
      </c>
      <c r="M1943" s="16" t="s">
        <v>497</v>
      </c>
      <c r="O1943" s="17" t="s">
        <v>682</v>
      </c>
      <c r="P1943" s="7">
        <f t="shared" si="162"/>
        <v>9</v>
      </c>
      <c r="Q1943" s="7">
        <f t="shared" si="163"/>
        <v>2025</v>
      </c>
    </row>
    <row r="1944" spans="1:17" x14ac:dyDescent="0.25">
      <c r="A1944" s="7">
        <v>2546</v>
      </c>
      <c r="B1944" s="9" t="s">
        <v>641</v>
      </c>
      <c r="C1944" s="9" t="s">
        <v>641</v>
      </c>
      <c r="D1944" s="8">
        <v>45906</v>
      </c>
      <c r="E1944" s="7" t="s">
        <v>658</v>
      </c>
      <c r="F1944" s="7">
        <v>1</v>
      </c>
      <c r="G1944" s="7" t="s">
        <v>15</v>
      </c>
      <c r="J1944" s="7">
        <f t="shared" si="164"/>
        <v>1900</v>
      </c>
      <c r="K1944" s="7">
        <f t="shared" si="165"/>
        <v>1</v>
      </c>
      <c r="L1944" s="7">
        <f t="shared" si="166"/>
        <v>45906</v>
      </c>
      <c r="M1944" s="16" t="s">
        <v>497</v>
      </c>
      <c r="O1944" s="17" t="s">
        <v>682</v>
      </c>
      <c r="P1944" s="7">
        <f t="shared" si="162"/>
        <v>9</v>
      </c>
      <c r="Q1944" s="7">
        <f t="shared" si="163"/>
        <v>2025</v>
      </c>
    </row>
    <row r="1945" spans="1:17" x14ac:dyDescent="0.25">
      <c r="A1945" s="7">
        <v>2546</v>
      </c>
      <c r="B1945" s="9" t="s">
        <v>641</v>
      </c>
      <c r="C1945" s="9" t="s">
        <v>641</v>
      </c>
      <c r="D1945" s="8">
        <v>45906</v>
      </c>
      <c r="E1945" s="7" t="s">
        <v>659</v>
      </c>
      <c r="F1945" s="7">
        <v>1</v>
      </c>
      <c r="G1945" s="7" t="s">
        <v>15</v>
      </c>
      <c r="J1945" s="7">
        <f t="shared" si="164"/>
        <v>1900</v>
      </c>
      <c r="K1945" s="7">
        <f t="shared" si="165"/>
        <v>1</v>
      </c>
      <c r="L1945" s="7">
        <f t="shared" si="166"/>
        <v>45906</v>
      </c>
      <c r="M1945" s="16" t="s">
        <v>497</v>
      </c>
      <c r="N1945" s="7" t="s">
        <v>579</v>
      </c>
      <c r="O1945" s="17" t="s">
        <v>680</v>
      </c>
      <c r="P1945" s="7">
        <f t="shared" si="162"/>
        <v>9</v>
      </c>
      <c r="Q1945" s="7">
        <f t="shared" si="163"/>
        <v>2025</v>
      </c>
    </row>
    <row r="1946" spans="1:17" x14ac:dyDescent="0.25">
      <c r="A1946" s="7">
        <v>2546</v>
      </c>
      <c r="B1946" s="9" t="s">
        <v>641</v>
      </c>
      <c r="C1946" s="9" t="s">
        <v>641</v>
      </c>
      <c r="D1946" s="8">
        <v>45906</v>
      </c>
      <c r="E1946" s="7" t="s">
        <v>660</v>
      </c>
      <c r="F1946" s="7">
        <v>1</v>
      </c>
      <c r="G1946" s="7" t="s">
        <v>15</v>
      </c>
      <c r="J1946" s="7">
        <f t="shared" si="164"/>
        <v>1900</v>
      </c>
      <c r="K1946" s="7">
        <f t="shared" si="165"/>
        <v>1</v>
      </c>
      <c r="L1946" s="7">
        <f t="shared" si="166"/>
        <v>45906</v>
      </c>
      <c r="M1946" s="16" t="s">
        <v>497</v>
      </c>
      <c r="O1946" s="17" t="s">
        <v>682</v>
      </c>
      <c r="P1946" s="7">
        <f t="shared" si="162"/>
        <v>9</v>
      </c>
      <c r="Q1946" s="7">
        <f t="shared" si="163"/>
        <v>2025</v>
      </c>
    </row>
    <row r="1947" spans="1:17" x14ac:dyDescent="0.25">
      <c r="A1947" s="7">
        <v>2546</v>
      </c>
      <c r="B1947" s="9" t="s">
        <v>641</v>
      </c>
      <c r="C1947" s="9" t="s">
        <v>641</v>
      </c>
      <c r="D1947" s="8">
        <v>45906</v>
      </c>
      <c r="E1947" s="7" t="s">
        <v>661</v>
      </c>
      <c r="F1947" s="7">
        <v>1</v>
      </c>
      <c r="G1947" s="7" t="s">
        <v>15</v>
      </c>
      <c r="J1947" s="7">
        <f t="shared" si="164"/>
        <v>1900</v>
      </c>
      <c r="K1947" s="7">
        <f t="shared" si="165"/>
        <v>1</v>
      </c>
      <c r="L1947" s="7">
        <f t="shared" si="166"/>
        <v>45906</v>
      </c>
      <c r="M1947" s="16" t="s">
        <v>497</v>
      </c>
      <c r="N1947" s="7" t="s">
        <v>579</v>
      </c>
      <c r="O1947" s="17" t="s">
        <v>680</v>
      </c>
      <c r="P1947" s="7">
        <f t="shared" si="162"/>
        <v>9</v>
      </c>
      <c r="Q1947" s="7">
        <f t="shared" si="163"/>
        <v>2025</v>
      </c>
    </row>
    <row r="1948" spans="1:17" x14ac:dyDescent="0.25">
      <c r="A1948" s="7">
        <v>2546</v>
      </c>
      <c r="B1948" s="9" t="s">
        <v>641</v>
      </c>
      <c r="C1948" s="9" t="s">
        <v>641</v>
      </c>
      <c r="D1948" s="8">
        <v>45906</v>
      </c>
      <c r="E1948" s="7" t="s">
        <v>662</v>
      </c>
      <c r="F1948" s="7">
        <v>1</v>
      </c>
      <c r="G1948" s="7" t="s">
        <v>15</v>
      </c>
      <c r="J1948" s="7">
        <f t="shared" si="164"/>
        <v>1900</v>
      </c>
      <c r="K1948" s="7">
        <f t="shared" si="165"/>
        <v>1</v>
      </c>
      <c r="L1948" s="7">
        <f t="shared" si="166"/>
        <v>45906</v>
      </c>
      <c r="M1948" s="16" t="s">
        <v>497</v>
      </c>
      <c r="O1948" s="17" t="s">
        <v>682</v>
      </c>
      <c r="P1948" s="7">
        <f t="shared" si="162"/>
        <v>9</v>
      </c>
      <c r="Q1948" s="7">
        <f t="shared" si="163"/>
        <v>2025</v>
      </c>
    </row>
    <row r="1949" spans="1:17" x14ac:dyDescent="0.25">
      <c r="A1949" s="7">
        <v>2546</v>
      </c>
      <c r="B1949" s="9" t="s">
        <v>641</v>
      </c>
      <c r="C1949" s="9" t="s">
        <v>641</v>
      </c>
      <c r="D1949" s="8">
        <v>45906</v>
      </c>
      <c r="E1949" s="7" t="s">
        <v>663</v>
      </c>
      <c r="F1949" s="7">
        <v>1</v>
      </c>
      <c r="G1949" s="7" t="s">
        <v>15</v>
      </c>
      <c r="J1949" s="7">
        <f t="shared" si="164"/>
        <v>1900</v>
      </c>
      <c r="K1949" s="7">
        <f t="shared" si="165"/>
        <v>1</v>
      </c>
      <c r="L1949" s="7">
        <f t="shared" si="166"/>
        <v>45906</v>
      </c>
      <c r="M1949" s="16" t="s">
        <v>497</v>
      </c>
      <c r="O1949" s="17" t="s">
        <v>682</v>
      </c>
      <c r="P1949" s="7">
        <f t="shared" si="162"/>
        <v>9</v>
      </c>
      <c r="Q1949" s="7">
        <f t="shared" si="163"/>
        <v>2025</v>
      </c>
    </row>
    <row r="1950" spans="1:17" x14ac:dyDescent="0.25">
      <c r="A1950" s="7">
        <v>2546</v>
      </c>
      <c r="B1950" s="9" t="s">
        <v>641</v>
      </c>
      <c r="C1950" s="9" t="s">
        <v>641</v>
      </c>
      <c r="D1950" s="8">
        <v>45906</v>
      </c>
      <c r="E1950" s="7" t="s">
        <v>664</v>
      </c>
      <c r="F1950" s="7">
        <v>1</v>
      </c>
      <c r="G1950" s="7" t="s">
        <v>15</v>
      </c>
      <c r="J1950" s="7">
        <f t="shared" si="164"/>
        <v>1900</v>
      </c>
      <c r="K1950" s="7">
        <f t="shared" si="165"/>
        <v>1</v>
      </c>
      <c r="L1950" s="7">
        <f t="shared" si="166"/>
        <v>45906</v>
      </c>
      <c r="M1950" s="16" t="s">
        <v>497</v>
      </c>
      <c r="O1950" s="17" t="s">
        <v>682</v>
      </c>
      <c r="P1950" s="7">
        <f t="shared" ref="P1950:P1963" si="167">MONTH(D1950)</f>
        <v>9</v>
      </c>
      <c r="Q1950" s="7">
        <f t="shared" si="163"/>
        <v>2025</v>
      </c>
    </row>
    <row r="1951" spans="1:17" x14ac:dyDescent="0.25">
      <c r="A1951" s="7">
        <v>2546</v>
      </c>
      <c r="B1951" s="9" t="s">
        <v>641</v>
      </c>
      <c r="C1951" s="9" t="s">
        <v>641</v>
      </c>
      <c r="D1951" s="8">
        <v>45906</v>
      </c>
      <c r="E1951" s="7" t="s">
        <v>665</v>
      </c>
      <c r="F1951" s="7">
        <v>1</v>
      </c>
      <c r="G1951" s="7" t="s">
        <v>15</v>
      </c>
      <c r="J1951" s="7">
        <f t="shared" si="164"/>
        <v>1900</v>
      </c>
      <c r="K1951" s="7">
        <f t="shared" si="165"/>
        <v>1</v>
      </c>
      <c r="L1951" s="7">
        <f t="shared" si="166"/>
        <v>45906</v>
      </c>
      <c r="M1951" s="16" t="s">
        <v>497</v>
      </c>
      <c r="O1951" s="17" t="s">
        <v>682</v>
      </c>
      <c r="P1951" s="7">
        <f t="shared" si="167"/>
        <v>9</v>
      </c>
      <c r="Q1951" s="7">
        <f t="shared" si="163"/>
        <v>2025</v>
      </c>
    </row>
    <row r="1952" spans="1:17" x14ac:dyDescent="0.25">
      <c r="A1952" s="7">
        <v>2546</v>
      </c>
      <c r="B1952" s="9" t="s">
        <v>641</v>
      </c>
      <c r="C1952" s="9" t="s">
        <v>641</v>
      </c>
      <c r="D1952" s="8">
        <v>45906</v>
      </c>
      <c r="E1952" s="7" t="s">
        <v>666</v>
      </c>
      <c r="F1952" s="7">
        <v>1</v>
      </c>
      <c r="G1952" s="7" t="s">
        <v>15</v>
      </c>
      <c r="J1952" s="7">
        <f t="shared" si="164"/>
        <v>1900</v>
      </c>
      <c r="K1952" s="7">
        <f t="shared" si="165"/>
        <v>1</v>
      </c>
      <c r="L1952" s="7">
        <f t="shared" si="166"/>
        <v>45906</v>
      </c>
      <c r="M1952" s="16" t="s">
        <v>497</v>
      </c>
      <c r="O1952" s="17" t="s">
        <v>682</v>
      </c>
      <c r="P1952" s="7">
        <f t="shared" si="167"/>
        <v>9</v>
      </c>
      <c r="Q1952" s="7">
        <f t="shared" si="163"/>
        <v>2025</v>
      </c>
    </row>
    <row r="1953" spans="1:17" x14ac:dyDescent="0.25">
      <c r="A1953" s="7">
        <v>2546</v>
      </c>
      <c r="B1953" s="9" t="s">
        <v>641</v>
      </c>
      <c r="C1953" s="9" t="s">
        <v>641</v>
      </c>
      <c r="D1953" s="8">
        <v>45906</v>
      </c>
      <c r="E1953" s="7" t="s">
        <v>667</v>
      </c>
      <c r="F1953" s="7">
        <v>1</v>
      </c>
      <c r="G1953" s="7" t="s">
        <v>15</v>
      </c>
      <c r="J1953" s="7">
        <f t="shared" si="164"/>
        <v>1900</v>
      </c>
      <c r="K1953" s="7">
        <f t="shared" si="165"/>
        <v>1</v>
      </c>
      <c r="L1953" s="7">
        <f t="shared" si="166"/>
        <v>45906</v>
      </c>
      <c r="M1953" s="16" t="s">
        <v>497</v>
      </c>
      <c r="O1953" s="17" t="s">
        <v>682</v>
      </c>
      <c r="P1953" s="7">
        <f t="shared" si="167"/>
        <v>9</v>
      </c>
      <c r="Q1953" s="7">
        <f t="shared" si="163"/>
        <v>2025</v>
      </c>
    </row>
    <row r="1954" spans="1:17" x14ac:dyDescent="0.25">
      <c r="A1954" s="7">
        <v>2546</v>
      </c>
      <c r="B1954" s="9" t="s">
        <v>641</v>
      </c>
      <c r="C1954" s="9" t="s">
        <v>641</v>
      </c>
      <c r="D1954" s="8">
        <v>45906</v>
      </c>
      <c r="E1954" s="7" t="s">
        <v>668</v>
      </c>
      <c r="F1954" s="7">
        <v>1</v>
      </c>
      <c r="G1954" s="7" t="s">
        <v>15</v>
      </c>
      <c r="J1954" s="7">
        <f t="shared" si="164"/>
        <v>1900</v>
      </c>
      <c r="K1954" s="7">
        <f t="shared" si="165"/>
        <v>1</v>
      </c>
      <c r="L1954" s="7">
        <f t="shared" si="166"/>
        <v>45906</v>
      </c>
      <c r="M1954" s="16" t="s">
        <v>497</v>
      </c>
      <c r="N1954" s="7" t="s">
        <v>579</v>
      </c>
      <c r="O1954" s="17" t="s">
        <v>680</v>
      </c>
      <c r="P1954" s="7">
        <f t="shared" si="167"/>
        <v>9</v>
      </c>
      <c r="Q1954" s="7">
        <f t="shared" si="163"/>
        <v>2025</v>
      </c>
    </row>
    <row r="1955" spans="1:17" x14ac:dyDescent="0.25">
      <c r="A1955" s="7">
        <v>2546</v>
      </c>
      <c r="B1955" s="9" t="s">
        <v>641</v>
      </c>
      <c r="C1955" s="9" t="s">
        <v>641</v>
      </c>
      <c r="D1955" s="8">
        <v>45906</v>
      </c>
      <c r="E1955" s="7" t="s">
        <v>669</v>
      </c>
      <c r="F1955" s="7">
        <v>1</v>
      </c>
      <c r="G1955" s="7" t="s">
        <v>15</v>
      </c>
      <c r="J1955" s="7">
        <f t="shared" si="164"/>
        <v>1900</v>
      </c>
      <c r="K1955" s="7">
        <f t="shared" si="165"/>
        <v>1</v>
      </c>
      <c r="L1955" s="7">
        <f t="shared" si="166"/>
        <v>45906</v>
      </c>
      <c r="M1955" s="16" t="s">
        <v>497</v>
      </c>
      <c r="N1955" s="7" t="s">
        <v>579</v>
      </c>
      <c r="O1955" s="17" t="s">
        <v>680</v>
      </c>
      <c r="P1955" s="7">
        <f t="shared" si="167"/>
        <v>9</v>
      </c>
      <c r="Q1955" s="7">
        <f t="shared" si="163"/>
        <v>2025</v>
      </c>
    </row>
    <row r="1956" spans="1:17" x14ac:dyDescent="0.25">
      <c r="A1956" s="7">
        <v>2546</v>
      </c>
      <c r="B1956" s="9" t="s">
        <v>641</v>
      </c>
      <c r="C1956" s="9" t="s">
        <v>641</v>
      </c>
      <c r="D1956" s="8">
        <v>45906</v>
      </c>
      <c r="E1956" s="7" t="s">
        <v>670</v>
      </c>
      <c r="F1956" s="7">
        <v>1</v>
      </c>
      <c r="G1956" s="7" t="s">
        <v>15</v>
      </c>
      <c r="J1956" s="7">
        <f t="shared" si="164"/>
        <v>1900</v>
      </c>
      <c r="K1956" s="7">
        <f t="shared" si="165"/>
        <v>1</v>
      </c>
      <c r="L1956" s="7">
        <f t="shared" si="166"/>
        <v>45906</v>
      </c>
      <c r="M1956" s="16" t="s">
        <v>497</v>
      </c>
      <c r="N1956" s="7" t="s">
        <v>579</v>
      </c>
      <c r="O1956" s="17" t="s">
        <v>680</v>
      </c>
      <c r="P1956" s="7">
        <f t="shared" si="167"/>
        <v>9</v>
      </c>
      <c r="Q1956" s="7">
        <f t="shared" si="163"/>
        <v>2025</v>
      </c>
    </row>
    <row r="1957" spans="1:17" x14ac:dyDescent="0.25">
      <c r="A1957" s="7">
        <v>2546</v>
      </c>
      <c r="B1957" s="9" t="s">
        <v>641</v>
      </c>
      <c r="C1957" s="9" t="s">
        <v>641</v>
      </c>
      <c r="D1957" s="8">
        <v>45906</v>
      </c>
      <c r="E1957" s="7" t="s">
        <v>671</v>
      </c>
      <c r="F1957" s="7">
        <v>1</v>
      </c>
      <c r="G1957" s="7" t="s">
        <v>15</v>
      </c>
      <c r="J1957" s="7">
        <f t="shared" si="164"/>
        <v>1900</v>
      </c>
      <c r="K1957" s="7">
        <f t="shared" si="165"/>
        <v>1</v>
      </c>
      <c r="L1957" s="7">
        <f t="shared" si="166"/>
        <v>45906</v>
      </c>
      <c r="M1957" s="16" t="s">
        <v>497</v>
      </c>
      <c r="O1957" s="17" t="s">
        <v>682</v>
      </c>
      <c r="P1957" s="7">
        <f t="shared" si="167"/>
        <v>9</v>
      </c>
      <c r="Q1957" s="7">
        <f t="shared" si="163"/>
        <v>2025</v>
      </c>
    </row>
    <row r="1958" spans="1:17" x14ac:dyDescent="0.25">
      <c r="A1958" s="7">
        <v>2546</v>
      </c>
      <c r="B1958" s="9" t="s">
        <v>641</v>
      </c>
      <c r="C1958" s="9" t="s">
        <v>641</v>
      </c>
      <c r="D1958" s="8">
        <v>45906</v>
      </c>
      <c r="E1958" s="7" t="s">
        <v>672</v>
      </c>
      <c r="F1958" s="7">
        <v>1</v>
      </c>
      <c r="G1958" s="7" t="s">
        <v>15</v>
      </c>
      <c r="J1958" s="7">
        <f t="shared" si="164"/>
        <v>1900</v>
      </c>
      <c r="K1958" s="7">
        <f t="shared" si="165"/>
        <v>1</v>
      </c>
      <c r="L1958" s="7">
        <f t="shared" si="166"/>
        <v>45906</v>
      </c>
      <c r="M1958" s="16" t="s">
        <v>497</v>
      </c>
      <c r="O1958" s="17" t="s">
        <v>682</v>
      </c>
      <c r="P1958" s="7">
        <f t="shared" si="167"/>
        <v>9</v>
      </c>
      <c r="Q1958" s="7">
        <f t="shared" si="163"/>
        <v>2025</v>
      </c>
    </row>
    <row r="1959" spans="1:17" x14ac:dyDescent="0.25">
      <c r="A1959" s="7">
        <v>2546</v>
      </c>
      <c r="B1959" s="9" t="s">
        <v>641</v>
      </c>
      <c r="C1959" s="9" t="s">
        <v>641</v>
      </c>
      <c r="D1959" s="8">
        <v>45906</v>
      </c>
      <c r="E1959" s="7" t="s">
        <v>673</v>
      </c>
      <c r="F1959" s="7">
        <v>1</v>
      </c>
      <c r="G1959" s="7" t="s">
        <v>15</v>
      </c>
      <c r="J1959" s="7">
        <f t="shared" si="164"/>
        <v>1900</v>
      </c>
      <c r="K1959" s="7">
        <f t="shared" si="165"/>
        <v>1</v>
      </c>
      <c r="L1959" s="7">
        <f t="shared" si="166"/>
        <v>45906</v>
      </c>
      <c r="M1959" s="16" t="s">
        <v>497</v>
      </c>
      <c r="N1959" s="7" t="s">
        <v>579</v>
      </c>
      <c r="O1959" s="17" t="s">
        <v>680</v>
      </c>
      <c r="P1959" s="7">
        <f t="shared" si="167"/>
        <v>9</v>
      </c>
      <c r="Q1959" s="7">
        <f t="shared" si="163"/>
        <v>2025</v>
      </c>
    </row>
    <row r="1960" spans="1:17" x14ac:dyDescent="0.25">
      <c r="A1960" s="7">
        <v>2546</v>
      </c>
      <c r="B1960" s="9" t="s">
        <v>641</v>
      </c>
      <c r="C1960" s="9" t="s">
        <v>641</v>
      </c>
      <c r="D1960" s="8">
        <v>45906</v>
      </c>
      <c r="E1960" s="7" t="s">
        <v>674</v>
      </c>
      <c r="F1960" s="7">
        <v>1</v>
      </c>
      <c r="G1960" s="7" t="s">
        <v>15</v>
      </c>
      <c r="J1960" s="7">
        <f t="shared" si="164"/>
        <v>1900</v>
      </c>
      <c r="K1960" s="7">
        <f t="shared" si="165"/>
        <v>1</v>
      </c>
      <c r="L1960" s="7">
        <f t="shared" si="166"/>
        <v>45906</v>
      </c>
      <c r="M1960" s="16" t="s">
        <v>497</v>
      </c>
      <c r="N1960" s="7" t="s">
        <v>579</v>
      </c>
      <c r="O1960" s="17" t="s">
        <v>680</v>
      </c>
      <c r="P1960" s="7">
        <f t="shared" si="167"/>
        <v>9</v>
      </c>
      <c r="Q1960" s="7">
        <f t="shared" si="163"/>
        <v>2025</v>
      </c>
    </row>
    <row r="1961" spans="1:17" x14ac:dyDescent="0.25">
      <c r="A1961" s="7">
        <v>2546</v>
      </c>
      <c r="B1961" s="9" t="s">
        <v>641</v>
      </c>
      <c r="C1961" s="9" t="s">
        <v>641</v>
      </c>
      <c r="D1961" s="8">
        <v>45906</v>
      </c>
      <c r="E1961" s="7" t="s">
        <v>675</v>
      </c>
      <c r="F1961" s="7">
        <v>1</v>
      </c>
      <c r="G1961" s="7" t="s">
        <v>15</v>
      </c>
      <c r="J1961" s="7">
        <f t="shared" si="164"/>
        <v>1900</v>
      </c>
      <c r="K1961" s="7">
        <f t="shared" si="165"/>
        <v>1</v>
      </c>
      <c r="L1961" s="7">
        <f t="shared" si="166"/>
        <v>45906</v>
      </c>
      <c r="M1961" s="16" t="s">
        <v>497</v>
      </c>
      <c r="N1961" s="7" t="s">
        <v>579</v>
      </c>
      <c r="O1961" s="17" t="s">
        <v>680</v>
      </c>
      <c r="P1961" s="7">
        <f t="shared" si="167"/>
        <v>9</v>
      </c>
      <c r="Q1961" s="7">
        <f t="shared" si="163"/>
        <v>2025</v>
      </c>
    </row>
    <row r="1962" spans="1:17" x14ac:dyDescent="0.25">
      <c r="A1962" s="7">
        <v>2546</v>
      </c>
      <c r="B1962" s="9" t="s">
        <v>641</v>
      </c>
      <c r="C1962" s="9" t="s">
        <v>641</v>
      </c>
      <c r="D1962" s="8">
        <v>45906</v>
      </c>
      <c r="E1962" s="7" t="s">
        <v>676</v>
      </c>
      <c r="F1962" s="7">
        <v>1</v>
      </c>
      <c r="G1962" s="7" t="s">
        <v>15</v>
      </c>
      <c r="J1962" s="7">
        <f t="shared" si="164"/>
        <v>1900</v>
      </c>
      <c r="K1962" s="7">
        <f t="shared" si="165"/>
        <v>1</v>
      </c>
      <c r="L1962" s="7">
        <f t="shared" si="166"/>
        <v>45906</v>
      </c>
      <c r="M1962" s="16" t="s">
        <v>497</v>
      </c>
      <c r="N1962" s="7" t="s">
        <v>579</v>
      </c>
      <c r="O1962" s="17" t="s">
        <v>680</v>
      </c>
      <c r="P1962" s="7">
        <f t="shared" si="167"/>
        <v>9</v>
      </c>
      <c r="Q1962" s="7">
        <f t="shared" si="163"/>
        <v>2025</v>
      </c>
    </row>
    <row r="1963" spans="1:17" x14ac:dyDescent="0.25">
      <c r="A1963" s="7">
        <v>2546</v>
      </c>
      <c r="B1963" s="9" t="s">
        <v>641</v>
      </c>
      <c r="C1963" s="9" t="s">
        <v>641</v>
      </c>
      <c r="D1963" s="8">
        <v>45906</v>
      </c>
      <c r="E1963" s="7" t="s">
        <v>677</v>
      </c>
      <c r="F1963" s="7">
        <v>1</v>
      </c>
      <c r="G1963" s="7" t="s">
        <v>15</v>
      </c>
      <c r="J1963" s="7">
        <f t="shared" si="164"/>
        <v>1900</v>
      </c>
      <c r="K1963" s="7">
        <f t="shared" si="165"/>
        <v>1</v>
      </c>
      <c r="L1963" s="7">
        <f t="shared" si="166"/>
        <v>45906</v>
      </c>
      <c r="M1963" s="16" t="s">
        <v>497</v>
      </c>
      <c r="O1963" s="17" t="s">
        <v>682</v>
      </c>
      <c r="P1963" s="7">
        <f t="shared" si="167"/>
        <v>9</v>
      </c>
      <c r="Q1963" s="7">
        <f t="shared" si="163"/>
        <v>2025</v>
      </c>
    </row>
    <row r="1964" spans="1:17" x14ac:dyDescent="0.25">
      <c r="A1964" s="7">
        <v>2546</v>
      </c>
      <c r="B1964" s="9" t="s">
        <v>641</v>
      </c>
      <c r="C1964" s="9" t="s">
        <v>641</v>
      </c>
      <c r="D1964" s="8">
        <v>45906</v>
      </c>
      <c r="E1964" s="7" t="s">
        <v>913</v>
      </c>
      <c r="F1964" s="7">
        <v>1</v>
      </c>
      <c r="G1964" s="7" t="s">
        <v>15</v>
      </c>
      <c r="J1964" s="7">
        <f t="shared" ref="J1964" si="168">YEAR(I1964)</f>
        <v>1900</v>
      </c>
      <c r="K1964" s="7">
        <f t="shared" ref="K1964" si="169">MONTH(I1964)</f>
        <v>1</v>
      </c>
      <c r="L1964" s="7">
        <f t="shared" ref="L1964" si="170">D1964-I1964</f>
        <v>45906</v>
      </c>
      <c r="M1964" s="16" t="s">
        <v>497</v>
      </c>
      <c r="N1964" s="7" t="s">
        <v>579</v>
      </c>
      <c r="O1964" s="17" t="s">
        <v>680</v>
      </c>
      <c r="P1964" s="7">
        <f t="shared" ref="P1964" si="171">MONTH(D1964)</f>
        <v>9</v>
      </c>
      <c r="Q1964" s="7">
        <f t="shared" si="163"/>
        <v>2025</v>
      </c>
    </row>
    <row r="1965" spans="1:17" x14ac:dyDescent="0.25">
      <c r="A1965" s="7">
        <v>2547</v>
      </c>
      <c r="B1965" s="9" t="s">
        <v>727</v>
      </c>
      <c r="C1965" s="9" t="s">
        <v>59</v>
      </c>
      <c r="D1965" s="8">
        <v>45918</v>
      </c>
      <c r="E1965" s="7" t="s">
        <v>728</v>
      </c>
      <c r="F1965" s="7">
        <v>1</v>
      </c>
      <c r="G1965" s="7" t="s">
        <v>15</v>
      </c>
      <c r="J1965" s="7">
        <f t="shared" ref="J1965:J2016" si="172">YEAR(I1965)</f>
        <v>1900</v>
      </c>
      <c r="K1965" s="7">
        <f t="shared" ref="K1965:K2016" si="173">MONTH(I1965)</f>
        <v>1</v>
      </c>
      <c r="L1965" s="7">
        <f t="shared" ref="L1965:L2016" si="174">D1965-I1965</f>
        <v>45918</v>
      </c>
      <c r="M1965" s="16" t="s">
        <v>497</v>
      </c>
      <c r="N1965" s="7" t="s">
        <v>579</v>
      </c>
      <c r="O1965" s="17" t="s">
        <v>680</v>
      </c>
      <c r="P1965" s="7">
        <f t="shared" ref="P1965:P2016" si="175">MONTH(D1965)</f>
        <v>9</v>
      </c>
      <c r="Q1965" s="7">
        <f t="shared" si="163"/>
        <v>2025</v>
      </c>
    </row>
    <row r="1966" spans="1:17" x14ac:dyDescent="0.25">
      <c r="A1966" s="7">
        <v>2547</v>
      </c>
      <c r="B1966" s="9" t="s">
        <v>727</v>
      </c>
      <c r="C1966" s="9" t="s">
        <v>59</v>
      </c>
      <c r="D1966" s="8">
        <v>45918</v>
      </c>
      <c r="E1966" s="7" t="s">
        <v>729</v>
      </c>
      <c r="F1966" s="7">
        <v>1</v>
      </c>
      <c r="G1966" s="7" t="s">
        <v>15</v>
      </c>
      <c r="J1966" s="7">
        <f t="shared" si="172"/>
        <v>1900</v>
      </c>
      <c r="K1966" s="7">
        <f t="shared" si="173"/>
        <v>1</v>
      </c>
      <c r="L1966" s="7">
        <f t="shared" si="174"/>
        <v>45918</v>
      </c>
      <c r="M1966" s="16" t="s">
        <v>497</v>
      </c>
      <c r="N1966" s="7" t="s">
        <v>579</v>
      </c>
      <c r="O1966" s="17" t="s">
        <v>680</v>
      </c>
      <c r="P1966" s="7">
        <f t="shared" si="175"/>
        <v>9</v>
      </c>
      <c r="Q1966" s="7">
        <f t="shared" si="163"/>
        <v>2025</v>
      </c>
    </row>
    <row r="1967" spans="1:17" x14ac:dyDescent="0.25">
      <c r="A1967" s="7">
        <v>2547</v>
      </c>
      <c r="B1967" s="9" t="s">
        <v>727</v>
      </c>
      <c r="C1967" s="9" t="s">
        <v>59</v>
      </c>
      <c r="D1967" s="8">
        <v>45918</v>
      </c>
      <c r="E1967" s="7" t="s">
        <v>730</v>
      </c>
      <c r="F1967" s="7">
        <v>1</v>
      </c>
      <c r="G1967" s="7" t="s">
        <v>15</v>
      </c>
      <c r="J1967" s="7">
        <f t="shared" si="172"/>
        <v>1900</v>
      </c>
      <c r="K1967" s="7">
        <f t="shared" si="173"/>
        <v>1</v>
      </c>
      <c r="L1967" s="7">
        <f t="shared" si="174"/>
        <v>45918</v>
      </c>
      <c r="M1967" s="16" t="s">
        <v>497</v>
      </c>
      <c r="N1967" s="7" t="s">
        <v>579</v>
      </c>
      <c r="O1967" s="17" t="s">
        <v>680</v>
      </c>
      <c r="P1967" s="7">
        <f t="shared" si="175"/>
        <v>9</v>
      </c>
      <c r="Q1967" s="7">
        <f t="shared" si="163"/>
        <v>2025</v>
      </c>
    </row>
    <row r="1968" spans="1:17" x14ac:dyDescent="0.25">
      <c r="A1968" s="7">
        <v>2547</v>
      </c>
      <c r="B1968" s="9" t="s">
        <v>727</v>
      </c>
      <c r="C1968" s="9" t="s">
        <v>59</v>
      </c>
      <c r="D1968" s="8">
        <v>45918</v>
      </c>
      <c r="E1968" s="7" t="s">
        <v>731</v>
      </c>
      <c r="F1968" s="7">
        <v>1</v>
      </c>
      <c r="G1968" s="7" t="s">
        <v>15</v>
      </c>
      <c r="J1968" s="7">
        <f t="shared" si="172"/>
        <v>1900</v>
      </c>
      <c r="K1968" s="7">
        <f t="shared" si="173"/>
        <v>1</v>
      </c>
      <c r="L1968" s="7">
        <f t="shared" si="174"/>
        <v>45918</v>
      </c>
      <c r="M1968" s="16" t="s">
        <v>497</v>
      </c>
      <c r="N1968" s="7" t="s">
        <v>579</v>
      </c>
      <c r="O1968" s="17" t="s">
        <v>680</v>
      </c>
      <c r="P1968" s="7">
        <f t="shared" si="175"/>
        <v>9</v>
      </c>
      <c r="Q1968" s="7">
        <f t="shared" si="163"/>
        <v>2025</v>
      </c>
    </row>
    <row r="1969" spans="1:17" x14ac:dyDescent="0.25">
      <c r="A1969" s="7">
        <v>2547</v>
      </c>
      <c r="B1969" s="9" t="s">
        <v>727</v>
      </c>
      <c r="C1969" s="9" t="s">
        <v>59</v>
      </c>
      <c r="D1969" s="8">
        <v>45918</v>
      </c>
      <c r="E1969" s="7" t="s">
        <v>732</v>
      </c>
      <c r="F1969" s="7">
        <v>1</v>
      </c>
      <c r="G1969" s="7" t="s">
        <v>15</v>
      </c>
      <c r="J1969" s="7">
        <f t="shared" si="172"/>
        <v>1900</v>
      </c>
      <c r="K1969" s="7">
        <f t="shared" si="173"/>
        <v>1</v>
      </c>
      <c r="L1969" s="7">
        <f t="shared" si="174"/>
        <v>45918</v>
      </c>
      <c r="M1969" s="16" t="s">
        <v>497</v>
      </c>
      <c r="N1969" s="7" t="s">
        <v>579</v>
      </c>
      <c r="O1969" s="17" t="s">
        <v>680</v>
      </c>
      <c r="P1969" s="7">
        <f t="shared" si="175"/>
        <v>9</v>
      </c>
      <c r="Q1969" s="7">
        <f t="shared" si="163"/>
        <v>2025</v>
      </c>
    </row>
    <row r="1970" spans="1:17" x14ac:dyDescent="0.25">
      <c r="A1970" s="7">
        <v>2547</v>
      </c>
      <c r="B1970" s="9" t="s">
        <v>727</v>
      </c>
      <c r="C1970" s="9" t="s">
        <v>59</v>
      </c>
      <c r="D1970" s="8">
        <v>45918</v>
      </c>
      <c r="E1970" s="7" t="s">
        <v>733</v>
      </c>
      <c r="F1970" s="7">
        <v>1</v>
      </c>
      <c r="G1970" s="7" t="s">
        <v>15</v>
      </c>
      <c r="J1970" s="7">
        <f t="shared" si="172"/>
        <v>1900</v>
      </c>
      <c r="K1970" s="7">
        <f t="shared" si="173"/>
        <v>1</v>
      </c>
      <c r="L1970" s="7">
        <f t="shared" si="174"/>
        <v>45918</v>
      </c>
      <c r="M1970" s="16" t="s">
        <v>497</v>
      </c>
      <c r="N1970" s="7" t="s">
        <v>579</v>
      </c>
      <c r="O1970" s="17" t="s">
        <v>680</v>
      </c>
      <c r="P1970" s="7">
        <f t="shared" si="175"/>
        <v>9</v>
      </c>
      <c r="Q1970" s="7">
        <f t="shared" si="163"/>
        <v>2025</v>
      </c>
    </row>
    <row r="1971" spans="1:17" x14ac:dyDescent="0.25">
      <c r="A1971" s="7">
        <v>2547</v>
      </c>
      <c r="B1971" s="9" t="s">
        <v>727</v>
      </c>
      <c r="C1971" s="9" t="s">
        <v>59</v>
      </c>
      <c r="D1971" s="8">
        <v>45918</v>
      </c>
      <c r="E1971" s="7" t="s">
        <v>734</v>
      </c>
      <c r="F1971" s="7">
        <v>1</v>
      </c>
      <c r="G1971" s="7" t="s">
        <v>15</v>
      </c>
      <c r="J1971" s="7">
        <f t="shared" si="172"/>
        <v>1900</v>
      </c>
      <c r="K1971" s="7">
        <f t="shared" si="173"/>
        <v>1</v>
      </c>
      <c r="L1971" s="7">
        <f t="shared" si="174"/>
        <v>45918</v>
      </c>
      <c r="M1971" s="16" t="s">
        <v>497</v>
      </c>
      <c r="N1971" s="7" t="s">
        <v>579</v>
      </c>
      <c r="O1971" s="17" t="s">
        <v>680</v>
      </c>
      <c r="P1971" s="7">
        <f t="shared" si="175"/>
        <v>9</v>
      </c>
      <c r="Q1971" s="7">
        <f t="shared" si="163"/>
        <v>2025</v>
      </c>
    </row>
    <row r="1972" spans="1:17" x14ac:dyDescent="0.25">
      <c r="A1972" s="7">
        <v>2547</v>
      </c>
      <c r="B1972" s="9" t="s">
        <v>727</v>
      </c>
      <c r="C1972" s="9" t="s">
        <v>59</v>
      </c>
      <c r="D1972" s="8">
        <v>45918</v>
      </c>
      <c r="E1972" s="7" t="s">
        <v>735</v>
      </c>
      <c r="F1972" s="7">
        <v>1</v>
      </c>
      <c r="G1972" s="7" t="s">
        <v>15</v>
      </c>
      <c r="J1972" s="7">
        <f t="shared" si="172"/>
        <v>1900</v>
      </c>
      <c r="K1972" s="7">
        <f t="shared" si="173"/>
        <v>1</v>
      </c>
      <c r="L1972" s="7">
        <f t="shared" si="174"/>
        <v>45918</v>
      </c>
      <c r="M1972" s="16" t="s">
        <v>497</v>
      </c>
      <c r="N1972" s="7" t="s">
        <v>579</v>
      </c>
      <c r="O1972" s="17" t="s">
        <v>680</v>
      </c>
      <c r="P1972" s="7">
        <f t="shared" si="175"/>
        <v>9</v>
      </c>
      <c r="Q1972" s="7">
        <f t="shared" si="163"/>
        <v>2025</v>
      </c>
    </row>
    <row r="1973" spans="1:17" x14ac:dyDescent="0.25">
      <c r="A1973" s="7">
        <v>2547</v>
      </c>
      <c r="B1973" s="9" t="s">
        <v>727</v>
      </c>
      <c r="C1973" s="9" t="s">
        <v>59</v>
      </c>
      <c r="D1973" s="8">
        <v>45918</v>
      </c>
      <c r="E1973" s="7" t="s">
        <v>736</v>
      </c>
      <c r="F1973" s="7">
        <v>1</v>
      </c>
      <c r="G1973" s="7" t="s">
        <v>15</v>
      </c>
      <c r="J1973" s="7">
        <f t="shared" si="172"/>
        <v>1900</v>
      </c>
      <c r="K1973" s="7">
        <f t="shared" si="173"/>
        <v>1</v>
      </c>
      <c r="L1973" s="7">
        <f t="shared" si="174"/>
        <v>45918</v>
      </c>
      <c r="M1973" s="16" t="s">
        <v>497</v>
      </c>
      <c r="N1973" s="7" t="s">
        <v>579</v>
      </c>
      <c r="O1973" s="17" t="s">
        <v>680</v>
      </c>
      <c r="P1973" s="7">
        <f t="shared" si="175"/>
        <v>9</v>
      </c>
      <c r="Q1973" s="7">
        <f t="shared" ref="Q1973:Q2036" si="176">YEAR(D1973)</f>
        <v>2025</v>
      </c>
    </row>
    <row r="1974" spans="1:17" x14ac:dyDescent="0.25">
      <c r="A1974" s="7">
        <v>2547</v>
      </c>
      <c r="B1974" s="9" t="s">
        <v>727</v>
      </c>
      <c r="C1974" s="9" t="s">
        <v>59</v>
      </c>
      <c r="D1974" s="8">
        <v>45918</v>
      </c>
      <c r="E1974" s="7" t="s">
        <v>737</v>
      </c>
      <c r="F1974" s="7">
        <v>1</v>
      </c>
      <c r="G1974" s="7" t="s">
        <v>15</v>
      </c>
      <c r="J1974" s="7">
        <f t="shared" si="172"/>
        <v>1900</v>
      </c>
      <c r="K1974" s="7">
        <f t="shared" si="173"/>
        <v>1</v>
      </c>
      <c r="L1974" s="7">
        <f t="shared" si="174"/>
        <v>45918</v>
      </c>
      <c r="M1974" s="16" t="s">
        <v>497</v>
      </c>
      <c r="N1974" s="7" t="s">
        <v>579</v>
      </c>
      <c r="O1974" s="17" t="s">
        <v>680</v>
      </c>
      <c r="P1974" s="7">
        <f t="shared" si="175"/>
        <v>9</v>
      </c>
      <c r="Q1974" s="7">
        <f t="shared" si="176"/>
        <v>2025</v>
      </c>
    </row>
    <row r="1975" spans="1:17" x14ac:dyDescent="0.25">
      <c r="A1975" s="7">
        <v>2547</v>
      </c>
      <c r="B1975" s="9" t="s">
        <v>727</v>
      </c>
      <c r="C1975" s="9" t="s">
        <v>59</v>
      </c>
      <c r="D1975" s="8">
        <v>45918</v>
      </c>
      <c r="E1975" s="7" t="s">
        <v>738</v>
      </c>
      <c r="F1975" s="7">
        <v>1</v>
      </c>
      <c r="G1975" s="7" t="s">
        <v>15</v>
      </c>
      <c r="J1975" s="7">
        <f t="shared" si="172"/>
        <v>1900</v>
      </c>
      <c r="K1975" s="7">
        <f t="shared" si="173"/>
        <v>1</v>
      </c>
      <c r="L1975" s="7">
        <f t="shared" si="174"/>
        <v>45918</v>
      </c>
      <c r="M1975" s="16" t="s">
        <v>497</v>
      </c>
      <c r="N1975" s="7" t="s">
        <v>579</v>
      </c>
      <c r="O1975" s="17" t="s">
        <v>680</v>
      </c>
      <c r="P1975" s="7">
        <f t="shared" si="175"/>
        <v>9</v>
      </c>
      <c r="Q1975" s="7">
        <f t="shared" si="176"/>
        <v>2025</v>
      </c>
    </row>
    <row r="1976" spans="1:17" x14ac:dyDescent="0.25">
      <c r="A1976" s="7">
        <v>2547</v>
      </c>
      <c r="B1976" s="9" t="s">
        <v>727</v>
      </c>
      <c r="C1976" s="9" t="s">
        <v>59</v>
      </c>
      <c r="D1976" s="8">
        <v>45918</v>
      </c>
      <c r="E1976" s="7" t="s">
        <v>739</v>
      </c>
      <c r="F1976" s="7">
        <v>1</v>
      </c>
      <c r="G1976" s="7" t="s">
        <v>15</v>
      </c>
      <c r="J1976" s="7">
        <f t="shared" si="172"/>
        <v>1900</v>
      </c>
      <c r="K1976" s="7">
        <f t="shared" si="173"/>
        <v>1</v>
      </c>
      <c r="L1976" s="7">
        <f t="shared" si="174"/>
        <v>45918</v>
      </c>
      <c r="M1976" s="16" t="s">
        <v>497</v>
      </c>
      <c r="N1976" s="7" t="s">
        <v>579</v>
      </c>
      <c r="O1976" s="17" t="s">
        <v>680</v>
      </c>
      <c r="P1976" s="7">
        <f t="shared" si="175"/>
        <v>9</v>
      </c>
      <c r="Q1976" s="7">
        <f t="shared" si="176"/>
        <v>2025</v>
      </c>
    </row>
    <row r="1977" spans="1:17" x14ac:dyDescent="0.25">
      <c r="A1977" s="7">
        <v>2547</v>
      </c>
      <c r="B1977" s="9" t="s">
        <v>727</v>
      </c>
      <c r="C1977" s="9" t="s">
        <v>59</v>
      </c>
      <c r="D1977" s="8">
        <v>45918</v>
      </c>
      <c r="E1977" s="7" t="s">
        <v>740</v>
      </c>
      <c r="F1977" s="7">
        <v>1</v>
      </c>
      <c r="G1977" s="7" t="s">
        <v>15</v>
      </c>
      <c r="J1977" s="7">
        <f t="shared" si="172"/>
        <v>1900</v>
      </c>
      <c r="K1977" s="7">
        <f t="shared" si="173"/>
        <v>1</v>
      </c>
      <c r="L1977" s="7">
        <f t="shared" si="174"/>
        <v>45918</v>
      </c>
      <c r="M1977" s="16" t="s">
        <v>497</v>
      </c>
      <c r="N1977" s="7" t="s">
        <v>579</v>
      </c>
      <c r="O1977" s="17" t="s">
        <v>680</v>
      </c>
      <c r="P1977" s="7">
        <f t="shared" si="175"/>
        <v>9</v>
      </c>
      <c r="Q1977" s="7">
        <f t="shared" si="176"/>
        <v>2025</v>
      </c>
    </row>
    <row r="1978" spans="1:17" x14ac:dyDescent="0.25">
      <c r="A1978" s="7">
        <v>2547</v>
      </c>
      <c r="B1978" s="9" t="s">
        <v>727</v>
      </c>
      <c r="C1978" s="9" t="s">
        <v>59</v>
      </c>
      <c r="D1978" s="8">
        <v>45918</v>
      </c>
      <c r="E1978" s="7" t="s">
        <v>741</v>
      </c>
      <c r="F1978" s="7">
        <v>1</v>
      </c>
      <c r="G1978" s="7" t="s">
        <v>15</v>
      </c>
      <c r="J1978" s="7">
        <f t="shared" si="172"/>
        <v>1900</v>
      </c>
      <c r="K1978" s="7">
        <f t="shared" si="173"/>
        <v>1</v>
      </c>
      <c r="L1978" s="7">
        <f t="shared" si="174"/>
        <v>45918</v>
      </c>
      <c r="M1978" s="16" t="s">
        <v>497</v>
      </c>
      <c r="N1978" s="7" t="s">
        <v>579</v>
      </c>
      <c r="O1978" s="17" t="s">
        <v>680</v>
      </c>
      <c r="P1978" s="7">
        <f t="shared" si="175"/>
        <v>9</v>
      </c>
      <c r="Q1978" s="7">
        <f t="shared" si="176"/>
        <v>2025</v>
      </c>
    </row>
    <row r="1979" spans="1:17" x14ac:dyDescent="0.25">
      <c r="A1979" s="7">
        <v>2547</v>
      </c>
      <c r="B1979" s="9" t="s">
        <v>727</v>
      </c>
      <c r="C1979" s="9" t="s">
        <v>59</v>
      </c>
      <c r="D1979" s="8">
        <v>45918</v>
      </c>
      <c r="E1979" s="7" t="s">
        <v>742</v>
      </c>
      <c r="F1979" s="7">
        <v>1</v>
      </c>
      <c r="G1979" s="7" t="s">
        <v>15</v>
      </c>
      <c r="J1979" s="7">
        <f t="shared" si="172"/>
        <v>1900</v>
      </c>
      <c r="K1979" s="7">
        <f t="shared" si="173"/>
        <v>1</v>
      </c>
      <c r="L1979" s="7">
        <f t="shared" si="174"/>
        <v>45918</v>
      </c>
      <c r="M1979" s="16" t="s">
        <v>497</v>
      </c>
      <c r="N1979" s="7" t="s">
        <v>579</v>
      </c>
      <c r="O1979" s="17" t="s">
        <v>680</v>
      </c>
      <c r="P1979" s="7">
        <f t="shared" si="175"/>
        <v>9</v>
      </c>
      <c r="Q1979" s="7">
        <f t="shared" si="176"/>
        <v>2025</v>
      </c>
    </row>
    <row r="1980" spans="1:17" x14ac:dyDescent="0.25">
      <c r="A1980" s="7">
        <v>2547</v>
      </c>
      <c r="B1980" s="9" t="s">
        <v>727</v>
      </c>
      <c r="C1980" s="9" t="s">
        <v>59</v>
      </c>
      <c r="D1980" s="8">
        <v>45918</v>
      </c>
      <c r="E1980" s="7" t="s">
        <v>743</v>
      </c>
      <c r="F1980" s="7">
        <v>1</v>
      </c>
      <c r="G1980" s="7" t="s">
        <v>15</v>
      </c>
      <c r="J1980" s="7">
        <f t="shared" si="172"/>
        <v>1900</v>
      </c>
      <c r="K1980" s="7">
        <f t="shared" si="173"/>
        <v>1</v>
      </c>
      <c r="L1980" s="7">
        <f t="shared" si="174"/>
        <v>45918</v>
      </c>
      <c r="M1980" s="16" t="s">
        <v>497</v>
      </c>
      <c r="N1980" s="7" t="s">
        <v>579</v>
      </c>
      <c r="O1980" s="17" t="s">
        <v>680</v>
      </c>
      <c r="P1980" s="7">
        <f t="shared" si="175"/>
        <v>9</v>
      </c>
      <c r="Q1980" s="7">
        <f t="shared" si="176"/>
        <v>2025</v>
      </c>
    </row>
    <row r="1981" spans="1:17" x14ac:dyDescent="0.25">
      <c r="A1981" s="7">
        <v>2547</v>
      </c>
      <c r="B1981" s="9" t="s">
        <v>727</v>
      </c>
      <c r="C1981" s="9" t="s">
        <v>59</v>
      </c>
      <c r="D1981" s="8">
        <v>45918</v>
      </c>
      <c r="E1981" s="7" t="s">
        <v>744</v>
      </c>
      <c r="F1981" s="7">
        <v>1</v>
      </c>
      <c r="G1981" s="7" t="s">
        <v>15</v>
      </c>
      <c r="J1981" s="7">
        <f t="shared" si="172"/>
        <v>1900</v>
      </c>
      <c r="K1981" s="7">
        <f t="shared" si="173"/>
        <v>1</v>
      </c>
      <c r="L1981" s="7">
        <f t="shared" si="174"/>
        <v>45918</v>
      </c>
      <c r="M1981" s="16" t="s">
        <v>497</v>
      </c>
      <c r="N1981" s="7" t="s">
        <v>579</v>
      </c>
      <c r="O1981" s="17" t="s">
        <v>680</v>
      </c>
      <c r="P1981" s="7">
        <f t="shared" si="175"/>
        <v>9</v>
      </c>
      <c r="Q1981" s="7">
        <f t="shared" si="176"/>
        <v>2025</v>
      </c>
    </row>
    <row r="1982" spans="1:17" x14ac:dyDescent="0.25">
      <c r="A1982" s="7">
        <v>2547</v>
      </c>
      <c r="B1982" s="9" t="s">
        <v>727</v>
      </c>
      <c r="C1982" s="9" t="s">
        <v>59</v>
      </c>
      <c r="D1982" s="8">
        <v>45918</v>
      </c>
      <c r="E1982" s="7" t="s">
        <v>745</v>
      </c>
      <c r="F1982" s="7">
        <v>1</v>
      </c>
      <c r="G1982" s="7" t="s">
        <v>15</v>
      </c>
      <c r="J1982" s="7">
        <f t="shared" si="172"/>
        <v>1900</v>
      </c>
      <c r="K1982" s="7">
        <f t="shared" si="173"/>
        <v>1</v>
      </c>
      <c r="L1982" s="7">
        <f t="shared" si="174"/>
        <v>45918</v>
      </c>
      <c r="M1982" s="16" t="s">
        <v>497</v>
      </c>
      <c r="N1982" s="7" t="s">
        <v>579</v>
      </c>
      <c r="O1982" s="17" t="s">
        <v>680</v>
      </c>
      <c r="P1982" s="7">
        <f t="shared" si="175"/>
        <v>9</v>
      </c>
      <c r="Q1982" s="7">
        <f t="shared" si="176"/>
        <v>2025</v>
      </c>
    </row>
    <row r="1983" spans="1:17" x14ac:dyDescent="0.25">
      <c r="A1983" s="7">
        <v>2547</v>
      </c>
      <c r="B1983" s="9" t="s">
        <v>727</v>
      </c>
      <c r="C1983" s="9" t="s">
        <v>59</v>
      </c>
      <c r="D1983" s="8">
        <v>45918</v>
      </c>
      <c r="E1983" s="7" t="s">
        <v>746</v>
      </c>
      <c r="F1983" s="7">
        <v>1</v>
      </c>
      <c r="G1983" s="7" t="s">
        <v>15</v>
      </c>
      <c r="J1983" s="7">
        <f t="shared" si="172"/>
        <v>1900</v>
      </c>
      <c r="K1983" s="7">
        <f t="shared" si="173"/>
        <v>1</v>
      </c>
      <c r="L1983" s="7">
        <f t="shared" si="174"/>
        <v>45918</v>
      </c>
      <c r="M1983" s="16" t="s">
        <v>497</v>
      </c>
      <c r="N1983" s="7" t="s">
        <v>579</v>
      </c>
      <c r="O1983" s="17" t="s">
        <v>680</v>
      </c>
      <c r="P1983" s="7">
        <f t="shared" si="175"/>
        <v>9</v>
      </c>
      <c r="Q1983" s="7">
        <f t="shared" si="176"/>
        <v>2025</v>
      </c>
    </row>
    <row r="1984" spans="1:17" x14ac:dyDescent="0.25">
      <c r="A1984" s="7">
        <v>2547</v>
      </c>
      <c r="B1984" s="9" t="s">
        <v>727</v>
      </c>
      <c r="C1984" s="9" t="s">
        <v>59</v>
      </c>
      <c r="D1984" s="8">
        <v>45918</v>
      </c>
      <c r="E1984" s="7" t="s">
        <v>747</v>
      </c>
      <c r="F1984" s="7">
        <v>1</v>
      </c>
      <c r="G1984" s="7" t="s">
        <v>15</v>
      </c>
      <c r="J1984" s="7">
        <f t="shared" si="172"/>
        <v>1900</v>
      </c>
      <c r="K1984" s="7">
        <f t="shared" si="173"/>
        <v>1</v>
      </c>
      <c r="L1984" s="7">
        <f t="shared" si="174"/>
        <v>45918</v>
      </c>
      <c r="M1984" s="16" t="s">
        <v>497</v>
      </c>
      <c r="N1984" s="7" t="s">
        <v>579</v>
      </c>
      <c r="O1984" s="17" t="s">
        <v>680</v>
      </c>
      <c r="P1984" s="7">
        <f t="shared" si="175"/>
        <v>9</v>
      </c>
      <c r="Q1984" s="7">
        <f t="shared" si="176"/>
        <v>2025</v>
      </c>
    </row>
    <row r="1985" spans="1:17" x14ac:dyDescent="0.25">
      <c r="A1985" s="7">
        <v>2547</v>
      </c>
      <c r="B1985" s="9" t="s">
        <v>727</v>
      </c>
      <c r="C1985" s="9" t="s">
        <v>59</v>
      </c>
      <c r="D1985" s="8">
        <v>45918</v>
      </c>
      <c r="E1985" s="7" t="s">
        <v>748</v>
      </c>
      <c r="F1985" s="7">
        <v>1</v>
      </c>
      <c r="G1985" s="7" t="s">
        <v>15</v>
      </c>
      <c r="J1985" s="7">
        <f t="shared" si="172"/>
        <v>1900</v>
      </c>
      <c r="K1985" s="7">
        <f t="shared" si="173"/>
        <v>1</v>
      </c>
      <c r="L1985" s="7">
        <f t="shared" si="174"/>
        <v>45918</v>
      </c>
      <c r="M1985" s="16" t="s">
        <v>497</v>
      </c>
      <c r="N1985" s="7" t="s">
        <v>579</v>
      </c>
      <c r="O1985" s="17" t="s">
        <v>680</v>
      </c>
      <c r="P1985" s="7">
        <f t="shared" si="175"/>
        <v>9</v>
      </c>
      <c r="Q1985" s="7">
        <f t="shared" si="176"/>
        <v>2025</v>
      </c>
    </row>
    <row r="1986" spans="1:17" x14ac:dyDescent="0.25">
      <c r="A1986" s="7">
        <v>2547</v>
      </c>
      <c r="B1986" s="9" t="s">
        <v>727</v>
      </c>
      <c r="C1986" s="9" t="s">
        <v>59</v>
      </c>
      <c r="D1986" s="8">
        <v>45918</v>
      </c>
      <c r="E1986" s="7" t="s">
        <v>749</v>
      </c>
      <c r="F1986" s="7">
        <v>1</v>
      </c>
      <c r="G1986" s="7" t="s">
        <v>15</v>
      </c>
      <c r="J1986" s="7">
        <f t="shared" si="172"/>
        <v>1900</v>
      </c>
      <c r="K1986" s="7">
        <f t="shared" si="173"/>
        <v>1</v>
      </c>
      <c r="L1986" s="7">
        <f t="shared" si="174"/>
        <v>45918</v>
      </c>
      <c r="M1986" s="16" t="s">
        <v>497</v>
      </c>
      <c r="N1986" s="7" t="s">
        <v>579</v>
      </c>
      <c r="O1986" s="17" t="s">
        <v>680</v>
      </c>
      <c r="P1986" s="7">
        <f t="shared" si="175"/>
        <v>9</v>
      </c>
      <c r="Q1986" s="7">
        <f t="shared" si="176"/>
        <v>2025</v>
      </c>
    </row>
    <row r="1987" spans="1:17" x14ac:dyDescent="0.25">
      <c r="A1987" s="7">
        <v>2547</v>
      </c>
      <c r="B1987" s="9" t="s">
        <v>727</v>
      </c>
      <c r="C1987" s="9" t="s">
        <v>59</v>
      </c>
      <c r="D1987" s="8">
        <v>45918</v>
      </c>
      <c r="E1987" s="7" t="s">
        <v>750</v>
      </c>
      <c r="F1987" s="7">
        <v>1</v>
      </c>
      <c r="G1987" s="7" t="s">
        <v>15</v>
      </c>
      <c r="J1987" s="7">
        <f t="shared" si="172"/>
        <v>1900</v>
      </c>
      <c r="K1987" s="7">
        <f t="shared" si="173"/>
        <v>1</v>
      </c>
      <c r="L1987" s="7">
        <f t="shared" si="174"/>
        <v>45918</v>
      </c>
      <c r="M1987" s="16" t="s">
        <v>497</v>
      </c>
      <c r="N1987" s="7" t="s">
        <v>579</v>
      </c>
      <c r="O1987" s="17" t="s">
        <v>680</v>
      </c>
      <c r="P1987" s="7">
        <f t="shared" si="175"/>
        <v>9</v>
      </c>
      <c r="Q1987" s="7">
        <f t="shared" si="176"/>
        <v>2025</v>
      </c>
    </row>
    <row r="1988" spans="1:17" x14ac:dyDescent="0.25">
      <c r="A1988" s="7">
        <v>2547</v>
      </c>
      <c r="B1988" s="9" t="s">
        <v>727</v>
      </c>
      <c r="C1988" s="9" t="s">
        <v>59</v>
      </c>
      <c r="D1988" s="8">
        <v>45918</v>
      </c>
      <c r="E1988" s="7" t="s">
        <v>751</v>
      </c>
      <c r="F1988" s="7">
        <v>1</v>
      </c>
      <c r="G1988" s="7" t="s">
        <v>15</v>
      </c>
      <c r="J1988" s="7">
        <f t="shared" si="172"/>
        <v>1900</v>
      </c>
      <c r="K1988" s="7">
        <f t="shared" si="173"/>
        <v>1</v>
      </c>
      <c r="L1988" s="7">
        <f t="shared" si="174"/>
        <v>45918</v>
      </c>
      <c r="M1988" s="16" t="s">
        <v>497</v>
      </c>
      <c r="N1988" s="7" t="s">
        <v>579</v>
      </c>
      <c r="O1988" s="17" t="s">
        <v>680</v>
      </c>
      <c r="P1988" s="7">
        <f t="shared" si="175"/>
        <v>9</v>
      </c>
      <c r="Q1988" s="7">
        <f t="shared" si="176"/>
        <v>2025</v>
      </c>
    </row>
    <row r="1989" spans="1:17" x14ac:dyDescent="0.25">
      <c r="A1989" s="7">
        <v>2547</v>
      </c>
      <c r="B1989" s="9" t="s">
        <v>727</v>
      </c>
      <c r="C1989" s="9" t="s">
        <v>59</v>
      </c>
      <c r="D1989" s="8">
        <v>45918</v>
      </c>
      <c r="E1989" s="7" t="s">
        <v>752</v>
      </c>
      <c r="F1989" s="7">
        <v>1</v>
      </c>
      <c r="G1989" s="7" t="s">
        <v>15</v>
      </c>
      <c r="J1989" s="7">
        <f t="shared" si="172"/>
        <v>1900</v>
      </c>
      <c r="K1989" s="7">
        <f t="shared" si="173"/>
        <v>1</v>
      </c>
      <c r="L1989" s="7">
        <f t="shared" si="174"/>
        <v>45918</v>
      </c>
      <c r="M1989" s="16" t="s">
        <v>497</v>
      </c>
      <c r="N1989" s="7" t="s">
        <v>579</v>
      </c>
      <c r="O1989" s="17" t="s">
        <v>680</v>
      </c>
      <c r="P1989" s="7">
        <f t="shared" si="175"/>
        <v>9</v>
      </c>
      <c r="Q1989" s="7">
        <f t="shared" si="176"/>
        <v>2025</v>
      </c>
    </row>
    <row r="1990" spans="1:17" x14ac:dyDescent="0.25">
      <c r="A1990" s="7">
        <v>2547</v>
      </c>
      <c r="B1990" s="9" t="s">
        <v>727</v>
      </c>
      <c r="C1990" s="9" t="s">
        <v>59</v>
      </c>
      <c r="D1990" s="8">
        <v>45918</v>
      </c>
      <c r="E1990" s="7" t="s">
        <v>753</v>
      </c>
      <c r="F1990" s="7">
        <v>1</v>
      </c>
      <c r="G1990" s="7" t="s">
        <v>15</v>
      </c>
      <c r="J1990" s="7">
        <f t="shared" si="172"/>
        <v>1900</v>
      </c>
      <c r="K1990" s="7">
        <f t="shared" si="173"/>
        <v>1</v>
      </c>
      <c r="L1990" s="7">
        <f t="shared" si="174"/>
        <v>45918</v>
      </c>
      <c r="M1990" s="16" t="s">
        <v>497</v>
      </c>
      <c r="N1990" s="7" t="s">
        <v>579</v>
      </c>
      <c r="O1990" s="17" t="s">
        <v>680</v>
      </c>
      <c r="P1990" s="7">
        <f t="shared" si="175"/>
        <v>9</v>
      </c>
      <c r="Q1990" s="7">
        <f t="shared" si="176"/>
        <v>2025</v>
      </c>
    </row>
    <row r="1991" spans="1:17" x14ac:dyDescent="0.25">
      <c r="A1991" s="7">
        <v>2547</v>
      </c>
      <c r="B1991" s="9" t="s">
        <v>727</v>
      </c>
      <c r="C1991" s="9" t="s">
        <v>59</v>
      </c>
      <c r="D1991" s="8">
        <v>45918</v>
      </c>
      <c r="E1991" s="7" t="s">
        <v>754</v>
      </c>
      <c r="F1991" s="7">
        <v>1</v>
      </c>
      <c r="G1991" s="7" t="s">
        <v>15</v>
      </c>
      <c r="J1991" s="7">
        <f t="shared" si="172"/>
        <v>1900</v>
      </c>
      <c r="K1991" s="7">
        <f t="shared" si="173"/>
        <v>1</v>
      </c>
      <c r="L1991" s="7">
        <f t="shared" si="174"/>
        <v>45918</v>
      </c>
      <c r="M1991" s="16" t="s">
        <v>497</v>
      </c>
      <c r="N1991" s="7" t="s">
        <v>579</v>
      </c>
      <c r="O1991" s="17" t="s">
        <v>680</v>
      </c>
      <c r="P1991" s="7">
        <f t="shared" si="175"/>
        <v>9</v>
      </c>
      <c r="Q1991" s="7">
        <f t="shared" si="176"/>
        <v>2025</v>
      </c>
    </row>
    <row r="1992" spans="1:17" x14ac:dyDescent="0.25">
      <c r="A1992" s="7">
        <v>2547</v>
      </c>
      <c r="B1992" s="9" t="s">
        <v>727</v>
      </c>
      <c r="C1992" s="9" t="s">
        <v>59</v>
      </c>
      <c r="D1992" s="8">
        <v>45918</v>
      </c>
      <c r="E1992" s="7" t="s">
        <v>755</v>
      </c>
      <c r="F1992" s="7">
        <v>1</v>
      </c>
      <c r="G1992" s="7" t="s">
        <v>15</v>
      </c>
      <c r="J1992" s="7">
        <f t="shared" si="172"/>
        <v>1900</v>
      </c>
      <c r="K1992" s="7">
        <f t="shared" si="173"/>
        <v>1</v>
      </c>
      <c r="L1992" s="7">
        <f t="shared" si="174"/>
        <v>45918</v>
      </c>
      <c r="M1992" s="16" t="s">
        <v>497</v>
      </c>
      <c r="N1992" s="7" t="s">
        <v>579</v>
      </c>
      <c r="O1992" s="17" t="s">
        <v>680</v>
      </c>
      <c r="P1992" s="7">
        <f t="shared" si="175"/>
        <v>9</v>
      </c>
      <c r="Q1992" s="7">
        <f t="shared" si="176"/>
        <v>2025</v>
      </c>
    </row>
    <row r="1993" spans="1:17" x14ac:dyDescent="0.25">
      <c r="A1993" s="7">
        <v>2547</v>
      </c>
      <c r="B1993" s="9" t="s">
        <v>727</v>
      </c>
      <c r="C1993" s="9" t="s">
        <v>59</v>
      </c>
      <c r="D1993" s="8">
        <v>45918</v>
      </c>
      <c r="E1993" s="7" t="s">
        <v>756</v>
      </c>
      <c r="F1993" s="7">
        <v>1</v>
      </c>
      <c r="G1993" s="7" t="s">
        <v>15</v>
      </c>
      <c r="J1993" s="7">
        <f t="shared" si="172"/>
        <v>1900</v>
      </c>
      <c r="K1993" s="7">
        <f t="shared" si="173"/>
        <v>1</v>
      </c>
      <c r="L1993" s="7">
        <f t="shared" si="174"/>
        <v>45918</v>
      </c>
      <c r="M1993" s="16" t="s">
        <v>497</v>
      </c>
      <c r="N1993" s="7" t="s">
        <v>579</v>
      </c>
      <c r="O1993" s="17" t="s">
        <v>680</v>
      </c>
      <c r="P1993" s="7">
        <f t="shared" si="175"/>
        <v>9</v>
      </c>
      <c r="Q1993" s="7">
        <f t="shared" si="176"/>
        <v>2025</v>
      </c>
    </row>
    <row r="1994" spans="1:17" x14ac:dyDescent="0.25">
      <c r="A1994" s="7">
        <v>2547</v>
      </c>
      <c r="B1994" s="9" t="s">
        <v>727</v>
      </c>
      <c r="C1994" s="9" t="s">
        <v>59</v>
      </c>
      <c r="D1994" s="8">
        <v>45918</v>
      </c>
      <c r="E1994" s="7" t="s">
        <v>757</v>
      </c>
      <c r="F1994" s="7">
        <v>1</v>
      </c>
      <c r="G1994" s="7" t="s">
        <v>15</v>
      </c>
      <c r="J1994" s="7">
        <f t="shared" si="172"/>
        <v>1900</v>
      </c>
      <c r="K1994" s="7">
        <f t="shared" si="173"/>
        <v>1</v>
      </c>
      <c r="L1994" s="7">
        <f t="shared" si="174"/>
        <v>45918</v>
      </c>
      <c r="M1994" s="16" t="s">
        <v>497</v>
      </c>
      <c r="N1994" s="7" t="s">
        <v>579</v>
      </c>
      <c r="O1994" s="17" t="s">
        <v>680</v>
      </c>
      <c r="P1994" s="7">
        <f t="shared" si="175"/>
        <v>9</v>
      </c>
      <c r="Q1994" s="7">
        <f t="shared" si="176"/>
        <v>2025</v>
      </c>
    </row>
    <row r="1995" spans="1:17" x14ac:dyDescent="0.25">
      <c r="A1995" s="7">
        <v>2547</v>
      </c>
      <c r="B1995" s="9" t="s">
        <v>727</v>
      </c>
      <c r="C1995" s="9" t="s">
        <v>59</v>
      </c>
      <c r="D1995" s="8">
        <v>45918</v>
      </c>
      <c r="E1995" s="7" t="s">
        <v>758</v>
      </c>
      <c r="F1995" s="7">
        <v>1</v>
      </c>
      <c r="G1995" s="7" t="s">
        <v>15</v>
      </c>
      <c r="J1995" s="7">
        <f t="shared" si="172"/>
        <v>1900</v>
      </c>
      <c r="K1995" s="7">
        <f t="shared" si="173"/>
        <v>1</v>
      </c>
      <c r="L1995" s="7">
        <f t="shared" si="174"/>
        <v>45918</v>
      </c>
      <c r="M1995" s="16" t="s">
        <v>497</v>
      </c>
      <c r="N1995" s="7" t="s">
        <v>579</v>
      </c>
      <c r="O1995" s="17" t="s">
        <v>680</v>
      </c>
      <c r="P1995" s="7">
        <f t="shared" si="175"/>
        <v>9</v>
      </c>
      <c r="Q1995" s="7">
        <f t="shared" si="176"/>
        <v>2025</v>
      </c>
    </row>
    <row r="1996" spans="1:17" x14ac:dyDescent="0.25">
      <c r="A1996" s="7">
        <v>2547</v>
      </c>
      <c r="B1996" s="9" t="s">
        <v>727</v>
      </c>
      <c r="C1996" s="9" t="s">
        <v>59</v>
      </c>
      <c r="D1996" s="8">
        <v>45918</v>
      </c>
      <c r="E1996" s="7" t="s">
        <v>759</v>
      </c>
      <c r="F1996" s="7">
        <v>1</v>
      </c>
      <c r="G1996" s="7" t="s">
        <v>15</v>
      </c>
      <c r="J1996" s="7">
        <f t="shared" si="172"/>
        <v>1900</v>
      </c>
      <c r="K1996" s="7">
        <f t="shared" si="173"/>
        <v>1</v>
      </c>
      <c r="L1996" s="7">
        <f t="shared" si="174"/>
        <v>45918</v>
      </c>
      <c r="M1996" s="16" t="s">
        <v>497</v>
      </c>
      <c r="N1996" s="7" t="s">
        <v>579</v>
      </c>
      <c r="O1996" s="17" t="s">
        <v>680</v>
      </c>
      <c r="P1996" s="7">
        <f t="shared" si="175"/>
        <v>9</v>
      </c>
      <c r="Q1996" s="7">
        <f t="shared" si="176"/>
        <v>2025</v>
      </c>
    </row>
    <row r="1997" spans="1:17" x14ac:dyDescent="0.25">
      <c r="A1997" s="7">
        <v>2547</v>
      </c>
      <c r="B1997" s="9" t="s">
        <v>727</v>
      </c>
      <c r="C1997" s="9" t="s">
        <v>59</v>
      </c>
      <c r="D1997" s="8">
        <v>45918</v>
      </c>
      <c r="E1997" s="7" t="s">
        <v>760</v>
      </c>
      <c r="F1997" s="7">
        <v>1</v>
      </c>
      <c r="G1997" s="7" t="s">
        <v>15</v>
      </c>
      <c r="J1997" s="7">
        <f t="shared" si="172"/>
        <v>1900</v>
      </c>
      <c r="K1997" s="7">
        <f t="shared" si="173"/>
        <v>1</v>
      </c>
      <c r="L1997" s="7">
        <f t="shared" si="174"/>
        <v>45918</v>
      </c>
      <c r="M1997" s="7" t="s">
        <v>152</v>
      </c>
      <c r="N1997" s="7" t="s">
        <v>579</v>
      </c>
      <c r="O1997" s="17" t="s">
        <v>682</v>
      </c>
      <c r="P1997" s="7">
        <f t="shared" si="175"/>
        <v>9</v>
      </c>
      <c r="Q1997" s="7">
        <f t="shared" si="176"/>
        <v>2025</v>
      </c>
    </row>
    <row r="1998" spans="1:17" x14ac:dyDescent="0.25">
      <c r="A1998" s="7">
        <v>2547</v>
      </c>
      <c r="B1998" s="9" t="s">
        <v>727</v>
      </c>
      <c r="C1998" s="9" t="s">
        <v>59</v>
      </c>
      <c r="D1998" s="8">
        <v>45918</v>
      </c>
      <c r="E1998" s="7" t="s">
        <v>761</v>
      </c>
      <c r="F1998" s="7">
        <v>1</v>
      </c>
      <c r="G1998" s="7" t="s">
        <v>15</v>
      </c>
      <c r="J1998" s="7">
        <f t="shared" si="172"/>
        <v>1900</v>
      </c>
      <c r="K1998" s="7">
        <f t="shared" si="173"/>
        <v>1</v>
      </c>
      <c r="L1998" s="7">
        <f t="shared" si="174"/>
        <v>45918</v>
      </c>
      <c r="M1998" s="16" t="s">
        <v>497</v>
      </c>
      <c r="N1998" s="7" t="s">
        <v>579</v>
      </c>
      <c r="O1998" s="17" t="s">
        <v>680</v>
      </c>
      <c r="P1998" s="7">
        <f t="shared" si="175"/>
        <v>9</v>
      </c>
      <c r="Q1998" s="7">
        <f t="shared" si="176"/>
        <v>2025</v>
      </c>
    </row>
    <row r="1999" spans="1:17" x14ac:dyDescent="0.25">
      <c r="A1999" s="7">
        <v>2547</v>
      </c>
      <c r="B1999" s="9" t="s">
        <v>727</v>
      </c>
      <c r="C1999" s="9" t="s">
        <v>59</v>
      </c>
      <c r="D1999" s="8">
        <v>45918</v>
      </c>
      <c r="E1999" s="7" t="s">
        <v>762</v>
      </c>
      <c r="F1999" s="7">
        <v>1</v>
      </c>
      <c r="G1999" s="7" t="s">
        <v>15</v>
      </c>
      <c r="J1999" s="7">
        <f t="shared" si="172"/>
        <v>1900</v>
      </c>
      <c r="K1999" s="7">
        <f t="shared" si="173"/>
        <v>1</v>
      </c>
      <c r="L1999" s="7">
        <f t="shared" si="174"/>
        <v>45918</v>
      </c>
      <c r="M1999" s="7" t="s">
        <v>152</v>
      </c>
      <c r="N1999" s="7" t="s">
        <v>579</v>
      </c>
      <c r="O1999" s="17" t="s">
        <v>682</v>
      </c>
      <c r="P1999" s="7">
        <f t="shared" si="175"/>
        <v>9</v>
      </c>
      <c r="Q1999" s="7">
        <f t="shared" si="176"/>
        <v>2025</v>
      </c>
    </row>
    <row r="2000" spans="1:17" x14ac:dyDescent="0.25">
      <c r="A2000" s="7">
        <v>2547</v>
      </c>
      <c r="B2000" s="9" t="s">
        <v>727</v>
      </c>
      <c r="C2000" s="9" t="s">
        <v>59</v>
      </c>
      <c r="D2000" s="8">
        <v>45918</v>
      </c>
      <c r="E2000" s="7" t="s">
        <v>763</v>
      </c>
      <c r="F2000" s="7">
        <v>1</v>
      </c>
      <c r="G2000" s="7" t="s">
        <v>15</v>
      </c>
      <c r="J2000" s="7">
        <f t="shared" si="172"/>
        <v>1900</v>
      </c>
      <c r="K2000" s="7">
        <f t="shared" si="173"/>
        <v>1</v>
      </c>
      <c r="L2000" s="7">
        <f t="shared" si="174"/>
        <v>45918</v>
      </c>
      <c r="M2000" s="16" t="s">
        <v>497</v>
      </c>
      <c r="N2000" s="7" t="s">
        <v>579</v>
      </c>
      <c r="O2000" s="17" t="s">
        <v>680</v>
      </c>
      <c r="P2000" s="7">
        <f t="shared" si="175"/>
        <v>9</v>
      </c>
      <c r="Q2000" s="7">
        <f t="shared" si="176"/>
        <v>2025</v>
      </c>
    </row>
    <row r="2001" spans="1:17" x14ac:dyDescent="0.25">
      <c r="A2001" s="7">
        <v>2547</v>
      </c>
      <c r="B2001" s="9" t="s">
        <v>727</v>
      </c>
      <c r="C2001" s="9" t="s">
        <v>59</v>
      </c>
      <c r="D2001" s="8">
        <v>45918</v>
      </c>
      <c r="E2001" s="7" t="s">
        <v>764</v>
      </c>
      <c r="F2001" s="7">
        <v>1</v>
      </c>
      <c r="G2001" s="7" t="s">
        <v>15</v>
      </c>
      <c r="J2001" s="7">
        <f t="shared" si="172"/>
        <v>1900</v>
      </c>
      <c r="K2001" s="7">
        <f t="shared" si="173"/>
        <v>1</v>
      </c>
      <c r="L2001" s="7">
        <f t="shared" si="174"/>
        <v>45918</v>
      </c>
      <c r="M2001" s="16" t="s">
        <v>497</v>
      </c>
      <c r="N2001" s="7" t="s">
        <v>579</v>
      </c>
      <c r="O2001" s="17" t="s">
        <v>680</v>
      </c>
      <c r="P2001" s="7">
        <f t="shared" si="175"/>
        <v>9</v>
      </c>
      <c r="Q2001" s="7">
        <f t="shared" si="176"/>
        <v>2025</v>
      </c>
    </row>
    <row r="2002" spans="1:17" x14ac:dyDescent="0.25">
      <c r="A2002" s="7">
        <v>2547</v>
      </c>
      <c r="B2002" s="9" t="s">
        <v>727</v>
      </c>
      <c r="C2002" s="9" t="s">
        <v>59</v>
      </c>
      <c r="D2002" s="8">
        <v>45918</v>
      </c>
      <c r="E2002" s="7" t="s">
        <v>765</v>
      </c>
      <c r="F2002" s="7">
        <v>1</v>
      </c>
      <c r="G2002" s="7" t="s">
        <v>15</v>
      </c>
      <c r="J2002" s="7">
        <f t="shared" si="172"/>
        <v>1900</v>
      </c>
      <c r="K2002" s="7">
        <f t="shared" si="173"/>
        <v>1</v>
      </c>
      <c r="L2002" s="7">
        <f t="shared" si="174"/>
        <v>45918</v>
      </c>
      <c r="M2002" s="7" t="s">
        <v>152</v>
      </c>
      <c r="N2002" s="7" t="s">
        <v>579</v>
      </c>
      <c r="O2002" s="17" t="s">
        <v>682</v>
      </c>
      <c r="P2002" s="7">
        <f t="shared" si="175"/>
        <v>9</v>
      </c>
      <c r="Q2002" s="7">
        <f t="shared" si="176"/>
        <v>2025</v>
      </c>
    </row>
    <row r="2003" spans="1:17" x14ac:dyDescent="0.25">
      <c r="A2003" s="7">
        <v>2547</v>
      </c>
      <c r="B2003" s="9" t="s">
        <v>727</v>
      </c>
      <c r="C2003" s="9" t="s">
        <v>59</v>
      </c>
      <c r="D2003" s="8">
        <v>45918</v>
      </c>
      <c r="E2003" s="7" t="s">
        <v>766</v>
      </c>
      <c r="F2003" s="7">
        <v>1</v>
      </c>
      <c r="G2003" s="7" t="s">
        <v>15</v>
      </c>
      <c r="J2003" s="7">
        <f t="shared" si="172"/>
        <v>1900</v>
      </c>
      <c r="K2003" s="7">
        <f t="shared" si="173"/>
        <v>1</v>
      </c>
      <c r="L2003" s="7">
        <f t="shared" si="174"/>
        <v>45918</v>
      </c>
      <c r="M2003" s="16" t="s">
        <v>497</v>
      </c>
      <c r="N2003" s="7" t="s">
        <v>579</v>
      </c>
      <c r="O2003" s="17" t="s">
        <v>680</v>
      </c>
      <c r="P2003" s="7">
        <f t="shared" si="175"/>
        <v>9</v>
      </c>
      <c r="Q2003" s="7">
        <f t="shared" si="176"/>
        <v>2025</v>
      </c>
    </row>
    <row r="2004" spans="1:17" x14ac:dyDescent="0.25">
      <c r="A2004" s="7">
        <v>2547</v>
      </c>
      <c r="B2004" s="9" t="s">
        <v>727</v>
      </c>
      <c r="C2004" s="9" t="s">
        <v>59</v>
      </c>
      <c r="D2004" s="8">
        <v>45918</v>
      </c>
      <c r="E2004" s="7" t="s">
        <v>767</v>
      </c>
      <c r="F2004" s="7">
        <v>1</v>
      </c>
      <c r="G2004" s="7" t="s">
        <v>15</v>
      </c>
      <c r="J2004" s="7">
        <f t="shared" si="172"/>
        <v>1900</v>
      </c>
      <c r="K2004" s="7">
        <f t="shared" si="173"/>
        <v>1</v>
      </c>
      <c r="L2004" s="7">
        <f t="shared" si="174"/>
        <v>45918</v>
      </c>
      <c r="M2004" s="7" t="s">
        <v>152</v>
      </c>
      <c r="N2004" s="7" t="s">
        <v>579</v>
      </c>
      <c r="O2004" s="17" t="s">
        <v>682</v>
      </c>
      <c r="P2004" s="7">
        <f t="shared" si="175"/>
        <v>9</v>
      </c>
      <c r="Q2004" s="7">
        <f t="shared" si="176"/>
        <v>2025</v>
      </c>
    </row>
    <row r="2005" spans="1:17" x14ac:dyDescent="0.25">
      <c r="A2005" s="7">
        <v>2547</v>
      </c>
      <c r="B2005" s="9" t="s">
        <v>727</v>
      </c>
      <c r="C2005" s="9" t="s">
        <v>59</v>
      </c>
      <c r="D2005" s="8">
        <v>45918</v>
      </c>
      <c r="E2005" s="7" t="s">
        <v>768</v>
      </c>
      <c r="F2005" s="7">
        <v>1</v>
      </c>
      <c r="G2005" s="7" t="s">
        <v>15</v>
      </c>
      <c r="J2005" s="7">
        <f t="shared" si="172"/>
        <v>1900</v>
      </c>
      <c r="K2005" s="7">
        <f t="shared" si="173"/>
        <v>1</v>
      </c>
      <c r="L2005" s="7">
        <f t="shared" si="174"/>
        <v>45918</v>
      </c>
      <c r="M2005" s="16" t="s">
        <v>497</v>
      </c>
      <c r="N2005" s="7" t="s">
        <v>579</v>
      </c>
      <c r="O2005" s="17" t="s">
        <v>680</v>
      </c>
      <c r="P2005" s="7">
        <f t="shared" si="175"/>
        <v>9</v>
      </c>
      <c r="Q2005" s="7">
        <f t="shared" si="176"/>
        <v>2025</v>
      </c>
    </row>
    <row r="2006" spans="1:17" x14ac:dyDescent="0.25">
      <c r="A2006" s="7">
        <v>2547</v>
      </c>
      <c r="B2006" s="9" t="s">
        <v>727</v>
      </c>
      <c r="C2006" s="9" t="s">
        <v>59</v>
      </c>
      <c r="D2006" s="8">
        <v>45918</v>
      </c>
      <c r="E2006" s="7" t="s">
        <v>769</v>
      </c>
      <c r="F2006" s="7">
        <v>1</v>
      </c>
      <c r="G2006" s="7" t="s">
        <v>15</v>
      </c>
      <c r="J2006" s="7">
        <f t="shared" si="172"/>
        <v>1900</v>
      </c>
      <c r="K2006" s="7">
        <f t="shared" si="173"/>
        <v>1</v>
      </c>
      <c r="L2006" s="7">
        <f t="shared" si="174"/>
        <v>45918</v>
      </c>
      <c r="M2006" s="16" t="s">
        <v>497</v>
      </c>
      <c r="N2006" s="7" t="s">
        <v>579</v>
      </c>
      <c r="O2006" s="17" t="s">
        <v>680</v>
      </c>
      <c r="P2006" s="7">
        <f t="shared" si="175"/>
        <v>9</v>
      </c>
      <c r="Q2006" s="7">
        <f t="shared" si="176"/>
        <v>2025</v>
      </c>
    </row>
    <row r="2007" spans="1:17" x14ac:dyDescent="0.25">
      <c r="A2007" s="7">
        <v>2547</v>
      </c>
      <c r="B2007" s="9" t="s">
        <v>727</v>
      </c>
      <c r="C2007" s="9" t="s">
        <v>59</v>
      </c>
      <c r="D2007" s="8">
        <v>45918</v>
      </c>
      <c r="E2007" s="7" t="s">
        <v>770</v>
      </c>
      <c r="F2007" s="7">
        <v>1</v>
      </c>
      <c r="G2007" s="7" t="s">
        <v>15</v>
      </c>
      <c r="J2007" s="7">
        <f t="shared" si="172"/>
        <v>1900</v>
      </c>
      <c r="K2007" s="7">
        <f t="shared" si="173"/>
        <v>1</v>
      </c>
      <c r="L2007" s="7">
        <f t="shared" si="174"/>
        <v>45918</v>
      </c>
      <c r="M2007" s="7" t="s">
        <v>152</v>
      </c>
      <c r="N2007" s="7" t="s">
        <v>579</v>
      </c>
      <c r="O2007" s="17" t="s">
        <v>682</v>
      </c>
      <c r="P2007" s="7">
        <f t="shared" si="175"/>
        <v>9</v>
      </c>
      <c r="Q2007" s="7">
        <f t="shared" si="176"/>
        <v>2025</v>
      </c>
    </row>
    <row r="2008" spans="1:17" x14ac:dyDescent="0.25">
      <c r="A2008" s="7">
        <v>2547</v>
      </c>
      <c r="B2008" s="9" t="s">
        <v>727</v>
      </c>
      <c r="C2008" s="9" t="s">
        <v>59</v>
      </c>
      <c r="D2008" s="8">
        <v>45918</v>
      </c>
      <c r="E2008" s="7" t="s">
        <v>771</v>
      </c>
      <c r="F2008" s="7">
        <v>1</v>
      </c>
      <c r="G2008" s="7" t="s">
        <v>15</v>
      </c>
      <c r="J2008" s="7">
        <f t="shared" si="172"/>
        <v>1900</v>
      </c>
      <c r="K2008" s="7">
        <f t="shared" si="173"/>
        <v>1</v>
      </c>
      <c r="L2008" s="7">
        <f t="shared" si="174"/>
        <v>45918</v>
      </c>
      <c r="M2008" s="16" t="s">
        <v>497</v>
      </c>
      <c r="N2008" s="7" t="s">
        <v>579</v>
      </c>
      <c r="O2008" s="17" t="s">
        <v>680</v>
      </c>
      <c r="P2008" s="7">
        <f t="shared" si="175"/>
        <v>9</v>
      </c>
      <c r="Q2008" s="7">
        <f t="shared" si="176"/>
        <v>2025</v>
      </c>
    </row>
    <row r="2009" spans="1:17" x14ac:dyDescent="0.25">
      <c r="A2009" s="7">
        <v>2547</v>
      </c>
      <c r="B2009" s="9" t="s">
        <v>727</v>
      </c>
      <c r="C2009" s="9" t="s">
        <v>59</v>
      </c>
      <c r="D2009" s="8">
        <v>45918</v>
      </c>
      <c r="E2009" s="7" t="s">
        <v>772</v>
      </c>
      <c r="F2009" s="7">
        <v>1</v>
      </c>
      <c r="G2009" s="7" t="s">
        <v>15</v>
      </c>
      <c r="J2009" s="7">
        <f t="shared" si="172"/>
        <v>1900</v>
      </c>
      <c r="K2009" s="7">
        <f t="shared" si="173"/>
        <v>1</v>
      </c>
      <c r="L2009" s="7">
        <f t="shared" si="174"/>
        <v>45918</v>
      </c>
      <c r="M2009" s="16" t="s">
        <v>497</v>
      </c>
      <c r="N2009" s="7" t="s">
        <v>579</v>
      </c>
      <c r="O2009" s="17" t="s">
        <v>680</v>
      </c>
      <c r="P2009" s="7">
        <f t="shared" si="175"/>
        <v>9</v>
      </c>
      <c r="Q2009" s="7">
        <f t="shared" si="176"/>
        <v>2025</v>
      </c>
    </row>
    <row r="2010" spans="1:17" x14ac:dyDescent="0.25">
      <c r="A2010" s="7">
        <v>2547</v>
      </c>
      <c r="B2010" s="9" t="s">
        <v>727</v>
      </c>
      <c r="C2010" s="9" t="s">
        <v>59</v>
      </c>
      <c r="D2010" s="8">
        <v>45918</v>
      </c>
      <c r="E2010" s="7" t="s">
        <v>773</v>
      </c>
      <c r="F2010" s="7">
        <v>1</v>
      </c>
      <c r="G2010" s="7" t="s">
        <v>15</v>
      </c>
      <c r="J2010" s="7">
        <f t="shared" si="172"/>
        <v>1900</v>
      </c>
      <c r="K2010" s="7">
        <f t="shared" si="173"/>
        <v>1</v>
      </c>
      <c r="L2010" s="7">
        <f t="shared" si="174"/>
        <v>45918</v>
      </c>
      <c r="M2010" s="7" t="s">
        <v>152</v>
      </c>
      <c r="N2010" s="7" t="s">
        <v>579</v>
      </c>
      <c r="O2010" s="17" t="s">
        <v>682</v>
      </c>
      <c r="P2010" s="7">
        <f t="shared" si="175"/>
        <v>9</v>
      </c>
      <c r="Q2010" s="7">
        <f t="shared" si="176"/>
        <v>2025</v>
      </c>
    </row>
    <row r="2011" spans="1:17" x14ac:dyDescent="0.25">
      <c r="A2011" s="7">
        <v>2547</v>
      </c>
      <c r="B2011" s="9" t="s">
        <v>727</v>
      </c>
      <c r="C2011" s="9" t="s">
        <v>59</v>
      </c>
      <c r="D2011" s="8">
        <v>45918</v>
      </c>
      <c r="E2011" s="7" t="s">
        <v>774</v>
      </c>
      <c r="F2011" s="7">
        <v>1</v>
      </c>
      <c r="G2011" s="7" t="s">
        <v>15</v>
      </c>
      <c r="J2011" s="7">
        <f t="shared" si="172"/>
        <v>1900</v>
      </c>
      <c r="K2011" s="7">
        <f t="shared" si="173"/>
        <v>1</v>
      </c>
      <c r="L2011" s="7">
        <f t="shared" si="174"/>
        <v>45918</v>
      </c>
      <c r="M2011" s="16" t="s">
        <v>497</v>
      </c>
      <c r="N2011" s="7" t="s">
        <v>579</v>
      </c>
      <c r="O2011" s="17" t="s">
        <v>680</v>
      </c>
      <c r="P2011" s="7">
        <f t="shared" si="175"/>
        <v>9</v>
      </c>
      <c r="Q2011" s="7">
        <f t="shared" si="176"/>
        <v>2025</v>
      </c>
    </row>
    <row r="2012" spans="1:17" x14ac:dyDescent="0.25">
      <c r="A2012" s="7">
        <v>2547</v>
      </c>
      <c r="B2012" s="9" t="s">
        <v>727</v>
      </c>
      <c r="C2012" s="9" t="s">
        <v>59</v>
      </c>
      <c r="D2012" s="8">
        <v>45918</v>
      </c>
      <c r="E2012" s="7" t="s">
        <v>775</v>
      </c>
      <c r="F2012" s="7">
        <v>1</v>
      </c>
      <c r="G2012" s="7" t="s">
        <v>15</v>
      </c>
      <c r="J2012" s="7">
        <f t="shared" si="172"/>
        <v>1900</v>
      </c>
      <c r="K2012" s="7">
        <f t="shared" si="173"/>
        <v>1</v>
      </c>
      <c r="L2012" s="7">
        <f t="shared" si="174"/>
        <v>45918</v>
      </c>
      <c r="M2012" s="7" t="s">
        <v>152</v>
      </c>
      <c r="N2012" s="7" t="s">
        <v>579</v>
      </c>
      <c r="O2012" s="17" t="s">
        <v>682</v>
      </c>
      <c r="P2012" s="7">
        <f t="shared" si="175"/>
        <v>9</v>
      </c>
      <c r="Q2012" s="7">
        <f t="shared" si="176"/>
        <v>2025</v>
      </c>
    </row>
    <row r="2013" spans="1:17" x14ac:dyDescent="0.25">
      <c r="A2013" s="7">
        <v>2547</v>
      </c>
      <c r="B2013" s="9" t="s">
        <v>727</v>
      </c>
      <c r="C2013" s="9" t="s">
        <v>59</v>
      </c>
      <c r="D2013" s="8">
        <v>45918</v>
      </c>
      <c r="E2013" s="7" t="s">
        <v>776</v>
      </c>
      <c r="F2013" s="7">
        <v>1</v>
      </c>
      <c r="G2013" s="7" t="s">
        <v>15</v>
      </c>
      <c r="J2013" s="7">
        <f t="shared" si="172"/>
        <v>1900</v>
      </c>
      <c r="K2013" s="7">
        <f t="shared" si="173"/>
        <v>1</v>
      </c>
      <c r="L2013" s="7">
        <f t="shared" si="174"/>
        <v>45918</v>
      </c>
      <c r="M2013" s="7" t="s">
        <v>152</v>
      </c>
      <c r="N2013" s="7" t="s">
        <v>579</v>
      </c>
      <c r="O2013" s="17" t="s">
        <v>682</v>
      </c>
      <c r="P2013" s="7">
        <f t="shared" si="175"/>
        <v>9</v>
      </c>
      <c r="Q2013" s="7">
        <f t="shared" si="176"/>
        <v>2025</v>
      </c>
    </row>
    <row r="2014" spans="1:17" x14ac:dyDescent="0.25">
      <c r="A2014" s="7">
        <v>2547</v>
      </c>
      <c r="B2014" s="9" t="s">
        <v>727</v>
      </c>
      <c r="C2014" s="9" t="s">
        <v>59</v>
      </c>
      <c r="D2014" s="8">
        <v>45918</v>
      </c>
      <c r="E2014" s="7" t="s">
        <v>777</v>
      </c>
      <c r="F2014" s="7">
        <v>1</v>
      </c>
      <c r="G2014" s="7" t="s">
        <v>15</v>
      </c>
      <c r="J2014" s="7">
        <f t="shared" si="172"/>
        <v>1900</v>
      </c>
      <c r="K2014" s="7">
        <f t="shared" si="173"/>
        <v>1</v>
      </c>
      <c r="L2014" s="7">
        <f t="shared" si="174"/>
        <v>45918</v>
      </c>
      <c r="M2014" s="16" t="s">
        <v>497</v>
      </c>
      <c r="N2014" s="7" t="s">
        <v>579</v>
      </c>
      <c r="O2014" s="17" t="s">
        <v>680</v>
      </c>
      <c r="P2014" s="7">
        <f t="shared" si="175"/>
        <v>9</v>
      </c>
      <c r="Q2014" s="7">
        <f t="shared" si="176"/>
        <v>2025</v>
      </c>
    </row>
    <row r="2015" spans="1:17" x14ac:dyDescent="0.25">
      <c r="A2015" s="7">
        <v>2547</v>
      </c>
      <c r="B2015" s="9" t="s">
        <v>727</v>
      </c>
      <c r="C2015" s="9" t="s">
        <v>59</v>
      </c>
      <c r="D2015" s="8">
        <v>45918</v>
      </c>
      <c r="E2015" s="7" t="s">
        <v>778</v>
      </c>
      <c r="F2015" s="7">
        <v>1</v>
      </c>
      <c r="G2015" s="7" t="s">
        <v>15</v>
      </c>
      <c r="J2015" s="7">
        <f t="shared" si="172"/>
        <v>1900</v>
      </c>
      <c r="K2015" s="7">
        <f t="shared" si="173"/>
        <v>1</v>
      </c>
      <c r="L2015" s="7">
        <f t="shared" si="174"/>
        <v>45918</v>
      </c>
      <c r="M2015" s="16" t="s">
        <v>497</v>
      </c>
      <c r="N2015" s="7" t="s">
        <v>579</v>
      </c>
      <c r="O2015" s="17" t="s">
        <v>680</v>
      </c>
      <c r="P2015" s="7">
        <f t="shared" si="175"/>
        <v>9</v>
      </c>
      <c r="Q2015" s="7">
        <f t="shared" si="176"/>
        <v>2025</v>
      </c>
    </row>
    <row r="2016" spans="1:17" x14ac:dyDescent="0.25">
      <c r="A2016" s="7">
        <v>2547</v>
      </c>
      <c r="B2016" s="9" t="s">
        <v>727</v>
      </c>
      <c r="C2016" s="9" t="s">
        <v>59</v>
      </c>
      <c r="D2016" s="8">
        <v>45918</v>
      </c>
      <c r="E2016" s="7" t="s">
        <v>779</v>
      </c>
      <c r="F2016" s="7">
        <v>1</v>
      </c>
      <c r="G2016" s="7" t="s">
        <v>15</v>
      </c>
      <c r="J2016" s="7">
        <f t="shared" si="172"/>
        <v>1900</v>
      </c>
      <c r="K2016" s="7">
        <f t="shared" si="173"/>
        <v>1</v>
      </c>
      <c r="L2016" s="7">
        <f t="shared" si="174"/>
        <v>45918</v>
      </c>
      <c r="M2016" s="16" t="s">
        <v>497</v>
      </c>
      <c r="N2016" s="7" t="s">
        <v>579</v>
      </c>
      <c r="O2016" s="17" t="s">
        <v>680</v>
      </c>
      <c r="P2016" s="7">
        <f t="shared" si="175"/>
        <v>9</v>
      </c>
      <c r="Q2016" s="7">
        <f t="shared" si="176"/>
        <v>2025</v>
      </c>
    </row>
    <row r="2017" spans="1:17" x14ac:dyDescent="0.25">
      <c r="A2017" s="7">
        <v>2548</v>
      </c>
      <c r="B2017" s="9" t="s">
        <v>843</v>
      </c>
      <c r="C2017" s="9" t="s">
        <v>59</v>
      </c>
      <c r="D2017" s="8">
        <v>45923</v>
      </c>
      <c r="E2017" s="7" t="s">
        <v>786</v>
      </c>
      <c r="F2017" s="7">
        <v>1</v>
      </c>
      <c r="G2017" s="7" t="s">
        <v>14</v>
      </c>
      <c r="J2017" s="7">
        <f t="shared" ref="J2017:J2067" si="177">YEAR(I2017)</f>
        <v>1900</v>
      </c>
      <c r="K2017" s="7">
        <f t="shared" ref="K2017:K2067" si="178">MONTH(I2017)</f>
        <v>1</v>
      </c>
      <c r="L2017" s="7">
        <f t="shared" ref="L2017:L2067" si="179">D2017-I2017</f>
        <v>45923</v>
      </c>
      <c r="M2017" s="16" t="s">
        <v>497</v>
      </c>
      <c r="N2017" s="7" t="s">
        <v>579</v>
      </c>
      <c r="O2017" s="17" t="s">
        <v>680</v>
      </c>
      <c r="P2017" s="7">
        <f t="shared" ref="P2017:P2067" si="180">MONTH(D2017)</f>
        <v>9</v>
      </c>
      <c r="Q2017" s="7">
        <f t="shared" si="176"/>
        <v>2025</v>
      </c>
    </row>
    <row r="2018" spans="1:17" x14ac:dyDescent="0.25">
      <c r="A2018" s="7">
        <v>2548</v>
      </c>
      <c r="B2018" s="9" t="s">
        <v>843</v>
      </c>
      <c r="C2018" s="9" t="s">
        <v>59</v>
      </c>
      <c r="D2018" s="8">
        <v>45923</v>
      </c>
      <c r="E2018" s="7" t="s">
        <v>787</v>
      </c>
      <c r="F2018" s="7">
        <v>1</v>
      </c>
      <c r="G2018" s="7" t="s">
        <v>14</v>
      </c>
      <c r="J2018" s="7">
        <f t="shared" si="177"/>
        <v>1900</v>
      </c>
      <c r="K2018" s="7">
        <f t="shared" si="178"/>
        <v>1</v>
      </c>
      <c r="L2018" s="7">
        <f t="shared" si="179"/>
        <v>45923</v>
      </c>
      <c r="M2018" s="16" t="s">
        <v>497</v>
      </c>
      <c r="N2018" s="7" t="s">
        <v>579</v>
      </c>
      <c r="O2018" s="17" t="s">
        <v>680</v>
      </c>
      <c r="P2018" s="7">
        <f t="shared" si="180"/>
        <v>9</v>
      </c>
      <c r="Q2018" s="7">
        <f t="shared" si="176"/>
        <v>2025</v>
      </c>
    </row>
    <row r="2019" spans="1:17" x14ac:dyDescent="0.25">
      <c r="A2019" s="7">
        <v>2548</v>
      </c>
      <c r="B2019" s="9" t="s">
        <v>843</v>
      </c>
      <c r="C2019" s="9" t="s">
        <v>59</v>
      </c>
      <c r="D2019" s="8">
        <v>45923</v>
      </c>
      <c r="E2019" s="7" t="s">
        <v>827</v>
      </c>
      <c r="F2019" s="7">
        <v>1</v>
      </c>
      <c r="G2019" s="7" t="s">
        <v>14</v>
      </c>
      <c r="J2019" s="7">
        <f t="shared" si="177"/>
        <v>1900</v>
      </c>
      <c r="K2019" s="7">
        <f t="shared" si="178"/>
        <v>1</v>
      </c>
      <c r="L2019" s="7">
        <f t="shared" si="179"/>
        <v>45923</v>
      </c>
      <c r="M2019" s="16" t="s">
        <v>497</v>
      </c>
      <c r="N2019" s="7" t="s">
        <v>579</v>
      </c>
      <c r="O2019" s="17" t="s">
        <v>680</v>
      </c>
      <c r="P2019" s="7">
        <f t="shared" si="180"/>
        <v>9</v>
      </c>
      <c r="Q2019" s="7">
        <f t="shared" si="176"/>
        <v>2025</v>
      </c>
    </row>
    <row r="2020" spans="1:17" x14ac:dyDescent="0.25">
      <c r="A2020" s="7">
        <v>2548</v>
      </c>
      <c r="B2020" s="9" t="s">
        <v>843</v>
      </c>
      <c r="C2020" s="9" t="s">
        <v>59</v>
      </c>
      <c r="D2020" s="8">
        <v>45923</v>
      </c>
      <c r="E2020" s="7" t="s">
        <v>866</v>
      </c>
      <c r="F2020" s="7">
        <v>1</v>
      </c>
      <c r="G2020" s="7" t="s">
        <v>14</v>
      </c>
      <c r="J2020" s="7">
        <f t="shared" si="177"/>
        <v>1900</v>
      </c>
      <c r="K2020" s="7">
        <f t="shared" si="178"/>
        <v>1</v>
      </c>
      <c r="L2020" s="7">
        <f t="shared" si="179"/>
        <v>45923</v>
      </c>
      <c r="M2020" s="16" t="s">
        <v>497</v>
      </c>
      <c r="N2020" s="7" t="s">
        <v>579</v>
      </c>
      <c r="O2020" s="17" t="s">
        <v>680</v>
      </c>
      <c r="P2020" s="7">
        <f t="shared" si="180"/>
        <v>9</v>
      </c>
      <c r="Q2020" s="7">
        <f t="shared" si="176"/>
        <v>2025</v>
      </c>
    </row>
    <row r="2021" spans="1:17" x14ac:dyDescent="0.25">
      <c r="A2021" s="7">
        <v>2548</v>
      </c>
      <c r="B2021" s="9" t="s">
        <v>843</v>
      </c>
      <c r="C2021" s="9" t="s">
        <v>59</v>
      </c>
      <c r="D2021" s="8">
        <v>45923</v>
      </c>
      <c r="E2021" s="7" t="s">
        <v>788</v>
      </c>
      <c r="F2021" s="7">
        <v>1</v>
      </c>
      <c r="G2021" s="7" t="s">
        <v>14</v>
      </c>
      <c r="J2021" s="7">
        <f t="shared" si="177"/>
        <v>1900</v>
      </c>
      <c r="K2021" s="7">
        <f t="shared" si="178"/>
        <v>1</v>
      </c>
      <c r="L2021" s="7">
        <f t="shared" si="179"/>
        <v>45923</v>
      </c>
      <c r="M2021" s="16" t="s">
        <v>497</v>
      </c>
      <c r="N2021" s="7" t="s">
        <v>579</v>
      </c>
      <c r="O2021" s="17" t="s">
        <v>680</v>
      </c>
      <c r="P2021" s="7">
        <f t="shared" si="180"/>
        <v>9</v>
      </c>
      <c r="Q2021" s="7">
        <f t="shared" si="176"/>
        <v>2025</v>
      </c>
    </row>
    <row r="2022" spans="1:17" x14ac:dyDescent="0.25">
      <c r="A2022" s="7">
        <v>2548</v>
      </c>
      <c r="B2022" s="9" t="s">
        <v>843</v>
      </c>
      <c r="C2022" s="9" t="s">
        <v>59</v>
      </c>
      <c r="D2022" s="8">
        <v>45923</v>
      </c>
      <c r="E2022" s="7" t="s">
        <v>868</v>
      </c>
      <c r="F2022" s="7">
        <v>1</v>
      </c>
      <c r="G2022" s="7" t="s">
        <v>14</v>
      </c>
      <c r="J2022" s="7">
        <f t="shared" si="177"/>
        <v>1900</v>
      </c>
      <c r="K2022" s="7">
        <f t="shared" si="178"/>
        <v>1</v>
      </c>
      <c r="L2022" s="7">
        <f t="shared" si="179"/>
        <v>45923</v>
      </c>
      <c r="M2022" s="16" t="s">
        <v>497</v>
      </c>
      <c r="N2022" s="7" t="s">
        <v>579</v>
      </c>
      <c r="O2022" s="17" t="s">
        <v>680</v>
      </c>
      <c r="P2022" s="7">
        <f t="shared" si="180"/>
        <v>9</v>
      </c>
      <c r="Q2022" s="7">
        <f t="shared" si="176"/>
        <v>2025</v>
      </c>
    </row>
    <row r="2023" spans="1:17" x14ac:dyDescent="0.25">
      <c r="A2023" s="7">
        <v>2548</v>
      </c>
      <c r="B2023" s="9" t="s">
        <v>843</v>
      </c>
      <c r="C2023" s="9" t="s">
        <v>59</v>
      </c>
      <c r="D2023" s="8">
        <v>45923</v>
      </c>
      <c r="E2023" s="7" t="s">
        <v>789</v>
      </c>
      <c r="F2023" s="7">
        <v>1</v>
      </c>
      <c r="G2023" s="7" t="s">
        <v>14</v>
      </c>
      <c r="J2023" s="7">
        <f t="shared" si="177"/>
        <v>1900</v>
      </c>
      <c r="K2023" s="7">
        <f t="shared" si="178"/>
        <v>1</v>
      </c>
      <c r="L2023" s="7">
        <f t="shared" si="179"/>
        <v>45923</v>
      </c>
      <c r="M2023" s="16" t="s">
        <v>497</v>
      </c>
      <c r="N2023" s="7" t="s">
        <v>579</v>
      </c>
      <c r="O2023" s="17" t="s">
        <v>680</v>
      </c>
      <c r="P2023" s="7">
        <f t="shared" si="180"/>
        <v>9</v>
      </c>
      <c r="Q2023" s="7">
        <f t="shared" si="176"/>
        <v>2025</v>
      </c>
    </row>
    <row r="2024" spans="1:17" x14ac:dyDescent="0.25">
      <c r="A2024" s="7">
        <v>2548</v>
      </c>
      <c r="B2024" s="9" t="s">
        <v>843</v>
      </c>
      <c r="C2024" s="9" t="s">
        <v>59</v>
      </c>
      <c r="D2024" s="8">
        <v>45923</v>
      </c>
      <c r="E2024" s="7" t="s">
        <v>790</v>
      </c>
      <c r="F2024" s="7">
        <v>1</v>
      </c>
      <c r="G2024" s="7" t="s">
        <v>14</v>
      </c>
      <c r="J2024" s="7">
        <f t="shared" si="177"/>
        <v>1900</v>
      </c>
      <c r="K2024" s="7">
        <f t="shared" si="178"/>
        <v>1</v>
      </c>
      <c r="L2024" s="7">
        <f t="shared" si="179"/>
        <v>45923</v>
      </c>
      <c r="M2024" s="16" t="s">
        <v>497</v>
      </c>
      <c r="N2024" s="7" t="s">
        <v>579</v>
      </c>
      <c r="O2024" s="17" t="s">
        <v>680</v>
      </c>
      <c r="P2024" s="7">
        <f t="shared" si="180"/>
        <v>9</v>
      </c>
      <c r="Q2024" s="7">
        <f t="shared" si="176"/>
        <v>2025</v>
      </c>
    </row>
    <row r="2025" spans="1:17" x14ac:dyDescent="0.25">
      <c r="A2025" s="7">
        <v>2548</v>
      </c>
      <c r="B2025" s="9" t="s">
        <v>843</v>
      </c>
      <c r="C2025" s="9" t="s">
        <v>59</v>
      </c>
      <c r="D2025" s="8">
        <v>45923</v>
      </c>
      <c r="E2025" s="7" t="s">
        <v>867</v>
      </c>
      <c r="F2025" s="7">
        <v>1</v>
      </c>
      <c r="G2025" s="7" t="s">
        <v>14</v>
      </c>
      <c r="J2025" s="7">
        <f t="shared" si="177"/>
        <v>1900</v>
      </c>
      <c r="K2025" s="7">
        <f t="shared" si="178"/>
        <v>1</v>
      </c>
      <c r="L2025" s="7">
        <f t="shared" si="179"/>
        <v>45923</v>
      </c>
      <c r="M2025" s="16" t="s">
        <v>497</v>
      </c>
      <c r="N2025" s="7" t="s">
        <v>579</v>
      </c>
      <c r="O2025" s="17" t="s">
        <v>680</v>
      </c>
      <c r="P2025" s="7">
        <f t="shared" si="180"/>
        <v>9</v>
      </c>
      <c r="Q2025" s="7">
        <f t="shared" si="176"/>
        <v>2025</v>
      </c>
    </row>
    <row r="2026" spans="1:17" x14ac:dyDescent="0.25">
      <c r="A2026" s="7">
        <v>2548</v>
      </c>
      <c r="B2026" s="9" t="s">
        <v>843</v>
      </c>
      <c r="C2026" s="9" t="s">
        <v>59</v>
      </c>
      <c r="D2026" s="8">
        <v>45923</v>
      </c>
      <c r="E2026" s="7" t="s">
        <v>791</v>
      </c>
      <c r="F2026" s="7">
        <v>1</v>
      </c>
      <c r="G2026" s="7" t="s">
        <v>14</v>
      </c>
      <c r="J2026" s="7">
        <f t="shared" si="177"/>
        <v>1900</v>
      </c>
      <c r="K2026" s="7">
        <f t="shared" si="178"/>
        <v>1</v>
      </c>
      <c r="L2026" s="7">
        <f t="shared" si="179"/>
        <v>45923</v>
      </c>
      <c r="M2026" s="16" t="s">
        <v>497</v>
      </c>
      <c r="N2026" s="7" t="s">
        <v>579</v>
      </c>
      <c r="O2026" s="17" t="s">
        <v>680</v>
      </c>
      <c r="P2026" s="7">
        <f t="shared" si="180"/>
        <v>9</v>
      </c>
      <c r="Q2026" s="7">
        <f t="shared" si="176"/>
        <v>2025</v>
      </c>
    </row>
    <row r="2027" spans="1:17" x14ac:dyDescent="0.25">
      <c r="A2027" s="7">
        <v>2548</v>
      </c>
      <c r="B2027" s="9" t="s">
        <v>843</v>
      </c>
      <c r="C2027" s="9" t="s">
        <v>59</v>
      </c>
      <c r="D2027" s="8">
        <v>45923</v>
      </c>
      <c r="E2027" s="7" t="s">
        <v>792</v>
      </c>
      <c r="F2027" s="7">
        <v>1</v>
      </c>
      <c r="G2027" s="7" t="s">
        <v>14</v>
      </c>
      <c r="J2027" s="7">
        <f t="shared" si="177"/>
        <v>1900</v>
      </c>
      <c r="K2027" s="7">
        <f t="shared" si="178"/>
        <v>1</v>
      </c>
      <c r="L2027" s="7">
        <f t="shared" si="179"/>
        <v>45923</v>
      </c>
      <c r="M2027" s="16" t="s">
        <v>497</v>
      </c>
      <c r="N2027" s="7" t="s">
        <v>579</v>
      </c>
      <c r="O2027" s="17" t="s">
        <v>680</v>
      </c>
      <c r="P2027" s="7">
        <f t="shared" si="180"/>
        <v>9</v>
      </c>
      <c r="Q2027" s="7">
        <f t="shared" si="176"/>
        <v>2025</v>
      </c>
    </row>
    <row r="2028" spans="1:17" x14ac:dyDescent="0.25">
      <c r="A2028" s="7">
        <v>2548</v>
      </c>
      <c r="B2028" s="9" t="s">
        <v>843</v>
      </c>
      <c r="C2028" s="9" t="s">
        <v>59</v>
      </c>
      <c r="D2028" s="8">
        <v>45923</v>
      </c>
      <c r="E2028" s="7" t="s">
        <v>793</v>
      </c>
      <c r="F2028" s="7">
        <v>1</v>
      </c>
      <c r="G2028" s="7" t="s">
        <v>14</v>
      </c>
      <c r="J2028" s="7">
        <f t="shared" si="177"/>
        <v>1900</v>
      </c>
      <c r="K2028" s="7">
        <f t="shared" si="178"/>
        <v>1</v>
      </c>
      <c r="L2028" s="7">
        <f t="shared" si="179"/>
        <v>45923</v>
      </c>
      <c r="M2028" s="16" t="s">
        <v>497</v>
      </c>
      <c r="N2028" s="7" t="s">
        <v>579</v>
      </c>
      <c r="O2028" s="17" t="s">
        <v>680</v>
      </c>
      <c r="P2028" s="7">
        <f t="shared" si="180"/>
        <v>9</v>
      </c>
      <c r="Q2028" s="7">
        <f t="shared" si="176"/>
        <v>2025</v>
      </c>
    </row>
    <row r="2029" spans="1:17" x14ac:dyDescent="0.25">
      <c r="A2029" s="7">
        <v>2548</v>
      </c>
      <c r="B2029" s="9" t="s">
        <v>843</v>
      </c>
      <c r="C2029" s="9" t="s">
        <v>59</v>
      </c>
      <c r="D2029" s="8">
        <v>45923</v>
      </c>
      <c r="E2029" s="7" t="s">
        <v>794</v>
      </c>
      <c r="F2029" s="7">
        <v>1</v>
      </c>
      <c r="G2029" s="7" t="s">
        <v>14</v>
      </c>
      <c r="J2029" s="7">
        <f t="shared" si="177"/>
        <v>1900</v>
      </c>
      <c r="K2029" s="7">
        <f t="shared" si="178"/>
        <v>1</v>
      </c>
      <c r="L2029" s="7">
        <f t="shared" si="179"/>
        <v>45923</v>
      </c>
      <c r="M2029" s="16" t="s">
        <v>497</v>
      </c>
      <c r="N2029" s="7" t="s">
        <v>579</v>
      </c>
      <c r="O2029" s="17" t="s">
        <v>680</v>
      </c>
      <c r="P2029" s="7">
        <f t="shared" si="180"/>
        <v>9</v>
      </c>
      <c r="Q2029" s="7">
        <f t="shared" si="176"/>
        <v>2025</v>
      </c>
    </row>
    <row r="2030" spans="1:17" x14ac:dyDescent="0.25">
      <c r="A2030" s="7">
        <v>2548</v>
      </c>
      <c r="B2030" s="9" t="s">
        <v>843</v>
      </c>
      <c r="C2030" s="9" t="s">
        <v>59</v>
      </c>
      <c r="D2030" s="8">
        <v>45923</v>
      </c>
      <c r="E2030" s="7" t="s">
        <v>795</v>
      </c>
      <c r="F2030" s="7">
        <v>1</v>
      </c>
      <c r="G2030" s="7" t="s">
        <v>14</v>
      </c>
      <c r="J2030" s="7">
        <f t="shared" si="177"/>
        <v>1900</v>
      </c>
      <c r="K2030" s="7">
        <f t="shared" si="178"/>
        <v>1</v>
      </c>
      <c r="L2030" s="7">
        <f t="shared" si="179"/>
        <v>45923</v>
      </c>
      <c r="M2030" s="16" t="s">
        <v>497</v>
      </c>
      <c r="N2030" s="7" t="s">
        <v>579</v>
      </c>
      <c r="O2030" s="17" t="s">
        <v>680</v>
      </c>
      <c r="P2030" s="7">
        <f t="shared" si="180"/>
        <v>9</v>
      </c>
      <c r="Q2030" s="7">
        <f t="shared" si="176"/>
        <v>2025</v>
      </c>
    </row>
    <row r="2031" spans="1:17" x14ac:dyDescent="0.25">
      <c r="A2031" s="7">
        <v>2548</v>
      </c>
      <c r="B2031" s="9" t="s">
        <v>843</v>
      </c>
      <c r="C2031" s="9" t="s">
        <v>59</v>
      </c>
      <c r="D2031" s="8">
        <v>45923</v>
      </c>
      <c r="E2031" s="7" t="s">
        <v>840</v>
      </c>
      <c r="F2031" s="7">
        <v>1</v>
      </c>
      <c r="G2031" s="7" t="s">
        <v>14</v>
      </c>
      <c r="J2031" s="7">
        <f t="shared" si="177"/>
        <v>1900</v>
      </c>
      <c r="K2031" s="7">
        <f t="shared" si="178"/>
        <v>1</v>
      </c>
      <c r="L2031" s="7">
        <f t="shared" si="179"/>
        <v>45923</v>
      </c>
      <c r="M2031" s="16" t="s">
        <v>497</v>
      </c>
      <c r="N2031" s="7" t="s">
        <v>579</v>
      </c>
      <c r="O2031" s="17" t="s">
        <v>680</v>
      </c>
      <c r="P2031" s="7">
        <f t="shared" si="180"/>
        <v>9</v>
      </c>
      <c r="Q2031" s="7">
        <f t="shared" si="176"/>
        <v>2025</v>
      </c>
    </row>
    <row r="2032" spans="1:17" x14ac:dyDescent="0.25">
      <c r="A2032" s="7">
        <v>2548</v>
      </c>
      <c r="B2032" s="9" t="s">
        <v>843</v>
      </c>
      <c r="C2032" s="9" t="s">
        <v>59</v>
      </c>
      <c r="D2032" s="8">
        <v>45923</v>
      </c>
      <c r="E2032" s="7" t="s">
        <v>796</v>
      </c>
      <c r="F2032" s="7">
        <v>1</v>
      </c>
      <c r="G2032" s="7" t="s">
        <v>14</v>
      </c>
      <c r="J2032" s="7">
        <f t="shared" si="177"/>
        <v>1900</v>
      </c>
      <c r="K2032" s="7">
        <f t="shared" si="178"/>
        <v>1</v>
      </c>
      <c r="L2032" s="7">
        <f t="shared" si="179"/>
        <v>45923</v>
      </c>
      <c r="M2032" s="16" t="s">
        <v>497</v>
      </c>
      <c r="N2032" s="7" t="s">
        <v>579</v>
      </c>
      <c r="O2032" s="17" t="s">
        <v>680</v>
      </c>
      <c r="P2032" s="7">
        <f t="shared" si="180"/>
        <v>9</v>
      </c>
      <c r="Q2032" s="7">
        <f t="shared" si="176"/>
        <v>2025</v>
      </c>
    </row>
    <row r="2033" spans="1:17" x14ac:dyDescent="0.25">
      <c r="A2033" s="7">
        <v>2548</v>
      </c>
      <c r="B2033" s="9" t="s">
        <v>843</v>
      </c>
      <c r="C2033" s="9" t="s">
        <v>59</v>
      </c>
      <c r="D2033" s="8">
        <v>45923</v>
      </c>
      <c r="E2033" s="7" t="s">
        <v>797</v>
      </c>
      <c r="F2033" s="7">
        <v>1</v>
      </c>
      <c r="G2033" s="7" t="s">
        <v>14</v>
      </c>
      <c r="J2033" s="7">
        <f t="shared" si="177"/>
        <v>1900</v>
      </c>
      <c r="K2033" s="7">
        <f t="shared" si="178"/>
        <v>1</v>
      </c>
      <c r="L2033" s="7">
        <f t="shared" si="179"/>
        <v>45923</v>
      </c>
      <c r="M2033" s="16" t="s">
        <v>497</v>
      </c>
      <c r="N2033" s="7" t="s">
        <v>579</v>
      </c>
      <c r="O2033" s="17" t="s">
        <v>680</v>
      </c>
      <c r="P2033" s="7">
        <f t="shared" si="180"/>
        <v>9</v>
      </c>
      <c r="Q2033" s="7">
        <f t="shared" si="176"/>
        <v>2025</v>
      </c>
    </row>
    <row r="2034" spans="1:17" x14ac:dyDescent="0.25">
      <c r="A2034" s="7">
        <v>2548</v>
      </c>
      <c r="B2034" s="9" t="s">
        <v>843</v>
      </c>
      <c r="C2034" s="9" t="s">
        <v>59</v>
      </c>
      <c r="D2034" s="8">
        <v>45923</v>
      </c>
      <c r="E2034" s="7" t="s">
        <v>798</v>
      </c>
      <c r="F2034" s="7">
        <v>1</v>
      </c>
      <c r="G2034" s="7" t="s">
        <v>14</v>
      </c>
      <c r="J2034" s="7">
        <f t="shared" si="177"/>
        <v>1900</v>
      </c>
      <c r="K2034" s="7">
        <f t="shared" si="178"/>
        <v>1</v>
      </c>
      <c r="L2034" s="7">
        <f t="shared" si="179"/>
        <v>45923</v>
      </c>
      <c r="M2034" s="16" t="s">
        <v>497</v>
      </c>
      <c r="N2034" s="7" t="s">
        <v>579</v>
      </c>
      <c r="O2034" s="17" t="s">
        <v>680</v>
      </c>
      <c r="P2034" s="7">
        <f t="shared" si="180"/>
        <v>9</v>
      </c>
      <c r="Q2034" s="7">
        <f t="shared" si="176"/>
        <v>2025</v>
      </c>
    </row>
    <row r="2035" spans="1:17" x14ac:dyDescent="0.25">
      <c r="A2035" s="7">
        <v>2548</v>
      </c>
      <c r="B2035" s="9" t="s">
        <v>843</v>
      </c>
      <c r="C2035" s="9" t="s">
        <v>59</v>
      </c>
      <c r="D2035" s="8">
        <v>45923</v>
      </c>
      <c r="E2035" s="7" t="s">
        <v>799</v>
      </c>
      <c r="F2035" s="7">
        <v>1</v>
      </c>
      <c r="G2035" s="7" t="s">
        <v>14</v>
      </c>
      <c r="J2035" s="7">
        <f t="shared" si="177"/>
        <v>1900</v>
      </c>
      <c r="K2035" s="7">
        <f t="shared" si="178"/>
        <v>1</v>
      </c>
      <c r="L2035" s="7">
        <f t="shared" si="179"/>
        <v>45923</v>
      </c>
      <c r="M2035" s="16" t="s">
        <v>497</v>
      </c>
      <c r="N2035" s="7" t="s">
        <v>579</v>
      </c>
      <c r="O2035" s="17" t="s">
        <v>680</v>
      </c>
      <c r="P2035" s="7">
        <f t="shared" si="180"/>
        <v>9</v>
      </c>
      <c r="Q2035" s="7">
        <f t="shared" si="176"/>
        <v>2025</v>
      </c>
    </row>
    <row r="2036" spans="1:17" x14ac:dyDescent="0.25">
      <c r="A2036" s="7">
        <v>2548</v>
      </c>
      <c r="B2036" s="9" t="s">
        <v>843</v>
      </c>
      <c r="C2036" s="9" t="s">
        <v>59</v>
      </c>
      <c r="D2036" s="8">
        <v>45923</v>
      </c>
      <c r="E2036" s="7" t="s">
        <v>800</v>
      </c>
      <c r="F2036" s="7">
        <v>1</v>
      </c>
      <c r="G2036" s="7" t="s">
        <v>14</v>
      </c>
      <c r="J2036" s="7">
        <f t="shared" si="177"/>
        <v>1900</v>
      </c>
      <c r="K2036" s="7">
        <f t="shared" si="178"/>
        <v>1</v>
      </c>
      <c r="L2036" s="7">
        <f t="shared" si="179"/>
        <v>45923</v>
      </c>
      <c r="M2036" s="16" t="s">
        <v>497</v>
      </c>
      <c r="N2036" s="7" t="s">
        <v>579</v>
      </c>
      <c r="O2036" s="17" t="s">
        <v>680</v>
      </c>
      <c r="P2036" s="7">
        <f t="shared" si="180"/>
        <v>9</v>
      </c>
      <c r="Q2036" s="7">
        <f t="shared" si="176"/>
        <v>2025</v>
      </c>
    </row>
    <row r="2037" spans="1:17" x14ac:dyDescent="0.25">
      <c r="A2037" s="7">
        <v>2548</v>
      </c>
      <c r="B2037" s="9" t="s">
        <v>843</v>
      </c>
      <c r="C2037" s="9" t="s">
        <v>59</v>
      </c>
      <c r="D2037" s="8">
        <v>45923</v>
      </c>
      <c r="E2037" s="7" t="s">
        <v>801</v>
      </c>
      <c r="F2037" s="7">
        <v>1</v>
      </c>
      <c r="G2037" s="7" t="s">
        <v>14</v>
      </c>
      <c r="J2037" s="7">
        <f t="shared" si="177"/>
        <v>1900</v>
      </c>
      <c r="K2037" s="7">
        <f t="shared" si="178"/>
        <v>1</v>
      </c>
      <c r="L2037" s="7">
        <f t="shared" si="179"/>
        <v>45923</v>
      </c>
      <c r="M2037" s="16" t="s">
        <v>497</v>
      </c>
      <c r="N2037" s="7" t="s">
        <v>579</v>
      </c>
      <c r="O2037" s="17" t="s">
        <v>680</v>
      </c>
      <c r="P2037" s="7">
        <f t="shared" si="180"/>
        <v>9</v>
      </c>
      <c r="Q2037" s="7">
        <f t="shared" ref="Q2037:Q2100" si="181">YEAR(D2037)</f>
        <v>2025</v>
      </c>
    </row>
    <row r="2038" spans="1:17" x14ac:dyDescent="0.25">
      <c r="A2038" s="7">
        <v>2548</v>
      </c>
      <c r="B2038" s="9" t="s">
        <v>843</v>
      </c>
      <c r="C2038" s="9" t="s">
        <v>59</v>
      </c>
      <c r="D2038" s="8">
        <v>45923</v>
      </c>
      <c r="E2038" s="7" t="s">
        <v>802</v>
      </c>
      <c r="F2038" s="7">
        <v>1</v>
      </c>
      <c r="G2038" s="7" t="s">
        <v>14</v>
      </c>
      <c r="J2038" s="7">
        <f t="shared" si="177"/>
        <v>1900</v>
      </c>
      <c r="K2038" s="7">
        <f t="shared" si="178"/>
        <v>1</v>
      </c>
      <c r="L2038" s="7">
        <f t="shared" si="179"/>
        <v>45923</v>
      </c>
      <c r="M2038" s="16" t="s">
        <v>497</v>
      </c>
      <c r="N2038" s="7" t="s">
        <v>579</v>
      </c>
      <c r="O2038" s="17" t="s">
        <v>680</v>
      </c>
      <c r="P2038" s="7">
        <f t="shared" si="180"/>
        <v>9</v>
      </c>
      <c r="Q2038" s="7">
        <f t="shared" si="181"/>
        <v>2025</v>
      </c>
    </row>
    <row r="2039" spans="1:17" x14ac:dyDescent="0.25">
      <c r="A2039" s="7">
        <v>2548</v>
      </c>
      <c r="B2039" s="9" t="s">
        <v>843</v>
      </c>
      <c r="C2039" s="9" t="s">
        <v>59</v>
      </c>
      <c r="D2039" s="8">
        <v>45923</v>
      </c>
      <c r="E2039" s="7" t="s">
        <v>803</v>
      </c>
      <c r="F2039" s="7">
        <v>1</v>
      </c>
      <c r="G2039" s="7" t="s">
        <v>14</v>
      </c>
      <c r="J2039" s="7">
        <f t="shared" si="177"/>
        <v>1900</v>
      </c>
      <c r="K2039" s="7">
        <f t="shared" si="178"/>
        <v>1</v>
      </c>
      <c r="L2039" s="7">
        <f t="shared" si="179"/>
        <v>45923</v>
      </c>
      <c r="M2039" s="16" t="s">
        <v>497</v>
      </c>
      <c r="N2039" s="7" t="s">
        <v>579</v>
      </c>
      <c r="O2039" s="17" t="s">
        <v>680</v>
      </c>
      <c r="P2039" s="7">
        <f t="shared" si="180"/>
        <v>9</v>
      </c>
      <c r="Q2039" s="7">
        <f t="shared" si="181"/>
        <v>2025</v>
      </c>
    </row>
    <row r="2040" spans="1:17" x14ac:dyDescent="0.25">
      <c r="A2040" s="7">
        <v>2548</v>
      </c>
      <c r="B2040" s="9" t="s">
        <v>843</v>
      </c>
      <c r="C2040" s="9" t="s">
        <v>59</v>
      </c>
      <c r="D2040" s="8">
        <v>45923</v>
      </c>
      <c r="E2040" s="7" t="s">
        <v>804</v>
      </c>
      <c r="F2040" s="7">
        <v>1</v>
      </c>
      <c r="G2040" s="7" t="s">
        <v>14</v>
      </c>
      <c r="J2040" s="7">
        <f t="shared" si="177"/>
        <v>1900</v>
      </c>
      <c r="K2040" s="7">
        <f t="shared" si="178"/>
        <v>1</v>
      </c>
      <c r="L2040" s="7">
        <f t="shared" si="179"/>
        <v>45923</v>
      </c>
      <c r="M2040" s="16" t="s">
        <v>497</v>
      </c>
      <c r="N2040" s="7" t="s">
        <v>579</v>
      </c>
      <c r="O2040" s="17" t="s">
        <v>680</v>
      </c>
      <c r="P2040" s="7">
        <f t="shared" si="180"/>
        <v>9</v>
      </c>
      <c r="Q2040" s="7">
        <f t="shared" si="181"/>
        <v>2025</v>
      </c>
    </row>
    <row r="2041" spans="1:17" x14ac:dyDescent="0.25">
      <c r="A2041" s="7">
        <v>2548</v>
      </c>
      <c r="B2041" s="9" t="s">
        <v>843</v>
      </c>
      <c r="C2041" s="9" t="s">
        <v>59</v>
      </c>
      <c r="D2041" s="8">
        <v>45923</v>
      </c>
      <c r="E2041" s="7" t="s">
        <v>805</v>
      </c>
      <c r="F2041" s="7">
        <v>1</v>
      </c>
      <c r="G2041" s="7" t="s">
        <v>14</v>
      </c>
      <c r="J2041" s="7">
        <f t="shared" si="177"/>
        <v>1900</v>
      </c>
      <c r="K2041" s="7">
        <f t="shared" si="178"/>
        <v>1</v>
      </c>
      <c r="L2041" s="7">
        <f t="shared" si="179"/>
        <v>45923</v>
      </c>
      <c r="M2041" s="16" t="s">
        <v>497</v>
      </c>
      <c r="N2041" s="7" t="s">
        <v>579</v>
      </c>
      <c r="O2041" s="17" t="s">
        <v>680</v>
      </c>
      <c r="P2041" s="7">
        <f t="shared" si="180"/>
        <v>9</v>
      </c>
      <c r="Q2041" s="7">
        <f t="shared" si="181"/>
        <v>2025</v>
      </c>
    </row>
    <row r="2042" spans="1:17" x14ac:dyDescent="0.25">
      <c r="A2042" s="7">
        <v>2548</v>
      </c>
      <c r="B2042" s="9" t="s">
        <v>843</v>
      </c>
      <c r="C2042" s="9" t="s">
        <v>59</v>
      </c>
      <c r="D2042" s="8">
        <v>45923</v>
      </c>
      <c r="E2042" s="7" t="s">
        <v>806</v>
      </c>
      <c r="F2042" s="7">
        <v>1</v>
      </c>
      <c r="G2042" s="7" t="s">
        <v>14</v>
      </c>
      <c r="J2042" s="7">
        <f t="shared" si="177"/>
        <v>1900</v>
      </c>
      <c r="K2042" s="7">
        <f t="shared" si="178"/>
        <v>1</v>
      </c>
      <c r="L2042" s="7">
        <f t="shared" si="179"/>
        <v>45923</v>
      </c>
      <c r="M2042" s="16" t="s">
        <v>497</v>
      </c>
      <c r="N2042" s="7" t="s">
        <v>579</v>
      </c>
      <c r="O2042" s="17" t="s">
        <v>680</v>
      </c>
      <c r="P2042" s="7">
        <f t="shared" si="180"/>
        <v>9</v>
      </c>
      <c r="Q2042" s="7">
        <f t="shared" si="181"/>
        <v>2025</v>
      </c>
    </row>
    <row r="2043" spans="1:17" x14ac:dyDescent="0.25">
      <c r="A2043" s="7">
        <v>2548</v>
      </c>
      <c r="B2043" s="9" t="s">
        <v>843</v>
      </c>
      <c r="C2043" s="9" t="s">
        <v>59</v>
      </c>
      <c r="D2043" s="8">
        <v>45923</v>
      </c>
      <c r="E2043" s="7" t="s">
        <v>807</v>
      </c>
      <c r="F2043" s="7">
        <v>1</v>
      </c>
      <c r="G2043" s="7" t="s">
        <v>14</v>
      </c>
      <c r="J2043" s="7">
        <f t="shared" si="177"/>
        <v>1900</v>
      </c>
      <c r="K2043" s="7">
        <f t="shared" si="178"/>
        <v>1</v>
      </c>
      <c r="L2043" s="7">
        <f t="shared" si="179"/>
        <v>45923</v>
      </c>
      <c r="M2043" s="16" t="s">
        <v>497</v>
      </c>
      <c r="N2043" s="7" t="s">
        <v>579</v>
      </c>
      <c r="O2043" s="17" t="s">
        <v>680</v>
      </c>
      <c r="P2043" s="7">
        <f t="shared" si="180"/>
        <v>9</v>
      </c>
      <c r="Q2043" s="7">
        <f t="shared" si="181"/>
        <v>2025</v>
      </c>
    </row>
    <row r="2044" spans="1:17" x14ac:dyDescent="0.25">
      <c r="A2044" s="7">
        <v>2548</v>
      </c>
      <c r="B2044" s="9" t="s">
        <v>843</v>
      </c>
      <c r="C2044" s="9" t="s">
        <v>59</v>
      </c>
      <c r="D2044" s="8">
        <v>45923</v>
      </c>
      <c r="E2044" s="7" t="s">
        <v>808</v>
      </c>
      <c r="F2044" s="7">
        <v>1</v>
      </c>
      <c r="G2044" s="7" t="s">
        <v>14</v>
      </c>
      <c r="J2044" s="7">
        <f t="shared" si="177"/>
        <v>1900</v>
      </c>
      <c r="K2044" s="7">
        <f t="shared" si="178"/>
        <v>1</v>
      </c>
      <c r="L2044" s="7">
        <f t="shared" si="179"/>
        <v>45923</v>
      </c>
      <c r="M2044" s="16" t="s">
        <v>497</v>
      </c>
      <c r="N2044" s="7" t="s">
        <v>579</v>
      </c>
      <c r="O2044" s="17" t="s">
        <v>680</v>
      </c>
      <c r="P2044" s="7">
        <f t="shared" si="180"/>
        <v>9</v>
      </c>
      <c r="Q2044" s="7">
        <f t="shared" si="181"/>
        <v>2025</v>
      </c>
    </row>
    <row r="2045" spans="1:17" x14ac:dyDescent="0.25">
      <c r="A2045" s="7">
        <v>2548</v>
      </c>
      <c r="B2045" s="9" t="s">
        <v>843</v>
      </c>
      <c r="C2045" s="9" t="s">
        <v>59</v>
      </c>
      <c r="D2045" s="8">
        <v>45923</v>
      </c>
      <c r="E2045" s="7" t="s">
        <v>809</v>
      </c>
      <c r="F2045" s="7">
        <v>1</v>
      </c>
      <c r="G2045" s="7" t="s">
        <v>14</v>
      </c>
      <c r="J2045" s="7">
        <f t="shared" si="177"/>
        <v>1900</v>
      </c>
      <c r="K2045" s="7">
        <f t="shared" si="178"/>
        <v>1</v>
      </c>
      <c r="L2045" s="7">
        <f t="shared" si="179"/>
        <v>45923</v>
      </c>
      <c r="M2045" s="16" t="s">
        <v>497</v>
      </c>
      <c r="N2045" s="7" t="s">
        <v>579</v>
      </c>
      <c r="O2045" s="17" t="s">
        <v>680</v>
      </c>
      <c r="P2045" s="7">
        <f t="shared" si="180"/>
        <v>9</v>
      </c>
      <c r="Q2045" s="7">
        <f t="shared" si="181"/>
        <v>2025</v>
      </c>
    </row>
    <row r="2046" spans="1:17" x14ac:dyDescent="0.25">
      <c r="A2046" s="7">
        <v>2548</v>
      </c>
      <c r="B2046" s="9" t="s">
        <v>843</v>
      </c>
      <c r="C2046" s="9" t="s">
        <v>59</v>
      </c>
      <c r="D2046" s="8">
        <v>45923</v>
      </c>
      <c r="E2046" s="7" t="s">
        <v>810</v>
      </c>
      <c r="F2046" s="7">
        <v>1</v>
      </c>
      <c r="G2046" s="7" t="s">
        <v>14</v>
      </c>
      <c r="J2046" s="7">
        <f t="shared" si="177"/>
        <v>1900</v>
      </c>
      <c r="K2046" s="7">
        <f t="shared" si="178"/>
        <v>1</v>
      </c>
      <c r="L2046" s="7">
        <f t="shared" si="179"/>
        <v>45923</v>
      </c>
      <c r="M2046" s="16" t="s">
        <v>497</v>
      </c>
      <c r="N2046" s="7" t="s">
        <v>579</v>
      </c>
      <c r="O2046" s="17" t="s">
        <v>680</v>
      </c>
      <c r="P2046" s="7">
        <f t="shared" si="180"/>
        <v>9</v>
      </c>
      <c r="Q2046" s="7">
        <f t="shared" si="181"/>
        <v>2025</v>
      </c>
    </row>
    <row r="2047" spans="1:17" x14ac:dyDescent="0.25">
      <c r="A2047" s="7">
        <v>2548</v>
      </c>
      <c r="B2047" s="9" t="s">
        <v>843</v>
      </c>
      <c r="C2047" s="9" t="s">
        <v>59</v>
      </c>
      <c r="D2047" s="8">
        <v>45923</v>
      </c>
      <c r="E2047" s="7" t="s">
        <v>811</v>
      </c>
      <c r="F2047" s="7">
        <v>1</v>
      </c>
      <c r="G2047" s="7" t="s">
        <v>14</v>
      </c>
      <c r="J2047" s="7">
        <f t="shared" si="177"/>
        <v>1900</v>
      </c>
      <c r="K2047" s="7">
        <f t="shared" si="178"/>
        <v>1</v>
      </c>
      <c r="L2047" s="7">
        <f t="shared" si="179"/>
        <v>45923</v>
      </c>
      <c r="M2047" s="16" t="s">
        <v>497</v>
      </c>
      <c r="N2047" s="7" t="s">
        <v>579</v>
      </c>
      <c r="O2047" s="17" t="s">
        <v>680</v>
      </c>
      <c r="P2047" s="7">
        <f t="shared" si="180"/>
        <v>9</v>
      </c>
      <c r="Q2047" s="7">
        <f t="shared" si="181"/>
        <v>2025</v>
      </c>
    </row>
    <row r="2048" spans="1:17" x14ac:dyDescent="0.25">
      <c r="A2048" s="7">
        <v>2548</v>
      </c>
      <c r="B2048" s="9" t="s">
        <v>843</v>
      </c>
      <c r="C2048" s="9" t="s">
        <v>59</v>
      </c>
      <c r="D2048" s="8">
        <v>45923</v>
      </c>
      <c r="E2048" s="7" t="s">
        <v>812</v>
      </c>
      <c r="F2048" s="7">
        <v>1</v>
      </c>
      <c r="G2048" s="7" t="s">
        <v>14</v>
      </c>
      <c r="J2048" s="7">
        <f t="shared" si="177"/>
        <v>1900</v>
      </c>
      <c r="K2048" s="7">
        <f t="shared" si="178"/>
        <v>1</v>
      </c>
      <c r="L2048" s="7">
        <f t="shared" si="179"/>
        <v>45923</v>
      </c>
      <c r="M2048" s="16" t="s">
        <v>497</v>
      </c>
      <c r="N2048" s="7" t="s">
        <v>579</v>
      </c>
      <c r="O2048" s="17" t="s">
        <v>680</v>
      </c>
      <c r="P2048" s="7">
        <f t="shared" si="180"/>
        <v>9</v>
      </c>
      <c r="Q2048" s="7">
        <f t="shared" si="181"/>
        <v>2025</v>
      </c>
    </row>
    <row r="2049" spans="1:17" x14ac:dyDescent="0.25">
      <c r="A2049" s="7">
        <v>2548</v>
      </c>
      <c r="B2049" s="9" t="s">
        <v>843</v>
      </c>
      <c r="C2049" s="9" t="s">
        <v>59</v>
      </c>
      <c r="D2049" s="8">
        <v>45923</v>
      </c>
      <c r="E2049" s="7" t="s">
        <v>813</v>
      </c>
      <c r="F2049" s="7">
        <v>1</v>
      </c>
      <c r="G2049" s="7" t="s">
        <v>14</v>
      </c>
      <c r="J2049" s="7">
        <f t="shared" si="177"/>
        <v>1900</v>
      </c>
      <c r="K2049" s="7">
        <f t="shared" si="178"/>
        <v>1</v>
      </c>
      <c r="L2049" s="7">
        <f t="shared" si="179"/>
        <v>45923</v>
      </c>
      <c r="M2049" s="16" t="s">
        <v>497</v>
      </c>
      <c r="N2049" s="7" t="s">
        <v>579</v>
      </c>
      <c r="O2049" s="17" t="s">
        <v>680</v>
      </c>
      <c r="P2049" s="7">
        <f t="shared" si="180"/>
        <v>9</v>
      </c>
      <c r="Q2049" s="7">
        <f t="shared" si="181"/>
        <v>2025</v>
      </c>
    </row>
    <row r="2050" spans="1:17" x14ac:dyDescent="0.25">
      <c r="A2050" s="7">
        <v>2548</v>
      </c>
      <c r="B2050" s="9" t="s">
        <v>843</v>
      </c>
      <c r="C2050" s="9" t="s">
        <v>59</v>
      </c>
      <c r="D2050" s="8">
        <v>45923</v>
      </c>
      <c r="E2050" s="7" t="s">
        <v>814</v>
      </c>
      <c r="F2050" s="7">
        <v>1</v>
      </c>
      <c r="G2050" s="7" t="s">
        <v>14</v>
      </c>
      <c r="J2050" s="7">
        <f t="shared" si="177"/>
        <v>1900</v>
      </c>
      <c r="K2050" s="7">
        <f t="shared" si="178"/>
        <v>1</v>
      </c>
      <c r="L2050" s="7">
        <f t="shared" si="179"/>
        <v>45923</v>
      </c>
      <c r="M2050" s="16" t="s">
        <v>497</v>
      </c>
      <c r="N2050" s="7" t="s">
        <v>579</v>
      </c>
      <c r="O2050" s="17" t="s">
        <v>680</v>
      </c>
      <c r="P2050" s="7">
        <f t="shared" si="180"/>
        <v>9</v>
      </c>
      <c r="Q2050" s="7">
        <f t="shared" si="181"/>
        <v>2025</v>
      </c>
    </row>
    <row r="2051" spans="1:17" x14ac:dyDescent="0.25">
      <c r="A2051" s="7">
        <v>2548</v>
      </c>
      <c r="B2051" s="9" t="s">
        <v>843</v>
      </c>
      <c r="C2051" s="9" t="s">
        <v>59</v>
      </c>
      <c r="D2051" s="8">
        <v>45923</v>
      </c>
      <c r="E2051" s="7" t="s">
        <v>815</v>
      </c>
      <c r="F2051" s="7">
        <v>1</v>
      </c>
      <c r="G2051" s="7" t="s">
        <v>14</v>
      </c>
      <c r="J2051" s="7">
        <f t="shared" si="177"/>
        <v>1900</v>
      </c>
      <c r="K2051" s="7">
        <f t="shared" si="178"/>
        <v>1</v>
      </c>
      <c r="L2051" s="7">
        <f t="shared" si="179"/>
        <v>45923</v>
      </c>
      <c r="M2051" s="16" t="s">
        <v>497</v>
      </c>
      <c r="N2051" s="7" t="s">
        <v>579</v>
      </c>
      <c r="O2051" s="17" t="s">
        <v>680</v>
      </c>
      <c r="P2051" s="7">
        <f t="shared" si="180"/>
        <v>9</v>
      </c>
      <c r="Q2051" s="7">
        <f t="shared" si="181"/>
        <v>2025</v>
      </c>
    </row>
    <row r="2052" spans="1:17" x14ac:dyDescent="0.25">
      <c r="A2052" s="7">
        <v>2548</v>
      </c>
      <c r="B2052" s="9" t="s">
        <v>843</v>
      </c>
      <c r="C2052" s="9" t="s">
        <v>59</v>
      </c>
      <c r="D2052" s="8">
        <v>45923</v>
      </c>
      <c r="E2052" s="7" t="s">
        <v>816</v>
      </c>
      <c r="F2052" s="7">
        <v>1</v>
      </c>
      <c r="G2052" s="7" t="s">
        <v>14</v>
      </c>
      <c r="J2052" s="7">
        <f t="shared" si="177"/>
        <v>1900</v>
      </c>
      <c r="K2052" s="7">
        <f t="shared" si="178"/>
        <v>1</v>
      </c>
      <c r="L2052" s="7">
        <f t="shared" si="179"/>
        <v>45923</v>
      </c>
      <c r="M2052" s="16" t="s">
        <v>497</v>
      </c>
      <c r="N2052" s="7" t="s">
        <v>579</v>
      </c>
      <c r="O2052" s="17" t="s">
        <v>680</v>
      </c>
      <c r="P2052" s="7">
        <f t="shared" si="180"/>
        <v>9</v>
      </c>
      <c r="Q2052" s="7">
        <f t="shared" si="181"/>
        <v>2025</v>
      </c>
    </row>
    <row r="2053" spans="1:17" x14ac:dyDescent="0.25">
      <c r="A2053" s="7">
        <v>2548</v>
      </c>
      <c r="B2053" s="9" t="s">
        <v>843</v>
      </c>
      <c r="C2053" s="9" t="s">
        <v>59</v>
      </c>
      <c r="D2053" s="8">
        <v>45923</v>
      </c>
      <c r="E2053" s="7" t="s">
        <v>839</v>
      </c>
      <c r="F2053" s="7">
        <v>1</v>
      </c>
      <c r="G2053" s="7" t="s">
        <v>14</v>
      </c>
      <c r="J2053" s="7">
        <f t="shared" si="177"/>
        <v>1900</v>
      </c>
      <c r="K2053" s="7">
        <f t="shared" si="178"/>
        <v>1</v>
      </c>
      <c r="L2053" s="7">
        <f t="shared" si="179"/>
        <v>45923</v>
      </c>
      <c r="M2053" s="16" t="s">
        <v>497</v>
      </c>
      <c r="N2053" s="7" t="s">
        <v>579</v>
      </c>
      <c r="O2053" s="17" t="s">
        <v>680</v>
      </c>
      <c r="P2053" s="7">
        <f t="shared" si="180"/>
        <v>9</v>
      </c>
      <c r="Q2053" s="7">
        <f t="shared" si="181"/>
        <v>2025</v>
      </c>
    </row>
    <row r="2054" spans="1:17" x14ac:dyDescent="0.25">
      <c r="A2054" s="7">
        <v>2548</v>
      </c>
      <c r="B2054" s="9" t="s">
        <v>843</v>
      </c>
      <c r="C2054" s="9" t="s">
        <v>59</v>
      </c>
      <c r="D2054" s="8">
        <v>45923</v>
      </c>
      <c r="E2054" s="7" t="s">
        <v>836</v>
      </c>
      <c r="F2054" s="7">
        <v>1</v>
      </c>
      <c r="G2054" s="7" t="s">
        <v>14</v>
      </c>
      <c r="J2054" s="7">
        <f t="shared" si="177"/>
        <v>1900</v>
      </c>
      <c r="K2054" s="7">
        <f t="shared" si="178"/>
        <v>1</v>
      </c>
      <c r="L2054" s="7">
        <f t="shared" si="179"/>
        <v>45923</v>
      </c>
      <c r="M2054" s="16" t="s">
        <v>497</v>
      </c>
      <c r="N2054" s="7" t="s">
        <v>579</v>
      </c>
      <c r="O2054" s="17" t="s">
        <v>680</v>
      </c>
      <c r="P2054" s="7">
        <f t="shared" si="180"/>
        <v>9</v>
      </c>
      <c r="Q2054" s="7">
        <f t="shared" si="181"/>
        <v>2025</v>
      </c>
    </row>
    <row r="2055" spans="1:17" x14ac:dyDescent="0.25">
      <c r="A2055" s="7">
        <v>2548</v>
      </c>
      <c r="B2055" s="9" t="s">
        <v>843</v>
      </c>
      <c r="C2055" s="9" t="s">
        <v>59</v>
      </c>
      <c r="D2055" s="8">
        <v>45923</v>
      </c>
      <c r="E2055" s="7" t="s">
        <v>817</v>
      </c>
      <c r="F2055" s="7">
        <v>1</v>
      </c>
      <c r="G2055" s="7" t="s">
        <v>14</v>
      </c>
      <c r="J2055" s="7">
        <f t="shared" si="177"/>
        <v>1900</v>
      </c>
      <c r="K2055" s="7">
        <f t="shared" si="178"/>
        <v>1</v>
      </c>
      <c r="L2055" s="7">
        <f t="shared" si="179"/>
        <v>45923</v>
      </c>
      <c r="M2055" s="16" t="s">
        <v>497</v>
      </c>
      <c r="N2055" s="7" t="s">
        <v>579</v>
      </c>
      <c r="O2055" s="17" t="s">
        <v>680</v>
      </c>
      <c r="P2055" s="7">
        <f t="shared" si="180"/>
        <v>9</v>
      </c>
      <c r="Q2055" s="7">
        <f t="shared" si="181"/>
        <v>2025</v>
      </c>
    </row>
    <row r="2056" spans="1:17" x14ac:dyDescent="0.25">
      <c r="A2056" s="7">
        <v>2548</v>
      </c>
      <c r="B2056" s="9" t="s">
        <v>843</v>
      </c>
      <c r="C2056" s="9" t="s">
        <v>59</v>
      </c>
      <c r="D2056" s="8">
        <v>45923</v>
      </c>
      <c r="E2056" s="7" t="s">
        <v>818</v>
      </c>
      <c r="F2056" s="7">
        <v>1</v>
      </c>
      <c r="G2056" s="7" t="s">
        <v>14</v>
      </c>
      <c r="J2056" s="7">
        <f t="shared" si="177"/>
        <v>1900</v>
      </c>
      <c r="K2056" s="7">
        <f t="shared" si="178"/>
        <v>1</v>
      </c>
      <c r="L2056" s="7">
        <f t="shared" si="179"/>
        <v>45923</v>
      </c>
      <c r="M2056" s="16" t="s">
        <v>497</v>
      </c>
      <c r="N2056" s="7" t="s">
        <v>579</v>
      </c>
      <c r="O2056" s="17" t="s">
        <v>680</v>
      </c>
      <c r="P2056" s="7">
        <f t="shared" si="180"/>
        <v>9</v>
      </c>
      <c r="Q2056" s="7">
        <f t="shared" si="181"/>
        <v>2025</v>
      </c>
    </row>
    <row r="2057" spans="1:17" x14ac:dyDescent="0.25">
      <c r="A2057" s="7">
        <v>2548</v>
      </c>
      <c r="B2057" s="9" t="s">
        <v>843</v>
      </c>
      <c r="C2057" s="9" t="s">
        <v>59</v>
      </c>
      <c r="D2057" s="8">
        <v>45923</v>
      </c>
      <c r="E2057" s="7" t="s">
        <v>819</v>
      </c>
      <c r="F2057" s="7">
        <v>1</v>
      </c>
      <c r="G2057" s="7" t="s">
        <v>14</v>
      </c>
      <c r="J2057" s="7">
        <f t="shared" si="177"/>
        <v>1900</v>
      </c>
      <c r="K2057" s="7">
        <f t="shared" si="178"/>
        <v>1</v>
      </c>
      <c r="L2057" s="7">
        <f t="shared" si="179"/>
        <v>45923</v>
      </c>
      <c r="M2057" s="16" t="s">
        <v>497</v>
      </c>
      <c r="N2057" s="7" t="s">
        <v>579</v>
      </c>
      <c r="O2057" s="17" t="s">
        <v>680</v>
      </c>
      <c r="P2057" s="7">
        <f t="shared" si="180"/>
        <v>9</v>
      </c>
      <c r="Q2057" s="7">
        <f t="shared" si="181"/>
        <v>2025</v>
      </c>
    </row>
    <row r="2058" spans="1:17" x14ac:dyDescent="0.25">
      <c r="A2058" s="7">
        <v>2548</v>
      </c>
      <c r="B2058" s="9" t="s">
        <v>843</v>
      </c>
      <c r="C2058" s="9" t="s">
        <v>59</v>
      </c>
      <c r="D2058" s="8">
        <v>45923</v>
      </c>
      <c r="E2058" s="7" t="s">
        <v>820</v>
      </c>
      <c r="F2058" s="7">
        <v>1</v>
      </c>
      <c r="G2058" s="7" t="s">
        <v>14</v>
      </c>
      <c r="J2058" s="7">
        <f t="shared" si="177"/>
        <v>1900</v>
      </c>
      <c r="K2058" s="7">
        <f t="shared" si="178"/>
        <v>1</v>
      </c>
      <c r="L2058" s="7">
        <f t="shared" si="179"/>
        <v>45923</v>
      </c>
      <c r="M2058" s="16" t="s">
        <v>497</v>
      </c>
      <c r="N2058" s="7" t="s">
        <v>579</v>
      </c>
      <c r="O2058" s="17" t="s">
        <v>680</v>
      </c>
      <c r="P2058" s="7">
        <f t="shared" si="180"/>
        <v>9</v>
      </c>
      <c r="Q2058" s="7">
        <f t="shared" si="181"/>
        <v>2025</v>
      </c>
    </row>
    <row r="2059" spans="1:17" x14ac:dyDescent="0.25">
      <c r="A2059" s="7">
        <v>2548</v>
      </c>
      <c r="B2059" s="9" t="s">
        <v>843</v>
      </c>
      <c r="C2059" s="9" t="s">
        <v>59</v>
      </c>
      <c r="D2059" s="8">
        <v>45923</v>
      </c>
      <c r="E2059" s="7" t="s">
        <v>821</v>
      </c>
      <c r="F2059" s="7">
        <v>1</v>
      </c>
      <c r="G2059" s="7" t="s">
        <v>14</v>
      </c>
      <c r="J2059" s="7">
        <f t="shared" si="177"/>
        <v>1900</v>
      </c>
      <c r="K2059" s="7">
        <f t="shared" si="178"/>
        <v>1</v>
      </c>
      <c r="L2059" s="7">
        <f t="shared" si="179"/>
        <v>45923</v>
      </c>
      <c r="M2059" s="16" t="s">
        <v>497</v>
      </c>
      <c r="N2059" s="7" t="s">
        <v>579</v>
      </c>
      <c r="O2059" s="17" t="s">
        <v>680</v>
      </c>
      <c r="P2059" s="7">
        <f t="shared" si="180"/>
        <v>9</v>
      </c>
      <c r="Q2059" s="7">
        <f t="shared" si="181"/>
        <v>2025</v>
      </c>
    </row>
    <row r="2060" spans="1:17" x14ac:dyDescent="0.25">
      <c r="A2060" s="7">
        <v>2548</v>
      </c>
      <c r="B2060" s="9" t="s">
        <v>843</v>
      </c>
      <c r="C2060" s="9" t="s">
        <v>59</v>
      </c>
      <c r="D2060" s="8">
        <v>45923</v>
      </c>
      <c r="E2060" s="7" t="s">
        <v>834</v>
      </c>
      <c r="F2060" s="7">
        <v>1</v>
      </c>
      <c r="G2060" s="7" t="s">
        <v>14</v>
      </c>
      <c r="J2060" s="7">
        <f t="shared" si="177"/>
        <v>1900</v>
      </c>
      <c r="K2060" s="7">
        <f t="shared" si="178"/>
        <v>1</v>
      </c>
      <c r="L2060" s="7">
        <f t="shared" si="179"/>
        <v>45923</v>
      </c>
      <c r="M2060" s="16" t="s">
        <v>497</v>
      </c>
      <c r="N2060" s="7" t="s">
        <v>579</v>
      </c>
      <c r="O2060" s="17" t="s">
        <v>680</v>
      </c>
      <c r="P2060" s="7">
        <f t="shared" si="180"/>
        <v>9</v>
      </c>
      <c r="Q2060" s="7">
        <f t="shared" si="181"/>
        <v>2025</v>
      </c>
    </row>
    <row r="2061" spans="1:17" x14ac:dyDescent="0.25">
      <c r="A2061" s="7">
        <v>2548</v>
      </c>
      <c r="B2061" s="9" t="s">
        <v>843</v>
      </c>
      <c r="C2061" s="9" t="s">
        <v>59</v>
      </c>
      <c r="D2061" s="8">
        <v>45923</v>
      </c>
      <c r="E2061" s="7" t="s">
        <v>835</v>
      </c>
      <c r="F2061" s="7">
        <v>1</v>
      </c>
      <c r="G2061" s="7" t="s">
        <v>14</v>
      </c>
      <c r="J2061" s="7">
        <f t="shared" si="177"/>
        <v>1900</v>
      </c>
      <c r="K2061" s="7">
        <f t="shared" si="178"/>
        <v>1</v>
      </c>
      <c r="L2061" s="7">
        <f t="shared" si="179"/>
        <v>45923</v>
      </c>
      <c r="M2061" s="16" t="s">
        <v>497</v>
      </c>
      <c r="N2061" s="7" t="s">
        <v>579</v>
      </c>
      <c r="O2061" s="17" t="s">
        <v>680</v>
      </c>
      <c r="P2061" s="7">
        <f t="shared" si="180"/>
        <v>9</v>
      </c>
      <c r="Q2061" s="7">
        <f t="shared" si="181"/>
        <v>2025</v>
      </c>
    </row>
    <row r="2062" spans="1:17" x14ac:dyDescent="0.25">
      <c r="A2062" s="7">
        <v>2548</v>
      </c>
      <c r="B2062" s="9" t="s">
        <v>843</v>
      </c>
      <c r="C2062" s="9" t="s">
        <v>59</v>
      </c>
      <c r="D2062" s="8">
        <v>45923</v>
      </c>
      <c r="E2062" s="7" t="s">
        <v>822</v>
      </c>
      <c r="F2062" s="7">
        <v>1</v>
      </c>
      <c r="G2062" s="7" t="s">
        <v>14</v>
      </c>
      <c r="J2062" s="7">
        <f t="shared" si="177"/>
        <v>1900</v>
      </c>
      <c r="K2062" s="7">
        <f t="shared" si="178"/>
        <v>1</v>
      </c>
      <c r="L2062" s="7">
        <f t="shared" si="179"/>
        <v>45923</v>
      </c>
      <c r="M2062" s="16" t="s">
        <v>497</v>
      </c>
      <c r="N2062" s="7" t="s">
        <v>579</v>
      </c>
      <c r="O2062" s="17" t="s">
        <v>680</v>
      </c>
      <c r="P2062" s="7">
        <f t="shared" si="180"/>
        <v>9</v>
      </c>
      <c r="Q2062" s="7">
        <f t="shared" si="181"/>
        <v>2025</v>
      </c>
    </row>
    <row r="2063" spans="1:17" x14ac:dyDescent="0.25">
      <c r="A2063" s="7">
        <v>2548</v>
      </c>
      <c r="B2063" s="9" t="s">
        <v>843</v>
      </c>
      <c r="C2063" s="9" t="s">
        <v>59</v>
      </c>
      <c r="D2063" s="8">
        <v>45923</v>
      </c>
      <c r="E2063" s="7" t="s">
        <v>837</v>
      </c>
      <c r="F2063" s="7">
        <v>1</v>
      </c>
      <c r="G2063" s="7" t="s">
        <v>14</v>
      </c>
      <c r="J2063" s="7">
        <f t="shared" si="177"/>
        <v>1900</v>
      </c>
      <c r="K2063" s="7">
        <f t="shared" si="178"/>
        <v>1</v>
      </c>
      <c r="L2063" s="7">
        <f t="shared" si="179"/>
        <v>45923</v>
      </c>
      <c r="M2063" s="16" t="s">
        <v>497</v>
      </c>
      <c r="N2063" s="7" t="s">
        <v>579</v>
      </c>
      <c r="O2063" s="17" t="s">
        <v>680</v>
      </c>
      <c r="P2063" s="7">
        <f t="shared" si="180"/>
        <v>9</v>
      </c>
      <c r="Q2063" s="7">
        <f t="shared" si="181"/>
        <v>2025</v>
      </c>
    </row>
    <row r="2064" spans="1:17" x14ac:dyDescent="0.25">
      <c r="A2064" s="7">
        <v>2548</v>
      </c>
      <c r="B2064" s="9" t="s">
        <v>843</v>
      </c>
      <c r="C2064" s="9" t="s">
        <v>59</v>
      </c>
      <c r="D2064" s="8">
        <v>45923</v>
      </c>
      <c r="E2064" s="7" t="s">
        <v>838</v>
      </c>
      <c r="F2064" s="7">
        <v>1</v>
      </c>
      <c r="G2064" s="7" t="s">
        <v>14</v>
      </c>
      <c r="J2064" s="7">
        <f t="shared" si="177"/>
        <v>1900</v>
      </c>
      <c r="K2064" s="7">
        <f t="shared" si="178"/>
        <v>1</v>
      </c>
      <c r="L2064" s="7">
        <f t="shared" si="179"/>
        <v>45923</v>
      </c>
      <c r="M2064" s="16" t="s">
        <v>497</v>
      </c>
      <c r="N2064" s="7" t="s">
        <v>579</v>
      </c>
      <c r="O2064" s="17" t="s">
        <v>680</v>
      </c>
      <c r="P2064" s="7">
        <f t="shared" si="180"/>
        <v>9</v>
      </c>
      <c r="Q2064" s="7">
        <f t="shared" si="181"/>
        <v>2025</v>
      </c>
    </row>
    <row r="2065" spans="1:17" x14ac:dyDescent="0.25">
      <c r="A2065" s="7">
        <v>2548</v>
      </c>
      <c r="B2065" s="9" t="s">
        <v>843</v>
      </c>
      <c r="C2065" s="9" t="s">
        <v>59</v>
      </c>
      <c r="D2065" s="8">
        <v>45923</v>
      </c>
      <c r="E2065" s="7" t="s">
        <v>823</v>
      </c>
      <c r="F2065" s="7">
        <v>1</v>
      </c>
      <c r="G2065" s="7" t="s">
        <v>14</v>
      </c>
      <c r="J2065" s="7">
        <f t="shared" si="177"/>
        <v>1900</v>
      </c>
      <c r="K2065" s="7">
        <f t="shared" si="178"/>
        <v>1</v>
      </c>
      <c r="L2065" s="7">
        <f t="shared" si="179"/>
        <v>45923</v>
      </c>
      <c r="M2065" s="16" t="s">
        <v>497</v>
      </c>
      <c r="N2065" s="7" t="s">
        <v>579</v>
      </c>
      <c r="O2065" s="17" t="s">
        <v>680</v>
      </c>
      <c r="P2065" s="7">
        <f t="shared" si="180"/>
        <v>9</v>
      </c>
      <c r="Q2065" s="7">
        <f t="shared" si="181"/>
        <v>2025</v>
      </c>
    </row>
    <row r="2066" spans="1:17" x14ac:dyDescent="0.25">
      <c r="A2066" s="7">
        <v>2548</v>
      </c>
      <c r="B2066" s="9" t="s">
        <v>843</v>
      </c>
      <c r="C2066" s="9" t="s">
        <v>59</v>
      </c>
      <c r="D2066" s="8">
        <v>45923</v>
      </c>
      <c r="E2066" s="7" t="s">
        <v>824</v>
      </c>
      <c r="F2066" s="7">
        <v>1</v>
      </c>
      <c r="G2066" s="7" t="s">
        <v>14</v>
      </c>
      <c r="J2066" s="7">
        <f t="shared" si="177"/>
        <v>1900</v>
      </c>
      <c r="K2066" s="7">
        <f t="shared" si="178"/>
        <v>1</v>
      </c>
      <c r="L2066" s="7">
        <f t="shared" si="179"/>
        <v>45923</v>
      </c>
      <c r="M2066" s="16" t="s">
        <v>497</v>
      </c>
      <c r="N2066" s="7" t="s">
        <v>579</v>
      </c>
      <c r="O2066" s="17" t="s">
        <v>680</v>
      </c>
      <c r="P2066" s="7">
        <f t="shared" si="180"/>
        <v>9</v>
      </c>
      <c r="Q2066" s="7">
        <f t="shared" si="181"/>
        <v>2025</v>
      </c>
    </row>
    <row r="2067" spans="1:17" x14ac:dyDescent="0.25">
      <c r="A2067" s="7">
        <v>2548</v>
      </c>
      <c r="B2067" s="9" t="s">
        <v>843</v>
      </c>
      <c r="C2067" s="9" t="s">
        <v>59</v>
      </c>
      <c r="D2067" s="8">
        <v>45923</v>
      </c>
      <c r="E2067" s="7" t="s">
        <v>825</v>
      </c>
      <c r="F2067" s="7">
        <v>1</v>
      </c>
      <c r="G2067" s="7" t="s">
        <v>14</v>
      </c>
      <c r="J2067" s="7">
        <f t="shared" si="177"/>
        <v>1900</v>
      </c>
      <c r="K2067" s="7">
        <f t="shared" si="178"/>
        <v>1</v>
      </c>
      <c r="L2067" s="7">
        <f t="shared" si="179"/>
        <v>45923</v>
      </c>
      <c r="M2067" s="16" t="s">
        <v>497</v>
      </c>
      <c r="N2067" s="7" t="s">
        <v>579</v>
      </c>
      <c r="O2067" s="17" t="s">
        <v>680</v>
      </c>
      <c r="P2067" s="7">
        <f t="shared" si="180"/>
        <v>9</v>
      </c>
      <c r="Q2067" s="7">
        <f t="shared" si="181"/>
        <v>2025</v>
      </c>
    </row>
    <row r="2068" spans="1:17" x14ac:dyDescent="0.25">
      <c r="A2068" s="7">
        <v>2548</v>
      </c>
      <c r="B2068" s="9" t="s">
        <v>843</v>
      </c>
      <c r="C2068" s="9" t="s">
        <v>59</v>
      </c>
      <c r="D2068" s="8">
        <v>45923</v>
      </c>
      <c r="E2068" s="7" t="s">
        <v>826</v>
      </c>
      <c r="F2068" s="7">
        <v>1</v>
      </c>
      <c r="G2068" s="7" t="s">
        <v>14</v>
      </c>
      <c r="J2068" s="7">
        <f t="shared" ref="J2068:J2076" si="182">YEAR(I2068)</f>
        <v>1900</v>
      </c>
      <c r="K2068" s="7">
        <f t="shared" ref="K2068:K2076" si="183">MONTH(I2068)</f>
        <v>1</v>
      </c>
      <c r="L2068" s="7">
        <f t="shared" ref="L2068:L2076" si="184">D2068-I2068</f>
        <v>45923</v>
      </c>
      <c r="M2068" s="16" t="s">
        <v>497</v>
      </c>
      <c r="N2068" s="7" t="s">
        <v>579</v>
      </c>
      <c r="O2068" s="17" t="s">
        <v>680</v>
      </c>
      <c r="P2068" s="7">
        <f t="shared" ref="P2068:P2123" si="185">MONTH(D2068)</f>
        <v>9</v>
      </c>
      <c r="Q2068" s="7">
        <f t="shared" si="181"/>
        <v>2025</v>
      </c>
    </row>
    <row r="2069" spans="1:17" x14ac:dyDescent="0.25">
      <c r="A2069" s="7">
        <v>2548</v>
      </c>
      <c r="B2069" s="9" t="s">
        <v>843</v>
      </c>
      <c r="C2069" s="9" t="s">
        <v>59</v>
      </c>
      <c r="D2069" s="8">
        <v>45923</v>
      </c>
      <c r="E2069" s="7" t="s">
        <v>828</v>
      </c>
      <c r="F2069" s="7">
        <v>1</v>
      </c>
      <c r="G2069" s="7" t="s">
        <v>14</v>
      </c>
      <c r="J2069" s="7">
        <f t="shared" si="182"/>
        <v>1900</v>
      </c>
      <c r="K2069" s="7">
        <f t="shared" si="183"/>
        <v>1</v>
      </c>
      <c r="L2069" s="7">
        <f t="shared" si="184"/>
        <v>45923</v>
      </c>
      <c r="M2069" s="16" t="s">
        <v>497</v>
      </c>
      <c r="N2069" s="7" t="s">
        <v>579</v>
      </c>
      <c r="O2069" s="17" t="s">
        <v>680</v>
      </c>
      <c r="P2069" s="7">
        <f t="shared" si="185"/>
        <v>9</v>
      </c>
      <c r="Q2069" s="7">
        <f t="shared" si="181"/>
        <v>2025</v>
      </c>
    </row>
    <row r="2070" spans="1:17" x14ac:dyDescent="0.25">
      <c r="A2070" s="7">
        <v>2548</v>
      </c>
      <c r="B2070" s="9" t="s">
        <v>843</v>
      </c>
      <c r="C2070" s="9" t="s">
        <v>59</v>
      </c>
      <c r="D2070" s="8">
        <v>45923</v>
      </c>
      <c r="E2070" s="7" t="s">
        <v>829</v>
      </c>
      <c r="F2070" s="7">
        <v>1</v>
      </c>
      <c r="G2070" s="7" t="s">
        <v>14</v>
      </c>
      <c r="J2070" s="7">
        <f t="shared" si="182"/>
        <v>1900</v>
      </c>
      <c r="K2070" s="7">
        <f t="shared" si="183"/>
        <v>1</v>
      </c>
      <c r="L2070" s="7">
        <f t="shared" si="184"/>
        <v>45923</v>
      </c>
      <c r="M2070" s="16" t="s">
        <v>497</v>
      </c>
      <c r="N2070" s="7" t="s">
        <v>579</v>
      </c>
      <c r="O2070" s="17" t="s">
        <v>680</v>
      </c>
      <c r="P2070" s="7">
        <f t="shared" si="185"/>
        <v>9</v>
      </c>
      <c r="Q2070" s="7">
        <f t="shared" si="181"/>
        <v>2025</v>
      </c>
    </row>
    <row r="2071" spans="1:17" x14ac:dyDescent="0.25">
      <c r="A2071" s="7">
        <v>2548</v>
      </c>
      <c r="B2071" s="9" t="s">
        <v>843</v>
      </c>
      <c r="C2071" s="9" t="s">
        <v>59</v>
      </c>
      <c r="D2071" s="8">
        <v>45923</v>
      </c>
      <c r="E2071" s="7" t="s">
        <v>830</v>
      </c>
      <c r="F2071" s="7">
        <v>1</v>
      </c>
      <c r="G2071" s="7" t="s">
        <v>14</v>
      </c>
      <c r="J2071" s="7">
        <f t="shared" si="182"/>
        <v>1900</v>
      </c>
      <c r="K2071" s="7">
        <f t="shared" si="183"/>
        <v>1</v>
      </c>
      <c r="L2071" s="7">
        <f t="shared" si="184"/>
        <v>45923</v>
      </c>
      <c r="M2071" s="16" t="s">
        <v>497</v>
      </c>
      <c r="N2071" s="7" t="s">
        <v>579</v>
      </c>
      <c r="O2071" s="17" t="s">
        <v>680</v>
      </c>
      <c r="P2071" s="7">
        <f t="shared" si="185"/>
        <v>9</v>
      </c>
      <c r="Q2071" s="7">
        <f t="shared" si="181"/>
        <v>2025</v>
      </c>
    </row>
    <row r="2072" spans="1:17" x14ac:dyDescent="0.25">
      <c r="A2072" s="7">
        <v>2548</v>
      </c>
      <c r="B2072" s="9" t="s">
        <v>843</v>
      </c>
      <c r="C2072" s="9" t="s">
        <v>59</v>
      </c>
      <c r="D2072" s="8">
        <v>45923</v>
      </c>
      <c r="E2072" s="7" t="s">
        <v>842</v>
      </c>
      <c r="F2072" s="7">
        <v>1</v>
      </c>
      <c r="G2072" s="7" t="s">
        <v>14</v>
      </c>
      <c r="J2072" s="7">
        <f t="shared" si="182"/>
        <v>1900</v>
      </c>
      <c r="K2072" s="7">
        <f t="shared" si="183"/>
        <v>1</v>
      </c>
      <c r="L2072" s="7">
        <f t="shared" si="184"/>
        <v>45923</v>
      </c>
      <c r="M2072" s="16" t="s">
        <v>497</v>
      </c>
      <c r="N2072" s="7" t="s">
        <v>579</v>
      </c>
      <c r="O2072" s="17" t="s">
        <v>680</v>
      </c>
      <c r="P2072" s="7">
        <f t="shared" si="185"/>
        <v>9</v>
      </c>
      <c r="Q2072" s="7">
        <f t="shared" si="181"/>
        <v>2025</v>
      </c>
    </row>
    <row r="2073" spans="1:17" x14ac:dyDescent="0.25">
      <c r="A2073" s="7">
        <v>2548</v>
      </c>
      <c r="B2073" s="9" t="s">
        <v>843</v>
      </c>
      <c r="C2073" s="9" t="s">
        <v>59</v>
      </c>
      <c r="D2073" s="8">
        <v>45923</v>
      </c>
      <c r="E2073" s="7" t="s">
        <v>831</v>
      </c>
      <c r="F2073" s="7">
        <v>1</v>
      </c>
      <c r="G2073" s="7" t="s">
        <v>14</v>
      </c>
      <c r="J2073" s="7">
        <f t="shared" si="182"/>
        <v>1900</v>
      </c>
      <c r="K2073" s="7">
        <f t="shared" si="183"/>
        <v>1</v>
      </c>
      <c r="L2073" s="7">
        <f t="shared" si="184"/>
        <v>45923</v>
      </c>
      <c r="M2073" s="16" t="s">
        <v>497</v>
      </c>
      <c r="N2073" s="7" t="s">
        <v>579</v>
      </c>
      <c r="O2073" s="17" t="s">
        <v>680</v>
      </c>
      <c r="P2073" s="7">
        <f t="shared" si="185"/>
        <v>9</v>
      </c>
      <c r="Q2073" s="7">
        <f t="shared" si="181"/>
        <v>2025</v>
      </c>
    </row>
    <row r="2074" spans="1:17" x14ac:dyDescent="0.25">
      <c r="A2074" s="7">
        <v>2548</v>
      </c>
      <c r="B2074" s="9" t="s">
        <v>843</v>
      </c>
      <c r="C2074" s="9" t="s">
        <v>59</v>
      </c>
      <c r="D2074" s="8">
        <v>45923</v>
      </c>
      <c r="E2074" s="7" t="s">
        <v>841</v>
      </c>
      <c r="F2074" s="7">
        <v>1</v>
      </c>
      <c r="G2074" s="7" t="s">
        <v>14</v>
      </c>
      <c r="J2074" s="7">
        <f t="shared" si="182"/>
        <v>1900</v>
      </c>
      <c r="K2074" s="7">
        <f t="shared" si="183"/>
        <v>1</v>
      </c>
      <c r="L2074" s="7">
        <f t="shared" si="184"/>
        <v>45923</v>
      </c>
      <c r="M2074" s="16" t="s">
        <v>497</v>
      </c>
      <c r="N2074" s="7" t="s">
        <v>579</v>
      </c>
      <c r="O2074" s="17" t="s">
        <v>680</v>
      </c>
      <c r="P2074" s="7">
        <f t="shared" si="185"/>
        <v>9</v>
      </c>
      <c r="Q2074" s="7">
        <f t="shared" si="181"/>
        <v>2025</v>
      </c>
    </row>
    <row r="2075" spans="1:17" x14ac:dyDescent="0.25">
      <c r="A2075" s="7">
        <v>2548</v>
      </c>
      <c r="B2075" s="9" t="s">
        <v>843</v>
      </c>
      <c r="C2075" s="9" t="s">
        <v>59</v>
      </c>
      <c r="D2075" s="8">
        <v>45923</v>
      </c>
      <c r="E2075" s="7" t="s">
        <v>832</v>
      </c>
      <c r="F2075" s="7">
        <v>1</v>
      </c>
      <c r="G2075" s="7" t="s">
        <v>14</v>
      </c>
      <c r="J2075" s="7">
        <f t="shared" si="182"/>
        <v>1900</v>
      </c>
      <c r="K2075" s="7">
        <f t="shared" si="183"/>
        <v>1</v>
      </c>
      <c r="L2075" s="7">
        <f t="shared" si="184"/>
        <v>45923</v>
      </c>
      <c r="M2075" s="16" t="s">
        <v>497</v>
      </c>
      <c r="N2075" s="7" t="s">
        <v>579</v>
      </c>
      <c r="O2075" s="17" t="s">
        <v>680</v>
      </c>
      <c r="P2075" s="7">
        <f t="shared" si="185"/>
        <v>9</v>
      </c>
      <c r="Q2075" s="7">
        <f t="shared" si="181"/>
        <v>2025</v>
      </c>
    </row>
    <row r="2076" spans="1:17" x14ac:dyDescent="0.25">
      <c r="A2076" s="7">
        <v>2548</v>
      </c>
      <c r="B2076" s="9" t="s">
        <v>843</v>
      </c>
      <c r="C2076" s="9" t="s">
        <v>59</v>
      </c>
      <c r="D2076" s="8">
        <v>45923</v>
      </c>
      <c r="E2076" s="7" t="s">
        <v>833</v>
      </c>
      <c r="F2076" s="7">
        <v>1</v>
      </c>
      <c r="G2076" s="7" t="s">
        <v>14</v>
      </c>
      <c r="J2076" s="7">
        <f t="shared" si="182"/>
        <v>1900</v>
      </c>
      <c r="K2076" s="7">
        <f t="shared" si="183"/>
        <v>1</v>
      </c>
      <c r="L2076" s="7">
        <f t="shared" si="184"/>
        <v>45923</v>
      </c>
      <c r="M2076" s="16" t="s">
        <v>497</v>
      </c>
      <c r="N2076" s="7" t="s">
        <v>579</v>
      </c>
      <c r="O2076" s="17" t="s">
        <v>680</v>
      </c>
      <c r="P2076" s="7">
        <f t="shared" si="185"/>
        <v>9</v>
      </c>
      <c r="Q2076" s="7">
        <f t="shared" si="181"/>
        <v>2025</v>
      </c>
    </row>
    <row r="2077" spans="1:17" x14ac:dyDescent="0.25">
      <c r="A2077" s="7">
        <v>2549</v>
      </c>
      <c r="B2077" s="9" t="s">
        <v>862</v>
      </c>
      <c r="C2077" s="9" t="s">
        <v>59</v>
      </c>
      <c r="D2077" s="8">
        <v>45924</v>
      </c>
      <c r="E2077" s="7" t="s">
        <v>60</v>
      </c>
      <c r="F2077" s="7">
        <v>1</v>
      </c>
      <c r="G2077" s="7" t="s">
        <v>14</v>
      </c>
      <c r="H2077" s="7" t="s">
        <v>314</v>
      </c>
      <c r="M2077" s="7" t="s">
        <v>865</v>
      </c>
      <c r="N2077" s="7" t="s">
        <v>580</v>
      </c>
      <c r="O2077" s="17" t="s">
        <v>680</v>
      </c>
      <c r="P2077" s="7">
        <f t="shared" si="185"/>
        <v>9</v>
      </c>
      <c r="Q2077" s="7">
        <f t="shared" si="181"/>
        <v>2025</v>
      </c>
    </row>
    <row r="2078" spans="1:17" x14ac:dyDescent="0.25">
      <c r="A2078" s="7">
        <v>2549</v>
      </c>
      <c r="B2078" s="9" t="s">
        <v>862</v>
      </c>
      <c r="C2078" s="9" t="s">
        <v>59</v>
      </c>
      <c r="D2078" s="8">
        <v>45924</v>
      </c>
      <c r="E2078" s="7" t="s">
        <v>60</v>
      </c>
      <c r="F2078" s="7">
        <v>1</v>
      </c>
      <c r="G2078" s="7" t="s">
        <v>14</v>
      </c>
      <c r="H2078" s="7" t="s">
        <v>314</v>
      </c>
      <c r="M2078" s="7" t="s">
        <v>865</v>
      </c>
      <c r="N2078" s="7" t="s">
        <v>580</v>
      </c>
      <c r="O2078" s="17" t="s">
        <v>680</v>
      </c>
      <c r="P2078" s="7">
        <f t="shared" si="185"/>
        <v>9</v>
      </c>
      <c r="Q2078" s="7">
        <f t="shared" si="181"/>
        <v>2025</v>
      </c>
    </row>
    <row r="2079" spans="1:17" x14ac:dyDescent="0.25">
      <c r="A2079" s="7">
        <v>2549</v>
      </c>
      <c r="B2079" s="9" t="s">
        <v>862</v>
      </c>
      <c r="C2079" s="9" t="s">
        <v>59</v>
      </c>
      <c r="D2079" s="8">
        <v>45924</v>
      </c>
      <c r="E2079" s="7" t="s">
        <v>60</v>
      </c>
      <c r="F2079" s="7">
        <v>1</v>
      </c>
      <c r="G2079" s="7" t="s">
        <v>14</v>
      </c>
      <c r="H2079" s="7" t="s">
        <v>314</v>
      </c>
      <c r="M2079" s="7" t="s">
        <v>865</v>
      </c>
      <c r="N2079" s="7" t="s">
        <v>580</v>
      </c>
      <c r="O2079" s="17" t="s">
        <v>680</v>
      </c>
      <c r="P2079" s="7">
        <f t="shared" si="185"/>
        <v>9</v>
      </c>
      <c r="Q2079" s="7">
        <f t="shared" si="181"/>
        <v>2025</v>
      </c>
    </row>
    <row r="2080" spans="1:17" x14ac:dyDescent="0.25">
      <c r="A2080" s="7">
        <v>2549</v>
      </c>
      <c r="B2080" s="9" t="s">
        <v>862</v>
      </c>
      <c r="C2080" s="9" t="s">
        <v>59</v>
      </c>
      <c r="D2080" s="8">
        <v>45924</v>
      </c>
      <c r="E2080" s="7" t="s">
        <v>60</v>
      </c>
      <c r="F2080" s="7">
        <v>1</v>
      </c>
      <c r="G2080" s="7" t="s">
        <v>14</v>
      </c>
      <c r="H2080" s="7" t="s">
        <v>314</v>
      </c>
      <c r="M2080" s="7" t="s">
        <v>865</v>
      </c>
      <c r="N2080" s="7" t="s">
        <v>580</v>
      </c>
      <c r="O2080" s="17" t="s">
        <v>680</v>
      </c>
      <c r="P2080" s="7">
        <f t="shared" si="185"/>
        <v>9</v>
      </c>
      <c r="Q2080" s="7">
        <f t="shared" si="181"/>
        <v>2025</v>
      </c>
    </row>
    <row r="2081" spans="1:17" x14ac:dyDescent="0.25">
      <c r="A2081" s="7">
        <v>2549</v>
      </c>
      <c r="B2081" s="9" t="s">
        <v>862</v>
      </c>
      <c r="C2081" s="9" t="s">
        <v>59</v>
      </c>
      <c r="D2081" s="8">
        <v>45924</v>
      </c>
      <c r="E2081" s="7" t="s">
        <v>60</v>
      </c>
      <c r="F2081" s="7">
        <v>1</v>
      </c>
      <c r="G2081" s="7" t="s">
        <v>14</v>
      </c>
      <c r="H2081" s="7" t="s">
        <v>314</v>
      </c>
      <c r="M2081" s="7" t="s">
        <v>865</v>
      </c>
      <c r="N2081" s="7" t="s">
        <v>580</v>
      </c>
      <c r="O2081" s="17" t="s">
        <v>680</v>
      </c>
      <c r="P2081" s="7">
        <f t="shared" si="185"/>
        <v>9</v>
      </c>
      <c r="Q2081" s="7">
        <f t="shared" si="181"/>
        <v>2025</v>
      </c>
    </row>
    <row r="2082" spans="1:17" x14ac:dyDescent="0.25">
      <c r="A2082" s="7">
        <v>2549</v>
      </c>
      <c r="B2082" s="9" t="s">
        <v>862</v>
      </c>
      <c r="C2082" s="9" t="s">
        <v>59</v>
      </c>
      <c r="D2082" s="8">
        <v>45924</v>
      </c>
      <c r="E2082" s="7" t="s">
        <v>60</v>
      </c>
      <c r="F2082" s="7">
        <v>1</v>
      </c>
      <c r="G2082" s="7" t="s">
        <v>14</v>
      </c>
      <c r="H2082" s="7" t="s">
        <v>314</v>
      </c>
      <c r="M2082" s="7" t="s">
        <v>865</v>
      </c>
      <c r="N2082" s="7" t="s">
        <v>580</v>
      </c>
      <c r="O2082" s="17" t="s">
        <v>680</v>
      </c>
      <c r="P2082" s="7">
        <f t="shared" si="185"/>
        <v>9</v>
      </c>
      <c r="Q2082" s="7">
        <f t="shared" si="181"/>
        <v>2025</v>
      </c>
    </row>
    <row r="2083" spans="1:17" x14ac:dyDescent="0.25">
      <c r="A2083" s="7">
        <v>2549</v>
      </c>
      <c r="B2083" s="9" t="s">
        <v>862</v>
      </c>
      <c r="C2083" s="9" t="s">
        <v>59</v>
      </c>
      <c r="D2083" s="8">
        <v>45924</v>
      </c>
      <c r="E2083" s="7" t="s">
        <v>60</v>
      </c>
      <c r="F2083" s="7">
        <v>1</v>
      </c>
      <c r="G2083" s="7" t="s">
        <v>14</v>
      </c>
      <c r="H2083" s="7" t="s">
        <v>314</v>
      </c>
      <c r="M2083" s="7" t="s">
        <v>865</v>
      </c>
      <c r="N2083" s="7" t="s">
        <v>580</v>
      </c>
      <c r="O2083" s="17" t="s">
        <v>680</v>
      </c>
      <c r="P2083" s="7">
        <f t="shared" si="185"/>
        <v>9</v>
      </c>
      <c r="Q2083" s="7">
        <f t="shared" si="181"/>
        <v>2025</v>
      </c>
    </row>
    <row r="2084" spans="1:17" x14ac:dyDescent="0.25">
      <c r="A2084" s="7">
        <v>2549</v>
      </c>
      <c r="B2084" s="9" t="s">
        <v>862</v>
      </c>
      <c r="C2084" s="9" t="s">
        <v>59</v>
      </c>
      <c r="D2084" s="8">
        <v>45924</v>
      </c>
      <c r="E2084" s="7" t="s">
        <v>60</v>
      </c>
      <c r="F2084" s="7">
        <v>1</v>
      </c>
      <c r="G2084" s="7" t="s">
        <v>14</v>
      </c>
      <c r="H2084" s="7" t="s">
        <v>314</v>
      </c>
      <c r="M2084" s="7" t="s">
        <v>865</v>
      </c>
      <c r="N2084" s="7" t="s">
        <v>580</v>
      </c>
      <c r="O2084" s="17" t="s">
        <v>680</v>
      </c>
      <c r="P2084" s="7">
        <f t="shared" si="185"/>
        <v>9</v>
      </c>
      <c r="Q2084" s="7">
        <f t="shared" si="181"/>
        <v>2025</v>
      </c>
    </row>
    <row r="2085" spans="1:17" x14ac:dyDescent="0.25">
      <c r="A2085" s="7">
        <v>2549</v>
      </c>
      <c r="B2085" s="9" t="s">
        <v>862</v>
      </c>
      <c r="C2085" s="9" t="s">
        <v>59</v>
      </c>
      <c r="D2085" s="8">
        <v>45924</v>
      </c>
      <c r="E2085" s="7" t="s">
        <v>60</v>
      </c>
      <c r="F2085" s="7">
        <v>1</v>
      </c>
      <c r="G2085" s="7" t="s">
        <v>14</v>
      </c>
      <c r="H2085" s="7" t="s">
        <v>314</v>
      </c>
      <c r="M2085" s="7" t="s">
        <v>865</v>
      </c>
      <c r="N2085" s="7" t="s">
        <v>580</v>
      </c>
      <c r="O2085" s="17" t="s">
        <v>680</v>
      </c>
      <c r="P2085" s="7">
        <f t="shared" si="185"/>
        <v>9</v>
      </c>
      <c r="Q2085" s="7">
        <f t="shared" si="181"/>
        <v>2025</v>
      </c>
    </row>
    <row r="2086" spans="1:17" x14ac:dyDescent="0.25">
      <c r="A2086" s="7">
        <v>2549</v>
      </c>
      <c r="B2086" s="9" t="s">
        <v>862</v>
      </c>
      <c r="C2086" s="9" t="s">
        <v>59</v>
      </c>
      <c r="D2086" s="8">
        <v>45924</v>
      </c>
      <c r="E2086" s="7" t="s">
        <v>60</v>
      </c>
      <c r="F2086" s="7">
        <v>1</v>
      </c>
      <c r="G2086" s="7" t="s">
        <v>14</v>
      </c>
      <c r="H2086" s="7" t="s">
        <v>314</v>
      </c>
      <c r="M2086" s="7" t="s">
        <v>865</v>
      </c>
      <c r="N2086" s="7" t="s">
        <v>580</v>
      </c>
      <c r="O2086" s="17" t="s">
        <v>680</v>
      </c>
      <c r="P2086" s="7">
        <f t="shared" si="185"/>
        <v>9</v>
      </c>
      <c r="Q2086" s="7">
        <f t="shared" si="181"/>
        <v>2025</v>
      </c>
    </row>
    <row r="2087" spans="1:17" x14ac:dyDescent="0.25">
      <c r="A2087" s="7">
        <v>2549</v>
      </c>
      <c r="B2087" s="9" t="s">
        <v>862</v>
      </c>
      <c r="C2087" s="9" t="s">
        <v>59</v>
      </c>
      <c r="D2087" s="8">
        <v>45924</v>
      </c>
      <c r="E2087" s="7" t="s">
        <v>60</v>
      </c>
      <c r="F2087" s="7">
        <v>1</v>
      </c>
      <c r="G2087" s="7" t="s">
        <v>14</v>
      </c>
      <c r="H2087" s="7" t="s">
        <v>314</v>
      </c>
      <c r="M2087" s="7" t="s">
        <v>865</v>
      </c>
      <c r="N2087" s="7" t="s">
        <v>580</v>
      </c>
      <c r="O2087" s="17" t="s">
        <v>680</v>
      </c>
      <c r="P2087" s="7">
        <f t="shared" si="185"/>
        <v>9</v>
      </c>
      <c r="Q2087" s="7">
        <f t="shared" si="181"/>
        <v>2025</v>
      </c>
    </row>
    <row r="2088" spans="1:17" x14ac:dyDescent="0.25">
      <c r="A2088" s="7">
        <v>2549</v>
      </c>
      <c r="B2088" s="9" t="s">
        <v>862</v>
      </c>
      <c r="C2088" s="9" t="s">
        <v>59</v>
      </c>
      <c r="D2088" s="8">
        <v>45924</v>
      </c>
      <c r="E2088" s="7" t="s">
        <v>60</v>
      </c>
      <c r="F2088" s="7">
        <v>1</v>
      </c>
      <c r="G2088" s="7" t="s">
        <v>14</v>
      </c>
      <c r="H2088" s="7" t="s">
        <v>314</v>
      </c>
      <c r="M2088" s="7" t="s">
        <v>865</v>
      </c>
      <c r="N2088" s="7" t="s">
        <v>580</v>
      </c>
      <c r="O2088" s="17" t="s">
        <v>680</v>
      </c>
      <c r="P2088" s="7">
        <f t="shared" si="185"/>
        <v>9</v>
      </c>
      <c r="Q2088" s="7">
        <f t="shared" si="181"/>
        <v>2025</v>
      </c>
    </row>
    <row r="2089" spans="1:17" x14ac:dyDescent="0.25">
      <c r="A2089" s="7">
        <v>2549</v>
      </c>
      <c r="B2089" s="9" t="s">
        <v>862</v>
      </c>
      <c r="C2089" s="9" t="s">
        <v>59</v>
      </c>
      <c r="D2089" s="8">
        <v>45924</v>
      </c>
      <c r="E2089" s="7" t="s">
        <v>60</v>
      </c>
      <c r="F2089" s="7">
        <v>1</v>
      </c>
      <c r="G2089" s="7" t="s">
        <v>14</v>
      </c>
      <c r="H2089" s="7" t="s">
        <v>314</v>
      </c>
      <c r="M2089" s="7" t="s">
        <v>865</v>
      </c>
      <c r="N2089" s="7" t="s">
        <v>580</v>
      </c>
      <c r="O2089" s="17" t="s">
        <v>680</v>
      </c>
      <c r="P2089" s="7">
        <f t="shared" si="185"/>
        <v>9</v>
      </c>
      <c r="Q2089" s="7">
        <f t="shared" si="181"/>
        <v>2025</v>
      </c>
    </row>
    <row r="2090" spans="1:17" x14ac:dyDescent="0.25">
      <c r="A2090" s="7">
        <v>2549</v>
      </c>
      <c r="B2090" s="9" t="s">
        <v>862</v>
      </c>
      <c r="C2090" s="9" t="s">
        <v>59</v>
      </c>
      <c r="D2090" s="8">
        <v>45924</v>
      </c>
      <c r="E2090" s="7" t="s">
        <v>60</v>
      </c>
      <c r="F2090" s="7">
        <v>1</v>
      </c>
      <c r="G2090" s="7" t="s">
        <v>14</v>
      </c>
      <c r="H2090" s="7" t="s">
        <v>314</v>
      </c>
      <c r="M2090" s="7" t="s">
        <v>865</v>
      </c>
      <c r="N2090" s="7" t="s">
        <v>580</v>
      </c>
      <c r="O2090" s="17" t="s">
        <v>680</v>
      </c>
      <c r="P2090" s="7">
        <f t="shared" si="185"/>
        <v>9</v>
      </c>
      <c r="Q2090" s="7">
        <f t="shared" si="181"/>
        <v>2025</v>
      </c>
    </row>
    <row r="2091" spans="1:17" x14ac:dyDescent="0.25">
      <c r="A2091" s="7">
        <v>2549</v>
      </c>
      <c r="B2091" s="9" t="s">
        <v>862</v>
      </c>
      <c r="C2091" s="9" t="s">
        <v>59</v>
      </c>
      <c r="D2091" s="8">
        <v>45924</v>
      </c>
      <c r="E2091" s="7" t="s">
        <v>60</v>
      </c>
      <c r="F2091" s="7">
        <v>1</v>
      </c>
      <c r="G2091" s="7" t="s">
        <v>14</v>
      </c>
      <c r="H2091" s="7" t="s">
        <v>314</v>
      </c>
      <c r="M2091" s="7" t="s">
        <v>865</v>
      </c>
      <c r="N2091" s="7" t="s">
        <v>580</v>
      </c>
      <c r="O2091" s="17" t="s">
        <v>680</v>
      </c>
      <c r="P2091" s="7">
        <f t="shared" si="185"/>
        <v>9</v>
      </c>
      <c r="Q2091" s="7">
        <f t="shared" si="181"/>
        <v>2025</v>
      </c>
    </row>
    <row r="2092" spans="1:17" x14ac:dyDescent="0.25">
      <c r="A2092" s="7">
        <v>2549</v>
      </c>
      <c r="B2092" s="9" t="s">
        <v>862</v>
      </c>
      <c r="C2092" s="9" t="s">
        <v>59</v>
      </c>
      <c r="D2092" s="8">
        <v>45924</v>
      </c>
      <c r="E2092" s="7" t="s">
        <v>60</v>
      </c>
      <c r="F2092" s="7">
        <v>1</v>
      </c>
      <c r="G2092" s="7" t="s">
        <v>14</v>
      </c>
      <c r="H2092" s="7" t="s">
        <v>314</v>
      </c>
      <c r="M2092" s="7" t="s">
        <v>865</v>
      </c>
      <c r="N2092" s="7" t="s">
        <v>580</v>
      </c>
      <c r="O2092" s="17" t="s">
        <v>680</v>
      </c>
      <c r="P2092" s="7">
        <f t="shared" si="185"/>
        <v>9</v>
      </c>
      <c r="Q2092" s="7">
        <f t="shared" si="181"/>
        <v>2025</v>
      </c>
    </row>
    <row r="2093" spans="1:17" x14ac:dyDescent="0.25">
      <c r="A2093" s="7">
        <v>2549</v>
      </c>
      <c r="B2093" s="9" t="s">
        <v>862</v>
      </c>
      <c r="C2093" s="9" t="s">
        <v>59</v>
      </c>
      <c r="D2093" s="8">
        <v>45924</v>
      </c>
      <c r="E2093" s="7" t="s">
        <v>60</v>
      </c>
      <c r="F2093" s="7">
        <v>1</v>
      </c>
      <c r="G2093" s="7" t="s">
        <v>14</v>
      </c>
      <c r="H2093" s="7" t="s">
        <v>314</v>
      </c>
      <c r="M2093" s="7" t="s">
        <v>865</v>
      </c>
      <c r="N2093" s="7" t="s">
        <v>580</v>
      </c>
      <c r="O2093" s="17" t="s">
        <v>680</v>
      </c>
      <c r="P2093" s="7">
        <f t="shared" si="185"/>
        <v>9</v>
      </c>
      <c r="Q2093" s="7">
        <f t="shared" si="181"/>
        <v>2025</v>
      </c>
    </row>
    <row r="2094" spans="1:17" x14ac:dyDescent="0.25">
      <c r="A2094" s="7">
        <v>2549</v>
      </c>
      <c r="B2094" s="9" t="s">
        <v>862</v>
      </c>
      <c r="C2094" s="9" t="s">
        <v>59</v>
      </c>
      <c r="D2094" s="8">
        <v>45924</v>
      </c>
      <c r="E2094" s="7" t="s">
        <v>60</v>
      </c>
      <c r="F2094" s="7">
        <v>1</v>
      </c>
      <c r="G2094" s="7" t="s">
        <v>14</v>
      </c>
      <c r="H2094" s="7" t="s">
        <v>314</v>
      </c>
      <c r="M2094" s="7" t="s">
        <v>865</v>
      </c>
      <c r="N2094" s="7" t="s">
        <v>580</v>
      </c>
      <c r="O2094" s="17" t="s">
        <v>680</v>
      </c>
      <c r="P2094" s="7">
        <f t="shared" si="185"/>
        <v>9</v>
      </c>
      <c r="Q2094" s="7">
        <f t="shared" si="181"/>
        <v>2025</v>
      </c>
    </row>
    <row r="2095" spans="1:17" x14ac:dyDescent="0.25">
      <c r="A2095" s="7">
        <v>2549</v>
      </c>
      <c r="B2095" s="9" t="s">
        <v>862</v>
      </c>
      <c r="C2095" s="9" t="s">
        <v>59</v>
      </c>
      <c r="D2095" s="8">
        <v>45924</v>
      </c>
      <c r="E2095" s="7" t="s">
        <v>60</v>
      </c>
      <c r="F2095" s="7">
        <v>1</v>
      </c>
      <c r="G2095" s="7" t="s">
        <v>14</v>
      </c>
      <c r="H2095" s="7" t="s">
        <v>314</v>
      </c>
      <c r="M2095" s="7" t="s">
        <v>865</v>
      </c>
      <c r="N2095" s="7" t="s">
        <v>580</v>
      </c>
      <c r="O2095" s="17" t="s">
        <v>680</v>
      </c>
      <c r="P2095" s="7">
        <f t="shared" si="185"/>
        <v>9</v>
      </c>
      <c r="Q2095" s="7">
        <f t="shared" si="181"/>
        <v>2025</v>
      </c>
    </row>
    <row r="2096" spans="1:17" x14ac:dyDescent="0.25">
      <c r="A2096" s="7">
        <v>2549</v>
      </c>
      <c r="B2096" s="9" t="s">
        <v>862</v>
      </c>
      <c r="C2096" s="9" t="s">
        <v>59</v>
      </c>
      <c r="D2096" s="8">
        <v>45924</v>
      </c>
      <c r="E2096" s="7" t="s">
        <v>60</v>
      </c>
      <c r="F2096" s="7">
        <v>1</v>
      </c>
      <c r="G2096" s="7" t="s">
        <v>14</v>
      </c>
      <c r="H2096" s="7" t="s">
        <v>314</v>
      </c>
      <c r="M2096" s="7" t="s">
        <v>865</v>
      </c>
      <c r="N2096" s="7" t="s">
        <v>580</v>
      </c>
      <c r="O2096" s="17" t="s">
        <v>680</v>
      </c>
      <c r="P2096" s="7">
        <f t="shared" si="185"/>
        <v>9</v>
      </c>
      <c r="Q2096" s="7">
        <f t="shared" si="181"/>
        <v>2025</v>
      </c>
    </row>
    <row r="2097" spans="1:17" x14ac:dyDescent="0.25">
      <c r="A2097" s="7">
        <v>2549</v>
      </c>
      <c r="B2097" s="9" t="s">
        <v>862</v>
      </c>
      <c r="C2097" s="9" t="s">
        <v>59</v>
      </c>
      <c r="D2097" s="8">
        <v>45924</v>
      </c>
      <c r="E2097" s="7" t="s">
        <v>60</v>
      </c>
      <c r="F2097" s="7">
        <v>1</v>
      </c>
      <c r="G2097" s="7" t="s">
        <v>14</v>
      </c>
      <c r="H2097" s="7" t="s">
        <v>314</v>
      </c>
      <c r="M2097" s="7" t="s">
        <v>865</v>
      </c>
      <c r="N2097" s="7" t="s">
        <v>580</v>
      </c>
      <c r="O2097" s="17" t="s">
        <v>680</v>
      </c>
      <c r="P2097" s="7">
        <f t="shared" si="185"/>
        <v>9</v>
      </c>
      <c r="Q2097" s="7">
        <f t="shared" si="181"/>
        <v>2025</v>
      </c>
    </row>
    <row r="2098" spans="1:17" x14ac:dyDescent="0.25">
      <c r="A2098" s="7">
        <v>2549</v>
      </c>
      <c r="B2098" s="9" t="s">
        <v>862</v>
      </c>
      <c r="C2098" s="9" t="s">
        <v>59</v>
      </c>
      <c r="D2098" s="8">
        <v>45924</v>
      </c>
      <c r="E2098" s="7" t="s">
        <v>60</v>
      </c>
      <c r="F2098" s="7">
        <v>1</v>
      </c>
      <c r="G2098" s="7" t="s">
        <v>14</v>
      </c>
      <c r="H2098" s="7" t="s">
        <v>314</v>
      </c>
      <c r="M2098" s="7" t="s">
        <v>865</v>
      </c>
      <c r="N2098" s="7" t="s">
        <v>580</v>
      </c>
      <c r="O2098" s="17" t="s">
        <v>680</v>
      </c>
      <c r="P2098" s="7">
        <f t="shared" si="185"/>
        <v>9</v>
      </c>
      <c r="Q2098" s="7">
        <f t="shared" si="181"/>
        <v>2025</v>
      </c>
    </row>
    <row r="2099" spans="1:17" x14ac:dyDescent="0.25">
      <c r="A2099" s="7">
        <v>2549</v>
      </c>
      <c r="B2099" s="9" t="s">
        <v>862</v>
      </c>
      <c r="C2099" s="9" t="s">
        <v>59</v>
      </c>
      <c r="D2099" s="8">
        <v>45924</v>
      </c>
      <c r="E2099" s="7" t="s">
        <v>60</v>
      </c>
      <c r="F2099" s="7">
        <v>1</v>
      </c>
      <c r="G2099" s="7" t="s">
        <v>14</v>
      </c>
      <c r="H2099" s="7" t="s">
        <v>314</v>
      </c>
      <c r="M2099" s="7" t="s">
        <v>865</v>
      </c>
      <c r="N2099" s="7" t="s">
        <v>580</v>
      </c>
      <c r="O2099" s="17" t="s">
        <v>680</v>
      </c>
      <c r="P2099" s="7">
        <f t="shared" si="185"/>
        <v>9</v>
      </c>
      <c r="Q2099" s="7">
        <f t="shared" si="181"/>
        <v>2025</v>
      </c>
    </row>
    <row r="2100" spans="1:17" x14ac:dyDescent="0.25">
      <c r="A2100" s="7">
        <v>2549</v>
      </c>
      <c r="B2100" s="9" t="s">
        <v>862</v>
      </c>
      <c r="C2100" s="9" t="s">
        <v>59</v>
      </c>
      <c r="D2100" s="8">
        <v>45924</v>
      </c>
      <c r="E2100" s="7" t="s">
        <v>60</v>
      </c>
      <c r="F2100" s="7">
        <v>1</v>
      </c>
      <c r="G2100" s="7" t="s">
        <v>14</v>
      </c>
      <c r="H2100" s="7" t="s">
        <v>314</v>
      </c>
      <c r="M2100" s="7" t="s">
        <v>865</v>
      </c>
      <c r="N2100" s="7" t="s">
        <v>580</v>
      </c>
      <c r="O2100" s="17" t="s">
        <v>680</v>
      </c>
      <c r="P2100" s="7">
        <f t="shared" si="185"/>
        <v>9</v>
      </c>
      <c r="Q2100" s="7">
        <f t="shared" si="181"/>
        <v>2025</v>
      </c>
    </row>
    <row r="2101" spans="1:17" x14ac:dyDescent="0.25">
      <c r="A2101" s="7">
        <v>2549</v>
      </c>
      <c r="B2101" s="9" t="s">
        <v>862</v>
      </c>
      <c r="C2101" s="9" t="s">
        <v>59</v>
      </c>
      <c r="D2101" s="8">
        <v>45924</v>
      </c>
      <c r="E2101" s="7" t="s">
        <v>60</v>
      </c>
      <c r="F2101" s="7">
        <v>1</v>
      </c>
      <c r="G2101" s="7" t="s">
        <v>14</v>
      </c>
      <c r="H2101" s="7" t="s">
        <v>314</v>
      </c>
      <c r="M2101" s="7" t="s">
        <v>865</v>
      </c>
      <c r="N2101" s="7" t="s">
        <v>580</v>
      </c>
      <c r="O2101" s="17" t="s">
        <v>680</v>
      </c>
      <c r="P2101" s="7">
        <f t="shared" si="185"/>
        <v>9</v>
      </c>
      <c r="Q2101" s="7">
        <f t="shared" ref="Q2101:Q2164" si="186">YEAR(D2101)</f>
        <v>2025</v>
      </c>
    </row>
    <row r="2102" spans="1:17" x14ac:dyDescent="0.25">
      <c r="A2102" s="7">
        <v>2549</v>
      </c>
      <c r="B2102" s="9" t="s">
        <v>862</v>
      </c>
      <c r="C2102" s="9" t="s">
        <v>59</v>
      </c>
      <c r="D2102" s="8">
        <v>45924</v>
      </c>
      <c r="E2102" s="7" t="s">
        <v>60</v>
      </c>
      <c r="F2102" s="7">
        <v>1</v>
      </c>
      <c r="G2102" s="7" t="s">
        <v>14</v>
      </c>
      <c r="H2102" s="7" t="s">
        <v>314</v>
      </c>
      <c r="M2102" s="7" t="s">
        <v>865</v>
      </c>
      <c r="N2102" s="7" t="s">
        <v>580</v>
      </c>
      <c r="O2102" s="17" t="s">
        <v>680</v>
      </c>
      <c r="P2102" s="7">
        <f t="shared" si="185"/>
        <v>9</v>
      </c>
      <c r="Q2102" s="7">
        <f t="shared" si="186"/>
        <v>2025</v>
      </c>
    </row>
    <row r="2103" spans="1:17" x14ac:dyDescent="0.25">
      <c r="A2103" s="7">
        <v>2549</v>
      </c>
      <c r="B2103" s="9" t="s">
        <v>862</v>
      </c>
      <c r="C2103" s="9" t="s">
        <v>59</v>
      </c>
      <c r="D2103" s="8">
        <v>45924</v>
      </c>
      <c r="E2103" s="7" t="s">
        <v>60</v>
      </c>
      <c r="F2103" s="7">
        <v>1</v>
      </c>
      <c r="G2103" s="7" t="s">
        <v>14</v>
      </c>
      <c r="H2103" s="7" t="s">
        <v>314</v>
      </c>
      <c r="M2103" s="7" t="s">
        <v>865</v>
      </c>
      <c r="N2103" s="7" t="s">
        <v>580</v>
      </c>
      <c r="O2103" s="17" t="s">
        <v>680</v>
      </c>
      <c r="P2103" s="7">
        <f t="shared" si="185"/>
        <v>9</v>
      </c>
      <c r="Q2103" s="7">
        <f t="shared" si="186"/>
        <v>2025</v>
      </c>
    </row>
    <row r="2104" spans="1:17" x14ac:dyDescent="0.25">
      <c r="A2104" s="7">
        <v>2549</v>
      </c>
      <c r="B2104" s="9" t="s">
        <v>862</v>
      </c>
      <c r="C2104" s="9" t="s">
        <v>59</v>
      </c>
      <c r="D2104" s="8">
        <v>45924</v>
      </c>
      <c r="E2104" s="7" t="s">
        <v>60</v>
      </c>
      <c r="F2104" s="7">
        <v>1</v>
      </c>
      <c r="G2104" s="7" t="s">
        <v>14</v>
      </c>
      <c r="H2104" s="7" t="s">
        <v>314</v>
      </c>
      <c r="M2104" s="7" t="s">
        <v>865</v>
      </c>
      <c r="N2104" s="7" t="s">
        <v>580</v>
      </c>
      <c r="O2104" s="17" t="s">
        <v>680</v>
      </c>
      <c r="P2104" s="7">
        <f t="shared" si="185"/>
        <v>9</v>
      </c>
      <c r="Q2104" s="7">
        <f t="shared" si="186"/>
        <v>2025</v>
      </c>
    </row>
    <row r="2105" spans="1:17" x14ac:dyDescent="0.25">
      <c r="A2105" s="7">
        <v>2549</v>
      </c>
      <c r="B2105" s="9" t="s">
        <v>862</v>
      </c>
      <c r="C2105" s="9" t="s">
        <v>59</v>
      </c>
      <c r="D2105" s="8">
        <v>45924</v>
      </c>
      <c r="E2105" s="7" t="s">
        <v>60</v>
      </c>
      <c r="F2105" s="7">
        <v>1</v>
      </c>
      <c r="G2105" s="7" t="s">
        <v>14</v>
      </c>
      <c r="H2105" s="7" t="s">
        <v>314</v>
      </c>
      <c r="M2105" s="7" t="s">
        <v>865</v>
      </c>
      <c r="N2105" s="7" t="s">
        <v>580</v>
      </c>
      <c r="O2105" s="17" t="s">
        <v>680</v>
      </c>
      <c r="P2105" s="7">
        <f t="shared" si="185"/>
        <v>9</v>
      </c>
      <c r="Q2105" s="7">
        <f t="shared" si="186"/>
        <v>2025</v>
      </c>
    </row>
    <row r="2106" spans="1:17" x14ac:dyDescent="0.25">
      <c r="A2106" s="7">
        <v>2549</v>
      </c>
      <c r="B2106" s="9" t="s">
        <v>862</v>
      </c>
      <c r="C2106" s="9" t="s">
        <v>59</v>
      </c>
      <c r="D2106" s="8">
        <v>45924</v>
      </c>
      <c r="E2106" s="7" t="s">
        <v>60</v>
      </c>
      <c r="F2106" s="7">
        <v>1</v>
      </c>
      <c r="G2106" s="7" t="s">
        <v>14</v>
      </c>
      <c r="H2106" s="7" t="s">
        <v>314</v>
      </c>
      <c r="M2106" s="7" t="s">
        <v>865</v>
      </c>
      <c r="N2106" s="7" t="s">
        <v>580</v>
      </c>
      <c r="O2106" s="17" t="s">
        <v>680</v>
      </c>
      <c r="P2106" s="7">
        <f t="shared" si="185"/>
        <v>9</v>
      </c>
      <c r="Q2106" s="7">
        <f t="shared" si="186"/>
        <v>2025</v>
      </c>
    </row>
    <row r="2107" spans="1:17" x14ac:dyDescent="0.25">
      <c r="A2107" s="7">
        <v>2549</v>
      </c>
      <c r="B2107" s="9" t="s">
        <v>862</v>
      </c>
      <c r="C2107" s="9" t="s">
        <v>59</v>
      </c>
      <c r="D2107" s="8">
        <v>45924</v>
      </c>
      <c r="E2107" s="7" t="s">
        <v>60</v>
      </c>
      <c r="F2107" s="7">
        <v>1</v>
      </c>
      <c r="G2107" s="7" t="s">
        <v>14</v>
      </c>
      <c r="H2107" s="7" t="s">
        <v>314</v>
      </c>
      <c r="M2107" s="7" t="s">
        <v>865</v>
      </c>
      <c r="N2107" s="7" t="s">
        <v>580</v>
      </c>
      <c r="O2107" s="17" t="s">
        <v>680</v>
      </c>
      <c r="P2107" s="7">
        <f t="shared" si="185"/>
        <v>9</v>
      </c>
      <c r="Q2107" s="7">
        <f t="shared" si="186"/>
        <v>2025</v>
      </c>
    </row>
    <row r="2108" spans="1:17" x14ac:dyDescent="0.25">
      <c r="A2108" s="7">
        <v>2549</v>
      </c>
      <c r="B2108" s="9" t="s">
        <v>862</v>
      </c>
      <c r="C2108" s="9" t="s">
        <v>59</v>
      </c>
      <c r="D2108" s="8">
        <v>45924</v>
      </c>
      <c r="E2108" s="7" t="s">
        <v>60</v>
      </c>
      <c r="F2108" s="7">
        <v>1</v>
      </c>
      <c r="G2108" s="7" t="s">
        <v>14</v>
      </c>
      <c r="H2108" s="7" t="s">
        <v>314</v>
      </c>
      <c r="M2108" s="7" t="s">
        <v>865</v>
      </c>
      <c r="N2108" s="7" t="s">
        <v>580</v>
      </c>
      <c r="O2108" s="17" t="s">
        <v>680</v>
      </c>
      <c r="P2108" s="7">
        <f t="shared" si="185"/>
        <v>9</v>
      </c>
      <c r="Q2108" s="7">
        <f t="shared" si="186"/>
        <v>2025</v>
      </c>
    </row>
    <row r="2109" spans="1:17" x14ac:dyDescent="0.25">
      <c r="A2109" s="7">
        <v>2549</v>
      </c>
      <c r="B2109" s="9" t="s">
        <v>862</v>
      </c>
      <c r="C2109" s="9" t="s">
        <v>59</v>
      </c>
      <c r="D2109" s="8">
        <v>45924</v>
      </c>
      <c r="E2109" s="7" t="s">
        <v>60</v>
      </c>
      <c r="F2109" s="7">
        <v>1</v>
      </c>
      <c r="G2109" s="7" t="s">
        <v>14</v>
      </c>
      <c r="H2109" s="7" t="s">
        <v>314</v>
      </c>
      <c r="M2109" s="7" t="s">
        <v>865</v>
      </c>
      <c r="N2109" s="7" t="s">
        <v>580</v>
      </c>
      <c r="O2109" s="17" t="s">
        <v>680</v>
      </c>
      <c r="P2109" s="7">
        <f t="shared" si="185"/>
        <v>9</v>
      </c>
      <c r="Q2109" s="7">
        <f t="shared" si="186"/>
        <v>2025</v>
      </c>
    </row>
    <row r="2110" spans="1:17" x14ac:dyDescent="0.25">
      <c r="A2110" s="7">
        <v>2549</v>
      </c>
      <c r="B2110" s="9" t="s">
        <v>862</v>
      </c>
      <c r="C2110" s="9" t="s">
        <v>59</v>
      </c>
      <c r="D2110" s="8">
        <v>45924</v>
      </c>
      <c r="E2110" s="7" t="s">
        <v>60</v>
      </c>
      <c r="F2110" s="7">
        <v>1</v>
      </c>
      <c r="G2110" s="7" t="s">
        <v>14</v>
      </c>
      <c r="H2110" s="7" t="s">
        <v>314</v>
      </c>
      <c r="M2110" s="7" t="s">
        <v>865</v>
      </c>
      <c r="N2110" s="7" t="s">
        <v>580</v>
      </c>
      <c r="O2110" s="17" t="s">
        <v>680</v>
      </c>
      <c r="P2110" s="7">
        <f t="shared" si="185"/>
        <v>9</v>
      </c>
      <c r="Q2110" s="7">
        <f t="shared" si="186"/>
        <v>2025</v>
      </c>
    </row>
    <row r="2111" spans="1:17" x14ac:dyDescent="0.25">
      <c r="A2111" s="7">
        <v>2549</v>
      </c>
      <c r="B2111" s="9" t="s">
        <v>862</v>
      </c>
      <c r="C2111" s="9" t="s">
        <v>59</v>
      </c>
      <c r="D2111" s="8">
        <v>45924</v>
      </c>
      <c r="E2111" s="7" t="s">
        <v>60</v>
      </c>
      <c r="F2111" s="7">
        <v>1</v>
      </c>
      <c r="G2111" s="7" t="s">
        <v>14</v>
      </c>
      <c r="H2111" s="7" t="s">
        <v>314</v>
      </c>
      <c r="M2111" s="7" t="s">
        <v>865</v>
      </c>
      <c r="N2111" s="7" t="s">
        <v>580</v>
      </c>
      <c r="O2111" s="17" t="s">
        <v>680</v>
      </c>
      <c r="P2111" s="7">
        <f t="shared" si="185"/>
        <v>9</v>
      </c>
      <c r="Q2111" s="7">
        <f t="shared" si="186"/>
        <v>2025</v>
      </c>
    </row>
    <row r="2112" spans="1:17" x14ac:dyDescent="0.25">
      <c r="A2112" s="7">
        <v>2549</v>
      </c>
      <c r="B2112" s="9" t="s">
        <v>862</v>
      </c>
      <c r="C2112" s="9" t="s">
        <v>59</v>
      </c>
      <c r="D2112" s="8">
        <v>45924</v>
      </c>
      <c r="E2112" s="7" t="s">
        <v>60</v>
      </c>
      <c r="F2112" s="7">
        <v>1</v>
      </c>
      <c r="G2112" s="7" t="s">
        <v>14</v>
      </c>
      <c r="H2112" s="7" t="s">
        <v>314</v>
      </c>
      <c r="M2112" s="7" t="s">
        <v>865</v>
      </c>
      <c r="N2112" s="7" t="s">
        <v>580</v>
      </c>
      <c r="O2112" s="17" t="s">
        <v>680</v>
      </c>
      <c r="P2112" s="7">
        <f t="shared" si="185"/>
        <v>9</v>
      </c>
      <c r="Q2112" s="7">
        <f t="shared" si="186"/>
        <v>2025</v>
      </c>
    </row>
    <row r="2113" spans="1:17" x14ac:dyDescent="0.25">
      <c r="A2113" s="7">
        <v>2549</v>
      </c>
      <c r="B2113" s="9" t="s">
        <v>862</v>
      </c>
      <c r="C2113" s="9" t="s">
        <v>59</v>
      </c>
      <c r="D2113" s="8">
        <v>45924</v>
      </c>
      <c r="E2113" s="7" t="s">
        <v>60</v>
      </c>
      <c r="F2113" s="7">
        <v>1</v>
      </c>
      <c r="G2113" s="7" t="s">
        <v>14</v>
      </c>
      <c r="H2113" s="7" t="s">
        <v>314</v>
      </c>
      <c r="M2113" s="7" t="s">
        <v>865</v>
      </c>
      <c r="N2113" s="7" t="s">
        <v>580</v>
      </c>
      <c r="O2113" s="17" t="s">
        <v>680</v>
      </c>
      <c r="P2113" s="7">
        <f t="shared" si="185"/>
        <v>9</v>
      </c>
      <c r="Q2113" s="7">
        <f t="shared" si="186"/>
        <v>2025</v>
      </c>
    </row>
    <row r="2114" spans="1:17" x14ac:dyDescent="0.25">
      <c r="A2114" s="7">
        <v>2549</v>
      </c>
      <c r="B2114" s="9" t="s">
        <v>862</v>
      </c>
      <c r="C2114" s="9" t="s">
        <v>59</v>
      </c>
      <c r="D2114" s="8">
        <v>45924</v>
      </c>
      <c r="E2114" s="7" t="s">
        <v>60</v>
      </c>
      <c r="F2114" s="7">
        <v>1</v>
      </c>
      <c r="G2114" s="7" t="s">
        <v>14</v>
      </c>
      <c r="H2114" s="7" t="s">
        <v>314</v>
      </c>
      <c r="M2114" s="7" t="s">
        <v>865</v>
      </c>
      <c r="N2114" s="7" t="s">
        <v>580</v>
      </c>
      <c r="O2114" s="17" t="s">
        <v>680</v>
      </c>
      <c r="P2114" s="7">
        <f t="shared" si="185"/>
        <v>9</v>
      </c>
      <c r="Q2114" s="7">
        <f t="shared" si="186"/>
        <v>2025</v>
      </c>
    </row>
    <row r="2115" spans="1:17" x14ac:dyDescent="0.25">
      <c r="A2115" s="7">
        <v>2549</v>
      </c>
      <c r="B2115" s="9" t="s">
        <v>862</v>
      </c>
      <c r="C2115" s="9" t="s">
        <v>59</v>
      </c>
      <c r="D2115" s="8">
        <v>45924</v>
      </c>
      <c r="E2115" s="7" t="s">
        <v>60</v>
      </c>
      <c r="F2115" s="7">
        <v>1</v>
      </c>
      <c r="G2115" s="7" t="s">
        <v>14</v>
      </c>
      <c r="H2115" s="7" t="s">
        <v>314</v>
      </c>
      <c r="M2115" s="7" t="s">
        <v>865</v>
      </c>
      <c r="N2115" s="7" t="s">
        <v>580</v>
      </c>
      <c r="O2115" s="17" t="s">
        <v>680</v>
      </c>
      <c r="P2115" s="7">
        <f t="shared" si="185"/>
        <v>9</v>
      </c>
      <c r="Q2115" s="7">
        <f t="shared" si="186"/>
        <v>2025</v>
      </c>
    </row>
    <row r="2116" spans="1:17" x14ac:dyDescent="0.25">
      <c r="A2116" s="7">
        <v>2549</v>
      </c>
      <c r="B2116" s="9" t="s">
        <v>862</v>
      </c>
      <c r="C2116" s="9" t="s">
        <v>59</v>
      </c>
      <c r="D2116" s="8">
        <v>45924</v>
      </c>
      <c r="E2116" s="7" t="s">
        <v>60</v>
      </c>
      <c r="F2116" s="7">
        <v>1</v>
      </c>
      <c r="G2116" s="7" t="s">
        <v>14</v>
      </c>
      <c r="H2116" s="7" t="s">
        <v>314</v>
      </c>
      <c r="M2116" s="7" t="s">
        <v>865</v>
      </c>
      <c r="N2116" s="7" t="s">
        <v>580</v>
      </c>
      <c r="O2116" s="17" t="s">
        <v>680</v>
      </c>
      <c r="P2116" s="7">
        <f t="shared" si="185"/>
        <v>9</v>
      </c>
      <c r="Q2116" s="7">
        <f t="shared" si="186"/>
        <v>2025</v>
      </c>
    </row>
    <row r="2117" spans="1:17" x14ac:dyDescent="0.25">
      <c r="A2117" s="7">
        <v>2549</v>
      </c>
      <c r="B2117" s="9" t="s">
        <v>862</v>
      </c>
      <c r="C2117" s="9" t="s">
        <v>59</v>
      </c>
      <c r="D2117" s="8">
        <v>45924</v>
      </c>
      <c r="E2117" s="7" t="s">
        <v>60</v>
      </c>
      <c r="F2117" s="7">
        <v>1</v>
      </c>
      <c r="G2117" s="7" t="s">
        <v>14</v>
      </c>
      <c r="H2117" s="7" t="s">
        <v>314</v>
      </c>
      <c r="M2117" s="7" t="s">
        <v>865</v>
      </c>
      <c r="N2117" s="7" t="s">
        <v>580</v>
      </c>
      <c r="O2117" s="17" t="s">
        <v>680</v>
      </c>
      <c r="P2117" s="7">
        <f t="shared" si="185"/>
        <v>9</v>
      </c>
      <c r="Q2117" s="7">
        <f t="shared" si="186"/>
        <v>2025</v>
      </c>
    </row>
    <row r="2118" spans="1:17" x14ac:dyDescent="0.25">
      <c r="A2118" s="7">
        <v>2549</v>
      </c>
      <c r="B2118" s="9" t="s">
        <v>862</v>
      </c>
      <c r="C2118" s="9" t="s">
        <v>59</v>
      </c>
      <c r="D2118" s="8">
        <v>45924</v>
      </c>
      <c r="E2118" s="7" t="s">
        <v>60</v>
      </c>
      <c r="F2118" s="7">
        <v>1</v>
      </c>
      <c r="G2118" s="7" t="s">
        <v>14</v>
      </c>
      <c r="H2118" s="7" t="s">
        <v>314</v>
      </c>
      <c r="M2118" s="7" t="s">
        <v>865</v>
      </c>
      <c r="N2118" s="7" t="s">
        <v>580</v>
      </c>
      <c r="O2118" s="17" t="s">
        <v>680</v>
      </c>
      <c r="P2118" s="7">
        <f t="shared" si="185"/>
        <v>9</v>
      </c>
      <c r="Q2118" s="7">
        <f t="shared" si="186"/>
        <v>2025</v>
      </c>
    </row>
    <row r="2119" spans="1:17" x14ac:dyDescent="0.25">
      <c r="A2119" s="7">
        <v>2549</v>
      </c>
      <c r="B2119" s="9" t="s">
        <v>862</v>
      </c>
      <c r="C2119" s="9" t="s">
        <v>59</v>
      </c>
      <c r="D2119" s="8">
        <v>45924</v>
      </c>
      <c r="E2119" s="7" t="s">
        <v>60</v>
      </c>
      <c r="F2119" s="7">
        <v>1</v>
      </c>
      <c r="G2119" s="7" t="s">
        <v>14</v>
      </c>
      <c r="H2119" s="7" t="s">
        <v>314</v>
      </c>
      <c r="M2119" s="7" t="s">
        <v>865</v>
      </c>
      <c r="N2119" s="7" t="s">
        <v>580</v>
      </c>
      <c r="O2119" s="17" t="s">
        <v>680</v>
      </c>
      <c r="P2119" s="7">
        <f t="shared" si="185"/>
        <v>9</v>
      </c>
      <c r="Q2119" s="7">
        <f t="shared" si="186"/>
        <v>2025</v>
      </c>
    </row>
    <row r="2120" spans="1:17" x14ac:dyDescent="0.25">
      <c r="A2120" s="7">
        <v>2549</v>
      </c>
      <c r="B2120" s="9" t="s">
        <v>862</v>
      </c>
      <c r="C2120" s="9" t="s">
        <v>59</v>
      </c>
      <c r="D2120" s="8">
        <v>45924</v>
      </c>
      <c r="E2120" s="7" t="s">
        <v>60</v>
      </c>
      <c r="F2120" s="7">
        <v>1</v>
      </c>
      <c r="G2120" s="7" t="s">
        <v>14</v>
      </c>
      <c r="H2120" s="7" t="s">
        <v>314</v>
      </c>
      <c r="M2120" s="7" t="s">
        <v>865</v>
      </c>
      <c r="N2120" s="7" t="s">
        <v>580</v>
      </c>
      <c r="O2120" s="17" t="s">
        <v>680</v>
      </c>
      <c r="P2120" s="7">
        <f t="shared" si="185"/>
        <v>9</v>
      </c>
      <c r="Q2120" s="7">
        <f t="shared" si="186"/>
        <v>2025</v>
      </c>
    </row>
    <row r="2121" spans="1:17" x14ac:dyDescent="0.25">
      <c r="A2121" s="7">
        <v>2549</v>
      </c>
      <c r="B2121" s="9" t="s">
        <v>862</v>
      </c>
      <c r="C2121" s="9" t="s">
        <v>59</v>
      </c>
      <c r="D2121" s="8">
        <v>45924</v>
      </c>
      <c r="E2121" s="7" t="s">
        <v>60</v>
      </c>
      <c r="F2121" s="7">
        <v>1</v>
      </c>
      <c r="G2121" s="7" t="s">
        <v>14</v>
      </c>
      <c r="H2121" s="7" t="s">
        <v>314</v>
      </c>
      <c r="M2121" s="7" t="s">
        <v>865</v>
      </c>
      <c r="N2121" s="7" t="s">
        <v>580</v>
      </c>
      <c r="O2121" s="17" t="s">
        <v>680</v>
      </c>
      <c r="P2121" s="7">
        <f t="shared" si="185"/>
        <v>9</v>
      </c>
      <c r="Q2121" s="7">
        <f t="shared" si="186"/>
        <v>2025</v>
      </c>
    </row>
    <row r="2122" spans="1:17" x14ac:dyDescent="0.25">
      <c r="A2122" s="7">
        <v>2549</v>
      </c>
      <c r="B2122" s="9" t="s">
        <v>862</v>
      </c>
      <c r="C2122" s="9" t="s">
        <v>59</v>
      </c>
      <c r="D2122" s="8">
        <v>45924</v>
      </c>
      <c r="E2122" s="7" t="s">
        <v>60</v>
      </c>
      <c r="F2122" s="7">
        <v>1</v>
      </c>
      <c r="G2122" s="7" t="s">
        <v>14</v>
      </c>
      <c r="H2122" s="7" t="s">
        <v>314</v>
      </c>
      <c r="M2122" s="7" t="s">
        <v>865</v>
      </c>
      <c r="N2122" s="7" t="s">
        <v>580</v>
      </c>
      <c r="O2122" s="17" t="s">
        <v>680</v>
      </c>
      <c r="P2122" s="7">
        <f t="shared" si="185"/>
        <v>9</v>
      </c>
      <c r="Q2122" s="7">
        <f t="shared" si="186"/>
        <v>2025</v>
      </c>
    </row>
    <row r="2123" spans="1:17" x14ac:dyDescent="0.25">
      <c r="A2123" s="7">
        <v>2549</v>
      </c>
      <c r="B2123" s="9" t="s">
        <v>862</v>
      </c>
      <c r="C2123" s="9" t="s">
        <v>59</v>
      </c>
      <c r="D2123" s="8">
        <v>45924</v>
      </c>
      <c r="E2123" s="7" t="s">
        <v>60</v>
      </c>
      <c r="F2123" s="7">
        <v>1</v>
      </c>
      <c r="G2123" s="7" t="s">
        <v>14</v>
      </c>
      <c r="H2123" s="7" t="s">
        <v>314</v>
      </c>
      <c r="M2123" s="7" t="s">
        <v>865</v>
      </c>
      <c r="N2123" s="7" t="s">
        <v>580</v>
      </c>
      <c r="O2123" s="17" t="s">
        <v>680</v>
      </c>
      <c r="P2123" s="7">
        <f t="shared" si="185"/>
        <v>9</v>
      </c>
      <c r="Q2123" s="7">
        <f t="shared" si="186"/>
        <v>2025</v>
      </c>
    </row>
    <row r="2124" spans="1:17" x14ac:dyDescent="0.25">
      <c r="A2124" s="7">
        <v>2549</v>
      </c>
      <c r="B2124" s="9" t="s">
        <v>862</v>
      </c>
      <c r="C2124" s="9" t="s">
        <v>59</v>
      </c>
      <c r="D2124" s="8">
        <v>45924</v>
      </c>
      <c r="E2124" s="7" t="s">
        <v>60</v>
      </c>
      <c r="F2124" s="7">
        <v>1</v>
      </c>
      <c r="G2124" s="7" t="s">
        <v>14</v>
      </c>
      <c r="H2124" s="7" t="s">
        <v>314</v>
      </c>
      <c r="M2124" s="7" t="s">
        <v>865</v>
      </c>
      <c r="N2124" s="7" t="s">
        <v>580</v>
      </c>
      <c r="O2124" s="17" t="s">
        <v>680</v>
      </c>
      <c r="P2124" s="7">
        <f t="shared" ref="P2124:P2148" si="187">MONTH(D2124)</f>
        <v>9</v>
      </c>
      <c r="Q2124" s="7">
        <f t="shared" si="186"/>
        <v>2025</v>
      </c>
    </row>
    <row r="2125" spans="1:17" x14ac:dyDescent="0.25">
      <c r="A2125" s="7">
        <v>2549</v>
      </c>
      <c r="B2125" s="9" t="s">
        <v>862</v>
      </c>
      <c r="C2125" s="9" t="s">
        <v>59</v>
      </c>
      <c r="D2125" s="8">
        <v>45924</v>
      </c>
      <c r="E2125" s="7" t="s">
        <v>60</v>
      </c>
      <c r="F2125" s="7">
        <v>1</v>
      </c>
      <c r="G2125" s="7" t="s">
        <v>14</v>
      </c>
      <c r="H2125" s="7" t="s">
        <v>314</v>
      </c>
      <c r="M2125" s="7" t="s">
        <v>865</v>
      </c>
      <c r="N2125" s="7" t="s">
        <v>580</v>
      </c>
      <c r="O2125" s="17" t="s">
        <v>680</v>
      </c>
      <c r="P2125" s="7">
        <f t="shared" si="187"/>
        <v>9</v>
      </c>
      <c r="Q2125" s="7">
        <f t="shared" si="186"/>
        <v>2025</v>
      </c>
    </row>
    <row r="2126" spans="1:17" x14ac:dyDescent="0.25">
      <c r="A2126" s="7">
        <v>2549</v>
      </c>
      <c r="B2126" s="9" t="s">
        <v>862</v>
      </c>
      <c r="C2126" s="9" t="s">
        <v>59</v>
      </c>
      <c r="D2126" s="8">
        <v>45924</v>
      </c>
      <c r="E2126" s="7" t="s">
        <v>60</v>
      </c>
      <c r="F2126" s="7">
        <v>1</v>
      </c>
      <c r="G2126" s="7" t="s">
        <v>14</v>
      </c>
      <c r="H2126" s="7" t="s">
        <v>314</v>
      </c>
      <c r="M2126" s="7" t="s">
        <v>865</v>
      </c>
      <c r="N2126" s="7" t="s">
        <v>580</v>
      </c>
      <c r="O2126" s="17" t="s">
        <v>680</v>
      </c>
      <c r="P2126" s="7">
        <f t="shared" si="187"/>
        <v>9</v>
      </c>
      <c r="Q2126" s="7">
        <f t="shared" si="186"/>
        <v>2025</v>
      </c>
    </row>
    <row r="2127" spans="1:17" x14ac:dyDescent="0.25">
      <c r="A2127" s="7">
        <v>2549</v>
      </c>
      <c r="B2127" s="9" t="s">
        <v>862</v>
      </c>
      <c r="C2127" s="9" t="s">
        <v>59</v>
      </c>
      <c r="D2127" s="8">
        <v>45924</v>
      </c>
      <c r="E2127" s="7" t="s">
        <v>60</v>
      </c>
      <c r="F2127" s="7">
        <v>1</v>
      </c>
      <c r="G2127" s="7" t="s">
        <v>14</v>
      </c>
      <c r="H2127" s="7" t="s">
        <v>314</v>
      </c>
      <c r="M2127" s="7" t="s">
        <v>865</v>
      </c>
      <c r="N2127" s="7" t="s">
        <v>580</v>
      </c>
      <c r="O2127" s="17" t="s">
        <v>680</v>
      </c>
      <c r="P2127" s="7">
        <f t="shared" si="187"/>
        <v>9</v>
      </c>
      <c r="Q2127" s="7">
        <f t="shared" si="186"/>
        <v>2025</v>
      </c>
    </row>
    <row r="2128" spans="1:17" x14ac:dyDescent="0.25">
      <c r="A2128" s="7">
        <v>2549</v>
      </c>
      <c r="B2128" s="9" t="s">
        <v>862</v>
      </c>
      <c r="C2128" s="9" t="s">
        <v>59</v>
      </c>
      <c r="D2128" s="8">
        <v>45924</v>
      </c>
      <c r="E2128" s="7" t="s">
        <v>60</v>
      </c>
      <c r="F2128" s="7">
        <v>1</v>
      </c>
      <c r="G2128" s="7" t="s">
        <v>14</v>
      </c>
      <c r="H2128" s="7" t="s">
        <v>314</v>
      </c>
      <c r="M2128" s="7" t="s">
        <v>865</v>
      </c>
      <c r="N2128" s="7" t="s">
        <v>580</v>
      </c>
      <c r="O2128" s="17" t="s">
        <v>680</v>
      </c>
      <c r="P2128" s="7">
        <f t="shared" si="187"/>
        <v>9</v>
      </c>
      <c r="Q2128" s="7">
        <f t="shared" si="186"/>
        <v>2025</v>
      </c>
    </row>
    <row r="2129" spans="1:17" x14ac:dyDescent="0.25">
      <c r="A2129" s="7">
        <v>2549</v>
      </c>
      <c r="B2129" s="9" t="s">
        <v>862</v>
      </c>
      <c r="C2129" s="9" t="s">
        <v>59</v>
      </c>
      <c r="D2129" s="8">
        <v>45924</v>
      </c>
      <c r="E2129" s="7" t="s">
        <v>60</v>
      </c>
      <c r="F2129" s="7">
        <v>1</v>
      </c>
      <c r="G2129" s="7" t="s">
        <v>14</v>
      </c>
      <c r="H2129" s="7" t="s">
        <v>314</v>
      </c>
      <c r="M2129" s="7" t="s">
        <v>865</v>
      </c>
      <c r="N2129" s="7" t="s">
        <v>580</v>
      </c>
      <c r="O2129" s="17" t="s">
        <v>680</v>
      </c>
      <c r="P2129" s="7">
        <f t="shared" si="187"/>
        <v>9</v>
      </c>
      <c r="Q2129" s="7">
        <f t="shared" si="186"/>
        <v>2025</v>
      </c>
    </row>
    <row r="2130" spans="1:17" x14ac:dyDescent="0.25">
      <c r="A2130" s="7">
        <v>2549</v>
      </c>
      <c r="B2130" s="9" t="s">
        <v>862</v>
      </c>
      <c r="C2130" s="9" t="s">
        <v>59</v>
      </c>
      <c r="D2130" s="8">
        <v>45924</v>
      </c>
      <c r="E2130" s="7" t="s">
        <v>60</v>
      </c>
      <c r="F2130" s="7">
        <v>1</v>
      </c>
      <c r="G2130" s="7" t="s">
        <v>14</v>
      </c>
      <c r="H2130" s="7" t="s">
        <v>314</v>
      </c>
      <c r="M2130" s="7" t="s">
        <v>865</v>
      </c>
      <c r="N2130" s="7" t="s">
        <v>580</v>
      </c>
      <c r="O2130" s="17" t="s">
        <v>680</v>
      </c>
      <c r="P2130" s="7">
        <f t="shared" si="187"/>
        <v>9</v>
      </c>
      <c r="Q2130" s="7">
        <f t="shared" si="186"/>
        <v>2025</v>
      </c>
    </row>
    <row r="2131" spans="1:17" x14ac:dyDescent="0.25">
      <c r="A2131" s="7">
        <v>2549</v>
      </c>
      <c r="B2131" s="9" t="s">
        <v>862</v>
      </c>
      <c r="C2131" s="9" t="s">
        <v>59</v>
      </c>
      <c r="D2131" s="8">
        <v>45924</v>
      </c>
      <c r="E2131" s="7" t="s">
        <v>60</v>
      </c>
      <c r="F2131" s="7">
        <v>1</v>
      </c>
      <c r="G2131" s="7" t="s">
        <v>14</v>
      </c>
      <c r="H2131" s="7" t="s">
        <v>314</v>
      </c>
      <c r="M2131" s="7" t="s">
        <v>865</v>
      </c>
      <c r="N2131" s="7" t="s">
        <v>580</v>
      </c>
      <c r="O2131" s="17" t="s">
        <v>680</v>
      </c>
      <c r="P2131" s="7">
        <f t="shared" si="187"/>
        <v>9</v>
      </c>
      <c r="Q2131" s="7">
        <f t="shared" si="186"/>
        <v>2025</v>
      </c>
    </row>
    <row r="2132" spans="1:17" x14ac:dyDescent="0.25">
      <c r="A2132" s="7">
        <v>2549</v>
      </c>
      <c r="B2132" s="9" t="s">
        <v>862</v>
      </c>
      <c r="C2132" s="9" t="s">
        <v>59</v>
      </c>
      <c r="D2132" s="8">
        <v>45924</v>
      </c>
      <c r="E2132" s="7" t="s">
        <v>60</v>
      </c>
      <c r="F2132" s="7">
        <v>1</v>
      </c>
      <c r="G2132" s="7" t="s">
        <v>14</v>
      </c>
      <c r="H2132" s="7" t="s">
        <v>314</v>
      </c>
      <c r="M2132" s="7" t="s">
        <v>865</v>
      </c>
      <c r="N2132" s="7" t="s">
        <v>580</v>
      </c>
      <c r="O2132" s="17" t="s">
        <v>680</v>
      </c>
      <c r="P2132" s="7">
        <f t="shared" si="187"/>
        <v>9</v>
      </c>
      <c r="Q2132" s="7">
        <f t="shared" si="186"/>
        <v>2025</v>
      </c>
    </row>
    <row r="2133" spans="1:17" x14ac:dyDescent="0.25">
      <c r="A2133" s="7">
        <v>2549</v>
      </c>
      <c r="B2133" s="9" t="s">
        <v>862</v>
      </c>
      <c r="C2133" s="9" t="s">
        <v>59</v>
      </c>
      <c r="D2133" s="8">
        <v>45924</v>
      </c>
      <c r="E2133" s="7" t="s">
        <v>60</v>
      </c>
      <c r="F2133" s="7">
        <v>1</v>
      </c>
      <c r="G2133" s="7" t="s">
        <v>14</v>
      </c>
      <c r="H2133" s="7" t="s">
        <v>314</v>
      </c>
      <c r="M2133" s="7" t="s">
        <v>865</v>
      </c>
      <c r="N2133" s="7" t="s">
        <v>580</v>
      </c>
      <c r="O2133" s="17" t="s">
        <v>680</v>
      </c>
      <c r="P2133" s="7">
        <f t="shared" si="187"/>
        <v>9</v>
      </c>
      <c r="Q2133" s="7">
        <f t="shared" si="186"/>
        <v>2025</v>
      </c>
    </row>
    <row r="2134" spans="1:17" x14ac:dyDescent="0.25">
      <c r="A2134" s="7">
        <v>2549</v>
      </c>
      <c r="B2134" s="9" t="s">
        <v>862</v>
      </c>
      <c r="C2134" s="9" t="s">
        <v>59</v>
      </c>
      <c r="D2134" s="8">
        <v>45924</v>
      </c>
      <c r="E2134" s="7" t="s">
        <v>60</v>
      </c>
      <c r="F2134" s="7">
        <v>1</v>
      </c>
      <c r="G2134" s="7" t="s">
        <v>14</v>
      </c>
      <c r="H2134" s="7" t="s">
        <v>314</v>
      </c>
      <c r="M2134" s="7" t="s">
        <v>865</v>
      </c>
      <c r="N2134" s="7" t="s">
        <v>580</v>
      </c>
      <c r="O2134" s="17" t="s">
        <v>680</v>
      </c>
      <c r="P2134" s="7">
        <f t="shared" si="187"/>
        <v>9</v>
      </c>
      <c r="Q2134" s="7">
        <f t="shared" si="186"/>
        <v>2025</v>
      </c>
    </row>
    <row r="2135" spans="1:17" x14ac:dyDescent="0.25">
      <c r="A2135" s="7">
        <v>2549</v>
      </c>
      <c r="B2135" s="9" t="s">
        <v>862</v>
      </c>
      <c r="C2135" s="9" t="s">
        <v>59</v>
      </c>
      <c r="D2135" s="8">
        <v>45924</v>
      </c>
      <c r="E2135" s="7" t="s">
        <v>60</v>
      </c>
      <c r="F2135" s="7">
        <v>1</v>
      </c>
      <c r="G2135" s="7" t="s">
        <v>14</v>
      </c>
      <c r="H2135" s="7" t="s">
        <v>314</v>
      </c>
      <c r="M2135" s="7" t="s">
        <v>865</v>
      </c>
      <c r="N2135" s="7" t="s">
        <v>580</v>
      </c>
      <c r="O2135" s="17" t="s">
        <v>680</v>
      </c>
      <c r="P2135" s="7">
        <f t="shared" si="187"/>
        <v>9</v>
      </c>
      <c r="Q2135" s="7">
        <f t="shared" si="186"/>
        <v>2025</v>
      </c>
    </row>
    <row r="2136" spans="1:17" x14ac:dyDescent="0.25">
      <c r="A2136" s="7">
        <v>2549</v>
      </c>
      <c r="B2136" s="9" t="s">
        <v>862</v>
      </c>
      <c r="C2136" s="9" t="s">
        <v>59</v>
      </c>
      <c r="D2136" s="8">
        <v>45924</v>
      </c>
      <c r="E2136" s="7" t="s">
        <v>60</v>
      </c>
      <c r="F2136" s="7">
        <v>1</v>
      </c>
      <c r="G2136" s="7" t="s">
        <v>14</v>
      </c>
      <c r="H2136" s="7" t="s">
        <v>314</v>
      </c>
      <c r="M2136" s="7" t="s">
        <v>865</v>
      </c>
      <c r="N2136" s="7" t="s">
        <v>580</v>
      </c>
      <c r="O2136" s="17" t="s">
        <v>680</v>
      </c>
      <c r="P2136" s="7">
        <f t="shared" si="187"/>
        <v>9</v>
      </c>
      <c r="Q2136" s="7">
        <f t="shared" si="186"/>
        <v>2025</v>
      </c>
    </row>
    <row r="2137" spans="1:17" x14ac:dyDescent="0.25">
      <c r="A2137" s="7">
        <v>2549</v>
      </c>
      <c r="B2137" s="9" t="s">
        <v>862</v>
      </c>
      <c r="C2137" s="9" t="s">
        <v>59</v>
      </c>
      <c r="D2137" s="8">
        <v>45924</v>
      </c>
      <c r="E2137" s="7" t="s">
        <v>60</v>
      </c>
      <c r="F2137" s="7">
        <v>1</v>
      </c>
      <c r="G2137" s="7" t="s">
        <v>14</v>
      </c>
      <c r="H2137" s="7" t="s">
        <v>314</v>
      </c>
      <c r="M2137" s="7" t="s">
        <v>865</v>
      </c>
      <c r="N2137" s="7" t="s">
        <v>580</v>
      </c>
      <c r="O2137" s="17" t="s">
        <v>680</v>
      </c>
      <c r="P2137" s="7">
        <f t="shared" si="187"/>
        <v>9</v>
      </c>
      <c r="Q2137" s="7">
        <f t="shared" si="186"/>
        <v>2025</v>
      </c>
    </row>
    <row r="2138" spans="1:17" x14ac:dyDescent="0.25">
      <c r="A2138" s="7">
        <v>2549</v>
      </c>
      <c r="B2138" s="9" t="s">
        <v>862</v>
      </c>
      <c r="C2138" s="9" t="s">
        <v>59</v>
      </c>
      <c r="D2138" s="8">
        <v>45924</v>
      </c>
      <c r="E2138" s="7" t="s">
        <v>60</v>
      </c>
      <c r="F2138" s="7">
        <v>1</v>
      </c>
      <c r="G2138" s="7" t="s">
        <v>14</v>
      </c>
      <c r="H2138" s="7" t="s">
        <v>314</v>
      </c>
      <c r="M2138" s="7" t="s">
        <v>865</v>
      </c>
      <c r="N2138" s="7" t="s">
        <v>580</v>
      </c>
      <c r="O2138" s="17" t="s">
        <v>680</v>
      </c>
      <c r="P2138" s="7">
        <f t="shared" si="187"/>
        <v>9</v>
      </c>
      <c r="Q2138" s="7">
        <f t="shared" si="186"/>
        <v>2025</v>
      </c>
    </row>
    <row r="2139" spans="1:17" x14ac:dyDescent="0.25">
      <c r="A2139" s="7">
        <v>2549</v>
      </c>
      <c r="B2139" s="9" t="s">
        <v>862</v>
      </c>
      <c r="C2139" s="9" t="s">
        <v>59</v>
      </c>
      <c r="D2139" s="8">
        <v>45924</v>
      </c>
      <c r="E2139" s="7" t="s">
        <v>60</v>
      </c>
      <c r="F2139" s="7">
        <v>1</v>
      </c>
      <c r="G2139" s="7" t="s">
        <v>14</v>
      </c>
      <c r="H2139" s="7" t="s">
        <v>314</v>
      </c>
      <c r="M2139" s="7" t="s">
        <v>865</v>
      </c>
      <c r="N2139" s="7" t="s">
        <v>580</v>
      </c>
      <c r="O2139" s="17" t="s">
        <v>680</v>
      </c>
      <c r="P2139" s="7">
        <f t="shared" si="187"/>
        <v>9</v>
      </c>
      <c r="Q2139" s="7">
        <f t="shared" si="186"/>
        <v>2025</v>
      </c>
    </row>
    <row r="2140" spans="1:17" x14ac:dyDescent="0.25">
      <c r="A2140" s="7">
        <v>2549</v>
      </c>
      <c r="B2140" s="9" t="s">
        <v>862</v>
      </c>
      <c r="C2140" s="9" t="s">
        <v>59</v>
      </c>
      <c r="D2140" s="8">
        <v>45924</v>
      </c>
      <c r="E2140" s="7" t="s">
        <v>60</v>
      </c>
      <c r="F2140" s="7">
        <v>1</v>
      </c>
      <c r="G2140" s="7" t="s">
        <v>14</v>
      </c>
      <c r="H2140" s="7" t="s">
        <v>314</v>
      </c>
      <c r="M2140" s="7" t="s">
        <v>865</v>
      </c>
      <c r="N2140" s="7" t="s">
        <v>580</v>
      </c>
      <c r="O2140" s="17" t="s">
        <v>680</v>
      </c>
      <c r="P2140" s="7">
        <f t="shared" si="187"/>
        <v>9</v>
      </c>
      <c r="Q2140" s="7">
        <f t="shared" si="186"/>
        <v>2025</v>
      </c>
    </row>
    <row r="2141" spans="1:17" x14ac:dyDescent="0.25">
      <c r="A2141" s="7">
        <v>2549</v>
      </c>
      <c r="B2141" s="9" t="s">
        <v>862</v>
      </c>
      <c r="C2141" s="9" t="s">
        <v>59</v>
      </c>
      <c r="D2141" s="8">
        <v>45924</v>
      </c>
      <c r="E2141" s="7" t="s">
        <v>60</v>
      </c>
      <c r="F2141" s="7">
        <v>1</v>
      </c>
      <c r="G2141" s="7" t="s">
        <v>14</v>
      </c>
      <c r="H2141" s="7" t="s">
        <v>314</v>
      </c>
      <c r="M2141" s="7" t="s">
        <v>865</v>
      </c>
      <c r="N2141" s="7" t="s">
        <v>580</v>
      </c>
      <c r="O2141" s="17" t="s">
        <v>680</v>
      </c>
      <c r="P2141" s="7">
        <f t="shared" si="187"/>
        <v>9</v>
      </c>
      <c r="Q2141" s="7">
        <f t="shared" si="186"/>
        <v>2025</v>
      </c>
    </row>
    <row r="2142" spans="1:17" x14ac:dyDescent="0.25">
      <c r="A2142" s="7">
        <v>2549</v>
      </c>
      <c r="B2142" s="9" t="s">
        <v>862</v>
      </c>
      <c r="C2142" s="9" t="s">
        <v>59</v>
      </c>
      <c r="D2142" s="8">
        <v>45924</v>
      </c>
      <c r="E2142" s="7" t="s">
        <v>60</v>
      </c>
      <c r="F2142" s="7">
        <v>1</v>
      </c>
      <c r="G2142" s="7" t="s">
        <v>14</v>
      </c>
      <c r="H2142" s="7" t="s">
        <v>314</v>
      </c>
      <c r="M2142" s="7" t="s">
        <v>865</v>
      </c>
      <c r="N2142" s="7" t="s">
        <v>580</v>
      </c>
      <c r="O2142" s="17" t="s">
        <v>680</v>
      </c>
      <c r="P2142" s="7">
        <f t="shared" si="187"/>
        <v>9</v>
      </c>
      <c r="Q2142" s="7">
        <f t="shared" si="186"/>
        <v>2025</v>
      </c>
    </row>
    <row r="2143" spans="1:17" x14ac:dyDescent="0.25">
      <c r="A2143" s="7">
        <v>2549</v>
      </c>
      <c r="B2143" s="9" t="s">
        <v>862</v>
      </c>
      <c r="C2143" s="9" t="s">
        <v>59</v>
      </c>
      <c r="D2143" s="8">
        <v>45924</v>
      </c>
      <c r="E2143" s="7" t="s">
        <v>60</v>
      </c>
      <c r="F2143" s="7">
        <v>1</v>
      </c>
      <c r="G2143" s="7" t="s">
        <v>14</v>
      </c>
      <c r="H2143" s="7" t="s">
        <v>314</v>
      </c>
      <c r="M2143" s="7" t="s">
        <v>865</v>
      </c>
      <c r="N2143" s="7" t="s">
        <v>580</v>
      </c>
      <c r="O2143" s="17" t="s">
        <v>680</v>
      </c>
      <c r="P2143" s="7">
        <f t="shared" si="187"/>
        <v>9</v>
      </c>
      <c r="Q2143" s="7">
        <f t="shared" si="186"/>
        <v>2025</v>
      </c>
    </row>
    <row r="2144" spans="1:17" x14ac:dyDescent="0.25">
      <c r="A2144" s="7">
        <v>2549</v>
      </c>
      <c r="B2144" s="9" t="s">
        <v>862</v>
      </c>
      <c r="C2144" s="9" t="s">
        <v>59</v>
      </c>
      <c r="D2144" s="8">
        <v>45924</v>
      </c>
      <c r="E2144" s="7" t="s">
        <v>60</v>
      </c>
      <c r="F2144" s="7">
        <v>1</v>
      </c>
      <c r="G2144" s="7" t="s">
        <v>14</v>
      </c>
      <c r="H2144" s="7" t="s">
        <v>314</v>
      </c>
      <c r="M2144" s="7" t="s">
        <v>865</v>
      </c>
      <c r="N2144" s="7" t="s">
        <v>580</v>
      </c>
      <c r="O2144" s="17" t="s">
        <v>680</v>
      </c>
      <c r="P2144" s="7">
        <f t="shared" si="187"/>
        <v>9</v>
      </c>
      <c r="Q2144" s="7">
        <f t="shared" si="186"/>
        <v>2025</v>
      </c>
    </row>
    <row r="2145" spans="1:17" x14ac:dyDescent="0.25">
      <c r="A2145" s="7">
        <v>2549</v>
      </c>
      <c r="B2145" s="9" t="s">
        <v>862</v>
      </c>
      <c r="C2145" s="9" t="s">
        <v>59</v>
      </c>
      <c r="D2145" s="8">
        <v>45924</v>
      </c>
      <c r="E2145" s="7" t="s">
        <v>60</v>
      </c>
      <c r="F2145" s="7">
        <v>1</v>
      </c>
      <c r="G2145" s="7" t="s">
        <v>14</v>
      </c>
      <c r="H2145" s="7" t="s">
        <v>314</v>
      </c>
      <c r="M2145" s="7" t="s">
        <v>865</v>
      </c>
      <c r="N2145" s="7" t="s">
        <v>580</v>
      </c>
      <c r="O2145" s="17" t="s">
        <v>680</v>
      </c>
      <c r="P2145" s="7">
        <f t="shared" si="187"/>
        <v>9</v>
      </c>
      <c r="Q2145" s="7">
        <f t="shared" si="186"/>
        <v>2025</v>
      </c>
    </row>
    <row r="2146" spans="1:17" x14ac:dyDescent="0.25">
      <c r="A2146" s="7">
        <v>2549</v>
      </c>
      <c r="B2146" s="9" t="s">
        <v>862</v>
      </c>
      <c r="C2146" s="9" t="s">
        <v>59</v>
      </c>
      <c r="D2146" s="8">
        <v>45924</v>
      </c>
      <c r="E2146" s="7" t="s">
        <v>60</v>
      </c>
      <c r="F2146" s="7">
        <v>1</v>
      </c>
      <c r="G2146" s="7" t="s">
        <v>14</v>
      </c>
      <c r="H2146" s="7" t="s">
        <v>314</v>
      </c>
      <c r="M2146" s="7" t="s">
        <v>865</v>
      </c>
      <c r="N2146" s="7" t="s">
        <v>580</v>
      </c>
      <c r="O2146" s="17" t="s">
        <v>680</v>
      </c>
      <c r="P2146" s="7">
        <f t="shared" si="187"/>
        <v>9</v>
      </c>
      <c r="Q2146" s="7">
        <f t="shared" si="186"/>
        <v>2025</v>
      </c>
    </row>
    <row r="2147" spans="1:17" x14ac:dyDescent="0.25">
      <c r="A2147" s="7">
        <v>2549</v>
      </c>
      <c r="B2147" s="9" t="s">
        <v>862</v>
      </c>
      <c r="C2147" s="9" t="s">
        <v>59</v>
      </c>
      <c r="D2147" s="8">
        <v>45924</v>
      </c>
      <c r="E2147" s="7" t="s">
        <v>60</v>
      </c>
      <c r="F2147" s="7">
        <v>1</v>
      </c>
      <c r="G2147" s="7" t="s">
        <v>14</v>
      </c>
      <c r="H2147" s="7" t="s">
        <v>314</v>
      </c>
      <c r="M2147" s="7" t="s">
        <v>865</v>
      </c>
      <c r="N2147" s="7" t="s">
        <v>580</v>
      </c>
      <c r="O2147" s="17" t="s">
        <v>680</v>
      </c>
      <c r="P2147" s="7">
        <f t="shared" si="187"/>
        <v>9</v>
      </c>
      <c r="Q2147" s="7">
        <f t="shared" si="186"/>
        <v>2025</v>
      </c>
    </row>
    <row r="2148" spans="1:17" x14ac:dyDescent="0.25">
      <c r="A2148" s="7">
        <v>2549</v>
      </c>
      <c r="B2148" s="9" t="s">
        <v>862</v>
      </c>
      <c r="C2148" s="9" t="s">
        <v>59</v>
      </c>
      <c r="D2148" s="8">
        <v>45924</v>
      </c>
      <c r="E2148" s="7" t="s">
        <v>60</v>
      </c>
      <c r="F2148" s="7">
        <v>1</v>
      </c>
      <c r="G2148" s="7" t="s">
        <v>14</v>
      </c>
      <c r="H2148" s="7" t="s">
        <v>314</v>
      </c>
      <c r="M2148" s="7" t="s">
        <v>865</v>
      </c>
      <c r="N2148" s="7" t="s">
        <v>580</v>
      </c>
      <c r="O2148" s="17" t="s">
        <v>680</v>
      </c>
      <c r="P2148" s="7">
        <f t="shared" si="187"/>
        <v>9</v>
      </c>
      <c r="Q2148" s="7">
        <f t="shared" si="186"/>
        <v>2025</v>
      </c>
    </row>
    <row r="2149" spans="1:17" x14ac:dyDescent="0.25">
      <c r="A2149" s="7">
        <v>2550</v>
      </c>
      <c r="B2149" s="9" t="s">
        <v>28</v>
      </c>
      <c r="C2149" s="9" t="s">
        <v>33</v>
      </c>
      <c r="D2149" s="8">
        <v>45929</v>
      </c>
      <c r="E2149" s="7" t="s">
        <v>845</v>
      </c>
      <c r="F2149" s="7">
        <v>1</v>
      </c>
      <c r="G2149" s="7" t="s">
        <v>15</v>
      </c>
      <c r="H2149" s="7" t="s">
        <v>311</v>
      </c>
      <c r="J2149" s="7">
        <f>YEAR(I2149)</f>
        <v>1900</v>
      </c>
      <c r="K2149" s="7">
        <f>MONTH(I2149)</f>
        <v>1</v>
      </c>
      <c r="L2149" s="7">
        <f>D2149-I2149</f>
        <v>45929</v>
      </c>
      <c r="M2149" s="16" t="s">
        <v>497</v>
      </c>
      <c r="N2149" s="7" t="s">
        <v>579</v>
      </c>
      <c r="O2149" s="17" t="s">
        <v>680</v>
      </c>
      <c r="P2149" s="7">
        <f>MONTH(D2149)</f>
        <v>9</v>
      </c>
      <c r="Q2149" s="7">
        <f t="shared" si="186"/>
        <v>2025</v>
      </c>
    </row>
    <row r="2150" spans="1:17" x14ac:dyDescent="0.25">
      <c r="A2150" s="7">
        <v>2550</v>
      </c>
      <c r="B2150" s="9" t="s">
        <v>28</v>
      </c>
      <c r="C2150" s="9" t="s">
        <v>33</v>
      </c>
      <c r="D2150" s="8">
        <v>45929</v>
      </c>
      <c r="E2150" s="7" t="s">
        <v>846</v>
      </c>
      <c r="F2150" s="7">
        <v>1</v>
      </c>
      <c r="G2150" s="7" t="s">
        <v>15</v>
      </c>
      <c r="H2150" s="7" t="s">
        <v>311</v>
      </c>
      <c r="J2150" s="7">
        <f t="shared" ref="J2150:J2165" si="188">YEAR(I2150)</f>
        <v>1900</v>
      </c>
      <c r="K2150" s="7">
        <f t="shared" ref="K2150:K2165" si="189">MONTH(I2150)</f>
        <v>1</v>
      </c>
      <c r="L2150" s="7">
        <f t="shared" ref="L2150:L2171" si="190">D2150-I2150</f>
        <v>45929</v>
      </c>
      <c r="M2150" s="16" t="s">
        <v>497</v>
      </c>
      <c r="N2150" s="7" t="s">
        <v>579</v>
      </c>
      <c r="O2150" s="17" t="s">
        <v>680</v>
      </c>
      <c r="P2150" s="7">
        <f t="shared" ref="P2150:P2172" si="191">MONTH(D2150)</f>
        <v>9</v>
      </c>
      <c r="Q2150" s="7">
        <f t="shared" si="186"/>
        <v>2025</v>
      </c>
    </row>
    <row r="2151" spans="1:17" x14ac:dyDescent="0.25">
      <c r="A2151" s="7">
        <v>2550</v>
      </c>
      <c r="B2151" s="9" t="s">
        <v>28</v>
      </c>
      <c r="C2151" s="9" t="s">
        <v>33</v>
      </c>
      <c r="D2151" s="8">
        <v>45929</v>
      </c>
      <c r="E2151" s="7" t="s">
        <v>847</v>
      </c>
      <c r="F2151" s="7">
        <v>1</v>
      </c>
      <c r="G2151" s="7" t="s">
        <v>15</v>
      </c>
      <c r="H2151" s="7" t="s">
        <v>311</v>
      </c>
      <c r="J2151" s="7">
        <f t="shared" si="188"/>
        <v>1900</v>
      </c>
      <c r="K2151" s="7">
        <f t="shared" si="189"/>
        <v>1</v>
      </c>
      <c r="L2151" s="7">
        <f t="shared" si="190"/>
        <v>45929</v>
      </c>
      <c r="M2151" s="16" t="s">
        <v>497</v>
      </c>
      <c r="N2151" s="7" t="s">
        <v>579</v>
      </c>
      <c r="O2151" s="17" t="s">
        <v>680</v>
      </c>
      <c r="P2151" s="7">
        <f t="shared" si="191"/>
        <v>9</v>
      </c>
      <c r="Q2151" s="7">
        <f t="shared" si="186"/>
        <v>2025</v>
      </c>
    </row>
    <row r="2152" spans="1:17" x14ac:dyDescent="0.25">
      <c r="A2152" s="7">
        <v>2550</v>
      </c>
      <c r="B2152" s="9" t="s">
        <v>28</v>
      </c>
      <c r="C2152" s="9" t="s">
        <v>33</v>
      </c>
      <c r="D2152" s="8">
        <v>45929</v>
      </c>
      <c r="E2152" s="7" t="s">
        <v>848</v>
      </c>
      <c r="F2152" s="7">
        <v>1</v>
      </c>
      <c r="G2152" s="7" t="s">
        <v>15</v>
      </c>
      <c r="H2152" s="7" t="s">
        <v>311</v>
      </c>
      <c r="J2152" s="7">
        <f t="shared" si="188"/>
        <v>1900</v>
      </c>
      <c r="K2152" s="7">
        <f t="shared" si="189"/>
        <v>1</v>
      </c>
      <c r="L2152" s="7">
        <f t="shared" si="190"/>
        <v>45929</v>
      </c>
      <c r="M2152" s="16" t="s">
        <v>497</v>
      </c>
      <c r="N2152" s="7" t="s">
        <v>579</v>
      </c>
      <c r="O2152" s="17" t="s">
        <v>680</v>
      </c>
      <c r="P2152" s="7">
        <f t="shared" si="191"/>
        <v>9</v>
      </c>
      <c r="Q2152" s="7">
        <f t="shared" si="186"/>
        <v>2025</v>
      </c>
    </row>
    <row r="2153" spans="1:17" x14ac:dyDescent="0.25">
      <c r="A2153" s="7">
        <v>2550</v>
      </c>
      <c r="B2153" s="9" t="s">
        <v>28</v>
      </c>
      <c r="C2153" s="9" t="s">
        <v>33</v>
      </c>
      <c r="D2153" s="8">
        <v>45929</v>
      </c>
      <c r="E2153" s="7" t="s">
        <v>849</v>
      </c>
      <c r="F2153" s="7">
        <v>1</v>
      </c>
      <c r="G2153" s="7" t="s">
        <v>15</v>
      </c>
      <c r="H2153" s="7" t="s">
        <v>311</v>
      </c>
      <c r="J2153" s="7">
        <f t="shared" si="188"/>
        <v>1900</v>
      </c>
      <c r="K2153" s="7">
        <f t="shared" si="189"/>
        <v>1</v>
      </c>
      <c r="L2153" s="7">
        <f t="shared" si="190"/>
        <v>45929</v>
      </c>
      <c r="M2153" s="16" t="s">
        <v>497</v>
      </c>
      <c r="N2153" s="7" t="s">
        <v>579</v>
      </c>
      <c r="O2153" s="17" t="s">
        <v>680</v>
      </c>
      <c r="P2153" s="7">
        <f t="shared" si="191"/>
        <v>9</v>
      </c>
      <c r="Q2153" s="7">
        <f t="shared" si="186"/>
        <v>2025</v>
      </c>
    </row>
    <row r="2154" spans="1:17" x14ac:dyDescent="0.25">
      <c r="A2154" s="7">
        <v>2550</v>
      </c>
      <c r="B2154" s="9" t="s">
        <v>28</v>
      </c>
      <c r="C2154" s="9" t="s">
        <v>33</v>
      </c>
      <c r="D2154" s="8">
        <v>45929</v>
      </c>
      <c r="E2154" s="7" t="s">
        <v>850</v>
      </c>
      <c r="F2154" s="7">
        <v>1</v>
      </c>
      <c r="G2154" s="7" t="s">
        <v>15</v>
      </c>
      <c r="H2154" s="7" t="s">
        <v>311</v>
      </c>
      <c r="J2154" s="7">
        <f t="shared" si="188"/>
        <v>1900</v>
      </c>
      <c r="K2154" s="7">
        <f t="shared" si="189"/>
        <v>1</v>
      </c>
      <c r="L2154" s="7">
        <f t="shared" si="190"/>
        <v>45929</v>
      </c>
      <c r="M2154" s="16" t="s">
        <v>497</v>
      </c>
      <c r="N2154" s="7" t="s">
        <v>579</v>
      </c>
      <c r="O2154" s="17" t="s">
        <v>680</v>
      </c>
      <c r="P2154" s="7">
        <f t="shared" si="191"/>
        <v>9</v>
      </c>
      <c r="Q2154" s="7">
        <f t="shared" si="186"/>
        <v>2025</v>
      </c>
    </row>
    <row r="2155" spans="1:17" x14ac:dyDescent="0.25">
      <c r="A2155" s="7">
        <v>2550</v>
      </c>
      <c r="B2155" s="9" t="s">
        <v>28</v>
      </c>
      <c r="C2155" s="9" t="s">
        <v>33</v>
      </c>
      <c r="D2155" s="8">
        <v>45929</v>
      </c>
      <c r="E2155" s="7" t="s">
        <v>851</v>
      </c>
      <c r="F2155" s="7">
        <v>1</v>
      </c>
      <c r="G2155" s="7" t="s">
        <v>15</v>
      </c>
      <c r="H2155" s="7" t="s">
        <v>311</v>
      </c>
      <c r="J2155" s="7">
        <f t="shared" si="188"/>
        <v>1900</v>
      </c>
      <c r="K2155" s="7">
        <f t="shared" si="189"/>
        <v>1</v>
      </c>
      <c r="L2155" s="7">
        <f t="shared" si="190"/>
        <v>45929</v>
      </c>
      <c r="M2155" s="16" t="s">
        <v>497</v>
      </c>
      <c r="N2155" s="7" t="s">
        <v>579</v>
      </c>
      <c r="O2155" s="17" t="s">
        <v>680</v>
      </c>
      <c r="P2155" s="7">
        <f t="shared" si="191"/>
        <v>9</v>
      </c>
      <c r="Q2155" s="7">
        <f t="shared" si="186"/>
        <v>2025</v>
      </c>
    </row>
    <row r="2156" spans="1:17" x14ac:dyDescent="0.25">
      <c r="A2156" s="7">
        <v>2550</v>
      </c>
      <c r="B2156" s="9" t="s">
        <v>28</v>
      </c>
      <c r="C2156" s="9" t="s">
        <v>33</v>
      </c>
      <c r="D2156" s="8">
        <v>45929</v>
      </c>
      <c r="E2156" s="7" t="s">
        <v>852</v>
      </c>
      <c r="F2156" s="7">
        <v>1</v>
      </c>
      <c r="G2156" s="7" t="s">
        <v>15</v>
      </c>
      <c r="H2156" s="7" t="s">
        <v>311</v>
      </c>
      <c r="J2156" s="7">
        <f t="shared" si="188"/>
        <v>1900</v>
      </c>
      <c r="K2156" s="7">
        <f t="shared" si="189"/>
        <v>1</v>
      </c>
      <c r="L2156" s="7">
        <f t="shared" si="190"/>
        <v>45929</v>
      </c>
      <c r="M2156" s="16" t="s">
        <v>497</v>
      </c>
      <c r="N2156" s="7" t="s">
        <v>579</v>
      </c>
      <c r="O2156" s="17" t="s">
        <v>680</v>
      </c>
      <c r="P2156" s="7">
        <f t="shared" si="191"/>
        <v>9</v>
      </c>
      <c r="Q2156" s="7">
        <f t="shared" si="186"/>
        <v>2025</v>
      </c>
    </row>
    <row r="2157" spans="1:17" x14ac:dyDescent="0.25">
      <c r="A2157" s="7">
        <v>2550</v>
      </c>
      <c r="B2157" s="9" t="s">
        <v>28</v>
      </c>
      <c r="C2157" s="9" t="s">
        <v>33</v>
      </c>
      <c r="D2157" s="8">
        <v>45929</v>
      </c>
      <c r="E2157" s="7" t="s">
        <v>853</v>
      </c>
      <c r="F2157" s="7">
        <v>1</v>
      </c>
      <c r="G2157" s="7" t="s">
        <v>15</v>
      </c>
      <c r="H2157" s="7" t="s">
        <v>311</v>
      </c>
      <c r="J2157" s="7">
        <f t="shared" si="188"/>
        <v>1900</v>
      </c>
      <c r="K2157" s="7">
        <f t="shared" si="189"/>
        <v>1</v>
      </c>
      <c r="L2157" s="7">
        <f t="shared" si="190"/>
        <v>45929</v>
      </c>
      <c r="M2157" s="16" t="s">
        <v>497</v>
      </c>
      <c r="N2157" s="7" t="s">
        <v>579</v>
      </c>
      <c r="O2157" s="17" t="s">
        <v>680</v>
      </c>
      <c r="P2157" s="7">
        <f t="shared" si="191"/>
        <v>9</v>
      </c>
      <c r="Q2157" s="7">
        <f t="shared" si="186"/>
        <v>2025</v>
      </c>
    </row>
    <row r="2158" spans="1:17" x14ac:dyDescent="0.25">
      <c r="A2158" s="7">
        <v>2550</v>
      </c>
      <c r="B2158" s="9" t="s">
        <v>28</v>
      </c>
      <c r="C2158" s="9" t="s">
        <v>33</v>
      </c>
      <c r="D2158" s="8">
        <v>45929</v>
      </c>
      <c r="E2158" s="7" t="s">
        <v>854</v>
      </c>
      <c r="F2158" s="7">
        <v>1</v>
      </c>
      <c r="G2158" s="7" t="s">
        <v>15</v>
      </c>
      <c r="H2158" s="7" t="s">
        <v>311</v>
      </c>
      <c r="J2158" s="7">
        <f t="shared" si="188"/>
        <v>1900</v>
      </c>
      <c r="K2158" s="7">
        <f t="shared" si="189"/>
        <v>1</v>
      </c>
      <c r="L2158" s="7">
        <f t="shared" si="190"/>
        <v>45929</v>
      </c>
      <c r="M2158" s="16" t="s">
        <v>497</v>
      </c>
      <c r="N2158" s="7" t="s">
        <v>579</v>
      </c>
      <c r="O2158" s="17" t="s">
        <v>680</v>
      </c>
      <c r="P2158" s="7">
        <f t="shared" si="191"/>
        <v>9</v>
      </c>
      <c r="Q2158" s="7">
        <f t="shared" si="186"/>
        <v>2025</v>
      </c>
    </row>
    <row r="2159" spans="1:17" x14ac:dyDescent="0.25">
      <c r="A2159" s="7">
        <v>2550</v>
      </c>
      <c r="B2159" s="9" t="s">
        <v>28</v>
      </c>
      <c r="C2159" s="9" t="s">
        <v>33</v>
      </c>
      <c r="D2159" s="8">
        <v>45929</v>
      </c>
      <c r="E2159" s="7" t="s">
        <v>855</v>
      </c>
      <c r="F2159" s="7">
        <v>1</v>
      </c>
      <c r="G2159" s="7" t="s">
        <v>15</v>
      </c>
      <c r="H2159" s="7" t="s">
        <v>311</v>
      </c>
      <c r="J2159" s="7">
        <f t="shared" si="188"/>
        <v>1900</v>
      </c>
      <c r="K2159" s="7">
        <f t="shared" si="189"/>
        <v>1</v>
      </c>
      <c r="L2159" s="7">
        <f t="shared" si="190"/>
        <v>45929</v>
      </c>
      <c r="M2159" s="16" t="s">
        <v>497</v>
      </c>
      <c r="N2159" s="7" t="s">
        <v>579</v>
      </c>
      <c r="O2159" s="17" t="s">
        <v>680</v>
      </c>
      <c r="P2159" s="7">
        <f t="shared" si="191"/>
        <v>9</v>
      </c>
      <c r="Q2159" s="7">
        <f t="shared" si="186"/>
        <v>2025</v>
      </c>
    </row>
    <row r="2160" spans="1:17" x14ac:dyDescent="0.25">
      <c r="A2160" s="7">
        <v>2550</v>
      </c>
      <c r="B2160" s="9" t="s">
        <v>28</v>
      </c>
      <c r="C2160" s="9" t="s">
        <v>33</v>
      </c>
      <c r="D2160" s="8">
        <v>45929</v>
      </c>
      <c r="E2160" s="7" t="s">
        <v>856</v>
      </c>
      <c r="F2160" s="7">
        <v>1</v>
      </c>
      <c r="G2160" s="7" t="s">
        <v>15</v>
      </c>
      <c r="H2160" s="7" t="s">
        <v>311</v>
      </c>
      <c r="J2160" s="7">
        <f t="shared" si="188"/>
        <v>1900</v>
      </c>
      <c r="K2160" s="7">
        <f t="shared" si="189"/>
        <v>1</v>
      </c>
      <c r="L2160" s="7">
        <f t="shared" si="190"/>
        <v>45929</v>
      </c>
      <c r="M2160" s="16" t="s">
        <v>497</v>
      </c>
      <c r="N2160" s="7" t="s">
        <v>579</v>
      </c>
      <c r="O2160" s="17" t="s">
        <v>680</v>
      </c>
      <c r="P2160" s="7">
        <f t="shared" si="191"/>
        <v>9</v>
      </c>
      <c r="Q2160" s="7">
        <f t="shared" si="186"/>
        <v>2025</v>
      </c>
    </row>
    <row r="2161" spans="1:17" x14ac:dyDescent="0.25">
      <c r="A2161" s="7">
        <v>2550</v>
      </c>
      <c r="B2161" s="9" t="s">
        <v>28</v>
      </c>
      <c r="C2161" s="9" t="s">
        <v>33</v>
      </c>
      <c r="D2161" s="8">
        <v>45929</v>
      </c>
      <c r="E2161" s="7" t="s">
        <v>857</v>
      </c>
      <c r="F2161" s="7">
        <v>1</v>
      </c>
      <c r="G2161" s="7" t="s">
        <v>15</v>
      </c>
      <c r="H2161" s="7" t="s">
        <v>311</v>
      </c>
      <c r="J2161" s="7">
        <f t="shared" si="188"/>
        <v>1900</v>
      </c>
      <c r="K2161" s="7">
        <f t="shared" si="189"/>
        <v>1</v>
      </c>
      <c r="L2161" s="7">
        <f t="shared" si="190"/>
        <v>45929</v>
      </c>
      <c r="M2161" s="16" t="s">
        <v>497</v>
      </c>
      <c r="N2161" s="7" t="s">
        <v>579</v>
      </c>
      <c r="O2161" s="17" t="s">
        <v>680</v>
      </c>
      <c r="P2161" s="7">
        <f t="shared" si="191"/>
        <v>9</v>
      </c>
      <c r="Q2161" s="7">
        <f t="shared" si="186"/>
        <v>2025</v>
      </c>
    </row>
    <row r="2162" spans="1:17" x14ac:dyDescent="0.25">
      <c r="A2162" s="7">
        <v>2550</v>
      </c>
      <c r="B2162" s="9" t="s">
        <v>28</v>
      </c>
      <c r="C2162" s="9" t="s">
        <v>33</v>
      </c>
      <c r="D2162" s="8">
        <v>45929</v>
      </c>
      <c r="E2162" s="7" t="s">
        <v>858</v>
      </c>
      <c r="F2162" s="7">
        <v>1</v>
      </c>
      <c r="G2162" s="7" t="s">
        <v>15</v>
      </c>
      <c r="H2162" s="7" t="s">
        <v>311</v>
      </c>
      <c r="J2162" s="7">
        <f t="shared" si="188"/>
        <v>1900</v>
      </c>
      <c r="K2162" s="7">
        <f t="shared" si="189"/>
        <v>1</v>
      </c>
      <c r="L2162" s="7">
        <f t="shared" si="190"/>
        <v>45929</v>
      </c>
      <c r="M2162" s="16" t="s">
        <v>497</v>
      </c>
      <c r="N2162" s="7" t="s">
        <v>579</v>
      </c>
      <c r="O2162" s="17" t="s">
        <v>680</v>
      </c>
      <c r="P2162" s="7">
        <f t="shared" si="191"/>
        <v>9</v>
      </c>
      <c r="Q2162" s="7">
        <f t="shared" si="186"/>
        <v>2025</v>
      </c>
    </row>
    <row r="2163" spans="1:17" x14ac:dyDescent="0.25">
      <c r="A2163" s="7">
        <v>2550</v>
      </c>
      <c r="B2163" s="9" t="s">
        <v>28</v>
      </c>
      <c r="C2163" s="9" t="s">
        <v>33</v>
      </c>
      <c r="D2163" s="8">
        <v>45929</v>
      </c>
      <c r="E2163" s="7" t="s">
        <v>859</v>
      </c>
      <c r="F2163" s="7">
        <v>1</v>
      </c>
      <c r="G2163" s="7" t="s">
        <v>15</v>
      </c>
      <c r="H2163" s="7" t="s">
        <v>311</v>
      </c>
      <c r="J2163" s="7">
        <f t="shared" si="188"/>
        <v>1900</v>
      </c>
      <c r="K2163" s="7">
        <f t="shared" si="189"/>
        <v>1</v>
      </c>
      <c r="L2163" s="7">
        <f t="shared" si="190"/>
        <v>45929</v>
      </c>
      <c r="M2163" s="16" t="s">
        <v>497</v>
      </c>
      <c r="N2163" s="7" t="s">
        <v>579</v>
      </c>
      <c r="O2163" s="17" t="s">
        <v>680</v>
      </c>
      <c r="P2163" s="7">
        <f t="shared" si="191"/>
        <v>9</v>
      </c>
      <c r="Q2163" s="7">
        <f t="shared" si="186"/>
        <v>2025</v>
      </c>
    </row>
    <row r="2164" spans="1:17" x14ac:dyDescent="0.25">
      <c r="A2164" s="7">
        <v>2550</v>
      </c>
      <c r="B2164" s="9" t="s">
        <v>28</v>
      </c>
      <c r="C2164" s="9" t="s">
        <v>33</v>
      </c>
      <c r="D2164" s="8">
        <v>45929</v>
      </c>
      <c r="E2164" s="7" t="s">
        <v>860</v>
      </c>
      <c r="F2164" s="7">
        <v>1</v>
      </c>
      <c r="G2164" s="7" t="s">
        <v>15</v>
      </c>
      <c r="H2164" s="7" t="s">
        <v>311</v>
      </c>
      <c r="J2164" s="7">
        <f t="shared" si="188"/>
        <v>1900</v>
      </c>
      <c r="K2164" s="7">
        <f t="shared" si="189"/>
        <v>1</v>
      </c>
      <c r="L2164" s="7">
        <f t="shared" si="190"/>
        <v>45929</v>
      </c>
      <c r="M2164" s="16" t="s">
        <v>497</v>
      </c>
      <c r="N2164" s="7" t="s">
        <v>579</v>
      </c>
      <c r="O2164" s="17" t="s">
        <v>680</v>
      </c>
      <c r="P2164" s="7">
        <f t="shared" si="191"/>
        <v>9</v>
      </c>
      <c r="Q2164" s="7">
        <f t="shared" si="186"/>
        <v>2025</v>
      </c>
    </row>
    <row r="2165" spans="1:17" x14ac:dyDescent="0.25">
      <c r="A2165" s="7">
        <v>2550</v>
      </c>
      <c r="B2165" s="9" t="s">
        <v>28</v>
      </c>
      <c r="C2165" s="9" t="s">
        <v>33</v>
      </c>
      <c r="D2165" s="8">
        <v>45929</v>
      </c>
      <c r="E2165" s="7" t="s">
        <v>861</v>
      </c>
      <c r="F2165" s="7">
        <v>1</v>
      </c>
      <c r="G2165" s="7" t="s">
        <v>15</v>
      </c>
      <c r="H2165" s="7" t="s">
        <v>311</v>
      </c>
      <c r="J2165" s="7">
        <f t="shared" si="188"/>
        <v>1900</v>
      </c>
      <c r="K2165" s="7">
        <f t="shared" si="189"/>
        <v>1</v>
      </c>
      <c r="L2165" s="7">
        <f t="shared" si="190"/>
        <v>45929</v>
      </c>
      <c r="M2165" s="16" t="s">
        <v>497</v>
      </c>
      <c r="N2165" s="7" t="s">
        <v>579</v>
      </c>
      <c r="O2165" s="17" t="s">
        <v>680</v>
      </c>
      <c r="P2165" s="7">
        <f t="shared" si="191"/>
        <v>9</v>
      </c>
      <c r="Q2165" s="7">
        <f t="shared" ref="Q2165:Q2228" si="192">YEAR(D2165)</f>
        <v>2025</v>
      </c>
    </row>
    <row r="2166" spans="1:17" x14ac:dyDescent="0.25">
      <c r="A2166" s="7">
        <v>2551</v>
      </c>
      <c r="B2166" s="9" t="s">
        <v>727</v>
      </c>
      <c r="C2166" s="9" t="s">
        <v>869</v>
      </c>
      <c r="D2166" s="8">
        <v>45930</v>
      </c>
      <c r="E2166" s="7" t="s">
        <v>870</v>
      </c>
      <c r="F2166" s="7">
        <v>1</v>
      </c>
      <c r="G2166" s="7" t="s">
        <v>15</v>
      </c>
      <c r="L2166" s="7">
        <f t="shared" si="190"/>
        <v>45930</v>
      </c>
      <c r="M2166" s="16" t="s">
        <v>497</v>
      </c>
      <c r="N2166" s="7" t="s">
        <v>579</v>
      </c>
      <c r="O2166" s="17" t="s">
        <v>680</v>
      </c>
      <c r="P2166" s="7">
        <f t="shared" si="191"/>
        <v>9</v>
      </c>
      <c r="Q2166" s="7">
        <f t="shared" si="192"/>
        <v>2025</v>
      </c>
    </row>
    <row r="2167" spans="1:17" x14ac:dyDescent="0.25">
      <c r="A2167" s="7">
        <v>2551</v>
      </c>
      <c r="B2167" s="9" t="s">
        <v>727</v>
      </c>
      <c r="C2167" s="9" t="s">
        <v>869</v>
      </c>
      <c r="D2167" s="8">
        <v>45930</v>
      </c>
      <c r="E2167" s="7" t="s">
        <v>871</v>
      </c>
      <c r="F2167" s="7">
        <v>1</v>
      </c>
      <c r="G2167" s="7" t="s">
        <v>15</v>
      </c>
      <c r="L2167" s="7">
        <f t="shared" si="190"/>
        <v>45930</v>
      </c>
      <c r="M2167" s="16" t="s">
        <v>497</v>
      </c>
      <c r="N2167" s="7" t="s">
        <v>579</v>
      </c>
      <c r="O2167" s="17" t="s">
        <v>680</v>
      </c>
      <c r="P2167" s="7">
        <f t="shared" si="191"/>
        <v>9</v>
      </c>
      <c r="Q2167" s="7">
        <f t="shared" si="192"/>
        <v>2025</v>
      </c>
    </row>
    <row r="2168" spans="1:17" x14ac:dyDescent="0.25">
      <c r="A2168" s="7">
        <v>2551</v>
      </c>
      <c r="B2168" s="9" t="s">
        <v>727</v>
      </c>
      <c r="C2168" s="9" t="s">
        <v>869</v>
      </c>
      <c r="D2168" s="8">
        <v>45930</v>
      </c>
      <c r="E2168" s="7" t="s">
        <v>872</v>
      </c>
      <c r="F2168" s="7">
        <v>1</v>
      </c>
      <c r="G2168" s="7" t="s">
        <v>15</v>
      </c>
      <c r="L2168" s="7">
        <f t="shared" si="190"/>
        <v>45930</v>
      </c>
      <c r="M2168" s="16" t="s">
        <v>497</v>
      </c>
      <c r="N2168" s="7" t="s">
        <v>579</v>
      </c>
      <c r="O2168" s="17" t="s">
        <v>680</v>
      </c>
      <c r="P2168" s="7">
        <f t="shared" si="191"/>
        <v>9</v>
      </c>
      <c r="Q2168" s="7">
        <f t="shared" si="192"/>
        <v>2025</v>
      </c>
    </row>
    <row r="2169" spans="1:17" x14ac:dyDescent="0.25">
      <c r="A2169" s="7">
        <v>2551</v>
      </c>
      <c r="B2169" s="9" t="s">
        <v>727</v>
      </c>
      <c r="C2169" s="9" t="s">
        <v>869</v>
      </c>
      <c r="D2169" s="8">
        <v>45930</v>
      </c>
      <c r="E2169" s="7" t="s">
        <v>873</v>
      </c>
      <c r="F2169" s="7">
        <v>1</v>
      </c>
      <c r="G2169" s="7" t="s">
        <v>15</v>
      </c>
      <c r="L2169" s="7">
        <f t="shared" si="190"/>
        <v>45930</v>
      </c>
      <c r="M2169" s="16" t="s">
        <v>497</v>
      </c>
      <c r="N2169" s="7" t="s">
        <v>579</v>
      </c>
      <c r="O2169" s="17" t="s">
        <v>680</v>
      </c>
      <c r="P2169" s="7">
        <f t="shared" si="191"/>
        <v>9</v>
      </c>
      <c r="Q2169" s="7">
        <f t="shared" si="192"/>
        <v>2025</v>
      </c>
    </row>
    <row r="2170" spans="1:17" x14ac:dyDescent="0.25">
      <c r="A2170" s="7">
        <v>2551</v>
      </c>
      <c r="B2170" s="9" t="s">
        <v>727</v>
      </c>
      <c r="C2170" s="9" t="s">
        <v>869</v>
      </c>
      <c r="D2170" s="8">
        <v>45930</v>
      </c>
      <c r="E2170" s="7" t="s">
        <v>874</v>
      </c>
      <c r="F2170" s="7">
        <v>1</v>
      </c>
      <c r="G2170" s="7" t="s">
        <v>15</v>
      </c>
      <c r="L2170" s="7">
        <f t="shared" si="190"/>
        <v>45930</v>
      </c>
      <c r="M2170" s="16" t="s">
        <v>497</v>
      </c>
      <c r="N2170" s="7" t="s">
        <v>579</v>
      </c>
      <c r="O2170" s="17" t="s">
        <v>680</v>
      </c>
      <c r="P2170" s="7">
        <f t="shared" si="191"/>
        <v>9</v>
      </c>
      <c r="Q2170" s="7">
        <f t="shared" si="192"/>
        <v>2025</v>
      </c>
    </row>
    <row r="2171" spans="1:17" x14ac:dyDescent="0.25">
      <c r="A2171" s="7">
        <v>2551</v>
      </c>
      <c r="B2171" s="9" t="s">
        <v>727</v>
      </c>
      <c r="C2171" s="9" t="s">
        <v>869</v>
      </c>
      <c r="D2171" s="8">
        <v>45930</v>
      </c>
      <c r="E2171" s="7" t="s">
        <v>876</v>
      </c>
      <c r="F2171" s="7">
        <v>1</v>
      </c>
      <c r="G2171" s="7" t="s">
        <v>14</v>
      </c>
      <c r="L2171" s="7">
        <f t="shared" si="190"/>
        <v>45930</v>
      </c>
      <c r="M2171" s="16" t="s">
        <v>497</v>
      </c>
      <c r="N2171" s="7" t="s">
        <v>579</v>
      </c>
      <c r="O2171" s="17" t="s">
        <v>680</v>
      </c>
      <c r="P2171" s="7">
        <f t="shared" si="191"/>
        <v>9</v>
      </c>
      <c r="Q2171" s="7">
        <f t="shared" si="192"/>
        <v>2025</v>
      </c>
    </row>
    <row r="2172" spans="1:17" x14ac:dyDescent="0.25">
      <c r="A2172" s="7">
        <v>2552</v>
      </c>
      <c r="B2172" s="9" t="s">
        <v>877</v>
      </c>
      <c r="C2172" s="9" t="s">
        <v>59</v>
      </c>
      <c r="D2172" s="8">
        <v>45924</v>
      </c>
      <c r="E2172" s="7" t="s">
        <v>60</v>
      </c>
      <c r="F2172" s="7">
        <v>1</v>
      </c>
      <c r="G2172" s="7" t="s">
        <v>14</v>
      </c>
      <c r="H2172" s="7" t="s">
        <v>314</v>
      </c>
      <c r="M2172" s="7" t="s">
        <v>865</v>
      </c>
      <c r="N2172" s="7" t="s">
        <v>580</v>
      </c>
      <c r="O2172" s="17" t="s">
        <v>680</v>
      </c>
      <c r="P2172" s="7">
        <f t="shared" si="191"/>
        <v>9</v>
      </c>
      <c r="Q2172" s="7">
        <f t="shared" si="192"/>
        <v>2025</v>
      </c>
    </row>
    <row r="2173" spans="1:17" x14ac:dyDescent="0.25">
      <c r="A2173" s="7">
        <v>2552</v>
      </c>
      <c r="B2173" s="9" t="s">
        <v>877</v>
      </c>
      <c r="C2173" s="9" t="s">
        <v>59</v>
      </c>
      <c r="D2173" s="8">
        <v>45924</v>
      </c>
      <c r="E2173" s="7" t="s">
        <v>60</v>
      </c>
      <c r="F2173" s="7">
        <v>1</v>
      </c>
      <c r="G2173" s="7" t="s">
        <v>14</v>
      </c>
      <c r="H2173" s="7" t="s">
        <v>314</v>
      </c>
      <c r="M2173" s="7" t="s">
        <v>865</v>
      </c>
      <c r="N2173" s="7" t="s">
        <v>580</v>
      </c>
      <c r="O2173" s="17" t="s">
        <v>680</v>
      </c>
      <c r="P2173" s="7">
        <f t="shared" ref="P2173:P2207" si="193">MONTH(D2173)</f>
        <v>9</v>
      </c>
      <c r="Q2173" s="7">
        <f t="shared" si="192"/>
        <v>2025</v>
      </c>
    </row>
    <row r="2174" spans="1:17" x14ac:dyDescent="0.25">
      <c r="A2174" s="7">
        <v>2552</v>
      </c>
      <c r="B2174" s="9" t="s">
        <v>877</v>
      </c>
      <c r="C2174" s="9" t="s">
        <v>59</v>
      </c>
      <c r="D2174" s="8">
        <v>45924</v>
      </c>
      <c r="E2174" s="7" t="s">
        <v>60</v>
      </c>
      <c r="F2174" s="7">
        <v>1</v>
      </c>
      <c r="G2174" s="7" t="s">
        <v>14</v>
      </c>
      <c r="H2174" s="7" t="s">
        <v>314</v>
      </c>
      <c r="M2174" s="7" t="s">
        <v>865</v>
      </c>
      <c r="N2174" s="7" t="s">
        <v>580</v>
      </c>
      <c r="O2174" s="17" t="s">
        <v>680</v>
      </c>
      <c r="P2174" s="7">
        <f t="shared" si="193"/>
        <v>9</v>
      </c>
      <c r="Q2174" s="7">
        <f t="shared" si="192"/>
        <v>2025</v>
      </c>
    </row>
    <row r="2175" spans="1:17" x14ac:dyDescent="0.25">
      <c r="A2175" s="7">
        <v>2552</v>
      </c>
      <c r="B2175" s="9" t="s">
        <v>877</v>
      </c>
      <c r="C2175" s="9" t="s">
        <v>59</v>
      </c>
      <c r="D2175" s="8">
        <v>45924</v>
      </c>
      <c r="E2175" s="7" t="s">
        <v>60</v>
      </c>
      <c r="F2175" s="7">
        <v>1</v>
      </c>
      <c r="G2175" s="7" t="s">
        <v>14</v>
      </c>
      <c r="H2175" s="7" t="s">
        <v>314</v>
      </c>
      <c r="M2175" s="7" t="s">
        <v>865</v>
      </c>
      <c r="N2175" s="7" t="s">
        <v>580</v>
      </c>
      <c r="O2175" s="17" t="s">
        <v>680</v>
      </c>
      <c r="P2175" s="7">
        <f t="shared" si="193"/>
        <v>9</v>
      </c>
      <c r="Q2175" s="7">
        <f t="shared" si="192"/>
        <v>2025</v>
      </c>
    </row>
    <row r="2176" spans="1:17" x14ac:dyDescent="0.25">
      <c r="A2176" s="7">
        <v>2552</v>
      </c>
      <c r="B2176" s="9" t="s">
        <v>877</v>
      </c>
      <c r="C2176" s="9" t="s">
        <v>59</v>
      </c>
      <c r="D2176" s="8">
        <v>45924</v>
      </c>
      <c r="E2176" s="7" t="s">
        <v>60</v>
      </c>
      <c r="F2176" s="7">
        <v>1</v>
      </c>
      <c r="G2176" s="7" t="s">
        <v>14</v>
      </c>
      <c r="H2176" s="7" t="s">
        <v>314</v>
      </c>
      <c r="M2176" s="7" t="s">
        <v>865</v>
      </c>
      <c r="N2176" s="7" t="s">
        <v>580</v>
      </c>
      <c r="O2176" s="17" t="s">
        <v>680</v>
      </c>
      <c r="P2176" s="7">
        <f t="shared" si="193"/>
        <v>9</v>
      </c>
      <c r="Q2176" s="7">
        <f t="shared" si="192"/>
        <v>2025</v>
      </c>
    </row>
    <row r="2177" spans="1:17" x14ac:dyDescent="0.25">
      <c r="A2177" s="7">
        <v>2552</v>
      </c>
      <c r="B2177" s="9" t="s">
        <v>877</v>
      </c>
      <c r="C2177" s="9" t="s">
        <v>59</v>
      </c>
      <c r="D2177" s="8">
        <v>45924</v>
      </c>
      <c r="E2177" s="7" t="s">
        <v>60</v>
      </c>
      <c r="F2177" s="7">
        <v>1</v>
      </c>
      <c r="G2177" s="7" t="s">
        <v>14</v>
      </c>
      <c r="H2177" s="7" t="s">
        <v>314</v>
      </c>
      <c r="M2177" s="7" t="s">
        <v>865</v>
      </c>
      <c r="N2177" s="7" t="s">
        <v>580</v>
      </c>
      <c r="O2177" s="17" t="s">
        <v>680</v>
      </c>
      <c r="P2177" s="7">
        <f t="shared" si="193"/>
        <v>9</v>
      </c>
      <c r="Q2177" s="7">
        <f t="shared" si="192"/>
        <v>2025</v>
      </c>
    </row>
    <row r="2178" spans="1:17" x14ac:dyDescent="0.25">
      <c r="A2178" s="7">
        <v>2552</v>
      </c>
      <c r="B2178" s="9" t="s">
        <v>877</v>
      </c>
      <c r="C2178" s="9" t="s">
        <v>59</v>
      </c>
      <c r="D2178" s="8">
        <v>45924</v>
      </c>
      <c r="E2178" s="7" t="s">
        <v>60</v>
      </c>
      <c r="F2178" s="7">
        <v>1</v>
      </c>
      <c r="G2178" s="7" t="s">
        <v>14</v>
      </c>
      <c r="H2178" s="7" t="s">
        <v>314</v>
      </c>
      <c r="M2178" s="7" t="s">
        <v>865</v>
      </c>
      <c r="N2178" s="7" t="s">
        <v>580</v>
      </c>
      <c r="O2178" s="17" t="s">
        <v>680</v>
      </c>
      <c r="P2178" s="7">
        <f t="shared" si="193"/>
        <v>9</v>
      </c>
      <c r="Q2178" s="7">
        <f t="shared" si="192"/>
        <v>2025</v>
      </c>
    </row>
    <row r="2179" spans="1:17" x14ac:dyDescent="0.25">
      <c r="A2179" s="7">
        <v>2552</v>
      </c>
      <c r="B2179" s="9" t="s">
        <v>877</v>
      </c>
      <c r="C2179" s="9" t="s">
        <v>59</v>
      </c>
      <c r="D2179" s="8">
        <v>45924</v>
      </c>
      <c r="E2179" s="7" t="s">
        <v>60</v>
      </c>
      <c r="F2179" s="7">
        <v>1</v>
      </c>
      <c r="G2179" s="7" t="s">
        <v>14</v>
      </c>
      <c r="H2179" s="7" t="s">
        <v>314</v>
      </c>
      <c r="M2179" s="7" t="s">
        <v>865</v>
      </c>
      <c r="N2179" s="7" t="s">
        <v>580</v>
      </c>
      <c r="O2179" s="17" t="s">
        <v>680</v>
      </c>
      <c r="P2179" s="7">
        <f t="shared" si="193"/>
        <v>9</v>
      </c>
      <c r="Q2179" s="7">
        <f t="shared" si="192"/>
        <v>2025</v>
      </c>
    </row>
    <row r="2180" spans="1:17" x14ac:dyDescent="0.25">
      <c r="A2180" s="7">
        <v>2552</v>
      </c>
      <c r="B2180" s="9" t="s">
        <v>877</v>
      </c>
      <c r="C2180" s="9" t="s">
        <v>59</v>
      </c>
      <c r="D2180" s="8">
        <v>45924</v>
      </c>
      <c r="E2180" s="7" t="s">
        <v>60</v>
      </c>
      <c r="F2180" s="7">
        <v>1</v>
      </c>
      <c r="G2180" s="7" t="s">
        <v>14</v>
      </c>
      <c r="H2180" s="7" t="s">
        <v>314</v>
      </c>
      <c r="M2180" s="7" t="s">
        <v>865</v>
      </c>
      <c r="N2180" s="7" t="s">
        <v>580</v>
      </c>
      <c r="O2180" s="17" t="s">
        <v>680</v>
      </c>
      <c r="P2180" s="7">
        <f t="shared" si="193"/>
        <v>9</v>
      </c>
      <c r="Q2180" s="7">
        <f t="shared" si="192"/>
        <v>2025</v>
      </c>
    </row>
    <row r="2181" spans="1:17" x14ac:dyDescent="0.25">
      <c r="A2181" s="7">
        <v>2552</v>
      </c>
      <c r="B2181" s="9" t="s">
        <v>877</v>
      </c>
      <c r="C2181" s="9" t="s">
        <v>59</v>
      </c>
      <c r="D2181" s="8">
        <v>45924</v>
      </c>
      <c r="E2181" s="7" t="s">
        <v>60</v>
      </c>
      <c r="F2181" s="7">
        <v>1</v>
      </c>
      <c r="G2181" s="7" t="s">
        <v>14</v>
      </c>
      <c r="H2181" s="7" t="s">
        <v>314</v>
      </c>
      <c r="M2181" s="7" t="s">
        <v>865</v>
      </c>
      <c r="N2181" s="7" t="s">
        <v>580</v>
      </c>
      <c r="O2181" s="17" t="s">
        <v>680</v>
      </c>
      <c r="P2181" s="7">
        <f t="shared" si="193"/>
        <v>9</v>
      </c>
      <c r="Q2181" s="7">
        <f t="shared" si="192"/>
        <v>2025</v>
      </c>
    </row>
    <row r="2182" spans="1:17" x14ac:dyDescent="0.25">
      <c r="A2182" s="7">
        <v>2552</v>
      </c>
      <c r="B2182" s="9" t="s">
        <v>877</v>
      </c>
      <c r="C2182" s="9" t="s">
        <v>59</v>
      </c>
      <c r="D2182" s="8">
        <v>45924</v>
      </c>
      <c r="E2182" s="7" t="s">
        <v>60</v>
      </c>
      <c r="F2182" s="7">
        <v>1</v>
      </c>
      <c r="G2182" s="7" t="s">
        <v>14</v>
      </c>
      <c r="H2182" s="7" t="s">
        <v>314</v>
      </c>
      <c r="M2182" s="7" t="s">
        <v>865</v>
      </c>
      <c r="N2182" s="7" t="s">
        <v>580</v>
      </c>
      <c r="O2182" s="17" t="s">
        <v>680</v>
      </c>
      <c r="P2182" s="7">
        <f t="shared" si="193"/>
        <v>9</v>
      </c>
      <c r="Q2182" s="7">
        <f t="shared" si="192"/>
        <v>2025</v>
      </c>
    </row>
    <row r="2183" spans="1:17" x14ac:dyDescent="0.25">
      <c r="A2183" s="7">
        <v>2552</v>
      </c>
      <c r="B2183" s="9" t="s">
        <v>877</v>
      </c>
      <c r="C2183" s="9" t="s">
        <v>59</v>
      </c>
      <c r="D2183" s="8">
        <v>45924</v>
      </c>
      <c r="E2183" s="7" t="s">
        <v>60</v>
      </c>
      <c r="F2183" s="7">
        <v>1</v>
      </c>
      <c r="G2183" s="7" t="s">
        <v>14</v>
      </c>
      <c r="H2183" s="7" t="s">
        <v>314</v>
      </c>
      <c r="M2183" s="7" t="s">
        <v>865</v>
      </c>
      <c r="N2183" s="7" t="s">
        <v>580</v>
      </c>
      <c r="O2183" s="17" t="s">
        <v>680</v>
      </c>
      <c r="P2183" s="7">
        <f t="shared" si="193"/>
        <v>9</v>
      </c>
      <c r="Q2183" s="7">
        <f t="shared" si="192"/>
        <v>2025</v>
      </c>
    </row>
    <row r="2184" spans="1:17" x14ac:dyDescent="0.25">
      <c r="A2184" s="7">
        <v>2552</v>
      </c>
      <c r="B2184" s="9" t="s">
        <v>877</v>
      </c>
      <c r="C2184" s="9" t="s">
        <v>59</v>
      </c>
      <c r="D2184" s="8">
        <v>45924</v>
      </c>
      <c r="E2184" s="7" t="s">
        <v>60</v>
      </c>
      <c r="F2184" s="7">
        <v>1</v>
      </c>
      <c r="G2184" s="7" t="s">
        <v>14</v>
      </c>
      <c r="H2184" s="7" t="s">
        <v>314</v>
      </c>
      <c r="M2184" s="7" t="s">
        <v>865</v>
      </c>
      <c r="N2184" s="7" t="s">
        <v>580</v>
      </c>
      <c r="O2184" s="17" t="s">
        <v>680</v>
      </c>
      <c r="P2184" s="7">
        <f t="shared" si="193"/>
        <v>9</v>
      </c>
      <c r="Q2184" s="7">
        <f t="shared" si="192"/>
        <v>2025</v>
      </c>
    </row>
    <row r="2185" spans="1:17" x14ac:dyDescent="0.25">
      <c r="A2185" s="7">
        <v>2552</v>
      </c>
      <c r="B2185" s="9" t="s">
        <v>877</v>
      </c>
      <c r="C2185" s="9" t="s">
        <v>59</v>
      </c>
      <c r="D2185" s="8">
        <v>45924</v>
      </c>
      <c r="E2185" s="7" t="s">
        <v>60</v>
      </c>
      <c r="F2185" s="7">
        <v>1</v>
      </c>
      <c r="G2185" s="7" t="s">
        <v>14</v>
      </c>
      <c r="H2185" s="7" t="s">
        <v>314</v>
      </c>
      <c r="M2185" s="7" t="s">
        <v>865</v>
      </c>
      <c r="N2185" s="7" t="s">
        <v>580</v>
      </c>
      <c r="O2185" s="17" t="s">
        <v>680</v>
      </c>
      <c r="P2185" s="7">
        <f t="shared" si="193"/>
        <v>9</v>
      </c>
      <c r="Q2185" s="7">
        <f t="shared" si="192"/>
        <v>2025</v>
      </c>
    </row>
    <row r="2186" spans="1:17" x14ac:dyDescent="0.25">
      <c r="A2186" s="7">
        <v>2552</v>
      </c>
      <c r="B2186" s="9" t="s">
        <v>877</v>
      </c>
      <c r="C2186" s="9" t="s">
        <v>59</v>
      </c>
      <c r="D2186" s="8">
        <v>45924</v>
      </c>
      <c r="E2186" s="7" t="s">
        <v>60</v>
      </c>
      <c r="F2186" s="7">
        <v>1</v>
      </c>
      <c r="G2186" s="7" t="s">
        <v>14</v>
      </c>
      <c r="H2186" s="7" t="s">
        <v>314</v>
      </c>
      <c r="M2186" s="7" t="s">
        <v>865</v>
      </c>
      <c r="N2186" s="7" t="s">
        <v>580</v>
      </c>
      <c r="O2186" s="17" t="s">
        <v>680</v>
      </c>
      <c r="P2186" s="7">
        <f t="shared" si="193"/>
        <v>9</v>
      </c>
      <c r="Q2186" s="7">
        <f t="shared" si="192"/>
        <v>2025</v>
      </c>
    </row>
    <row r="2187" spans="1:17" x14ac:dyDescent="0.25">
      <c r="A2187" s="7">
        <v>2552</v>
      </c>
      <c r="B2187" s="9" t="s">
        <v>877</v>
      </c>
      <c r="C2187" s="9" t="s">
        <v>59</v>
      </c>
      <c r="D2187" s="8">
        <v>45924</v>
      </c>
      <c r="E2187" s="7" t="s">
        <v>60</v>
      </c>
      <c r="F2187" s="7">
        <v>1</v>
      </c>
      <c r="G2187" s="7" t="s">
        <v>14</v>
      </c>
      <c r="H2187" s="7" t="s">
        <v>314</v>
      </c>
      <c r="M2187" s="7" t="s">
        <v>865</v>
      </c>
      <c r="N2187" s="7" t="s">
        <v>580</v>
      </c>
      <c r="O2187" s="17" t="s">
        <v>680</v>
      </c>
      <c r="P2187" s="7">
        <f t="shared" si="193"/>
        <v>9</v>
      </c>
      <c r="Q2187" s="7">
        <f t="shared" si="192"/>
        <v>2025</v>
      </c>
    </row>
    <row r="2188" spans="1:17" x14ac:dyDescent="0.25">
      <c r="A2188" s="7">
        <v>2552</v>
      </c>
      <c r="B2188" s="9" t="s">
        <v>877</v>
      </c>
      <c r="C2188" s="9" t="s">
        <v>59</v>
      </c>
      <c r="D2188" s="8">
        <v>45924</v>
      </c>
      <c r="E2188" s="7" t="s">
        <v>60</v>
      </c>
      <c r="F2188" s="7">
        <v>1</v>
      </c>
      <c r="G2188" s="7" t="s">
        <v>14</v>
      </c>
      <c r="H2188" s="7" t="s">
        <v>314</v>
      </c>
      <c r="M2188" s="7" t="s">
        <v>865</v>
      </c>
      <c r="N2188" s="7" t="s">
        <v>580</v>
      </c>
      <c r="O2188" s="17" t="s">
        <v>680</v>
      </c>
      <c r="P2188" s="7">
        <f t="shared" si="193"/>
        <v>9</v>
      </c>
      <c r="Q2188" s="7">
        <f t="shared" si="192"/>
        <v>2025</v>
      </c>
    </row>
    <row r="2189" spans="1:17" x14ac:dyDescent="0.25">
      <c r="A2189" s="7">
        <v>2552</v>
      </c>
      <c r="B2189" s="9" t="s">
        <v>877</v>
      </c>
      <c r="C2189" s="9" t="s">
        <v>59</v>
      </c>
      <c r="D2189" s="8">
        <v>45924</v>
      </c>
      <c r="E2189" s="7" t="s">
        <v>60</v>
      </c>
      <c r="F2189" s="7">
        <v>1</v>
      </c>
      <c r="G2189" s="7" t="s">
        <v>14</v>
      </c>
      <c r="H2189" s="7" t="s">
        <v>314</v>
      </c>
      <c r="M2189" s="7" t="s">
        <v>865</v>
      </c>
      <c r="N2189" s="7" t="s">
        <v>580</v>
      </c>
      <c r="O2189" s="17" t="s">
        <v>680</v>
      </c>
      <c r="P2189" s="7">
        <f t="shared" si="193"/>
        <v>9</v>
      </c>
      <c r="Q2189" s="7">
        <f t="shared" si="192"/>
        <v>2025</v>
      </c>
    </row>
    <row r="2190" spans="1:17" x14ac:dyDescent="0.25">
      <c r="A2190" s="7">
        <v>2552</v>
      </c>
      <c r="B2190" s="9" t="s">
        <v>877</v>
      </c>
      <c r="C2190" s="9" t="s">
        <v>59</v>
      </c>
      <c r="D2190" s="8">
        <v>45924</v>
      </c>
      <c r="E2190" s="7" t="s">
        <v>60</v>
      </c>
      <c r="F2190" s="7">
        <v>1</v>
      </c>
      <c r="G2190" s="7" t="s">
        <v>14</v>
      </c>
      <c r="H2190" s="7" t="s">
        <v>314</v>
      </c>
      <c r="M2190" s="7" t="s">
        <v>865</v>
      </c>
      <c r="N2190" s="7" t="s">
        <v>580</v>
      </c>
      <c r="O2190" s="17" t="s">
        <v>680</v>
      </c>
      <c r="P2190" s="7">
        <f t="shared" si="193"/>
        <v>9</v>
      </c>
      <c r="Q2190" s="7">
        <f t="shared" si="192"/>
        <v>2025</v>
      </c>
    </row>
    <row r="2191" spans="1:17" x14ac:dyDescent="0.25">
      <c r="A2191" s="7">
        <v>2552</v>
      </c>
      <c r="B2191" s="9" t="s">
        <v>877</v>
      </c>
      <c r="C2191" s="9" t="s">
        <v>59</v>
      </c>
      <c r="D2191" s="8">
        <v>45924</v>
      </c>
      <c r="E2191" s="7" t="s">
        <v>60</v>
      </c>
      <c r="F2191" s="7">
        <v>1</v>
      </c>
      <c r="G2191" s="7" t="s">
        <v>14</v>
      </c>
      <c r="H2191" s="7" t="s">
        <v>314</v>
      </c>
      <c r="M2191" s="7" t="s">
        <v>865</v>
      </c>
      <c r="N2191" s="7" t="s">
        <v>580</v>
      </c>
      <c r="O2191" s="17" t="s">
        <v>680</v>
      </c>
      <c r="P2191" s="7">
        <f t="shared" si="193"/>
        <v>9</v>
      </c>
      <c r="Q2191" s="7">
        <f t="shared" si="192"/>
        <v>2025</v>
      </c>
    </row>
    <row r="2192" spans="1:17" x14ac:dyDescent="0.25">
      <c r="A2192" s="7">
        <v>2552</v>
      </c>
      <c r="B2192" s="9" t="s">
        <v>877</v>
      </c>
      <c r="C2192" s="9" t="s">
        <v>59</v>
      </c>
      <c r="D2192" s="8">
        <v>45924</v>
      </c>
      <c r="E2192" s="7" t="s">
        <v>60</v>
      </c>
      <c r="F2192" s="7">
        <v>1</v>
      </c>
      <c r="G2192" s="7" t="s">
        <v>14</v>
      </c>
      <c r="H2192" s="7" t="s">
        <v>314</v>
      </c>
      <c r="M2192" s="7" t="s">
        <v>865</v>
      </c>
      <c r="N2192" s="7" t="s">
        <v>580</v>
      </c>
      <c r="O2192" s="17" t="s">
        <v>680</v>
      </c>
      <c r="P2192" s="7">
        <f t="shared" si="193"/>
        <v>9</v>
      </c>
      <c r="Q2192" s="7">
        <f t="shared" si="192"/>
        <v>2025</v>
      </c>
    </row>
    <row r="2193" spans="1:17" x14ac:dyDescent="0.25">
      <c r="A2193" s="7">
        <v>2552</v>
      </c>
      <c r="B2193" s="9" t="s">
        <v>877</v>
      </c>
      <c r="C2193" s="9" t="s">
        <v>59</v>
      </c>
      <c r="D2193" s="8">
        <v>45924</v>
      </c>
      <c r="E2193" s="7" t="s">
        <v>60</v>
      </c>
      <c r="F2193" s="7">
        <v>1</v>
      </c>
      <c r="G2193" s="7" t="s">
        <v>14</v>
      </c>
      <c r="H2193" s="7" t="s">
        <v>314</v>
      </c>
      <c r="M2193" s="7" t="s">
        <v>865</v>
      </c>
      <c r="N2193" s="7" t="s">
        <v>580</v>
      </c>
      <c r="O2193" s="17" t="s">
        <v>680</v>
      </c>
      <c r="P2193" s="7">
        <f t="shared" si="193"/>
        <v>9</v>
      </c>
      <c r="Q2193" s="7">
        <f t="shared" si="192"/>
        <v>2025</v>
      </c>
    </row>
    <row r="2194" spans="1:17" x14ac:dyDescent="0.25">
      <c r="A2194" s="7">
        <v>2552</v>
      </c>
      <c r="B2194" s="9" t="s">
        <v>877</v>
      </c>
      <c r="C2194" s="9" t="s">
        <v>59</v>
      </c>
      <c r="D2194" s="8">
        <v>45924</v>
      </c>
      <c r="E2194" s="7" t="s">
        <v>60</v>
      </c>
      <c r="F2194" s="7">
        <v>1</v>
      </c>
      <c r="G2194" s="7" t="s">
        <v>14</v>
      </c>
      <c r="H2194" s="7" t="s">
        <v>314</v>
      </c>
      <c r="M2194" s="7" t="s">
        <v>865</v>
      </c>
      <c r="N2194" s="7" t="s">
        <v>580</v>
      </c>
      <c r="O2194" s="17" t="s">
        <v>680</v>
      </c>
      <c r="P2194" s="7">
        <f t="shared" si="193"/>
        <v>9</v>
      </c>
      <c r="Q2194" s="7">
        <f t="shared" si="192"/>
        <v>2025</v>
      </c>
    </row>
    <row r="2195" spans="1:17" x14ac:dyDescent="0.25">
      <c r="A2195" s="7">
        <v>2552</v>
      </c>
      <c r="B2195" s="9" t="s">
        <v>877</v>
      </c>
      <c r="C2195" s="9" t="s">
        <v>59</v>
      </c>
      <c r="D2195" s="8">
        <v>45924</v>
      </c>
      <c r="E2195" s="7" t="s">
        <v>60</v>
      </c>
      <c r="F2195" s="7">
        <v>1</v>
      </c>
      <c r="G2195" s="7" t="s">
        <v>14</v>
      </c>
      <c r="H2195" s="7" t="s">
        <v>314</v>
      </c>
      <c r="M2195" s="7" t="s">
        <v>865</v>
      </c>
      <c r="N2195" s="7" t="s">
        <v>580</v>
      </c>
      <c r="O2195" s="17" t="s">
        <v>680</v>
      </c>
      <c r="P2195" s="7">
        <f t="shared" si="193"/>
        <v>9</v>
      </c>
      <c r="Q2195" s="7">
        <f t="shared" si="192"/>
        <v>2025</v>
      </c>
    </row>
    <row r="2196" spans="1:17" x14ac:dyDescent="0.25">
      <c r="A2196" s="7">
        <v>2552</v>
      </c>
      <c r="B2196" s="9" t="s">
        <v>877</v>
      </c>
      <c r="C2196" s="9" t="s">
        <v>59</v>
      </c>
      <c r="D2196" s="8">
        <v>45924</v>
      </c>
      <c r="E2196" s="7" t="s">
        <v>60</v>
      </c>
      <c r="F2196" s="7">
        <v>1</v>
      </c>
      <c r="G2196" s="7" t="s">
        <v>14</v>
      </c>
      <c r="H2196" s="7" t="s">
        <v>314</v>
      </c>
      <c r="M2196" s="7" t="s">
        <v>865</v>
      </c>
      <c r="N2196" s="7" t="s">
        <v>580</v>
      </c>
      <c r="O2196" s="17" t="s">
        <v>680</v>
      </c>
      <c r="P2196" s="7">
        <f t="shared" si="193"/>
        <v>9</v>
      </c>
      <c r="Q2196" s="7">
        <f t="shared" si="192"/>
        <v>2025</v>
      </c>
    </row>
    <row r="2197" spans="1:17" x14ac:dyDescent="0.25">
      <c r="A2197" s="7">
        <v>2552</v>
      </c>
      <c r="B2197" s="9" t="s">
        <v>877</v>
      </c>
      <c r="C2197" s="9" t="s">
        <v>59</v>
      </c>
      <c r="D2197" s="8">
        <v>45924</v>
      </c>
      <c r="E2197" s="7" t="s">
        <v>60</v>
      </c>
      <c r="F2197" s="7">
        <v>1</v>
      </c>
      <c r="G2197" s="7" t="s">
        <v>14</v>
      </c>
      <c r="H2197" s="7" t="s">
        <v>314</v>
      </c>
      <c r="M2197" s="7" t="s">
        <v>865</v>
      </c>
      <c r="N2197" s="7" t="s">
        <v>580</v>
      </c>
      <c r="O2197" s="17" t="s">
        <v>680</v>
      </c>
      <c r="P2197" s="7">
        <f t="shared" si="193"/>
        <v>9</v>
      </c>
      <c r="Q2197" s="7">
        <f t="shared" si="192"/>
        <v>2025</v>
      </c>
    </row>
    <row r="2198" spans="1:17" x14ac:dyDescent="0.25">
      <c r="A2198" s="7">
        <v>2552</v>
      </c>
      <c r="B2198" s="9" t="s">
        <v>877</v>
      </c>
      <c r="C2198" s="9" t="s">
        <v>59</v>
      </c>
      <c r="D2198" s="8">
        <v>45924</v>
      </c>
      <c r="E2198" s="7" t="s">
        <v>60</v>
      </c>
      <c r="F2198" s="7">
        <v>1</v>
      </c>
      <c r="G2198" s="7" t="s">
        <v>14</v>
      </c>
      <c r="H2198" s="7" t="s">
        <v>314</v>
      </c>
      <c r="M2198" s="7" t="s">
        <v>865</v>
      </c>
      <c r="N2198" s="7" t="s">
        <v>580</v>
      </c>
      <c r="O2198" s="17" t="s">
        <v>680</v>
      </c>
      <c r="P2198" s="7">
        <f t="shared" si="193"/>
        <v>9</v>
      </c>
      <c r="Q2198" s="7">
        <f t="shared" si="192"/>
        <v>2025</v>
      </c>
    </row>
    <row r="2199" spans="1:17" x14ac:dyDescent="0.25">
      <c r="A2199" s="7">
        <v>2552</v>
      </c>
      <c r="B2199" s="9" t="s">
        <v>877</v>
      </c>
      <c r="C2199" s="9" t="s">
        <v>59</v>
      </c>
      <c r="D2199" s="8">
        <v>45924</v>
      </c>
      <c r="E2199" s="7" t="s">
        <v>60</v>
      </c>
      <c r="F2199" s="7">
        <v>1</v>
      </c>
      <c r="G2199" s="7" t="s">
        <v>14</v>
      </c>
      <c r="H2199" s="7" t="s">
        <v>314</v>
      </c>
      <c r="M2199" s="7" t="s">
        <v>865</v>
      </c>
      <c r="N2199" s="7" t="s">
        <v>580</v>
      </c>
      <c r="O2199" s="17" t="s">
        <v>680</v>
      </c>
      <c r="P2199" s="7">
        <f t="shared" si="193"/>
        <v>9</v>
      </c>
      <c r="Q2199" s="7">
        <f t="shared" si="192"/>
        <v>2025</v>
      </c>
    </row>
    <row r="2200" spans="1:17" x14ac:dyDescent="0.25">
      <c r="A2200" s="7">
        <v>2552</v>
      </c>
      <c r="B2200" s="9" t="s">
        <v>877</v>
      </c>
      <c r="C2200" s="9" t="s">
        <v>59</v>
      </c>
      <c r="D2200" s="8">
        <v>45924</v>
      </c>
      <c r="E2200" s="7" t="s">
        <v>60</v>
      </c>
      <c r="F2200" s="7">
        <v>1</v>
      </c>
      <c r="G2200" s="7" t="s">
        <v>14</v>
      </c>
      <c r="H2200" s="7" t="s">
        <v>314</v>
      </c>
      <c r="M2200" s="7" t="s">
        <v>865</v>
      </c>
      <c r="N2200" s="7" t="s">
        <v>580</v>
      </c>
      <c r="O2200" s="17" t="s">
        <v>680</v>
      </c>
      <c r="P2200" s="7">
        <f t="shared" si="193"/>
        <v>9</v>
      </c>
      <c r="Q2200" s="7">
        <f t="shared" si="192"/>
        <v>2025</v>
      </c>
    </row>
    <row r="2201" spans="1:17" x14ac:dyDescent="0.25">
      <c r="A2201" s="7">
        <v>2552</v>
      </c>
      <c r="B2201" s="9" t="s">
        <v>877</v>
      </c>
      <c r="C2201" s="9" t="s">
        <v>59</v>
      </c>
      <c r="D2201" s="8">
        <v>45924</v>
      </c>
      <c r="E2201" s="7" t="s">
        <v>60</v>
      </c>
      <c r="F2201" s="7">
        <v>1</v>
      </c>
      <c r="G2201" s="7" t="s">
        <v>14</v>
      </c>
      <c r="H2201" s="7" t="s">
        <v>314</v>
      </c>
      <c r="M2201" s="7" t="s">
        <v>865</v>
      </c>
      <c r="N2201" s="7" t="s">
        <v>580</v>
      </c>
      <c r="O2201" s="17" t="s">
        <v>680</v>
      </c>
      <c r="P2201" s="7">
        <f t="shared" si="193"/>
        <v>9</v>
      </c>
      <c r="Q2201" s="7">
        <f t="shared" si="192"/>
        <v>2025</v>
      </c>
    </row>
    <row r="2202" spans="1:17" x14ac:dyDescent="0.25">
      <c r="A2202" s="7">
        <v>2552</v>
      </c>
      <c r="B2202" s="9" t="s">
        <v>877</v>
      </c>
      <c r="C2202" s="9" t="s">
        <v>59</v>
      </c>
      <c r="D2202" s="8">
        <v>45924</v>
      </c>
      <c r="E2202" s="7" t="s">
        <v>60</v>
      </c>
      <c r="F2202" s="7">
        <v>1</v>
      </c>
      <c r="G2202" s="7" t="s">
        <v>14</v>
      </c>
      <c r="H2202" s="7" t="s">
        <v>314</v>
      </c>
      <c r="M2202" s="7" t="s">
        <v>865</v>
      </c>
      <c r="N2202" s="7" t="s">
        <v>580</v>
      </c>
      <c r="O2202" s="17" t="s">
        <v>680</v>
      </c>
      <c r="P2202" s="7">
        <f t="shared" si="193"/>
        <v>9</v>
      </c>
      <c r="Q2202" s="7">
        <f t="shared" si="192"/>
        <v>2025</v>
      </c>
    </row>
    <row r="2203" spans="1:17" x14ac:dyDescent="0.25">
      <c r="A2203" s="7">
        <v>2552</v>
      </c>
      <c r="B2203" s="9" t="s">
        <v>877</v>
      </c>
      <c r="C2203" s="9" t="s">
        <v>59</v>
      </c>
      <c r="D2203" s="8">
        <v>45924</v>
      </c>
      <c r="E2203" s="7" t="s">
        <v>60</v>
      </c>
      <c r="F2203" s="7">
        <v>1</v>
      </c>
      <c r="G2203" s="7" t="s">
        <v>14</v>
      </c>
      <c r="H2203" s="7" t="s">
        <v>314</v>
      </c>
      <c r="M2203" s="7" t="s">
        <v>865</v>
      </c>
      <c r="N2203" s="7" t="s">
        <v>580</v>
      </c>
      <c r="O2203" s="17" t="s">
        <v>680</v>
      </c>
      <c r="P2203" s="7">
        <f t="shared" si="193"/>
        <v>9</v>
      </c>
      <c r="Q2203" s="7">
        <f t="shared" si="192"/>
        <v>2025</v>
      </c>
    </row>
    <row r="2204" spans="1:17" x14ac:dyDescent="0.25">
      <c r="A2204" s="7">
        <v>2552</v>
      </c>
      <c r="B2204" s="9" t="s">
        <v>877</v>
      </c>
      <c r="C2204" s="9" t="s">
        <v>59</v>
      </c>
      <c r="D2204" s="8">
        <v>45924</v>
      </c>
      <c r="E2204" s="7" t="s">
        <v>60</v>
      </c>
      <c r="F2204" s="7">
        <v>1</v>
      </c>
      <c r="G2204" s="7" t="s">
        <v>14</v>
      </c>
      <c r="H2204" s="7" t="s">
        <v>314</v>
      </c>
      <c r="M2204" s="7" t="s">
        <v>865</v>
      </c>
      <c r="N2204" s="7" t="s">
        <v>580</v>
      </c>
      <c r="O2204" s="17" t="s">
        <v>680</v>
      </c>
      <c r="P2204" s="7">
        <f t="shared" si="193"/>
        <v>9</v>
      </c>
      <c r="Q2204" s="7">
        <f t="shared" si="192"/>
        <v>2025</v>
      </c>
    </row>
    <row r="2205" spans="1:17" x14ac:dyDescent="0.25">
      <c r="A2205" s="7">
        <v>2552</v>
      </c>
      <c r="B2205" s="9" t="s">
        <v>877</v>
      </c>
      <c r="C2205" s="9" t="s">
        <v>59</v>
      </c>
      <c r="D2205" s="8">
        <v>45924</v>
      </c>
      <c r="E2205" s="7" t="s">
        <v>60</v>
      </c>
      <c r="F2205" s="7">
        <v>1</v>
      </c>
      <c r="G2205" s="7" t="s">
        <v>14</v>
      </c>
      <c r="H2205" s="7" t="s">
        <v>314</v>
      </c>
      <c r="M2205" s="7" t="s">
        <v>865</v>
      </c>
      <c r="N2205" s="7" t="s">
        <v>580</v>
      </c>
      <c r="O2205" s="17" t="s">
        <v>680</v>
      </c>
      <c r="P2205" s="7">
        <f t="shared" si="193"/>
        <v>9</v>
      </c>
      <c r="Q2205" s="7">
        <f t="shared" si="192"/>
        <v>2025</v>
      </c>
    </row>
    <row r="2206" spans="1:17" x14ac:dyDescent="0.25">
      <c r="A2206" s="7">
        <v>2552</v>
      </c>
      <c r="B2206" s="9" t="s">
        <v>877</v>
      </c>
      <c r="C2206" s="9" t="s">
        <v>59</v>
      </c>
      <c r="D2206" s="8">
        <v>45924</v>
      </c>
      <c r="E2206" s="7" t="s">
        <v>60</v>
      </c>
      <c r="F2206" s="7">
        <v>1</v>
      </c>
      <c r="G2206" s="7" t="s">
        <v>14</v>
      </c>
      <c r="H2206" s="7" t="s">
        <v>314</v>
      </c>
      <c r="M2206" s="7" t="s">
        <v>865</v>
      </c>
      <c r="N2206" s="7" t="s">
        <v>580</v>
      </c>
      <c r="O2206" s="17" t="s">
        <v>680</v>
      </c>
      <c r="P2206" s="7">
        <f t="shared" si="193"/>
        <v>9</v>
      </c>
      <c r="Q2206" s="7">
        <f t="shared" si="192"/>
        <v>2025</v>
      </c>
    </row>
    <row r="2207" spans="1:17" x14ac:dyDescent="0.25">
      <c r="A2207" s="7">
        <v>2552</v>
      </c>
      <c r="B2207" s="9" t="s">
        <v>877</v>
      </c>
      <c r="C2207" s="9" t="s">
        <v>59</v>
      </c>
      <c r="D2207" s="8">
        <v>45924</v>
      </c>
      <c r="E2207" s="7" t="s">
        <v>60</v>
      </c>
      <c r="F2207" s="7">
        <v>1</v>
      </c>
      <c r="G2207" s="7" t="s">
        <v>14</v>
      </c>
      <c r="H2207" s="7" t="s">
        <v>314</v>
      </c>
      <c r="M2207" s="7" t="s">
        <v>865</v>
      </c>
      <c r="N2207" s="7" t="s">
        <v>580</v>
      </c>
      <c r="O2207" s="17" t="s">
        <v>680</v>
      </c>
      <c r="P2207" s="7">
        <f t="shared" si="193"/>
        <v>9</v>
      </c>
      <c r="Q2207" s="7">
        <f t="shared" si="192"/>
        <v>2025</v>
      </c>
    </row>
    <row r="2208" spans="1:17" x14ac:dyDescent="0.25">
      <c r="A2208" s="7">
        <v>2553</v>
      </c>
      <c r="B2208" s="9" t="s">
        <v>878</v>
      </c>
      <c r="C2208" s="9" t="s">
        <v>879</v>
      </c>
      <c r="D2208" s="8">
        <v>45932</v>
      </c>
      <c r="E2208" s="7" t="s">
        <v>60</v>
      </c>
      <c r="F2208" s="7">
        <v>1</v>
      </c>
      <c r="G2208" s="7" t="s">
        <v>15</v>
      </c>
      <c r="M2208" s="16" t="s">
        <v>497</v>
      </c>
      <c r="N2208" s="7" t="s">
        <v>579</v>
      </c>
      <c r="O2208" s="17" t="s">
        <v>680</v>
      </c>
      <c r="P2208" s="7">
        <f t="shared" ref="P2208:P2240" si="194">MONTH(D2208)</f>
        <v>10</v>
      </c>
      <c r="Q2208" s="7">
        <f t="shared" si="192"/>
        <v>2025</v>
      </c>
    </row>
    <row r="2209" spans="1:17" x14ac:dyDescent="0.25">
      <c r="A2209" s="7">
        <v>2553</v>
      </c>
      <c r="B2209" s="9" t="s">
        <v>878</v>
      </c>
      <c r="C2209" s="9" t="s">
        <v>879</v>
      </c>
      <c r="D2209" s="8">
        <v>45932</v>
      </c>
      <c r="E2209" s="7" t="s">
        <v>60</v>
      </c>
      <c r="F2209" s="7">
        <v>1</v>
      </c>
      <c r="G2209" s="7" t="s">
        <v>15</v>
      </c>
      <c r="M2209" s="16" t="s">
        <v>497</v>
      </c>
      <c r="N2209" s="7" t="s">
        <v>579</v>
      </c>
      <c r="O2209" s="17" t="s">
        <v>680</v>
      </c>
      <c r="P2209" s="7">
        <f t="shared" si="194"/>
        <v>10</v>
      </c>
      <c r="Q2209" s="7">
        <f t="shared" si="192"/>
        <v>2025</v>
      </c>
    </row>
    <row r="2210" spans="1:17" x14ac:dyDescent="0.25">
      <c r="A2210" s="7">
        <v>2553</v>
      </c>
      <c r="B2210" s="9" t="s">
        <v>878</v>
      </c>
      <c r="C2210" s="9" t="s">
        <v>879</v>
      </c>
      <c r="D2210" s="8">
        <v>45932</v>
      </c>
      <c r="E2210" s="7" t="s">
        <v>60</v>
      </c>
      <c r="F2210" s="7">
        <v>1</v>
      </c>
      <c r="G2210" s="7" t="s">
        <v>15</v>
      </c>
      <c r="M2210" s="16" t="s">
        <v>497</v>
      </c>
      <c r="N2210" s="7" t="s">
        <v>579</v>
      </c>
      <c r="O2210" s="17" t="s">
        <v>680</v>
      </c>
      <c r="P2210" s="7">
        <f t="shared" si="194"/>
        <v>10</v>
      </c>
      <c r="Q2210" s="7">
        <f t="shared" si="192"/>
        <v>2025</v>
      </c>
    </row>
    <row r="2211" spans="1:17" x14ac:dyDescent="0.25">
      <c r="A2211" s="7">
        <v>2553</v>
      </c>
      <c r="B2211" s="9" t="s">
        <v>878</v>
      </c>
      <c r="C2211" s="9" t="s">
        <v>879</v>
      </c>
      <c r="D2211" s="8">
        <v>45932</v>
      </c>
      <c r="E2211" s="7" t="s">
        <v>60</v>
      </c>
      <c r="F2211" s="7">
        <v>1</v>
      </c>
      <c r="G2211" s="7" t="s">
        <v>15</v>
      </c>
      <c r="M2211" s="16" t="s">
        <v>497</v>
      </c>
      <c r="N2211" s="7" t="s">
        <v>579</v>
      </c>
      <c r="O2211" s="17" t="s">
        <v>680</v>
      </c>
      <c r="P2211" s="7">
        <f t="shared" si="194"/>
        <v>10</v>
      </c>
      <c r="Q2211" s="7">
        <f t="shared" si="192"/>
        <v>2025</v>
      </c>
    </row>
    <row r="2212" spans="1:17" x14ac:dyDescent="0.25">
      <c r="A2212" s="7">
        <v>2553</v>
      </c>
      <c r="B2212" s="9" t="s">
        <v>878</v>
      </c>
      <c r="C2212" s="9" t="s">
        <v>879</v>
      </c>
      <c r="D2212" s="8">
        <v>45932</v>
      </c>
      <c r="E2212" s="7" t="s">
        <v>60</v>
      </c>
      <c r="F2212" s="7">
        <v>1</v>
      </c>
      <c r="G2212" s="7" t="s">
        <v>15</v>
      </c>
      <c r="M2212" s="16" t="s">
        <v>497</v>
      </c>
      <c r="N2212" s="7" t="s">
        <v>579</v>
      </c>
      <c r="O2212" s="17" t="s">
        <v>680</v>
      </c>
      <c r="P2212" s="7">
        <f t="shared" si="194"/>
        <v>10</v>
      </c>
      <c r="Q2212" s="7">
        <f t="shared" si="192"/>
        <v>2025</v>
      </c>
    </row>
    <row r="2213" spans="1:17" x14ac:dyDescent="0.25">
      <c r="A2213" s="7">
        <v>2553</v>
      </c>
      <c r="B2213" s="9" t="s">
        <v>878</v>
      </c>
      <c r="C2213" s="9" t="s">
        <v>879</v>
      </c>
      <c r="D2213" s="8">
        <v>45932</v>
      </c>
      <c r="E2213" s="7" t="s">
        <v>60</v>
      </c>
      <c r="F2213" s="7">
        <v>1</v>
      </c>
      <c r="G2213" s="7" t="s">
        <v>15</v>
      </c>
      <c r="M2213" s="16" t="s">
        <v>497</v>
      </c>
      <c r="N2213" s="7" t="s">
        <v>579</v>
      </c>
      <c r="O2213" s="17" t="s">
        <v>680</v>
      </c>
      <c r="P2213" s="7">
        <f t="shared" si="194"/>
        <v>10</v>
      </c>
      <c r="Q2213" s="7">
        <f t="shared" si="192"/>
        <v>2025</v>
      </c>
    </row>
    <row r="2214" spans="1:17" x14ac:dyDescent="0.25">
      <c r="A2214" s="7">
        <v>2553</v>
      </c>
      <c r="B2214" s="9" t="s">
        <v>878</v>
      </c>
      <c r="C2214" s="9" t="s">
        <v>879</v>
      </c>
      <c r="D2214" s="8">
        <v>45932</v>
      </c>
      <c r="E2214" s="7" t="s">
        <v>60</v>
      </c>
      <c r="F2214" s="7">
        <v>1</v>
      </c>
      <c r="G2214" s="7" t="s">
        <v>15</v>
      </c>
      <c r="M2214" s="16" t="s">
        <v>497</v>
      </c>
      <c r="N2214" s="7" t="s">
        <v>579</v>
      </c>
      <c r="O2214" s="17" t="s">
        <v>680</v>
      </c>
      <c r="P2214" s="7">
        <f t="shared" si="194"/>
        <v>10</v>
      </c>
      <c r="Q2214" s="7">
        <f t="shared" si="192"/>
        <v>2025</v>
      </c>
    </row>
    <row r="2215" spans="1:17" x14ac:dyDescent="0.25">
      <c r="A2215" s="7">
        <v>2553</v>
      </c>
      <c r="B2215" s="9" t="s">
        <v>878</v>
      </c>
      <c r="C2215" s="9" t="s">
        <v>879</v>
      </c>
      <c r="D2215" s="8">
        <v>45932</v>
      </c>
      <c r="E2215" s="7" t="s">
        <v>60</v>
      </c>
      <c r="F2215" s="7">
        <v>1</v>
      </c>
      <c r="G2215" s="7" t="s">
        <v>15</v>
      </c>
      <c r="M2215" s="16" t="s">
        <v>497</v>
      </c>
      <c r="N2215" s="7" t="s">
        <v>579</v>
      </c>
      <c r="O2215" s="17" t="s">
        <v>680</v>
      </c>
      <c r="P2215" s="7">
        <f t="shared" si="194"/>
        <v>10</v>
      </c>
      <c r="Q2215" s="7">
        <f t="shared" si="192"/>
        <v>2025</v>
      </c>
    </row>
    <row r="2216" spans="1:17" x14ac:dyDescent="0.25">
      <c r="A2216" s="7">
        <v>2553</v>
      </c>
      <c r="B2216" s="9" t="s">
        <v>878</v>
      </c>
      <c r="C2216" s="9" t="s">
        <v>879</v>
      </c>
      <c r="D2216" s="8">
        <v>45932</v>
      </c>
      <c r="E2216" s="7" t="s">
        <v>60</v>
      </c>
      <c r="F2216" s="7">
        <v>1</v>
      </c>
      <c r="G2216" s="7" t="s">
        <v>15</v>
      </c>
      <c r="M2216" s="16" t="s">
        <v>497</v>
      </c>
      <c r="N2216" s="7" t="s">
        <v>579</v>
      </c>
      <c r="O2216" s="17" t="s">
        <v>680</v>
      </c>
      <c r="P2216" s="7">
        <f t="shared" si="194"/>
        <v>10</v>
      </c>
      <c r="Q2216" s="7">
        <f t="shared" si="192"/>
        <v>2025</v>
      </c>
    </row>
    <row r="2217" spans="1:17" x14ac:dyDescent="0.25">
      <c r="A2217" s="7">
        <v>2553</v>
      </c>
      <c r="B2217" s="9" t="s">
        <v>878</v>
      </c>
      <c r="C2217" s="9" t="s">
        <v>879</v>
      </c>
      <c r="D2217" s="8">
        <v>45932</v>
      </c>
      <c r="E2217" s="7" t="s">
        <v>60</v>
      </c>
      <c r="F2217" s="7">
        <v>1</v>
      </c>
      <c r="G2217" s="7" t="s">
        <v>15</v>
      </c>
      <c r="M2217" s="16" t="s">
        <v>497</v>
      </c>
      <c r="N2217" s="7" t="s">
        <v>579</v>
      </c>
      <c r="O2217" s="17" t="s">
        <v>680</v>
      </c>
      <c r="P2217" s="7">
        <f t="shared" si="194"/>
        <v>10</v>
      </c>
      <c r="Q2217" s="7">
        <f t="shared" si="192"/>
        <v>2025</v>
      </c>
    </row>
    <row r="2218" spans="1:17" x14ac:dyDescent="0.25">
      <c r="A2218" s="7">
        <v>2553</v>
      </c>
      <c r="B2218" s="9" t="s">
        <v>878</v>
      </c>
      <c r="C2218" s="9" t="s">
        <v>879</v>
      </c>
      <c r="D2218" s="8">
        <v>45932</v>
      </c>
      <c r="E2218" s="7" t="s">
        <v>60</v>
      </c>
      <c r="F2218" s="7">
        <v>1</v>
      </c>
      <c r="G2218" s="7" t="s">
        <v>15</v>
      </c>
      <c r="M2218" s="16" t="s">
        <v>497</v>
      </c>
      <c r="N2218" s="7" t="s">
        <v>579</v>
      </c>
      <c r="O2218" s="17" t="s">
        <v>680</v>
      </c>
      <c r="P2218" s="7">
        <f t="shared" si="194"/>
        <v>10</v>
      </c>
      <c r="Q2218" s="7">
        <f t="shared" si="192"/>
        <v>2025</v>
      </c>
    </row>
    <row r="2219" spans="1:17" x14ac:dyDescent="0.25">
      <c r="A2219" s="7">
        <v>2553</v>
      </c>
      <c r="B2219" s="9" t="s">
        <v>878</v>
      </c>
      <c r="C2219" s="9" t="s">
        <v>879</v>
      </c>
      <c r="D2219" s="8">
        <v>45932</v>
      </c>
      <c r="E2219" s="7" t="s">
        <v>60</v>
      </c>
      <c r="F2219" s="7">
        <v>1</v>
      </c>
      <c r="G2219" s="7" t="s">
        <v>15</v>
      </c>
      <c r="M2219" s="16" t="s">
        <v>497</v>
      </c>
      <c r="N2219" s="7" t="s">
        <v>579</v>
      </c>
      <c r="O2219" s="17" t="s">
        <v>680</v>
      </c>
      <c r="P2219" s="7">
        <f t="shared" si="194"/>
        <v>10</v>
      </c>
      <c r="Q2219" s="7">
        <f t="shared" si="192"/>
        <v>2025</v>
      </c>
    </row>
    <row r="2220" spans="1:17" x14ac:dyDescent="0.25">
      <c r="A2220" s="7">
        <v>2553</v>
      </c>
      <c r="B2220" s="9" t="s">
        <v>878</v>
      </c>
      <c r="C2220" s="9" t="s">
        <v>879</v>
      </c>
      <c r="D2220" s="8">
        <v>45932</v>
      </c>
      <c r="E2220" s="7" t="s">
        <v>60</v>
      </c>
      <c r="F2220" s="7">
        <v>1</v>
      </c>
      <c r="G2220" s="7" t="s">
        <v>15</v>
      </c>
      <c r="M2220" s="16" t="s">
        <v>497</v>
      </c>
      <c r="N2220" s="7" t="s">
        <v>579</v>
      </c>
      <c r="O2220" s="17" t="s">
        <v>680</v>
      </c>
      <c r="P2220" s="7">
        <f t="shared" si="194"/>
        <v>10</v>
      </c>
      <c r="Q2220" s="7">
        <f t="shared" si="192"/>
        <v>2025</v>
      </c>
    </row>
    <row r="2221" spans="1:17" x14ac:dyDescent="0.25">
      <c r="A2221" s="7">
        <v>2553</v>
      </c>
      <c r="B2221" s="9" t="s">
        <v>878</v>
      </c>
      <c r="C2221" s="9" t="s">
        <v>879</v>
      </c>
      <c r="D2221" s="8">
        <v>45932</v>
      </c>
      <c r="E2221" s="7" t="s">
        <v>60</v>
      </c>
      <c r="F2221" s="7">
        <v>1</v>
      </c>
      <c r="G2221" s="7" t="s">
        <v>15</v>
      </c>
      <c r="M2221" s="16" t="s">
        <v>497</v>
      </c>
      <c r="N2221" s="7" t="s">
        <v>579</v>
      </c>
      <c r="O2221" s="17" t="s">
        <v>680</v>
      </c>
      <c r="P2221" s="7">
        <f t="shared" si="194"/>
        <v>10</v>
      </c>
      <c r="Q2221" s="7">
        <f t="shared" si="192"/>
        <v>2025</v>
      </c>
    </row>
    <row r="2222" spans="1:17" x14ac:dyDescent="0.25">
      <c r="A2222" s="7">
        <v>2553</v>
      </c>
      <c r="B2222" s="9" t="s">
        <v>878</v>
      </c>
      <c r="C2222" s="9" t="s">
        <v>879</v>
      </c>
      <c r="D2222" s="8">
        <v>45932</v>
      </c>
      <c r="E2222" s="7" t="s">
        <v>60</v>
      </c>
      <c r="F2222" s="7">
        <v>1</v>
      </c>
      <c r="G2222" s="7" t="s">
        <v>15</v>
      </c>
      <c r="M2222" s="16" t="s">
        <v>497</v>
      </c>
      <c r="N2222" s="7" t="s">
        <v>579</v>
      </c>
      <c r="O2222" s="17" t="s">
        <v>680</v>
      </c>
      <c r="P2222" s="7">
        <f t="shared" si="194"/>
        <v>10</v>
      </c>
      <c r="Q2222" s="7">
        <f t="shared" si="192"/>
        <v>2025</v>
      </c>
    </row>
    <row r="2223" spans="1:17" x14ac:dyDescent="0.25">
      <c r="A2223" s="7">
        <v>2553</v>
      </c>
      <c r="B2223" s="9" t="s">
        <v>878</v>
      </c>
      <c r="C2223" s="9" t="s">
        <v>879</v>
      </c>
      <c r="D2223" s="8">
        <v>45932</v>
      </c>
      <c r="E2223" s="7" t="s">
        <v>60</v>
      </c>
      <c r="F2223" s="7">
        <v>1</v>
      </c>
      <c r="G2223" s="7" t="s">
        <v>15</v>
      </c>
      <c r="M2223" s="16" t="s">
        <v>497</v>
      </c>
      <c r="N2223" s="7" t="s">
        <v>579</v>
      </c>
      <c r="O2223" s="17" t="s">
        <v>680</v>
      </c>
      <c r="P2223" s="7">
        <f t="shared" si="194"/>
        <v>10</v>
      </c>
      <c r="Q2223" s="7">
        <f t="shared" si="192"/>
        <v>2025</v>
      </c>
    </row>
    <row r="2224" spans="1:17" x14ac:dyDescent="0.25">
      <c r="A2224" s="7">
        <v>2553</v>
      </c>
      <c r="B2224" s="9" t="s">
        <v>878</v>
      </c>
      <c r="C2224" s="9" t="s">
        <v>879</v>
      </c>
      <c r="D2224" s="8">
        <v>45932</v>
      </c>
      <c r="E2224" s="7" t="s">
        <v>60</v>
      </c>
      <c r="F2224" s="7">
        <v>1</v>
      </c>
      <c r="G2224" s="7" t="s">
        <v>15</v>
      </c>
      <c r="M2224" s="16" t="s">
        <v>497</v>
      </c>
      <c r="N2224" s="7" t="s">
        <v>579</v>
      </c>
      <c r="O2224" s="17" t="s">
        <v>680</v>
      </c>
      <c r="P2224" s="7">
        <f t="shared" si="194"/>
        <v>10</v>
      </c>
      <c r="Q2224" s="7">
        <f t="shared" si="192"/>
        <v>2025</v>
      </c>
    </row>
    <row r="2225" spans="1:17" x14ac:dyDescent="0.25">
      <c r="A2225" s="7">
        <v>2553</v>
      </c>
      <c r="B2225" s="9" t="s">
        <v>878</v>
      </c>
      <c r="C2225" s="9" t="s">
        <v>879</v>
      </c>
      <c r="D2225" s="8">
        <v>45932</v>
      </c>
      <c r="E2225" s="7" t="s">
        <v>60</v>
      </c>
      <c r="F2225" s="7">
        <v>1</v>
      </c>
      <c r="G2225" s="7" t="s">
        <v>15</v>
      </c>
      <c r="M2225" s="16" t="s">
        <v>497</v>
      </c>
      <c r="N2225" s="7" t="s">
        <v>579</v>
      </c>
      <c r="O2225" s="17" t="s">
        <v>680</v>
      </c>
      <c r="P2225" s="7">
        <f t="shared" si="194"/>
        <v>10</v>
      </c>
      <c r="Q2225" s="7">
        <f t="shared" si="192"/>
        <v>2025</v>
      </c>
    </row>
    <row r="2226" spans="1:17" x14ac:dyDescent="0.25">
      <c r="A2226" s="7">
        <v>2553</v>
      </c>
      <c r="B2226" s="9" t="s">
        <v>878</v>
      </c>
      <c r="C2226" s="9" t="s">
        <v>879</v>
      </c>
      <c r="D2226" s="8">
        <v>45932</v>
      </c>
      <c r="E2226" s="7" t="s">
        <v>60</v>
      </c>
      <c r="F2226" s="7">
        <v>1</v>
      </c>
      <c r="G2226" s="7" t="s">
        <v>15</v>
      </c>
      <c r="M2226" s="16" t="s">
        <v>497</v>
      </c>
      <c r="N2226" s="7" t="s">
        <v>579</v>
      </c>
      <c r="O2226" s="17" t="s">
        <v>680</v>
      </c>
      <c r="P2226" s="7">
        <f t="shared" si="194"/>
        <v>10</v>
      </c>
      <c r="Q2226" s="7">
        <f t="shared" si="192"/>
        <v>2025</v>
      </c>
    </row>
    <row r="2227" spans="1:17" x14ac:dyDescent="0.25">
      <c r="A2227" s="7">
        <v>2553</v>
      </c>
      <c r="B2227" s="9" t="s">
        <v>878</v>
      </c>
      <c r="C2227" s="9" t="s">
        <v>879</v>
      </c>
      <c r="D2227" s="8">
        <v>45932</v>
      </c>
      <c r="E2227" s="7" t="s">
        <v>60</v>
      </c>
      <c r="F2227" s="7">
        <v>1</v>
      </c>
      <c r="G2227" s="7" t="s">
        <v>15</v>
      </c>
      <c r="M2227" s="16" t="s">
        <v>497</v>
      </c>
      <c r="N2227" s="7" t="s">
        <v>579</v>
      </c>
      <c r="O2227" s="17" t="s">
        <v>680</v>
      </c>
      <c r="P2227" s="7">
        <f t="shared" si="194"/>
        <v>10</v>
      </c>
      <c r="Q2227" s="7">
        <f t="shared" si="192"/>
        <v>2025</v>
      </c>
    </row>
    <row r="2228" spans="1:17" x14ac:dyDescent="0.25">
      <c r="A2228" s="7">
        <v>2553</v>
      </c>
      <c r="B2228" s="9" t="s">
        <v>878</v>
      </c>
      <c r="C2228" s="9" t="s">
        <v>879</v>
      </c>
      <c r="D2228" s="8">
        <v>45932</v>
      </c>
      <c r="E2228" s="7" t="s">
        <v>60</v>
      </c>
      <c r="F2228" s="7">
        <v>1</v>
      </c>
      <c r="G2228" s="7" t="s">
        <v>15</v>
      </c>
      <c r="M2228" s="16" t="s">
        <v>497</v>
      </c>
      <c r="N2228" s="7" t="s">
        <v>579</v>
      </c>
      <c r="O2228" s="17" t="s">
        <v>680</v>
      </c>
      <c r="P2228" s="7">
        <f t="shared" si="194"/>
        <v>10</v>
      </c>
      <c r="Q2228" s="7">
        <f t="shared" si="192"/>
        <v>2025</v>
      </c>
    </row>
    <row r="2229" spans="1:17" x14ac:dyDescent="0.25">
      <c r="A2229" s="7">
        <v>2553</v>
      </c>
      <c r="B2229" s="9" t="s">
        <v>878</v>
      </c>
      <c r="C2229" s="9" t="s">
        <v>879</v>
      </c>
      <c r="D2229" s="8">
        <v>45932</v>
      </c>
      <c r="E2229" s="7" t="s">
        <v>60</v>
      </c>
      <c r="F2229" s="7">
        <v>1</v>
      </c>
      <c r="G2229" s="7" t="s">
        <v>15</v>
      </c>
      <c r="M2229" s="16" t="s">
        <v>497</v>
      </c>
      <c r="N2229" s="7" t="s">
        <v>579</v>
      </c>
      <c r="O2229" s="17" t="s">
        <v>680</v>
      </c>
      <c r="P2229" s="7">
        <f t="shared" si="194"/>
        <v>10</v>
      </c>
      <c r="Q2229" s="7">
        <f t="shared" ref="Q2229:Q2286" si="195">YEAR(D2229)</f>
        <v>2025</v>
      </c>
    </row>
    <row r="2230" spans="1:17" x14ac:dyDescent="0.25">
      <c r="A2230" s="7">
        <v>2553</v>
      </c>
      <c r="B2230" s="9" t="s">
        <v>878</v>
      </c>
      <c r="C2230" s="9" t="s">
        <v>879</v>
      </c>
      <c r="D2230" s="8">
        <v>45932</v>
      </c>
      <c r="E2230" s="7" t="s">
        <v>60</v>
      </c>
      <c r="F2230" s="7">
        <v>1</v>
      </c>
      <c r="G2230" s="7" t="s">
        <v>15</v>
      </c>
      <c r="M2230" s="16" t="s">
        <v>497</v>
      </c>
      <c r="N2230" s="7" t="s">
        <v>579</v>
      </c>
      <c r="O2230" s="17" t="s">
        <v>680</v>
      </c>
      <c r="P2230" s="7">
        <f t="shared" si="194"/>
        <v>10</v>
      </c>
      <c r="Q2230" s="7">
        <f t="shared" si="195"/>
        <v>2025</v>
      </c>
    </row>
    <row r="2231" spans="1:17" x14ac:dyDescent="0.25">
      <c r="A2231" s="7">
        <v>2553</v>
      </c>
      <c r="B2231" s="9" t="s">
        <v>878</v>
      </c>
      <c r="C2231" s="9" t="s">
        <v>879</v>
      </c>
      <c r="D2231" s="8">
        <v>45932</v>
      </c>
      <c r="E2231" s="7" t="s">
        <v>60</v>
      </c>
      <c r="F2231" s="7">
        <v>1</v>
      </c>
      <c r="G2231" s="7" t="s">
        <v>15</v>
      </c>
      <c r="M2231" s="16" t="s">
        <v>497</v>
      </c>
      <c r="N2231" s="7" t="s">
        <v>579</v>
      </c>
      <c r="O2231" s="17" t="s">
        <v>680</v>
      </c>
      <c r="P2231" s="7">
        <f t="shared" si="194"/>
        <v>10</v>
      </c>
      <c r="Q2231" s="7">
        <f t="shared" si="195"/>
        <v>2025</v>
      </c>
    </row>
    <row r="2232" spans="1:17" x14ac:dyDescent="0.25">
      <c r="A2232" s="7">
        <v>2553</v>
      </c>
      <c r="B2232" s="9" t="s">
        <v>878</v>
      </c>
      <c r="C2232" s="9" t="s">
        <v>879</v>
      </c>
      <c r="D2232" s="8">
        <v>45932</v>
      </c>
      <c r="E2232" s="7" t="s">
        <v>60</v>
      </c>
      <c r="F2232" s="7">
        <v>1</v>
      </c>
      <c r="G2232" s="7" t="s">
        <v>15</v>
      </c>
      <c r="M2232" s="16" t="s">
        <v>497</v>
      </c>
      <c r="N2232" s="7" t="s">
        <v>579</v>
      </c>
      <c r="O2232" s="17" t="s">
        <v>680</v>
      </c>
      <c r="P2232" s="7">
        <f t="shared" si="194"/>
        <v>10</v>
      </c>
      <c r="Q2232" s="7">
        <f t="shared" si="195"/>
        <v>2025</v>
      </c>
    </row>
    <row r="2233" spans="1:17" x14ac:dyDescent="0.25">
      <c r="A2233" s="7">
        <v>2554</v>
      </c>
      <c r="B2233" s="9" t="s">
        <v>878</v>
      </c>
      <c r="C2233" s="9" t="s">
        <v>879</v>
      </c>
      <c r="D2233" s="8">
        <v>45932</v>
      </c>
      <c r="E2233" s="7" t="s">
        <v>60</v>
      </c>
      <c r="F2233" s="7">
        <v>1</v>
      </c>
      <c r="G2233" s="7" t="s">
        <v>14</v>
      </c>
      <c r="M2233" s="16" t="s">
        <v>497</v>
      </c>
      <c r="N2233" s="7" t="s">
        <v>579</v>
      </c>
      <c r="O2233" s="17" t="s">
        <v>680</v>
      </c>
      <c r="P2233" s="7">
        <f t="shared" si="194"/>
        <v>10</v>
      </c>
      <c r="Q2233" s="7">
        <f t="shared" si="195"/>
        <v>2025</v>
      </c>
    </row>
    <row r="2234" spans="1:17" x14ac:dyDescent="0.25">
      <c r="A2234" s="7">
        <v>2554</v>
      </c>
      <c r="B2234" s="9" t="s">
        <v>878</v>
      </c>
      <c r="C2234" s="9" t="s">
        <v>879</v>
      </c>
      <c r="D2234" s="8">
        <v>45932</v>
      </c>
      <c r="E2234" s="7" t="s">
        <v>60</v>
      </c>
      <c r="F2234" s="7">
        <v>1</v>
      </c>
      <c r="G2234" s="7" t="s">
        <v>14</v>
      </c>
      <c r="M2234" s="16" t="s">
        <v>497</v>
      </c>
      <c r="N2234" s="7" t="s">
        <v>579</v>
      </c>
      <c r="O2234" s="17" t="s">
        <v>680</v>
      </c>
      <c r="P2234" s="7">
        <f t="shared" si="194"/>
        <v>10</v>
      </c>
      <c r="Q2234" s="7">
        <f t="shared" si="195"/>
        <v>2025</v>
      </c>
    </row>
    <row r="2235" spans="1:17" x14ac:dyDescent="0.25">
      <c r="A2235" s="7">
        <v>2554</v>
      </c>
      <c r="B2235" s="9" t="s">
        <v>878</v>
      </c>
      <c r="C2235" s="9" t="s">
        <v>879</v>
      </c>
      <c r="D2235" s="8">
        <v>45932</v>
      </c>
      <c r="E2235" s="7" t="s">
        <v>60</v>
      </c>
      <c r="F2235" s="7">
        <v>1</v>
      </c>
      <c r="G2235" s="7" t="s">
        <v>14</v>
      </c>
      <c r="M2235" s="16" t="s">
        <v>497</v>
      </c>
      <c r="N2235" s="7" t="s">
        <v>580</v>
      </c>
      <c r="O2235" s="17" t="s">
        <v>680</v>
      </c>
      <c r="P2235" s="7">
        <f t="shared" si="194"/>
        <v>10</v>
      </c>
      <c r="Q2235" s="7">
        <f t="shared" si="195"/>
        <v>2025</v>
      </c>
    </row>
    <row r="2236" spans="1:17" x14ac:dyDescent="0.25">
      <c r="A2236" s="7">
        <v>2555</v>
      </c>
      <c r="B2236" s="9" t="s">
        <v>885</v>
      </c>
      <c r="C2236" s="9" t="s">
        <v>886</v>
      </c>
      <c r="D2236" s="8">
        <v>45947</v>
      </c>
      <c r="E2236" s="7" t="s">
        <v>888</v>
      </c>
      <c r="F2236" s="7">
        <v>1</v>
      </c>
      <c r="G2236" s="7" t="s">
        <v>15</v>
      </c>
      <c r="H2236" s="7" t="s">
        <v>314</v>
      </c>
      <c r="M2236" s="16" t="s">
        <v>497</v>
      </c>
      <c r="N2236" s="7" t="s">
        <v>579</v>
      </c>
      <c r="O2236" s="7" t="s">
        <v>680</v>
      </c>
      <c r="P2236" s="7">
        <f t="shared" si="194"/>
        <v>10</v>
      </c>
      <c r="Q2236" s="7">
        <f t="shared" si="195"/>
        <v>2025</v>
      </c>
    </row>
    <row r="2237" spans="1:17" x14ac:dyDescent="0.25">
      <c r="A2237" s="7">
        <v>2557</v>
      </c>
      <c r="B2237" s="9" t="s">
        <v>891</v>
      </c>
      <c r="C2237" s="9" t="s">
        <v>890</v>
      </c>
      <c r="D2237" s="8">
        <v>45932</v>
      </c>
      <c r="E2237" s="7" t="s">
        <v>1153</v>
      </c>
      <c r="F2237" s="7">
        <v>1</v>
      </c>
      <c r="G2237" s="7" t="s">
        <v>14</v>
      </c>
      <c r="H2237" s="7" t="s">
        <v>314</v>
      </c>
      <c r="M2237" s="16" t="s">
        <v>497</v>
      </c>
      <c r="N2237" s="7" t="s">
        <v>579</v>
      </c>
      <c r="O2237" s="7" t="s">
        <v>680</v>
      </c>
      <c r="P2237" s="7">
        <f t="shared" si="194"/>
        <v>10</v>
      </c>
      <c r="Q2237" s="7">
        <f t="shared" si="195"/>
        <v>2025</v>
      </c>
    </row>
    <row r="2238" spans="1:17" x14ac:dyDescent="0.25">
      <c r="A2238" s="7">
        <v>2557</v>
      </c>
      <c r="B2238" s="9" t="s">
        <v>891</v>
      </c>
      <c r="C2238" s="9" t="s">
        <v>890</v>
      </c>
      <c r="D2238" s="8">
        <v>45932</v>
      </c>
      <c r="E2238" s="7" t="s">
        <v>892</v>
      </c>
      <c r="F2238" s="7">
        <v>1</v>
      </c>
      <c r="G2238" s="7" t="s">
        <v>14</v>
      </c>
      <c r="H2238" s="7" t="s">
        <v>314</v>
      </c>
      <c r="M2238" s="16" t="s">
        <v>497</v>
      </c>
      <c r="N2238" s="7" t="s">
        <v>579</v>
      </c>
      <c r="O2238" s="7" t="s">
        <v>680</v>
      </c>
      <c r="P2238" s="7">
        <f t="shared" si="194"/>
        <v>10</v>
      </c>
      <c r="Q2238" s="7">
        <f t="shared" si="195"/>
        <v>2025</v>
      </c>
    </row>
    <row r="2239" spans="1:17" x14ac:dyDescent="0.25">
      <c r="A2239" s="7">
        <v>2557</v>
      </c>
      <c r="B2239" s="9" t="s">
        <v>891</v>
      </c>
      <c r="C2239" s="9" t="s">
        <v>890</v>
      </c>
      <c r="D2239" s="8">
        <v>45932</v>
      </c>
      <c r="E2239" s="7" t="s">
        <v>893</v>
      </c>
      <c r="F2239" s="7">
        <v>1</v>
      </c>
      <c r="G2239" s="7" t="s">
        <v>14</v>
      </c>
      <c r="H2239" s="7" t="s">
        <v>314</v>
      </c>
      <c r="M2239" s="16" t="s">
        <v>497</v>
      </c>
      <c r="N2239" s="7" t="s">
        <v>579</v>
      </c>
      <c r="O2239" s="7" t="s">
        <v>680</v>
      </c>
      <c r="P2239" s="7">
        <f t="shared" si="194"/>
        <v>10</v>
      </c>
      <c r="Q2239" s="7">
        <f t="shared" si="195"/>
        <v>2025</v>
      </c>
    </row>
    <row r="2240" spans="1:17" x14ac:dyDescent="0.25">
      <c r="A2240" s="7">
        <v>2557</v>
      </c>
      <c r="B2240" s="9" t="s">
        <v>891</v>
      </c>
      <c r="C2240" s="9" t="s">
        <v>890</v>
      </c>
      <c r="D2240" s="8">
        <v>45932</v>
      </c>
      <c r="E2240" s="7" t="s">
        <v>894</v>
      </c>
      <c r="F2240" s="7">
        <v>1</v>
      </c>
      <c r="G2240" s="7" t="s">
        <v>14</v>
      </c>
      <c r="H2240" s="7" t="s">
        <v>314</v>
      </c>
      <c r="M2240" s="16" t="s">
        <v>497</v>
      </c>
      <c r="N2240" s="7" t="s">
        <v>579</v>
      </c>
      <c r="O2240" s="7" t="s">
        <v>680</v>
      </c>
      <c r="P2240" s="7">
        <f t="shared" si="194"/>
        <v>10</v>
      </c>
      <c r="Q2240" s="7">
        <f t="shared" si="195"/>
        <v>2025</v>
      </c>
    </row>
    <row r="2241" spans="1:17" x14ac:dyDescent="0.25">
      <c r="A2241" s="7">
        <v>2558</v>
      </c>
      <c r="B2241" s="9" t="s">
        <v>897</v>
      </c>
      <c r="C2241" s="9" t="s">
        <v>897</v>
      </c>
      <c r="D2241" s="8">
        <v>45950</v>
      </c>
      <c r="E2241" s="7" t="s">
        <v>60</v>
      </c>
      <c r="F2241" s="7">
        <v>1</v>
      </c>
      <c r="G2241" s="7" t="s">
        <v>15</v>
      </c>
      <c r="H2241" s="7" t="s">
        <v>318</v>
      </c>
      <c r="M2241" s="7" t="s">
        <v>898</v>
      </c>
      <c r="O2241" s="7" t="s">
        <v>682</v>
      </c>
      <c r="P2241" s="7">
        <f t="shared" ref="P2241:P2264" si="196">MONTH(D2241)</f>
        <v>10</v>
      </c>
      <c r="Q2241" s="7">
        <f t="shared" si="195"/>
        <v>2025</v>
      </c>
    </row>
    <row r="2242" spans="1:17" x14ac:dyDescent="0.25">
      <c r="A2242" s="7">
        <v>2558</v>
      </c>
      <c r="B2242" s="9" t="s">
        <v>897</v>
      </c>
      <c r="C2242" s="9" t="s">
        <v>897</v>
      </c>
      <c r="D2242" s="8">
        <v>45950</v>
      </c>
      <c r="E2242" s="7" t="s">
        <v>60</v>
      </c>
      <c r="F2242" s="7">
        <v>1</v>
      </c>
      <c r="G2242" s="7" t="s">
        <v>15</v>
      </c>
      <c r="H2242" s="7" t="s">
        <v>318</v>
      </c>
      <c r="M2242" s="7" t="s">
        <v>898</v>
      </c>
      <c r="O2242" s="7" t="s">
        <v>682</v>
      </c>
      <c r="P2242" s="7">
        <f t="shared" si="196"/>
        <v>10</v>
      </c>
      <c r="Q2242" s="7">
        <f t="shared" si="195"/>
        <v>2025</v>
      </c>
    </row>
    <row r="2243" spans="1:17" x14ac:dyDescent="0.25">
      <c r="A2243" s="7">
        <v>2558</v>
      </c>
      <c r="B2243" s="9" t="s">
        <v>897</v>
      </c>
      <c r="C2243" s="9" t="s">
        <v>897</v>
      </c>
      <c r="D2243" s="8">
        <v>45950</v>
      </c>
      <c r="E2243" s="7" t="s">
        <v>60</v>
      </c>
      <c r="F2243" s="7">
        <v>1</v>
      </c>
      <c r="G2243" s="7" t="s">
        <v>15</v>
      </c>
      <c r="H2243" s="7" t="s">
        <v>318</v>
      </c>
      <c r="M2243" s="7" t="s">
        <v>898</v>
      </c>
      <c r="O2243" s="7" t="s">
        <v>682</v>
      </c>
      <c r="P2243" s="7">
        <f t="shared" si="196"/>
        <v>10</v>
      </c>
      <c r="Q2243" s="7">
        <f t="shared" si="195"/>
        <v>2025</v>
      </c>
    </row>
    <row r="2244" spans="1:17" x14ac:dyDescent="0.25">
      <c r="A2244" s="7">
        <v>2558</v>
      </c>
      <c r="B2244" s="9" t="s">
        <v>897</v>
      </c>
      <c r="C2244" s="9" t="s">
        <v>897</v>
      </c>
      <c r="D2244" s="8">
        <v>45950</v>
      </c>
      <c r="E2244" s="7" t="s">
        <v>60</v>
      </c>
      <c r="F2244" s="7">
        <v>1</v>
      </c>
      <c r="G2244" s="7" t="s">
        <v>15</v>
      </c>
      <c r="H2244" s="7" t="s">
        <v>318</v>
      </c>
      <c r="M2244" s="7" t="s">
        <v>898</v>
      </c>
      <c r="O2244" s="7" t="s">
        <v>682</v>
      </c>
      <c r="P2244" s="7">
        <f t="shared" si="196"/>
        <v>10</v>
      </c>
      <c r="Q2244" s="7">
        <f t="shared" si="195"/>
        <v>2025</v>
      </c>
    </row>
    <row r="2245" spans="1:17" x14ac:dyDescent="0.25">
      <c r="A2245" s="7">
        <v>2558</v>
      </c>
      <c r="B2245" s="9" t="s">
        <v>897</v>
      </c>
      <c r="C2245" s="9" t="s">
        <v>897</v>
      </c>
      <c r="D2245" s="8">
        <v>45950</v>
      </c>
      <c r="E2245" s="7" t="s">
        <v>60</v>
      </c>
      <c r="F2245" s="7">
        <v>1</v>
      </c>
      <c r="G2245" s="7" t="s">
        <v>15</v>
      </c>
      <c r="H2245" s="7" t="s">
        <v>318</v>
      </c>
      <c r="M2245" s="7" t="s">
        <v>898</v>
      </c>
      <c r="O2245" s="7" t="s">
        <v>682</v>
      </c>
      <c r="P2245" s="7">
        <f t="shared" si="196"/>
        <v>10</v>
      </c>
      <c r="Q2245" s="7">
        <f t="shared" si="195"/>
        <v>2025</v>
      </c>
    </row>
    <row r="2246" spans="1:17" x14ac:dyDescent="0.25">
      <c r="A2246" s="7">
        <v>2558</v>
      </c>
      <c r="B2246" s="9" t="s">
        <v>897</v>
      </c>
      <c r="C2246" s="9" t="s">
        <v>897</v>
      </c>
      <c r="D2246" s="8">
        <v>45950</v>
      </c>
      <c r="E2246" s="7" t="s">
        <v>60</v>
      </c>
      <c r="F2246" s="7">
        <v>1</v>
      </c>
      <c r="G2246" s="7" t="s">
        <v>15</v>
      </c>
      <c r="H2246" s="7" t="s">
        <v>318</v>
      </c>
      <c r="M2246" s="7" t="s">
        <v>898</v>
      </c>
      <c r="O2246" s="7" t="s">
        <v>682</v>
      </c>
      <c r="P2246" s="7">
        <f t="shared" si="196"/>
        <v>10</v>
      </c>
      <c r="Q2246" s="7">
        <f t="shared" si="195"/>
        <v>2025</v>
      </c>
    </row>
    <row r="2247" spans="1:17" x14ac:dyDescent="0.25">
      <c r="A2247" s="7">
        <v>2558</v>
      </c>
      <c r="B2247" s="9" t="s">
        <v>897</v>
      </c>
      <c r="C2247" s="9" t="s">
        <v>897</v>
      </c>
      <c r="D2247" s="8">
        <v>45950</v>
      </c>
      <c r="E2247" s="7" t="s">
        <v>60</v>
      </c>
      <c r="F2247" s="7">
        <v>1</v>
      </c>
      <c r="G2247" s="7" t="s">
        <v>15</v>
      </c>
      <c r="H2247" s="7" t="s">
        <v>318</v>
      </c>
      <c r="M2247" s="7" t="s">
        <v>898</v>
      </c>
      <c r="O2247" s="7" t="s">
        <v>682</v>
      </c>
      <c r="P2247" s="7">
        <f t="shared" si="196"/>
        <v>10</v>
      </c>
      <c r="Q2247" s="7">
        <f t="shared" si="195"/>
        <v>2025</v>
      </c>
    </row>
    <row r="2248" spans="1:17" x14ac:dyDescent="0.25">
      <c r="A2248" s="7">
        <v>2558</v>
      </c>
      <c r="B2248" s="9" t="s">
        <v>897</v>
      </c>
      <c r="C2248" s="9" t="s">
        <v>897</v>
      </c>
      <c r="D2248" s="8">
        <v>45950</v>
      </c>
      <c r="E2248" s="7" t="s">
        <v>60</v>
      </c>
      <c r="F2248" s="7">
        <v>1</v>
      </c>
      <c r="G2248" s="7" t="s">
        <v>15</v>
      </c>
      <c r="H2248" s="7" t="s">
        <v>318</v>
      </c>
      <c r="M2248" s="7" t="s">
        <v>898</v>
      </c>
      <c r="O2248" s="7" t="s">
        <v>682</v>
      </c>
      <c r="P2248" s="7">
        <f t="shared" si="196"/>
        <v>10</v>
      </c>
      <c r="Q2248" s="7">
        <f t="shared" si="195"/>
        <v>2025</v>
      </c>
    </row>
    <row r="2249" spans="1:17" x14ac:dyDescent="0.25">
      <c r="A2249" s="7">
        <v>2558</v>
      </c>
      <c r="B2249" s="9" t="s">
        <v>897</v>
      </c>
      <c r="C2249" s="9" t="s">
        <v>897</v>
      </c>
      <c r="D2249" s="8">
        <v>45950</v>
      </c>
      <c r="E2249" s="7" t="s">
        <v>60</v>
      </c>
      <c r="F2249" s="7">
        <v>1</v>
      </c>
      <c r="G2249" s="7" t="s">
        <v>15</v>
      </c>
      <c r="H2249" s="7" t="s">
        <v>318</v>
      </c>
      <c r="M2249" s="7" t="s">
        <v>898</v>
      </c>
      <c r="O2249" s="7" t="s">
        <v>682</v>
      </c>
      <c r="P2249" s="7">
        <f t="shared" si="196"/>
        <v>10</v>
      </c>
      <c r="Q2249" s="7">
        <f t="shared" si="195"/>
        <v>2025</v>
      </c>
    </row>
    <row r="2250" spans="1:17" x14ac:dyDescent="0.25">
      <c r="A2250" s="7">
        <v>2558</v>
      </c>
      <c r="B2250" s="9" t="s">
        <v>897</v>
      </c>
      <c r="C2250" s="9" t="s">
        <v>897</v>
      </c>
      <c r="D2250" s="8">
        <v>45950</v>
      </c>
      <c r="E2250" s="7" t="s">
        <v>60</v>
      </c>
      <c r="F2250" s="7">
        <v>1</v>
      </c>
      <c r="G2250" s="7" t="s">
        <v>15</v>
      </c>
      <c r="H2250" s="7" t="s">
        <v>318</v>
      </c>
      <c r="M2250" s="7" t="s">
        <v>898</v>
      </c>
      <c r="O2250" s="7" t="s">
        <v>682</v>
      </c>
      <c r="P2250" s="7">
        <f t="shared" si="196"/>
        <v>10</v>
      </c>
      <c r="Q2250" s="7">
        <f t="shared" si="195"/>
        <v>2025</v>
      </c>
    </row>
    <row r="2251" spans="1:17" x14ac:dyDescent="0.25">
      <c r="A2251" s="7">
        <v>2558</v>
      </c>
      <c r="B2251" s="9" t="s">
        <v>897</v>
      </c>
      <c r="C2251" s="9" t="s">
        <v>897</v>
      </c>
      <c r="D2251" s="8">
        <v>45950</v>
      </c>
      <c r="E2251" s="7" t="s">
        <v>60</v>
      </c>
      <c r="F2251" s="7">
        <v>1</v>
      </c>
      <c r="G2251" s="7" t="s">
        <v>15</v>
      </c>
      <c r="H2251" s="7" t="s">
        <v>318</v>
      </c>
      <c r="M2251" s="7" t="s">
        <v>898</v>
      </c>
      <c r="O2251" s="7" t="s">
        <v>682</v>
      </c>
      <c r="P2251" s="7">
        <f t="shared" si="196"/>
        <v>10</v>
      </c>
      <c r="Q2251" s="7">
        <f t="shared" si="195"/>
        <v>2025</v>
      </c>
    </row>
    <row r="2252" spans="1:17" x14ac:dyDescent="0.25">
      <c r="A2252" s="7">
        <v>2558</v>
      </c>
      <c r="B2252" s="9" t="s">
        <v>897</v>
      </c>
      <c r="C2252" s="9" t="s">
        <v>897</v>
      </c>
      <c r="D2252" s="8">
        <v>45950</v>
      </c>
      <c r="E2252" s="7" t="s">
        <v>60</v>
      </c>
      <c r="F2252" s="7">
        <v>1</v>
      </c>
      <c r="G2252" s="7" t="s">
        <v>15</v>
      </c>
      <c r="H2252" s="7" t="s">
        <v>318</v>
      </c>
      <c r="M2252" s="7" t="s">
        <v>898</v>
      </c>
      <c r="O2252" s="7" t="s">
        <v>682</v>
      </c>
      <c r="P2252" s="7">
        <f t="shared" si="196"/>
        <v>10</v>
      </c>
      <c r="Q2252" s="7">
        <f t="shared" si="195"/>
        <v>2025</v>
      </c>
    </row>
    <row r="2253" spans="1:17" x14ac:dyDescent="0.25">
      <c r="A2253" s="7">
        <v>2558</v>
      </c>
      <c r="B2253" s="9" t="s">
        <v>897</v>
      </c>
      <c r="C2253" s="9" t="s">
        <v>897</v>
      </c>
      <c r="D2253" s="8">
        <v>45950</v>
      </c>
      <c r="E2253" s="7" t="s">
        <v>60</v>
      </c>
      <c r="F2253" s="7">
        <v>1</v>
      </c>
      <c r="G2253" s="7" t="s">
        <v>15</v>
      </c>
      <c r="H2253" s="7" t="s">
        <v>318</v>
      </c>
      <c r="M2253" s="7" t="s">
        <v>898</v>
      </c>
      <c r="O2253" s="7" t="s">
        <v>682</v>
      </c>
      <c r="P2253" s="7">
        <f t="shared" si="196"/>
        <v>10</v>
      </c>
      <c r="Q2253" s="7">
        <f t="shared" si="195"/>
        <v>2025</v>
      </c>
    </row>
    <row r="2254" spans="1:17" x14ac:dyDescent="0.25">
      <c r="A2254" s="7">
        <v>2558</v>
      </c>
      <c r="B2254" s="9" t="s">
        <v>897</v>
      </c>
      <c r="C2254" s="9" t="s">
        <v>897</v>
      </c>
      <c r="D2254" s="8">
        <v>45950</v>
      </c>
      <c r="E2254" s="7" t="s">
        <v>60</v>
      </c>
      <c r="F2254" s="7">
        <v>1</v>
      </c>
      <c r="G2254" s="7" t="s">
        <v>15</v>
      </c>
      <c r="H2254" s="7" t="s">
        <v>318</v>
      </c>
      <c r="M2254" s="7" t="s">
        <v>898</v>
      </c>
      <c r="O2254" s="7" t="s">
        <v>682</v>
      </c>
      <c r="P2254" s="7">
        <f t="shared" si="196"/>
        <v>10</v>
      </c>
      <c r="Q2254" s="7">
        <f t="shared" si="195"/>
        <v>2025</v>
      </c>
    </row>
    <row r="2255" spans="1:17" x14ac:dyDescent="0.25">
      <c r="A2255" s="7">
        <v>2558</v>
      </c>
      <c r="B2255" s="9" t="s">
        <v>897</v>
      </c>
      <c r="C2255" s="9" t="s">
        <v>897</v>
      </c>
      <c r="D2255" s="8">
        <v>45950</v>
      </c>
      <c r="E2255" s="7" t="s">
        <v>60</v>
      </c>
      <c r="F2255" s="7">
        <v>1</v>
      </c>
      <c r="G2255" s="7" t="s">
        <v>15</v>
      </c>
      <c r="H2255" s="7" t="s">
        <v>318</v>
      </c>
      <c r="M2255" s="7" t="s">
        <v>898</v>
      </c>
      <c r="O2255" s="7" t="s">
        <v>682</v>
      </c>
      <c r="P2255" s="7">
        <f t="shared" si="196"/>
        <v>10</v>
      </c>
      <c r="Q2255" s="7">
        <f t="shared" si="195"/>
        <v>2025</v>
      </c>
    </row>
    <row r="2256" spans="1:17" x14ac:dyDescent="0.25">
      <c r="A2256" s="7">
        <v>2558</v>
      </c>
      <c r="B2256" s="9" t="s">
        <v>897</v>
      </c>
      <c r="C2256" s="9" t="s">
        <v>897</v>
      </c>
      <c r="D2256" s="8">
        <v>45950</v>
      </c>
      <c r="E2256" s="7" t="s">
        <v>60</v>
      </c>
      <c r="F2256" s="7">
        <v>1</v>
      </c>
      <c r="G2256" s="7" t="s">
        <v>15</v>
      </c>
      <c r="H2256" s="7" t="s">
        <v>318</v>
      </c>
      <c r="M2256" s="7" t="s">
        <v>898</v>
      </c>
      <c r="O2256" s="7" t="s">
        <v>682</v>
      </c>
      <c r="P2256" s="7">
        <f t="shared" si="196"/>
        <v>10</v>
      </c>
      <c r="Q2256" s="7">
        <f t="shared" si="195"/>
        <v>2025</v>
      </c>
    </row>
    <row r="2257" spans="1:17" x14ac:dyDescent="0.25">
      <c r="A2257" s="7">
        <v>2558</v>
      </c>
      <c r="B2257" s="9" t="s">
        <v>897</v>
      </c>
      <c r="C2257" s="9" t="s">
        <v>897</v>
      </c>
      <c r="D2257" s="8">
        <v>45950</v>
      </c>
      <c r="E2257" s="7" t="s">
        <v>60</v>
      </c>
      <c r="F2257" s="7">
        <v>1</v>
      </c>
      <c r="G2257" s="7" t="s">
        <v>15</v>
      </c>
      <c r="H2257" s="7" t="s">
        <v>318</v>
      </c>
      <c r="M2257" s="7" t="s">
        <v>898</v>
      </c>
      <c r="O2257" s="7" t="s">
        <v>682</v>
      </c>
      <c r="P2257" s="7">
        <f t="shared" si="196"/>
        <v>10</v>
      </c>
      <c r="Q2257" s="7">
        <f t="shared" si="195"/>
        <v>2025</v>
      </c>
    </row>
    <row r="2258" spans="1:17" x14ac:dyDescent="0.25">
      <c r="A2258" s="7">
        <v>2558</v>
      </c>
      <c r="B2258" s="9" t="s">
        <v>897</v>
      </c>
      <c r="C2258" s="9" t="s">
        <v>897</v>
      </c>
      <c r="D2258" s="8">
        <v>45950</v>
      </c>
      <c r="E2258" s="7" t="s">
        <v>60</v>
      </c>
      <c r="F2258" s="7">
        <v>1</v>
      </c>
      <c r="G2258" s="7" t="s">
        <v>15</v>
      </c>
      <c r="H2258" s="7" t="s">
        <v>318</v>
      </c>
      <c r="M2258" s="7" t="s">
        <v>898</v>
      </c>
      <c r="O2258" s="7" t="s">
        <v>682</v>
      </c>
      <c r="P2258" s="7">
        <f t="shared" si="196"/>
        <v>10</v>
      </c>
      <c r="Q2258" s="7">
        <f t="shared" si="195"/>
        <v>2025</v>
      </c>
    </row>
    <row r="2259" spans="1:17" x14ac:dyDescent="0.25">
      <c r="A2259" s="7">
        <v>2558</v>
      </c>
      <c r="B2259" s="9" t="s">
        <v>897</v>
      </c>
      <c r="C2259" s="9" t="s">
        <v>897</v>
      </c>
      <c r="D2259" s="8">
        <v>45950</v>
      </c>
      <c r="E2259" s="7" t="s">
        <v>60</v>
      </c>
      <c r="F2259" s="7">
        <v>1</v>
      </c>
      <c r="G2259" s="7" t="s">
        <v>15</v>
      </c>
      <c r="H2259" s="7" t="s">
        <v>318</v>
      </c>
      <c r="M2259" s="7" t="s">
        <v>898</v>
      </c>
      <c r="O2259" s="7" t="s">
        <v>682</v>
      </c>
      <c r="P2259" s="7">
        <f t="shared" si="196"/>
        <v>10</v>
      </c>
      <c r="Q2259" s="7">
        <f t="shared" si="195"/>
        <v>2025</v>
      </c>
    </row>
    <row r="2260" spans="1:17" x14ac:dyDescent="0.25">
      <c r="A2260" s="7">
        <v>2558</v>
      </c>
      <c r="B2260" s="9" t="s">
        <v>897</v>
      </c>
      <c r="C2260" s="9" t="s">
        <v>897</v>
      </c>
      <c r="D2260" s="8">
        <v>45950</v>
      </c>
      <c r="E2260" s="7" t="s">
        <v>60</v>
      </c>
      <c r="F2260" s="7">
        <v>1</v>
      </c>
      <c r="G2260" s="7" t="s">
        <v>15</v>
      </c>
      <c r="H2260" s="7" t="s">
        <v>318</v>
      </c>
      <c r="M2260" s="7" t="s">
        <v>898</v>
      </c>
      <c r="O2260" s="7" t="s">
        <v>682</v>
      </c>
      <c r="P2260" s="7">
        <f t="shared" si="196"/>
        <v>10</v>
      </c>
      <c r="Q2260" s="7">
        <f t="shared" si="195"/>
        <v>2025</v>
      </c>
    </row>
    <row r="2261" spans="1:17" x14ac:dyDescent="0.25">
      <c r="A2261" s="7">
        <v>2558</v>
      </c>
      <c r="B2261" s="9" t="s">
        <v>897</v>
      </c>
      <c r="C2261" s="9" t="s">
        <v>897</v>
      </c>
      <c r="D2261" s="8">
        <v>45950</v>
      </c>
      <c r="E2261" s="7" t="s">
        <v>60</v>
      </c>
      <c r="F2261" s="7">
        <v>1</v>
      </c>
      <c r="G2261" s="7" t="s">
        <v>15</v>
      </c>
      <c r="H2261" s="7" t="s">
        <v>318</v>
      </c>
      <c r="M2261" s="7" t="s">
        <v>898</v>
      </c>
      <c r="O2261" s="7" t="s">
        <v>682</v>
      </c>
      <c r="P2261" s="7">
        <f t="shared" si="196"/>
        <v>10</v>
      </c>
      <c r="Q2261" s="7">
        <f t="shared" si="195"/>
        <v>2025</v>
      </c>
    </row>
    <row r="2262" spans="1:17" x14ac:dyDescent="0.25">
      <c r="A2262" s="7">
        <v>2558</v>
      </c>
      <c r="B2262" s="9" t="s">
        <v>897</v>
      </c>
      <c r="C2262" s="9" t="s">
        <v>897</v>
      </c>
      <c r="D2262" s="8">
        <v>45950</v>
      </c>
      <c r="E2262" s="7" t="s">
        <v>60</v>
      </c>
      <c r="F2262" s="7">
        <v>1</v>
      </c>
      <c r="G2262" s="7" t="s">
        <v>15</v>
      </c>
      <c r="H2262" s="7" t="s">
        <v>318</v>
      </c>
      <c r="M2262" s="7" t="s">
        <v>898</v>
      </c>
      <c r="O2262" s="7" t="s">
        <v>682</v>
      </c>
      <c r="P2262" s="7">
        <f t="shared" si="196"/>
        <v>10</v>
      </c>
      <c r="Q2262" s="7">
        <f t="shared" si="195"/>
        <v>2025</v>
      </c>
    </row>
    <row r="2263" spans="1:17" x14ac:dyDescent="0.25">
      <c r="A2263" s="7">
        <v>2558</v>
      </c>
      <c r="B2263" s="9" t="s">
        <v>897</v>
      </c>
      <c r="C2263" s="9" t="s">
        <v>897</v>
      </c>
      <c r="D2263" s="8">
        <v>45950</v>
      </c>
      <c r="E2263" s="7" t="s">
        <v>60</v>
      </c>
      <c r="F2263" s="7">
        <v>1</v>
      </c>
      <c r="G2263" s="7" t="s">
        <v>15</v>
      </c>
      <c r="H2263" s="7" t="s">
        <v>318</v>
      </c>
      <c r="M2263" s="7" t="s">
        <v>898</v>
      </c>
      <c r="O2263" s="7" t="s">
        <v>682</v>
      </c>
      <c r="P2263" s="7">
        <f t="shared" si="196"/>
        <v>10</v>
      </c>
      <c r="Q2263" s="7">
        <f t="shared" si="195"/>
        <v>2025</v>
      </c>
    </row>
    <row r="2264" spans="1:17" x14ac:dyDescent="0.25">
      <c r="A2264" s="7">
        <v>2558</v>
      </c>
      <c r="B2264" s="9" t="s">
        <v>897</v>
      </c>
      <c r="C2264" s="9" t="s">
        <v>897</v>
      </c>
      <c r="D2264" s="8">
        <v>45950</v>
      </c>
      <c r="E2264" s="7" t="s">
        <v>60</v>
      </c>
      <c r="F2264" s="7">
        <v>1</v>
      </c>
      <c r="G2264" s="7" t="s">
        <v>15</v>
      </c>
      <c r="H2264" s="7" t="s">
        <v>318</v>
      </c>
      <c r="M2264" s="7" t="s">
        <v>898</v>
      </c>
      <c r="O2264" s="7" t="s">
        <v>682</v>
      </c>
      <c r="P2264" s="7">
        <f t="shared" si="196"/>
        <v>10</v>
      </c>
      <c r="Q2264" s="7">
        <f t="shared" si="195"/>
        <v>2025</v>
      </c>
    </row>
    <row r="2265" spans="1:17" x14ac:dyDescent="0.25">
      <c r="A2265" s="7">
        <v>2558</v>
      </c>
      <c r="B2265" s="9" t="s">
        <v>897</v>
      </c>
      <c r="C2265" s="9" t="s">
        <v>897</v>
      </c>
      <c r="D2265" s="8">
        <v>45950</v>
      </c>
      <c r="E2265" s="7" t="s">
        <v>60</v>
      </c>
      <c r="F2265" s="7">
        <v>1</v>
      </c>
      <c r="G2265" s="7" t="s">
        <v>15</v>
      </c>
      <c r="H2265" s="7" t="s">
        <v>318</v>
      </c>
      <c r="M2265" s="7" t="s">
        <v>898</v>
      </c>
      <c r="O2265" s="7" t="s">
        <v>682</v>
      </c>
      <c r="P2265" s="7">
        <f t="shared" ref="P2265:P2270" si="197">MONTH(D2265)</f>
        <v>10</v>
      </c>
      <c r="Q2265" s="7">
        <f t="shared" si="195"/>
        <v>2025</v>
      </c>
    </row>
    <row r="2266" spans="1:17" x14ac:dyDescent="0.25">
      <c r="A2266" s="7">
        <v>2558</v>
      </c>
      <c r="B2266" s="9" t="s">
        <v>897</v>
      </c>
      <c r="C2266" s="9" t="s">
        <v>897</v>
      </c>
      <c r="D2266" s="8">
        <v>45950</v>
      </c>
      <c r="E2266" s="7" t="s">
        <v>60</v>
      </c>
      <c r="F2266" s="7">
        <v>1</v>
      </c>
      <c r="G2266" s="7" t="s">
        <v>15</v>
      </c>
      <c r="H2266" s="7" t="s">
        <v>318</v>
      </c>
      <c r="M2266" s="7" t="s">
        <v>898</v>
      </c>
      <c r="O2266" s="7" t="s">
        <v>682</v>
      </c>
      <c r="P2266" s="7">
        <f t="shared" si="197"/>
        <v>10</v>
      </c>
      <c r="Q2266" s="7">
        <f t="shared" si="195"/>
        <v>2025</v>
      </c>
    </row>
    <row r="2267" spans="1:17" x14ac:dyDescent="0.25">
      <c r="A2267" s="7">
        <v>2558</v>
      </c>
      <c r="B2267" s="9" t="s">
        <v>897</v>
      </c>
      <c r="C2267" s="9" t="s">
        <v>897</v>
      </c>
      <c r="D2267" s="8">
        <v>45950</v>
      </c>
      <c r="E2267" s="7" t="s">
        <v>60</v>
      </c>
      <c r="F2267" s="7">
        <v>1</v>
      </c>
      <c r="G2267" s="7" t="s">
        <v>15</v>
      </c>
      <c r="H2267" s="7" t="s">
        <v>318</v>
      </c>
      <c r="M2267" s="7" t="s">
        <v>898</v>
      </c>
      <c r="O2267" s="7" t="s">
        <v>682</v>
      </c>
      <c r="P2267" s="7">
        <f t="shared" si="197"/>
        <v>10</v>
      </c>
      <c r="Q2267" s="7">
        <f t="shared" si="195"/>
        <v>2025</v>
      </c>
    </row>
    <row r="2268" spans="1:17" x14ac:dyDescent="0.25">
      <c r="A2268" s="7">
        <v>2558</v>
      </c>
      <c r="B2268" s="9" t="s">
        <v>897</v>
      </c>
      <c r="C2268" s="9" t="s">
        <v>897</v>
      </c>
      <c r="D2268" s="8">
        <v>45950</v>
      </c>
      <c r="E2268" s="7" t="s">
        <v>60</v>
      </c>
      <c r="F2268" s="7">
        <v>1</v>
      </c>
      <c r="G2268" s="7" t="s">
        <v>15</v>
      </c>
      <c r="H2268" s="7" t="s">
        <v>318</v>
      </c>
      <c r="M2268" s="7" t="s">
        <v>898</v>
      </c>
      <c r="O2268" s="7" t="s">
        <v>682</v>
      </c>
      <c r="P2268" s="7">
        <f t="shared" si="197"/>
        <v>10</v>
      </c>
      <c r="Q2268" s="7">
        <f t="shared" si="195"/>
        <v>2025</v>
      </c>
    </row>
    <row r="2269" spans="1:17" x14ac:dyDescent="0.25">
      <c r="A2269" s="7">
        <v>2558</v>
      </c>
      <c r="B2269" s="9" t="s">
        <v>897</v>
      </c>
      <c r="C2269" s="9" t="s">
        <v>897</v>
      </c>
      <c r="D2269" s="8">
        <v>45950</v>
      </c>
      <c r="E2269" s="7" t="s">
        <v>60</v>
      </c>
      <c r="F2269" s="7">
        <v>1</v>
      </c>
      <c r="G2269" s="7" t="s">
        <v>15</v>
      </c>
      <c r="H2269" s="7" t="s">
        <v>318</v>
      </c>
      <c r="M2269" s="7" t="s">
        <v>898</v>
      </c>
      <c r="O2269" s="7" t="s">
        <v>682</v>
      </c>
      <c r="P2269" s="7">
        <f t="shared" si="197"/>
        <v>10</v>
      </c>
      <c r="Q2269" s="7">
        <f t="shared" si="195"/>
        <v>2025</v>
      </c>
    </row>
    <row r="2270" spans="1:17" x14ac:dyDescent="0.25">
      <c r="A2270" s="7">
        <v>2558</v>
      </c>
      <c r="B2270" s="9" t="s">
        <v>897</v>
      </c>
      <c r="C2270" s="9" t="s">
        <v>897</v>
      </c>
      <c r="D2270" s="8">
        <v>45950</v>
      </c>
      <c r="E2270" s="7" t="s">
        <v>60</v>
      </c>
      <c r="F2270" s="7">
        <v>1</v>
      </c>
      <c r="G2270" s="7" t="s">
        <v>15</v>
      </c>
      <c r="H2270" s="7" t="s">
        <v>318</v>
      </c>
      <c r="M2270" s="7" t="s">
        <v>898</v>
      </c>
      <c r="O2270" s="7" t="s">
        <v>682</v>
      </c>
      <c r="P2270" s="7">
        <f t="shared" si="197"/>
        <v>10</v>
      </c>
      <c r="Q2270" s="7">
        <f t="shared" si="195"/>
        <v>2025</v>
      </c>
    </row>
    <row r="2271" spans="1:17" x14ac:dyDescent="0.25">
      <c r="A2271" s="7">
        <v>2558</v>
      </c>
      <c r="B2271" s="9" t="s">
        <v>897</v>
      </c>
      <c r="C2271" s="9" t="s">
        <v>897</v>
      </c>
      <c r="D2271" s="8">
        <v>45950</v>
      </c>
      <c r="E2271" s="7" t="s">
        <v>60</v>
      </c>
      <c r="F2271" s="7">
        <v>1</v>
      </c>
      <c r="G2271" s="7" t="s">
        <v>15</v>
      </c>
      <c r="H2271" s="7" t="s">
        <v>318</v>
      </c>
      <c r="M2271" s="7" t="s">
        <v>898</v>
      </c>
      <c r="O2271" s="7" t="s">
        <v>682</v>
      </c>
      <c r="P2271" s="7">
        <f t="shared" ref="P2271:P2276" si="198">MONTH(D2271)</f>
        <v>10</v>
      </c>
      <c r="Q2271" s="7">
        <f t="shared" si="195"/>
        <v>2025</v>
      </c>
    </row>
    <row r="2272" spans="1:17" x14ac:dyDescent="0.25">
      <c r="A2272" s="7">
        <v>2558</v>
      </c>
      <c r="B2272" s="9" t="s">
        <v>897</v>
      </c>
      <c r="C2272" s="9" t="s">
        <v>897</v>
      </c>
      <c r="D2272" s="8">
        <v>45950</v>
      </c>
      <c r="E2272" s="7" t="s">
        <v>60</v>
      </c>
      <c r="F2272" s="7">
        <v>1</v>
      </c>
      <c r="G2272" s="7" t="s">
        <v>15</v>
      </c>
      <c r="H2272" s="7" t="s">
        <v>318</v>
      </c>
      <c r="M2272" s="7" t="s">
        <v>898</v>
      </c>
      <c r="O2272" s="7" t="s">
        <v>682</v>
      </c>
      <c r="P2272" s="7">
        <f t="shared" si="198"/>
        <v>10</v>
      </c>
      <c r="Q2272" s="7">
        <f t="shared" si="195"/>
        <v>2025</v>
      </c>
    </row>
    <row r="2273" spans="1:17" x14ac:dyDescent="0.25">
      <c r="A2273" s="7">
        <v>2558</v>
      </c>
      <c r="B2273" s="9" t="s">
        <v>897</v>
      </c>
      <c r="C2273" s="9" t="s">
        <v>897</v>
      </c>
      <c r="D2273" s="8">
        <v>45950</v>
      </c>
      <c r="E2273" s="7" t="s">
        <v>60</v>
      </c>
      <c r="F2273" s="7">
        <v>1</v>
      </c>
      <c r="G2273" s="7" t="s">
        <v>15</v>
      </c>
      <c r="H2273" s="7" t="s">
        <v>318</v>
      </c>
      <c r="M2273" s="7" t="s">
        <v>898</v>
      </c>
      <c r="O2273" s="7" t="s">
        <v>682</v>
      </c>
      <c r="P2273" s="7">
        <f t="shared" si="198"/>
        <v>10</v>
      </c>
      <c r="Q2273" s="7">
        <f t="shared" si="195"/>
        <v>2025</v>
      </c>
    </row>
    <row r="2274" spans="1:17" x14ac:dyDescent="0.25">
      <c r="A2274" s="7">
        <v>2558</v>
      </c>
      <c r="B2274" s="9" t="s">
        <v>897</v>
      </c>
      <c r="C2274" s="9" t="s">
        <v>897</v>
      </c>
      <c r="D2274" s="8">
        <v>45950</v>
      </c>
      <c r="E2274" s="7" t="s">
        <v>60</v>
      </c>
      <c r="F2274" s="7">
        <v>1</v>
      </c>
      <c r="G2274" s="7" t="s">
        <v>15</v>
      </c>
      <c r="H2274" s="7" t="s">
        <v>318</v>
      </c>
      <c r="M2274" s="7" t="s">
        <v>898</v>
      </c>
      <c r="O2274" s="7" t="s">
        <v>682</v>
      </c>
      <c r="P2274" s="7">
        <f t="shared" si="198"/>
        <v>10</v>
      </c>
      <c r="Q2274" s="7">
        <f t="shared" si="195"/>
        <v>2025</v>
      </c>
    </row>
    <row r="2275" spans="1:17" x14ac:dyDescent="0.25">
      <c r="A2275" s="7">
        <v>2558</v>
      </c>
      <c r="B2275" s="9" t="s">
        <v>897</v>
      </c>
      <c r="C2275" s="9" t="s">
        <v>897</v>
      </c>
      <c r="D2275" s="8">
        <v>45950</v>
      </c>
      <c r="E2275" s="7" t="s">
        <v>60</v>
      </c>
      <c r="F2275" s="7">
        <v>1</v>
      </c>
      <c r="G2275" s="7" t="s">
        <v>15</v>
      </c>
      <c r="H2275" s="7" t="s">
        <v>318</v>
      </c>
      <c r="M2275" s="7" t="s">
        <v>898</v>
      </c>
      <c r="O2275" s="7" t="s">
        <v>682</v>
      </c>
      <c r="P2275" s="7">
        <f t="shared" si="198"/>
        <v>10</v>
      </c>
      <c r="Q2275" s="7">
        <f t="shared" si="195"/>
        <v>2025</v>
      </c>
    </row>
    <row r="2276" spans="1:17" x14ac:dyDescent="0.25">
      <c r="A2276" s="7">
        <v>2558</v>
      </c>
      <c r="B2276" s="9" t="s">
        <v>897</v>
      </c>
      <c r="C2276" s="9" t="s">
        <v>897</v>
      </c>
      <c r="D2276" s="8">
        <v>45950</v>
      </c>
      <c r="E2276" s="7" t="s">
        <v>60</v>
      </c>
      <c r="F2276" s="7">
        <v>1</v>
      </c>
      <c r="G2276" s="7" t="s">
        <v>15</v>
      </c>
      <c r="H2276" s="7" t="s">
        <v>318</v>
      </c>
      <c r="M2276" s="7" t="s">
        <v>898</v>
      </c>
      <c r="O2276" s="7" t="s">
        <v>682</v>
      </c>
      <c r="P2276" s="7">
        <f t="shared" si="198"/>
        <v>10</v>
      </c>
      <c r="Q2276" s="7">
        <f t="shared" si="195"/>
        <v>2025</v>
      </c>
    </row>
    <row r="2277" spans="1:17" x14ac:dyDescent="0.25">
      <c r="A2277" s="7">
        <v>2558</v>
      </c>
      <c r="B2277" s="9" t="s">
        <v>897</v>
      </c>
      <c r="C2277" s="9" t="s">
        <v>897</v>
      </c>
      <c r="D2277" s="8">
        <v>45950</v>
      </c>
      <c r="E2277" s="7" t="s">
        <v>60</v>
      </c>
      <c r="F2277" s="7">
        <v>1</v>
      </c>
      <c r="G2277" s="7" t="s">
        <v>15</v>
      </c>
      <c r="H2277" s="7" t="s">
        <v>318</v>
      </c>
      <c r="M2277" s="7" t="s">
        <v>898</v>
      </c>
      <c r="O2277" s="7" t="s">
        <v>682</v>
      </c>
      <c r="P2277" s="7">
        <f t="shared" ref="P2277:P2282" si="199">MONTH(D2277)</f>
        <v>10</v>
      </c>
      <c r="Q2277" s="7">
        <f t="shared" si="195"/>
        <v>2025</v>
      </c>
    </row>
    <row r="2278" spans="1:17" x14ac:dyDescent="0.25">
      <c r="A2278" s="7">
        <v>2558</v>
      </c>
      <c r="B2278" s="9" t="s">
        <v>897</v>
      </c>
      <c r="C2278" s="9" t="s">
        <v>897</v>
      </c>
      <c r="D2278" s="8">
        <v>45950</v>
      </c>
      <c r="E2278" s="7" t="s">
        <v>60</v>
      </c>
      <c r="F2278" s="7">
        <v>1</v>
      </c>
      <c r="G2278" s="7" t="s">
        <v>15</v>
      </c>
      <c r="H2278" s="7" t="s">
        <v>318</v>
      </c>
      <c r="M2278" s="7" t="s">
        <v>898</v>
      </c>
      <c r="O2278" s="7" t="s">
        <v>682</v>
      </c>
      <c r="P2278" s="7">
        <f t="shared" si="199"/>
        <v>10</v>
      </c>
      <c r="Q2278" s="7">
        <f t="shared" si="195"/>
        <v>2025</v>
      </c>
    </row>
    <row r="2279" spans="1:17" x14ac:dyDescent="0.25">
      <c r="A2279" s="7">
        <v>2558</v>
      </c>
      <c r="B2279" s="9" t="s">
        <v>897</v>
      </c>
      <c r="C2279" s="9" t="s">
        <v>897</v>
      </c>
      <c r="D2279" s="8">
        <v>45950</v>
      </c>
      <c r="E2279" s="7" t="s">
        <v>60</v>
      </c>
      <c r="F2279" s="7">
        <v>1</v>
      </c>
      <c r="G2279" s="7" t="s">
        <v>15</v>
      </c>
      <c r="H2279" s="7" t="s">
        <v>318</v>
      </c>
      <c r="M2279" s="7" t="s">
        <v>898</v>
      </c>
      <c r="O2279" s="7" t="s">
        <v>682</v>
      </c>
      <c r="P2279" s="7">
        <f t="shared" si="199"/>
        <v>10</v>
      </c>
      <c r="Q2279" s="7">
        <f t="shared" si="195"/>
        <v>2025</v>
      </c>
    </row>
    <row r="2280" spans="1:17" x14ac:dyDescent="0.25">
      <c r="A2280" s="7">
        <v>2558</v>
      </c>
      <c r="B2280" s="9" t="s">
        <v>897</v>
      </c>
      <c r="C2280" s="9" t="s">
        <v>897</v>
      </c>
      <c r="D2280" s="8">
        <v>45950</v>
      </c>
      <c r="E2280" s="7" t="s">
        <v>60</v>
      </c>
      <c r="F2280" s="7">
        <v>1</v>
      </c>
      <c r="G2280" s="7" t="s">
        <v>15</v>
      </c>
      <c r="H2280" s="7" t="s">
        <v>318</v>
      </c>
      <c r="M2280" s="7" t="s">
        <v>898</v>
      </c>
      <c r="O2280" s="7" t="s">
        <v>682</v>
      </c>
      <c r="P2280" s="7">
        <f t="shared" si="199"/>
        <v>10</v>
      </c>
      <c r="Q2280" s="7">
        <f t="shared" si="195"/>
        <v>2025</v>
      </c>
    </row>
    <row r="2281" spans="1:17" x14ac:dyDescent="0.25">
      <c r="A2281" s="7">
        <v>2558</v>
      </c>
      <c r="B2281" s="9" t="s">
        <v>897</v>
      </c>
      <c r="C2281" s="9" t="s">
        <v>897</v>
      </c>
      <c r="D2281" s="8">
        <v>45950</v>
      </c>
      <c r="E2281" s="7" t="s">
        <v>60</v>
      </c>
      <c r="F2281" s="7">
        <v>1</v>
      </c>
      <c r="G2281" s="7" t="s">
        <v>15</v>
      </c>
      <c r="H2281" s="7" t="s">
        <v>318</v>
      </c>
      <c r="M2281" s="7" t="s">
        <v>898</v>
      </c>
      <c r="O2281" s="7" t="s">
        <v>682</v>
      </c>
      <c r="P2281" s="7">
        <f t="shared" si="199"/>
        <v>10</v>
      </c>
      <c r="Q2281" s="7">
        <f t="shared" si="195"/>
        <v>2025</v>
      </c>
    </row>
    <row r="2282" spans="1:17" x14ac:dyDescent="0.25">
      <c r="A2282" s="7">
        <v>2558</v>
      </c>
      <c r="B2282" s="9" t="s">
        <v>897</v>
      </c>
      <c r="C2282" s="9" t="s">
        <v>897</v>
      </c>
      <c r="D2282" s="8">
        <v>45950</v>
      </c>
      <c r="E2282" s="7" t="s">
        <v>60</v>
      </c>
      <c r="F2282" s="7">
        <v>1</v>
      </c>
      <c r="G2282" s="7" t="s">
        <v>15</v>
      </c>
      <c r="H2282" s="7" t="s">
        <v>318</v>
      </c>
      <c r="M2282" s="7" t="s">
        <v>898</v>
      </c>
      <c r="O2282" s="7" t="s">
        <v>682</v>
      </c>
      <c r="P2282" s="7">
        <f t="shared" si="199"/>
        <v>10</v>
      </c>
      <c r="Q2282" s="7">
        <f t="shared" si="195"/>
        <v>2025</v>
      </c>
    </row>
    <row r="2283" spans="1:17" x14ac:dyDescent="0.25">
      <c r="A2283" s="7">
        <v>2558</v>
      </c>
      <c r="B2283" s="9" t="s">
        <v>897</v>
      </c>
      <c r="C2283" s="9" t="s">
        <v>897</v>
      </c>
      <c r="D2283" s="8">
        <v>45950</v>
      </c>
      <c r="E2283" s="7" t="s">
        <v>60</v>
      </c>
      <c r="F2283" s="7">
        <v>1</v>
      </c>
      <c r="G2283" s="7" t="s">
        <v>15</v>
      </c>
      <c r="H2283" s="7" t="s">
        <v>318</v>
      </c>
      <c r="M2283" s="7" t="s">
        <v>898</v>
      </c>
      <c r="O2283" s="7" t="s">
        <v>682</v>
      </c>
      <c r="P2283" s="7">
        <f t="shared" ref="P2283:P2312" si="200">MONTH(D2283)</f>
        <v>10</v>
      </c>
      <c r="Q2283" s="7">
        <f t="shared" si="195"/>
        <v>2025</v>
      </c>
    </row>
    <row r="2284" spans="1:17" x14ac:dyDescent="0.25">
      <c r="A2284" s="7">
        <v>2558</v>
      </c>
      <c r="B2284" s="9" t="s">
        <v>897</v>
      </c>
      <c r="C2284" s="9" t="s">
        <v>897</v>
      </c>
      <c r="D2284" s="8">
        <v>45950</v>
      </c>
      <c r="E2284" s="7" t="s">
        <v>60</v>
      </c>
      <c r="F2284" s="7">
        <v>1</v>
      </c>
      <c r="G2284" s="7" t="s">
        <v>15</v>
      </c>
      <c r="H2284" s="7" t="s">
        <v>318</v>
      </c>
      <c r="M2284" s="7" t="s">
        <v>898</v>
      </c>
      <c r="O2284" s="7" t="s">
        <v>682</v>
      </c>
      <c r="P2284" s="7">
        <f t="shared" si="200"/>
        <v>10</v>
      </c>
      <c r="Q2284" s="7">
        <f t="shared" si="195"/>
        <v>2025</v>
      </c>
    </row>
    <row r="2285" spans="1:17" x14ac:dyDescent="0.25">
      <c r="A2285" s="7">
        <v>2558</v>
      </c>
      <c r="B2285" s="9" t="s">
        <v>897</v>
      </c>
      <c r="C2285" s="9" t="s">
        <v>897</v>
      </c>
      <c r="D2285" s="8">
        <v>45950</v>
      </c>
      <c r="E2285" s="7" t="s">
        <v>60</v>
      </c>
      <c r="F2285" s="7">
        <v>1</v>
      </c>
      <c r="G2285" s="7" t="s">
        <v>15</v>
      </c>
      <c r="H2285" s="7" t="s">
        <v>318</v>
      </c>
      <c r="M2285" s="7" t="s">
        <v>898</v>
      </c>
      <c r="O2285" s="7" t="s">
        <v>682</v>
      </c>
      <c r="P2285" s="7">
        <f t="shared" si="200"/>
        <v>10</v>
      </c>
      <c r="Q2285" s="7">
        <f t="shared" si="195"/>
        <v>2025</v>
      </c>
    </row>
    <row r="2286" spans="1:17" x14ac:dyDescent="0.25">
      <c r="A2286" s="7">
        <v>2558</v>
      </c>
      <c r="B2286" s="9" t="s">
        <v>897</v>
      </c>
      <c r="C2286" s="9" t="s">
        <v>897</v>
      </c>
      <c r="D2286" s="8">
        <v>45950</v>
      </c>
      <c r="E2286" s="7" t="s">
        <v>60</v>
      </c>
      <c r="F2286" s="7">
        <v>1</v>
      </c>
      <c r="G2286" s="7" t="s">
        <v>15</v>
      </c>
      <c r="H2286" s="7" t="s">
        <v>318</v>
      </c>
      <c r="M2286" s="7" t="s">
        <v>898</v>
      </c>
      <c r="O2286" s="7" t="s">
        <v>682</v>
      </c>
      <c r="P2286" s="7">
        <f t="shared" si="200"/>
        <v>10</v>
      </c>
      <c r="Q2286" s="7">
        <f t="shared" si="195"/>
        <v>2025</v>
      </c>
    </row>
    <row r="2287" spans="1:17" x14ac:dyDescent="0.25">
      <c r="A2287" s="7">
        <v>2558</v>
      </c>
      <c r="B2287" s="9" t="s">
        <v>897</v>
      </c>
      <c r="C2287" s="9" t="s">
        <v>897</v>
      </c>
      <c r="D2287" s="8">
        <v>45950</v>
      </c>
      <c r="E2287" s="7" t="s">
        <v>60</v>
      </c>
      <c r="F2287" s="7">
        <v>1</v>
      </c>
      <c r="G2287" s="7" t="s">
        <v>15</v>
      </c>
      <c r="H2287" s="7" t="s">
        <v>318</v>
      </c>
      <c r="M2287" s="7" t="s">
        <v>898</v>
      </c>
      <c r="O2287" s="7" t="s">
        <v>682</v>
      </c>
      <c r="P2287" s="7">
        <f t="shared" si="200"/>
        <v>10</v>
      </c>
      <c r="Q2287" s="7">
        <f t="shared" ref="Q2287:Q2350" si="201">YEAR(D2287)</f>
        <v>2025</v>
      </c>
    </row>
    <row r="2288" spans="1:17" x14ac:dyDescent="0.25">
      <c r="A2288" s="7">
        <v>2558</v>
      </c>
      <c r="B2288" s="9" t="s">
        <v>897</v>
      </c>
      <c r="C2288" s="9" t="s">
        <v>897</v>
      </c>
      <c r="D2288" s="8">
        <v>45950</v>
      </c>
      <c r="E2288" s="7" t="s">
        <v>60</v>
      </c>
      <c r="F2288" s="7">
        <v>1</v>
      </c>
      <c r="G2288" s="7" t="s">
        <v>15</v>
      </c>
      <c r="H2288" s="7" t="s">
        <v>318</v>
      </c>
      <c r="M2288" s="7" t="s">
        <v>898</v>
      </c>
      <c r="O2288" s="7" t="s">
        <v>682</v>
      </c>
      <c r="P2288" s="7">
        <f t="shared" si="200"/>
        <v>10</v>
      </c>
      <c r="Q2288" s="7">
        <f t="shared" si="201"/>
        <v>2025</v>
      </c>
    </row>
    <row r="2289" spans="1:17" x14ac:dyDescent="0.25">
      <c r="A2289" s="7">
        <v>2558</v>
      </c>
      <c r="B2289" s="9" t="s">
        <v>897</v>
      </c>
      <c r="C2289" s="9" t="s">
        <v>897</v>
      </c>
      <c r="D2289" s="8">
        <v>45950</v>
      </c>
      <c r="E2289" s="7" t="s">
        <v>60</v>
      </c>
      <c r="F2289" s="7">
        <v>1</v>
      </c>
      <c r="G2289" s="7" t="s">
        <v>15</v>
      </c>
      <c r="H2289" s="7" t="s">
        <v>318</v>
      </c>
      <c r="M2289" s="7" t="s">
        <v>898</v>
      </c>
      <c r="O2289" s="7" t="s">
        <v>682</v>
      </c>
      <c r="P2289" s="7">
        <f t="shared" si="200"/>
        <v>10</v>
      </c>
      <c r="Q2289" s="7">
        <f t="shared" si="201"/>
        <v>2025</v>
      </c>
    </row>
    <row r="2290" spans="1:17" x14ac:dyDescent="0.25">
      <c r="A2290" s="7">
        <v>2558</v>
      </c>
      <c r="B2290" s="9" t="s">
        <v>897</v>
      </c>
      <c r="C2290" s="9" t="s">
        <v>897</v>
      </c>
      <c r="D2290" s="8">
        <v>45950</v>
      </c>
      <c r="E2290" s="7" t="s">
        <v>60</v>
      </c>
      <c r="F2290" s="7">
        <v>1</v>
      </c>
      <c r="G2290" s="7" t="s">
        <v>15</v>
      </c>
      <c r="H2290" s="7" t="s">
        <v>318</v>
      </c>
      <c r="M2290" s="7" t="s">
        <v>898</v>
      </c>
      <c r="O2290" s="7" t="s">
        <v>682</v>
      </c>
      <c r="P2290" s="7">
        <f t="shared" si="200"/>
        <v>10</v>
      </c>
      <c r="Q2290" s="7">
        <f t="shared" si="201"/>
        <v>2025</v>
      </c>
    </row>
    <row r="2291" spans="1:17" x14ac:dyDescent="0.25">
      <c r="A2291" s="7">
        <v>2558</v>
      </c>
      <c r="B2291" s="9" t="s">
        <v>897</v>
      </c>
      <c r="C2291" s="9" t="s">
        <v>897</v>
      </c>
      <c r="D2291" s="8">
        <v>45950</v>
      </c>
      <c r="E2291" s="7" t="s">
        <v>60</v>
      </c>
      <c r="F2291" s="7">
        <v>1</v>
      </c>
      <c r="G2291" s="7" t="s">
        <v>15</v>
      </c>
      <c r="H2291" s="7" t="s">
        <v>318</v>
      </c>
      <c r="M2291" s="7" t="s">
        <v>898</v>
      </c>
      <c r="O2291" s="7" t="s">
        <v>682</v>
      </c>
      <c r="P2291" s="7">
        <f t="shared" si="200"/>
        <v>10</v>
      </c>
      <c r="Q2291" s="7">
        <f t="shared" si="201"/>
        <v>2025</v>
      </c>
    </row>
    <row r="2292" spans="1:17" x14ac:dyDescent="0.25">
      <c r="A2292" s="7">
        <v>2558</v>
      </c>
      <c r="B2292" s="9" t="s">
        <v>897</v>
      </c>
      <c r="C2292" s="9" t="s">
        <v>897</v>
      </c>
      <c r="D2292" s="8">
        <v>45950</v>
      </c>
      <c r="E2292" s="7" t="s">
        <v>60</v>
      </c>
      <c r="F2292" s="7">
        <v>1</v>
      </c>
      <c r="G2292" s="7" t="s">
        <v>15</v>
      </c>
      <c r="H2292" s="7" t="s">
        <v>318</v>
      </c>
      <c r="M2292" s="7" t="s">
        <v>898</v>
      </c>
      <c r="O2292" s="7" t="s">
        <v>682</v>
      </c>
      <c r="P2292" s="7">
        <f t="shared" si="200"/>
        <v>10</v>
      </c>
      <c r="Q2292" s="7">
        <f t="shared" si="201"/>
        <v>2025</v>
      </c>
    </row>
    <row r="2293" spans="1:17" x14ac:dyDescent="0.25">
      <c r="A2293" s="7">
        <v>2558</v>
      </c>
      <c r="B2293" s="9" t="s">
        <v>897</v>
      </c>
      <c r="C2293" s="9" t="s">
        <v>897</v>
      </c>
      <c r="D2293" s="8">
        <v>45950</v>
      </c>
      <c r="E2293" s="7" t="s">
        <v>60</v>
      </c>
      <c r="F2293" s="7">
        <v>1</v>
      </c>
      <c r="G2293" s="7" t="s">
        <v>15</v>
      </c>
      <c r="H2293" s="7" t="s">
        <v>318</v>
      </c>
      <c r="M2293" s="7" t="s">
        <v>898</v>
      </c>
      <c r="O2293" s="7" t="s">
        <v>682</v>
      </c>
      <c r="P2293" s="7">
        <f t="shared" si="200"/>
        <v>10</v>
      </c>
      <c r="Q2293" s="7">
        <f t="shared" si="201"/>
        <v>2025</v>
      </c>
    </row>
    <row r="2294" spans="1:17" x14ac:dyDescent="0.25">
      <c r="A2294" s="7">
        <v>2558</v>
      </c>
      <c r="B2294" s="9" t="s">
        <v>897</v>
      </c>
      <c r="C2294" s="9" t="s">
        <v>897</v>
      </c>
      <c r="D2294" s="8">
        <v>45950</v>
      </c>
      <c r="E2294" s="7" t="s">
        <v>60</v>
      </c>
      <c r="F2294" s="7">
        <v>1</v>
      </c>
      <c r="G2294" s="7" t="s">
        <v>15</v>
      </c>
      <c r="H2294" s="7" t="s">
        <v>318</v>
      </c>
      <c r="M2294" s="7" t="s">
        <v>898</v>
      </c>
      <c r="O2294" s="7" t="s">
        <v>682</v>
      </c>
      <c r="P2294" s="7">
        <f t="shared" si="200"/>
        <v>10</v>
      </c>
      <c r="Q2294" s="7">
        <f t="shared" si="201"/>
        <v>2025</v>
      </c>
    </row>
    <row r="2295" spans="1:17" x14ac:dyDescent="0.25">
      <c r="A2295" s="7">
        <v>2558</v>
      </c>
      <c r="B2295" s="9" t="s">
        <v>897</v>
      </c>
      <c r="C2295" s="9" t="s">
        <v>897</v>
      </c>
      <c r="D2295" s="8">
        <v>45950</v>
      </c>
      <c r="E2295" s="7" t="s">
        <v>60</v>
      </c>
      <c r="F2295" s="7">
        <v>1</v>
      </c>
      <c r="G2295" s="7" t="s">
        <v>15</v>
      </c>
      <c r="H2295" s="7" t="s">
        <v>318</v>
      </c>
      <c r="M2295" s="7" t="s">
        <v>898</v>
      </c>
      <c r="O2295" s="7" t="s">
        <v>682</v>
      </c>
      <c r="P2295" s="7">
        <f t="shared" si="200"/>
        <v>10</v>
      </c>
      <c r="Q2295" s="7">
        <f t="shared" si="201"/>
        <v>2025</v>
      </c>
    </row>
    <row r="2296" spans="1:17" x14ac:dyDescent="0.25">
      <c r="A2296" s="7">
        <v>2558</v>
      </c>
      <c r="B2296" s="9" t="s">
        <v>897</v>
      </c>
      <c r="C2296" s="9" t="s">
        <v>897</v>
      </c>
      <c r="D2296" s="8">
        <v>45950</v>
      </c>
      <c r="E2296" s="7" t="s">
        <v>60</v>
      </c>
      <c r="F2296" s="7">
        <v>1</v>
      </c>
      <c r="G2296" s="7" t="s">
        <v>15</v>
      </c>
      <c r="H2296" s="7" t="s">
        <v>318</v>
      </c>
      <c r="M2296" s="7" t="s">
        <v>898</v>
      </c>
      <c r="O2296" s="7" t="s">
        <v>682</v>
      </c>
      <c r="P2296" s="7">
        <f t="shared" si="200"/>
        <v>10</v>
      </c>
      <c r="Q2296" s="7">
        <f t="shared" si="201"/>
        <v>2025</v>
      </c>
    </row>
    <row r="2297" spans="1:17" x14ac:dyDescent="0.25">
      <c r="A2297" s="7">
        <v>2558</v>
      </c>
      <c r="B2297" s="9" t="s">
        <v>897</v>
      </c>
      <c r="C2297" s="9" t="s">
        <v>897</v>
      </c>
      <c r="D2297" s="8">
        <v>45950</v>
      </c>
      <c r="E2297" s="7" t="s">
        <v>60</v>
      </c>
      <c r="F2297" s="7">
        <v>1</v>
      </c>
      <c r="G2297" s="7" t="s">
        <v>15</v>
      </c>
      <c r="H2297" s="7" t="s">
        <v>318</v>
      </c>
      <c r="M2297" s="7" t="s">
        <v>898</v>
      </c>
      <c r="O2297" s="7" t="s">
        <v>682</v>
      </c>
      <c r="P2297" s="7">
        <f t="shared" si="200"/>
        <v>10</v>
      </c>
      <c r="Q2297" s="7">
        <f t="shared" si="201"/>
        <v>2025</v>
      </c>
    </row>
    <row r="2298" spans="1:17" x14ac:dyDescent="0.25">
      <c r="A2298" s="7">
        <v>2558</v>
      </c>
      <c r="B2298" s="9" t="s">
        <v>897</v>
      </c>
      <c r="C2298" s="9" t="s">
        <v>897</v>
      </c>
      <c r="D2298" s="8">
        <v>45950</v>
      </c>
      <c r="E2298" s="7" t="s">
        <v>60</v>
      </c>
      <c r="F2298" s="7">
        <v>1</v>
      </c>
      <c r="G2298" s="7" t="s">
        <v>15</v>
      </c>
      <c r="H2298" s="7" t="s">
        <v>318</v>
      </c>
      <c r="M2298" s="7" t="s">
        <v>898</v>
      </c>
      <c r="O2298" s="7" t="s">
        <v>682</v>
      </c>
      <c r="P2298" s="7">
        <f t="shared" si="200"/>
        <v>10</v>
      </c>
      <c r="Q2298" s="7">
        <f t="shared" si="201"/>
        <v>2025</v>
      </c>
    </row>
    <row r="2299" spans="1:17" x14ac:dyDescent="0.25">
      <c r="A2299" s="7">
        <v>2558</v>
      </c>
      <c r="B2299" s="9" t="s">
        <v>897</v>
      </c>
      <c r="C2299" s="9" t="s">
        <v>897</v>
      </c>
      <c r="D2299" s="8">
        <v>45950</v>
      </c>
      <c r="E2299" s="7" t="s">
        <v>60</v>
      </c>
      <c r="F2299" s="7">
        <v>1</v>
      </c>
      <c r="G2299" s="7" t="s">
        <v>15</v>
      </c>
      <c r="H2299" s="7" t="s">
        <v>318</v>
      </c>
      <c r="M2299" s="7" t="s">
        <v>898</v>
      </c>
      <c r="O2299" s="7" t="s">
        <v>682</v>
      </c>
      <c r="P2299" s="7">
        <f t="shared" si="200"/>
        <v>10</v>
      </c>
      <c r="Q2299" s="7">
        <f t="shared" si="201"/>
        <v>2025</v>
      </c>
    </row>
    <row r="2300" spans="1:17" x14ac:dyDescent="0.25">
      <c r="A2300" s="7">
        <v>2558</v>
      </c>
      <c r="B2300" s="9" t="s">
        <v>897</v>
      </c>
      <c r="C2300" s="9" t="s">
        <v>897</v>
      </c>
      <c r="D2300" s="8">
        <v>45950</v>
      </c>
      <c r="E2300" s="7" t="s">
        <v>60</v>
      </c>
      <c r="F2300" s="7">
        <v>1</v>
      </c>
      <c r="G2300" s="7" t="s">
        <v>15</v>
      </c>
      <c r="H2300" s="7" t="s">
        <v>318</v>
      </c>
      <c r="M2300" s="7" t="s">
        <v>898</v>
      </c>
      <c r="O2300" s="7" t="s">
        <v>682</v>
      </c>
      <c r="P2300" s="7">
        <f t="shared" si="200"/>
        <v>10</v>
      </c>
      <c r="Q2300" s="7">
        <f t="shared" si="201"/>
        <v>2025</v>
      </c>
    </row>
    <row r="2301" spans="1:17" x14ac:dyDescent="0.25">
      <c r="A2301" s="7">
        <v>2558</v>
      </c>
      <c r="B2301" s="9" t="s">
        <v>897</v>
      </c>
      <c r="C2301" s="9" t="s">
        <v>897</v>
      </c>
      <c r="D2301" s="8">
        <v>45950</v>
      </c>
      <c r="E2301" s="7" t="s">
        <v>60</v>
      </c>
      <c r="F2301" s="7">
        <v>1</v>
      </c>
      <c r="G2301" s="7" t="s">
        <v>15</v>
      </c>
      <c r="H2301" s="7" t="s">
        <v>318</v>
      </c>
      <c r="M2301" s="7" t="s">
        <v>898</v>
      </c>
      <c r="O2301" s="7" t="s">
        <v>682</v>
      </c>
      <c r="P2301" s="7">
        <f t="shared" si="200"/>
        <v>10</v>
      </c>
      <c r="Q2301" s="7">
        <f t="shared" si="201"/>
        <v>2025</v>
      </c>
    </row>
    <row r="2302" spans="1:17" x14ac:dyDescent="0.25">
      <c r="A2302" s="7">
        <v>2558</v>
      </c>
      <c r="B2302" s="9" t="s">
        <v>897</v>
      </c>
      <c r="C2302" s="9" t="s">
        <v>897</v>
      </c>
      <c r="D2302" s="8">
        <v>45950</v>
      </c>
      <c r="E2302" s="7" t="s">
        <v>60</v>
      </c>
      <c r="F2302" s="7">
        <v>1</v>
      </c>
      <c r="G2302" s="7" t="s">
        <v>15</v>
      </c>
      <c r="H2302" s="7" t="s">
        <v>318</v>
      </c>
      <c r="M2302" s="7" t="s">
        <v>898</v>
      </c>
      <c r="O2302" s="7" t="s">
        <v>682</v>
      </c>
      <c r="P2302" s="7">
        <f t="shared" si="200"/>
        <v>10</v>
      </c>
      <c r="Q2302" s="7">
        <f t="shared" si="201"/>
        <v>2025</v>
      </c>
    </row>
    <row r="2303" spans="1:17" x14ac:dyDescent="0.25">
      <c r="A2303" s="7">
        <v>2558</v>
      </c>
      <c r="B2303" s="9" t="s">
        <v>897</v>
      </c>
      <c r="C2303" s="9" t="s">
        <v>897</v>
      </c>
      <c r="D2303" s="8">
        <v>45950</v>
      </c>
      <c r="E2303" s="7" t="s">
        <v>60</v>
      </c>
      <c r="F2303" s="7">
        <v>1</v>
      </c>
      <c r="G2303" s="7" t="s">
        <v>15</v>
      </c>
      <c r="H2303" s="7" t="s">
        <v>318</v>
      </c>
      <c r="M2303" s="7" t="s">
        <v>898</v>
      </c>
      <c r="O2303" s="7" t="s">
        <v>682</v>
      </c>
      <c r="P2303" s="7">
        <f t="shared" si="200"/>
        <v>10</v>
      </c>
      <c r="Q2303" s="7">
        <f t="shared" si="201"/>
        <v>2025</v>
      </c>
    </row>
    <row r="2304" spans="1:17" x14ac:dyDescent="0.25">
      <c r="A2304" s="7">
        <v>2558</v>
      </c>
      <c r="B2304" s="9" t="s">
        <v>897</v>
      </c>
      <c r="C2304" s="9" t="s">
        <v>897</v>
      </c>
      <c r="D2304" s="8">
        <v>45950</v>
      </c>
      <c r="E2304" s="7" t="s">
        <v>60</v>
      </c>
      <c r="F2304" s="7">
        <v>1</v>
      </c>
      <c r="G2304" s="7" t="s">
        <v>15</v>
      </c>
      <c r="H2304" s="7" t="s">
        <v>318</v>
      </c>
      <c r="M2304" s="7" t="s">
        <v>898</v>
      </c>
      <c r="O2304" s="7" t="s">
        <v>682</v>
      </c>
      <c r="P2304" s="7">
        <f t="shared" si="200"/>
        <v>10</v>
      </c>
      <c r="Q2304" s="7">
        <f t="shared" si="201"/>
        <v>2025</v>
      </c>
    </row>
    <row r="2305" spans="1:17" x14ac:dyDescent="0.25">
      <c r="A2305" s="7">
        <v>2558</v>
      </c>
      <c r="B2305" s="9" t="s">
        <v>897</v>
      </c>
      <c r="C2305" s="9" t="s">
        <v>897</v>
      </c>
      <c r="D2305" s="8">
        <v>45950</v>
      </c>
      <c r="E2305" s="7" t="s">
        <v>60</v>
      </c>
      <c r="F2305" s="7">
        <v>1</v>
      </c>
      <c r="G2305" s="7" t="s">
        <v>15</v>
      </c>
      <c r="H2305" s="7" t="s">
        <v>318</v>
      </c>
      <c r="M2305" s="7" t="s">
        <v>898</v>
      </c>
      <c r="O2305" s="7" t="s">
        <v>682</v>
      </c>
      <c r="P2305" s="7">
        <f t="shared" si="200"/>
        <v>10</v>
      </c>
      <c r="Q2305" s="7">
        <f t="shared" si="201"/>
        <v>2025</v>
      </c>
    </row>
    <row r="2306" spans="1:17" x14ac:dyDescent="0.25">
      <c r="A2306" s="7">
        <v>2558</v>
      </c>
      <c r="B2306" s="9" t="s">
        <v>897</v>
      </c>
      <c r="C2306" s="9" t="s">
        <v>897</v>
      </c>
      <c r="D2306" s="8">
        <v>45950</v>
      </c>
      <c r="E2306" s="7" t="s">
        <v>60</v>
      </c>
      <c r="F2306" s="7">
        <v>1</v>
      </c>
      <c r="G2306" s="7" t="s">
        <v>15</v>
      </c>
      <c r="H2306" s="7" t="s">
        <v>318</v>
      </c>
      <c r="M2306" s="7" t="s">
        <v>898</v>
      </c>
      <c r="O2306" s="7" t="s">
        <v>682</v>
      </c>
      <c r="P2306" s="7">
        <f t="shared" si="200"/>
        <v>10</v>
      </c>
      <c r="Q2306" s="7">
        <f t="shared" si="201"/>
        <v>2025</v>
      </c>
    </row>
    <row r="2307" spans="1:17" x14ac:dyDescent="0.25">
      <c r="A2307" s="7">
        <v>2558</v>
      </c>
      <c r="B2307" s="9" t="s">
        <v>897</v>
      </c>
      <c r="C2307" s="9" t="s">
        <v>897</v>
      </c>
      <c r="D2307" s="8">
        <v>45950</v>
      </c>
      <c r="E2307" s="7" t="s">
        <v>60</v>
      </c>
      <c r="F2307" s="7">
        <v>1</v>
      </c>
      <c r="G2307" s="7" t="s">
        <v>15</v>
      </c>
      <c r="H2307" s="7" t="s">
        <v>318</v>
      </c>
      <c r="M2307" s="7" t="s">
        <v>898</v>
      </c>
      <c r="O2307" s="7" t="s">
        <v>682</v>
      </c>
      <c r="P2307" s="7">
        <f t="shared" si="200"/>
        <v>10</v>
      </c>
      <c r="Q2307" s="7">
        <f t="shared" si="201"/>
        <v>2025</v>
      </c>
    </row>
    <row r="2308" spans="1:17" x14ac:dyDescent="0.25">
      <c r="A2308" s="7">
        <v>2558</v>
      </c>
      <c r="B2308" s="9" t="s">
        <v>897</v>
      </c>
      <c r="C2308" s="9" t="s">
        <v>897</v>
      </c>
      <c r="D2308" s="8">
        <v>45950</v>
      </c>
      <c r="E2308" s="7" t="s">
        <v>60</v>
      </c>
      <c r="F2308" s="7">
        <v>1</v>
      </c>
      <c r="G2308" s="7" t="s">
        <v>15</v>
      </c>
      <c r="H2308" s="7" t="s">
        <v>318</v>
      </c>
      <c r="M2308" s="7" t="s">
        <v>898</v>
      </c>
      <c r="O2308" s="7" t="s">
        <v>682</v>
      </c>
      <c r="P2308" s="7">
        <f t="shared" si="200"/>
        <v>10</v>
      </c>
      <c r="Q2308" s="7">
        <f t="shared" si="201"/>
        <v>2025</v>
      </c>
    </row>
    <row r="2309" spans="1:17" x14ac:dyDescent="0.25">
      <c r="A2309" s="7">
        <v>2558</v>
      </c>
      <c r="B2309" s="9" t="s">
        <v>897</v>
      </c>
      <c r="C2309" s="9" t="s">
        <v>897</v>
      </c>
      <c r="D2309" s="8">
        <v>45950</v>
      </c>
      <c r="E2309" s="7" t="s">
        <v>60</v>
      </c>
      <c r="F2309" s="7">
        <v>1</v>
      </c>
      <c r="G2309" s="7" t="s">
        <v>15</v>
      </c>
      <c r="H2309" s="7" t="s">
        <v>318</v>
      </c>
      <c r="M2309" s="7" t="s">
        <v>898</v>
      </c>
      <c r="O2309" s="7" t="s">
        <v>682</v>
      </c>
      <c r="P2309" s="7">
        <f t="shared" si="200"/>
        <v>10</v>
      </c>
      <c r="Q2309" s="7">
        <f t="shared" si="201"/>
        <v>2025</v>
      </c>
    </row>
    <row r="2310" spans="1:17" x14ac:dyDescent="0.25">
      <c r="A2310" s="7">
        <v>2558</v>
      </c>
      <c r="B2310" s="9" t="s">
        <v>897</v>
      </c>
      <c r="C2310" s="9" t="s">
        <v>897</v>
      </c>
      <c r="D2310" s="8">
        <v>45950</v>
      </c>
      <c r="E2310" s="7" t="s">
        <v>60</v>
      </c>
      <c r="F2310" s="7">
        <v>1</v>
      </c>
      <c r="G2310" s="7" t="s">
        <v>15</v>
      </c>
      <c r="H2310" s="7" t="s">
        <v>318</v>
      </c>
      <c r="M2310" s="7" t="s">
        <v>898</v>
      </c>
      <c r="O2310" s="7" t="s">
        <v>682</v>
      </c>
      <c r="P2310" s="7">
        <f t="shared" si="200"/>
        <v>10</v>
      </c>
      <c r="Q2310" s="7">
        <f t="shared" si="201"/>
        <v>2025</v>
      </c>
    </row>
    <row r="2311" spans="1:17" x14ac:dyDescent="0.25">
      <c r="A2311" s="7">
        <v>2558</v>
      </c>
      <c r="B2311" s="9" t="s">
        <v>897</v>
      </c>
      <c r="C2311" s="9" t="s">
        <v>897</v>
      </c>
      <c r="D2311" s="8">
        <v>45950</v>
      </c>
      <c r="E2311" s="7" t="s">
        <v>60</v>
      </c>
      <c r="F2311" s="7">
        <v>1</v>
      </c>
      <c r="G2311" s="7" t="s">
        <v>15</v>
      </c>
      <c r="H2311" s="7" t="s">
        <v>318</v>
      </c>
      <c r="M2311" s="7" t="s">
        <v>898</v>
      </c>
      <c r="O2311" s="7" t="s">
        <v>682</v>
      </c>
      <c r="P2311" s="7">
        <f t="shared" si="200"/>
        <v>10</v>
      </c>
      <c r="Q2311" s="7">
        <f t="shared" si="201"/>
        <v>2025</v>
      </c>
    </row>
    <row r="2312" spans="1:17" x14ac:dyDescent="0.25">
      <c r="A2312" s="7">
        <v>2558</v>
      </c>
      <c r="B2312" s="9" t="s">
        <v>897</v>
      </c>
      <c r="C2312" s="9" t="s">
        <v>897</v>
      </c>
      <c r="D2312" s="8">
        <v>45950</v>
      </c>
      <c r="E2312" s="7" t="s">
        <v>60</v>
      </c>
      <c r="F2312" s="7">
        <v>1</v>
      </c>
      <c r="G2312" s="7" t="s">
        <v>15</v>
      </c>
      <c r="H2312" s="7" t="s">
        <v>318</v>
      </c>
      <c r="M2312" s="7" t="s">
        <v>898</v>
      </c>
      <c r="O2312" s="7" t="s">
        <v>682</v>
      </c>
      <c r="P2312" s="7">
        <f t="shared" si="200"/>
        <v>10</v>
      </c>
      <c r="Q2312" s="7">
        <f t="shared" si="201"/>
        <v>2025</v>
      </c>
    </row>
    <row r="2313" spans="1:17" x14ac:dyDescent="0.25">
      <c r="A2313" s="7">
        <v>2558</v>
      </c>
      <c r="B2313" s="9" t="s">
        <v>897</v>
      </c>
      <c r="C2313" s="9" t="s">
        <v>897</v>
      </c>
      <c r="D2313" s="8">
        <v>45950</v>
      </c>
      <c r="E2313" s="7" t="s">
        <v>60</v>
      </c>
      <c r="F2313" s="7">
        <v>1</v>
      </c>
      <c r="G2313" s="7" t="s">
        <v>15</v>
      </c>
      <c r="H2313" s="7" t="s">
        <v>318</v>
      </c>
      <c r="M2313" s="7" t="s">
        <v>898</v>
      </c>
      <c r="O2313" s="7" t="s">
        <v>682</v>
      </c>
      <c r="P2313" s="7">
        <f t="shared" ref="P2313:P2376" si="202">MONTH(D2313)</f>
        <v>10</v>
      </c>
      <c r="Q2313" s="7">
        <f t="shared" si="201"/>
        <v>2025</v>
      </c>
    </row>
    <row r="2314" spans="1:17" x14ac:dyDescent="0.25">
      <c r="A2314" s="7">
        <v>2558</v>
      </c>
      <c r="B2314" s="9" t="s">
        <v>897</v>
      </c>
      <c r="C2314" s="9" t="s">
        <v>897</v>
      </c>
      <c r="D2314" s="8">
        <v>45950</v>
      </c>
      <c r="E2314" s="7" t="s">
        <v>60</v>
      </c>
      <c r="F2314" s="7">
        <v>1</v>
      </c>
      <c r="G2314" s="7" t="s">
        <v>15</v>
      </c>
      <c r="H2314" s="7" t="s">
        <v>318</v>
      </c>
      <c r="M2314" s="7" t="s">
        <v>898</v>
      </c>
      <c r="O2314" s="7" t="s">
        <v>682</v>
      </c>
      <c r="P2314" s="7">
        <f t="shared" si="202"/>
        <v>10</v>
      </c>
      <c r="Q2314" s="7">
        <f t="shared" si="201"/>
        <v>2025</v>
      </c>
    </row>
    <row r="2315" spans="1:17" x14ac:dyDescent="0.25">
      <c r="A2315" s="7">
        <v>2558</v>
      </c>
      <c r="B2315" s="9" t="s">
        <v>897</v>
      </c>
      <c r="C2315" s="9" t="s">
        <v>897</v>
      </c>
      <c r="D2315" s="8">
        <v>45950</v>
      </c>
      <c r="E2315" s="7" t="s">
        <v>60</v>
      </c>
      <c r="F2315" s="7">
        <v>1</v>
      </c>
      <c r="G2315" s="7" t="s">
        <v>15</v>
      </c>
      <c r="H2315" s="7" t="s">
        <v>318</v>
      </c>
      <c r="M2315" s="7" t="s">
        <v>898</v>
      </c>
      <c r="O2315" s="7" t="s">
        <v>682</v>
      </c>
      <c r="P2315" s="7">
        <f t="shared" si="202"/>
        <v>10</v>
      </c>
      <c r="Q2315" s="7">
        <f t="shared" si="201"/>
        <v>2025</v>
      </c>
    </row>
    <row r="2316" spans="1:17" x14ac:dyDescent="0.25">
      <c r="A2316" s="7">
        <v>2558</v>
      </c>
      <c r="B2316" s="9" t="s">
        <v>897</v>
      </c>
      <c r="C2316" s="9" t="s">
        <v>897</v>
      </c>
      <c r="D2316" s="8">
        <v>45950</v>
      </c>
      <c r="E2316" s="7" t="s">
        <v>60</v>
      </c>
      <c r="F2316" s="7">
        <v>1</v>
      </c>
      <c r="G2316" s="7" t="s">
        <v>15</v>
      </c>
      <c r="H2316" s="7" t="s">
        <v>318</v>
      </c>
      <c r="M2316" s="7" t="s">
        <v>898</v>
      </c>
      <c r="O2316" s="7" t="s">
        <v>682</v>
      </c>
      <c r="P2316" s="7">
        <f t="shared" si="202"/>
        <v>10</v>
      </c>
      <c r="Q2316" s="7">
        <f t="shared" si="201"/>
        <v>2025</v>
      </c>
    </row>
    <row r="2317" spans="1:17" x14ac:dyDescent="0.25">
      <c r="A2317" s="7">
        <v>2558</v>
      </c>
      <c r="B2317" s="9" t="s">
        <v>897</v>
      </c>
      <c r="C2317" s="9" t="s">
        <v>897</v>
      </c>
      <c r="D2317" s="8">
        <v>45950</v>
      </c>
      <c r="E2317" s="7" t="s">
        <v>60</v>
      </c>
      <c r="F2317" s="7">
        <v>1</v>
      </c>
      <c r="G2317" s="7" t="s">
        <v>15</v>
      </c>
      <c r="H2317" s="7" t="s">
        <v>318</v>
      </c>
      <c r="M2317" s="7" t="s">
        <v>898</v>
      </c>
      <c r="O2317" s="7" t="s">
        <v>682</v>
      </c>
      <c r="P2317" s="7">
        <f t="shared" si="202"/>
        <v>10</v>
      </c>
      <c r="Q2317" s="7">
        <f t="shared" si="201"/>
        <v>2025</v>
      </c>
    </row>
    <row r="2318" spans="1:17" x14ac:dyDescent="0.25">
      <c r="A2318" s="7">
        <v>2558</v>
      </c>
      <c r="B2318" s="9" t="s">
        <v>897</v>
      </c>
      <c r="C2318" s="9" t="s">
        <v>897</v>
      </c>
      <c r="D2318" s="8">
        <v>45950</v>
      </c>
      <c r="E2318" s="7" t="s">
        <v>60</v>
      </c>
      <c r="F2318" s="7">
        <v>1</v>
      </c>
      <c r="G2318" s="7" t="s">
        <v>15</v>
      </c>
      <c r="H2318" s="7" t="s">
        <v>318</v>
      </c>
      <c r="M2318" s="7" t="s">
        <v>898</v>
      </c>
      <c r="O2318" s="7" t="s">
        <v>682</v>
      </c>
      <c r="P2318" s="7">
        <f t="shared" si="202"/>
        <v>10</v>
      </c>
      <c r="Q2318" s="7">
        <f t="shared" si="201"/>
        <v>2025</v>
      </c>
    </row>
    <row r="2319" spans="1:17" x14ac:dyDescent="0.25">
      <c r="A2319" s="7">
        <v>2558</v>
      </c>
      <c r="B2319" s="9" t="s">
        <v>897</v>
      </c>
      <c r="C2319" s="9" t="s">
        <v>897</v>
      </c>
      <c r="D2319" s="8">
        <v>45950</v>
      </c>
      <c r="E2319" s="7" t="s">
        <v>60</v>
      </c>
      <c r="F2319" s="7">
        <v>1</v>
      </c>
      <c r="G2319" s="7" t="s">
        <v>15</v>
      </c>
      <c r="H2319" s="7" t="s">
        <v>318</v>
      </c>
      <c r="M2319" s="7" t="s">
        <v>898</v>
      </c>
      <c r="O2319" s="7" t="s">
        <v>682</v>
      </c>
      <c r="P2319" s="7">
        <f t="shared" si="202"/>
        <v>10</v>
      </c>
      <c r="Q2319" s="7">
        <f t="shared" si="201"/>
        <v>2025</v>
      </c>
    </row>
    <row r="2320" spans="1:17" x14ac:dyDescent="0.25">
      <c r="A2320" s="7">
        <v>2558</v>
      </c>
      <c r="B2320" s="9" t="s">
        <v>897</v>
      </c>
      <c r="C2320" s="9" t="s">
        <v>897</v>
      </c>
      <c r="D2320" s="8">
        <v>45950</v>
      </c>
      <c r="E2320" s="7" t="s">
        <v>60</v>
      </c>
      <c r="F2320" s="7">
        <v>1</v>
      </c>
      <c r="G2320" s="7" t="s">
        <v>15</v>
      </c>
      <c r="H2320" s="7" t="s">
        <v>318</v>
      </c>
      <c r="M2320" s="7" t="s">
        <v>898</v>
      </c>
      <c r="O2320" s="7" t="s">
        <v>682</v>
      </c>
      <c r="P2320" s="7">
        <f t="shared" si="202"/>
        <v>10</v>
      </c>
      <c r="Q2320" s="7">
        <f t="shared" si="201"/>
        <v>2025</v>
      </c>
    </row>
    <row r="2321" spans="1:17" x14ac:dyDescent="0.25">
      <c r="A2321" s="7">
        <v>2558</v>
      </c>
      <c r="B2321" s="9" t="s">
        <v>897</v>
      </c>
      <c r="C2321" s="9" t="s">
        <v>897</v>
      </c>
      <c r="D2321" s="8">
        <v>45950</v>
      </c>
      <c r="E2321" s="7" t="s">
        <v>60</v>
      </c>
      <c r="F2321" s="7">
        <v>1</v>
      </c>
      <c r="G2321" s="7" t="s">
        <v>15</v>
      </c>
      <c r="H2321" s="7" t="s">
        <v>318</v>
      </c>
      <c r="M2321" s="7" t="s">
        <v>898</v>
      </c>
      <c r="O2321" s="7" t="s">
        <v>682</v>
      </c>
      <c r="P2321" s="7">
        <f t="shared" si="202"/>
        <v>10</v>
      </c>
      <c r="Q2321" s="7">
        <f t="shared" si="201"/>
        <v>2025</v>
      </c>
    </row>
    <row r="2322" spans="1:17" x14ac:dyDescent="0.25">
      <c r="A2322" s="7">
        <v>2558</v>
      </c>
      <c r="B2322" s="9" t="s">
        <v>897</v>
      </c>
      <c r="C2322" s="9" t="s">
        <v>897</v>
      </c>
      <c r="D2322" s="8">
        <v>45950</v>
      </c>
      <c r="E2322" s="7" t="s">
        <v>60</v>
      </c>
      <c r="F2322" s="7">
        <v>1</v>
      </c>
      <c r="G2322" s="7" t="s">
        <v>15</v>
      </c>
      <c r="H2322" s="7" t="s">
        <v>318</v>
      </c>
      <c r="M2322" s="7" t="s">
        <v>898</v>
      </c>
      <c r="O2322" s="7" t="s">
        <v>682</v>
      </c>
      <c r="P2322" s="7">
        <f t="shared" si="202"/>
        <v>10</v>
      </c>
      <c r="Q2322" s="7">
        <f t="shared" si="201"/>
        <v>2025</v>
      </c>
    </row>
    <row r="2323" spans="1:17" x14ac:dyDescent="0.25">
      <c r="A2323" s="7">
        <v>2558</v>
      </c>
      <c r="B2323" s="9" t="s">
        <v>897</v>
      </c>
      <c r="C2323" s="9" t="s">
        <v>897</v>
      </c>
      <c r="D2323" s="8">
        <v>45950</v>
      </c>
      <c r="E2323" s="7" t="s">
        <v>60</v>
      </c>
      <c r="F2323" s="7">
        <v>1</v>
      </c>
      <c r="G2323" s="7" t="s">
        <v>15</v>
      </c>
      <c r="H2323" s="7" t="s">
        <v>318</v>
      </c>
      <c r="M2323" s="7" t="s">
        <v>898</v>
      </c>
      <c r="O2323" s="7" t="s">
        <v>682</v>
      </c>
      <c r="P2323" s="7">
        <f t="shared" si="202"/>
        <v>10</v>
      </c>
      <c r="Q2323" s="7">
        <f t="shared" si="201"/>
        <v>2025</v>
      </c>
    </row>
    <row r="2324" spans="1:17" x14ac:dyDescent="0.25">
      <c r="A2324" s="7">
        <v>2558</v>
      </c>
      <c r="B2324" s="9" t="s">
        <v>897</v>
      </c>
      <c r="C2324" s="9" t="s">
        <v>897</v>
      </c>
      <c r="D2324" s="8">
        <v>45950</v>
      </c>
      <c r="E2324" s="7" t="s">
        <v>60</v>
      </c>
      <c r="F2324" s="7">
        <v>1</v>
      </c>
      <c r="G2324" s="7" t="s">
        <v>15</v>
      </c>
      <c r="H2324" s="7" t="s">
        <v>318</v>
      </c>
      <c r="M2324" s="7" t="s">
        <v>898</v>
      </c>
      <c r="O2324" s="7" t="s">
        <v>682</v>
      </c>
      <c r="P2324" s="7">
        <f t="shared" si="202"/>
        <v>10</v>
      </c>
      <c r="Q2324" s="7">
        <f t="shared" si="201"/>
        <v>2025</v>
      </c>
    </row>
    <row r="2325" spans="1:17" x14ac:dyDescent="0.25">
      <c r="A2325" s="7">
        <v>2558</v>
      </c>
      <c r="B2325" s="9" t="s">
        <v>897</v>
      </c>
      <c r="C2325" s="9" t="s">
        <v>897</v>
      </c>
      <c r="D2325" s="8">
        <v>45950</v>
      </c>
      <c r="E2325" s="7" t="s">
        <v>60</v>
      </c>
      <c r="F2325" s="7">
        <v>1</v>
      </c>
      <c r="G2325" s="7" t="s">
        <v>15</v>
      </c>
      <c r="H2325" s="7" t="s">
        <v>318</v>
      </c>
      <c r="M2325" s="7" t="s">
        <v>898</v>
      </c>
      <c r="O2325" s="7" t="s">
        <v>682</v>
      </c>
      <c r="P2325" s="7">
        <f t="shared" si="202"/>
        <v>10</v>
      </c>
      <c r="Q2325" s="7">
        <f t="shared" si="201"/>
        <v>2025</v>
      </c>
    </row>
    <row r="2326" spans="1:17" x14ac:dyDescent="0.25">
      <c r="A2326" s="7">
        <v>2558</v>
      </c>
      <c r="B2326" s="9" t="s">
        <v>897</v>
      </c>
      <c r="C2326" s="9" t="s">
        <v>897</v>
      </c>
      <c r="D2326" s="8">
        <v>45950</v>
      </c>
      <c r="E2326" s="7" t="s">
        <v>60</v>
      </c>
      <c r="F2326" s="7">
        <v>1</v>
      </c>
      <c r="G2326" s="7" t="s">
        <v>15</v>
      </c>
      <c r="H2326" s="7" t="s">
        <v>318</v>
      </c>
      <c r="M2326" s="7" t="s">
        <v>898</v>
      </c>
      <c r="O2326" s="7" t="s">
        <v>682</v>
      </c>
      <c r="P2326" s="7">
        <f t="shared" si="202"/>
        <v>10</v>
      </c>
      <c r="Q2326" s="7">
        <f t="shared" si="201"/>
        <v>2025</v>
      </c>
    </row>
    <row r="2327" spans="1:17" x14ac:dyDescent="0.25">
      <c r="A2327" s="7">
        <v>2558</v>
      </c>
      <c r="B2327" s="9" t="s">
        <v>897</v>
      </c>
      <c r="C2327" s="9" t="s">
        <v>897</v>
      </c>
      <c r="D2327" s="8">
        <v>45950</v>
      </c>
      <c r="E2327" s="7" t="s">
        <v>60</v>
      </c>
      <c r="F2327" s="7">
        <v>1</v>
      </c>
      <c r="G2327" s="7" t="s">
        <v>15</v>
      </c>
      <c r="H2327" s="7" t="s">
        <v>318</v>
      </c>
      <c r="M2327" s="7" t="s">
        <v>898</v>
      </c>
      <c r="O2327" s="7" t="s">
        <v>682</v>
      </c>
      <c r="P2327" s="7">
        <f t="shared" si="202"/>
        <v>10</v>
      </c>
      <c r="Q2327" s="7">
        <f t="shared" si="201"/>
        <v>2025</v>
      </c>
    </row>
    <row r="2328" spans="1:17" x14ac:dyDescent="0.25">
      <c r="A2328" s="7">
        <v>2558</v>
      </c>
      <c r="B2328" s="9" t="s">
        <v>897</v>
      </c>
      <c r="C2328" s="9" t="s">
        <v>897</v>
      </c>
      <c r="D2328" s="8">
        <v>45950</v>
      </c>
      <c r="E2328" s="7" t="s">
        <v>60</v>
      </c>
      <c r="F2328" s="7">
        <v>1</v>
      </c>
      <c r="G2328" s="7" t="s">
        <v>15</v>
      </c>
      <c r="H2328" s="7" t="s">
        <v>318</v>
      </c>
      <c r="M2328" s="7" t="s">
        <v>898</v>
      </c>
      <c r="O2328" s="7" t="s">
        <v>682</v>
      </c>
      <c r="P2328" s="7">
        <f t="shared" si="202"/>
        <v>10</v>
      </c>
      <c r="Q2328" s="7">
        <f t="shared" si="201"/>
        <v>2025</v>
      </c>
    </row>
    <row r="2329" spans="1:17" x14ac:dyDescent="0.25">
      <c r="A2329" s="7">
        <v>2558</v>
      </c>
      <c r="B2329" s="9" t="s">
        <v>897</v>
      </c>
      <c r="C2329" s="9" t="s">
        <v>897</v>
      </c>
      <c r="D2329" s="8">
        <v>45950</v>
      </c>
      <c r="E2329" s="7" t="s">
        <v>60</v>
      </c>
      <c r="F2329" s="7">
        <v>1</v>
      </c>
      <c r="G2329" s="7" t="s">
        <v>15</v>
      </c>
      <c r="H2329" s="7" t="s">
        <v>318</v>
      </c>
      <c r="M2329" s="7" t="s">
        <v>898</v>
      </c>
      <c r="O2329" s="7" t="s">
        <v>682</v>
      </c>
      <c r="P2329" s="7">
        <f t="shared" si="202"/>
        <v>10</v>
      </c>
      <c r="Q2329" s="7">
        <f t="shared" si="201"/>
        <v>2025</v>
      </c>
    </row>
    <row r="2330" spans="1:17" x14ac:dyDescent="0.25">
      <c r="A2330" s="7">
        <v>2558</v>
      </c>
      <c r="B2330" s="9" t="s">
        <v>897</v>
      </c>
      <c r="C2330" s="9" t="s">
        <v>897</v>
      </c>
      <c r="D2330" s="8">
        <v>45950</v>
      </c>
      <c r="E2330" s="7" t="s">
        <v>60</v>
      </c>
      <c r="F2330" s="7">
        <v>1</v>
      </c>
      <c r="G2330" s="7" t="s">
        <v>15</v>
      </c>
      <c r="H2330" s="7" t="s">
        <v>318</v>
      </c>
      <c r="M2330" s="7" t="s">
        <v>898</v>
      </c>
      <c r="O2330" s="7" t="s">
        <v>682</v>
      </c>
      <c r="P2330" s="7">
        <f t="shared" si="202"/>
        <v>10</v>
      </c>
      <c r="Q2330" s="7">
        <f t="shared" si="201"/>
        <v>2025</v>
      </c>
    </row>
    <row r="2331" spans="1:17" x14ac:dyDescent="0.25">
      <c r="A2331" s="7">
        <v>2558</v>
      </c>
      <c r="B2331" s="9" t="s">
        <v>897</v>
      </c>
      <c r="C2331" s="9" t="s">
        <v>897</v>
      </c>
      <c r="D2331" s="8">
        <v>45950</v>
      </c>
      <c r="E2331" s="7" t="s">
        <v>60</v>
      </c>
      <c r="F2331" s="7">
        <v>1</v>
      </c>
      <c r="G2331" s="7" t="s">
        <v>15</v>
      </c>
      <c r="H2331" s="7" t="s">
        <v>318</v>
      </c>
      <c r="M2331" s="7" t="s">
        <v>898</v>
      </c>
      <c r="O2331" s="7" t="s">
        <v>682</v>
      </c>
      <c r="P2331" s="7">
        <f t="shared" si="202"/>
        <v>10</v>
      </c>
      <c r="Q2331" s="7">
        <f t="shared" si="201"/>
        <v>2025</v>
      </c>
    </row>
    <row r="2332" spans="1:17" x14ac:dyDescent="0.25">
      <c r="A2332" s="7">
        <v>2558</v>
      </c>
      <c r="B2332" s="9" t="s">
        <v>897</v>
      </c>
      <c r="C2332" s="9" t="s">
        <v>897</v>
      </c>
      <c r="D2332" s="8">
        <v>45950</v>
      </c>
      <c r="E2332" s="7" t="s">
        <v>60</v>
      </c>
      <c r="F2332" s="7">
        <v>1</v>
      </c>
      <c r="G2332" s="7" t="s">
        <v>15</v>
      </c>
      <c r="H2332" s="7" t="s">
        <v>318</v>
      </c>
      <c r="M2332" s="7" t="s">
        <v>898</v>
      </c>
      <c r="O2332" s="7" t="s">
        <v>682</v>
      </c>
      <c r="P2332" s="7">
        <f t="shared" si="202"/>
        <v>10</v>
      </c>
      <c r="Q2332" s="7">
        <f t="shared" si="201"/>
        <v>2025</v>
      </c>
    </row>
    <row r="2333" spans="1:17" x14ac:dyDescent="0.25">
      <c r="A2333" s="7">
        <v>2558</v>
      </c>
      <c r="B2333" s="9" t="s">
        <v>897</v>
      </c>
      <c r="C2333" s="9" t="s">
        <v>897</v>
      </c>
      <c r="D2333" s="8">
        <v>45950</v>
      </c>
      <c r="E2333" s="7" t="s">
        <v>60</v>
      </c>
      <c r="F2333" s="7">
        <v>1</v>
      </c>
      <c r="G2333" s="7" t="s">
        <v>15</v>
      </c>
      <c r="H2333" s="7" t="s">
        <v>318</v>
      </c>
      <c r="M2333" s="7" t="s">
        <v>898</v>
      </c>
      <c r="O2333" s="7" t="s">
        <v>682</v>
      </c>
      <c r="P2333" s="7">
        <f t="shared" si="202"/>
        <v>10</v>
      </c>
      <c r="Q2333" s="7">
        <f t="shared" si="201"/>
        <v>2025</v>
      </c>
    </row>
    <row r="2334" spans="1:17" x14ac:dyDescent="0.25">
      <c r="A2334" s="7">
        <v>2558</v>
      </c>
      <c r="B2334" s="9" t="s">
        <v>897</v>
      </c>
      <c r="C2334" s="9" t="s">
        <v>897</v>
      </c>
      <c r="D2334" s="8">
        <v>45950</v>
      </c>
      <c r="E2334" s="7" t="s">
        <v>60</v>
      </c>
      <c r="F2334" s="7">
        <v>1</v>
      </c>
      <c r="G2334" s="7" t="s">
        <v>15</v>
      </c>
      <c r="H2334" s="7" t="s">
        <v>318</v>
      </c>
      <c r="M2334" s="7" t="s">
        <v>898</v>
      </c>
      <c r="O2334" s="7" t="s">
        <v>682</v>
      </c>
      <c r="P2334" s="7">
        <f t="shared" si="202"/>
        <v>10</v>
      </c>
      <c r="Q2334" s="7">
        <f t="shared" si="201"/>
        <v>2025</v>
      </c>
    </row>
    <row r="2335" spans="1:17" x14ac:dyDescent="0.25">
      <c r="A2335" s="7">
        <v>2558</v>
      </c>
      <c r="B2335" s="9" t="s">
        <v>897</v>
      </c>
      <c r="C2335" s="9" t="s">
        <v>897</v>
      </c>
      <c r="D2335" s="8">
        <v>45950</v>
      </c>
      <c r="E2335" s="7" t="s">
        <v>60</v>
      </c>
      <c r="F2335" s="7">
        <v>1</v>
      </c>
      <c r="G2335" s="7" t="s">
        <v>15</v>
      </c>
      <c r="H2335" s="7" t="s">
        <v>318</v>
      </c>
      <c r="M2335" s="7" t="s">
        <v>898</v>
      </c>
      <c r="O2335" s="7" t="s">
        <v>682</v>
      </c>
      <c r="P2335" s="7">
        <f t="shared" si="202"/>
        <v>10</v>
      </c>
      <c r="Q2335" s="7">
        <f t="shared" si="201"/>
        <v>2025</v>
      </c>
    </row>
    <row r="2336" spans="1:17" x14ac:dyDescent="0.25">
      <c r="A2336" s="7">
        <v>2558</v>
      </c>
      <c r="B2336" s="9" t="s">
        <v>897</v>
      </c>
      <c r="C2336" s="9" t="s">
        <v>897</v>
      </c>
      <c r="D2336" s="8">
        <v>45950</v>
      </c>
      <c r="E2336" s="7" t="s">
        <v>60</v>
      </c>
      <c r="F2336" s="7">
        <v>1</v>
      </c>
      <c r="G2336" s="7" t="s">
        <v>15</v>
      </c>
      <c r="H2336" s="7" t="s">
        <v>318</v>
      </c>
      <c r="M2336" s="7" t="s">
        <v>898</v>
      </c>
      <c r="O2336" s="7" t="s">
        <v>682</v>
      </c>
      <c r="P2336" s="7">
        <f t="shared" si="202"/>
        <v>10</v>
      </c>
      <c r="Q2336" s="7">
        <f t="shared" si="201"/>
        <v>2025</v>
      </c>
    </row>
    <row r="2337" spans="1:17" x14ac:dyDescent="0.25">
      <c r="A2337" s="7">
        <v>2558</v>
      </c>
      <c r="B2337" s="9" t="s">
        <v>897</v>
      </c>
      <c r="C2337" s="9" t="s">
        <v>897</v>
      </c>
      <c r="D2337" s="8">
        <v>45950</v>
      </c>
      <c r="E2337" s="7" t="s">
        <v>60</v>
      </c>
      <c r="F2337" s="7">
        <v>1</v>
      </c>
      <c r="G2337" s="7" t="s">
        <v>15</v>
      </c>
      <c r="H2337" s="7" t="s">
        <v>318</v>
      </c>
      <c r="M2337" s="7" t="s">
        <v>898</v>
      </c>
      <c r="O2337" s="7" t="s">
        <v>682</v>
      </c>
      <c r="P2337" s="7">
        <f t="shared" si="202"/>
        <v>10</v>
      </c>
      <c r="Q2337" s="7">
        <f t="shared" si="201"/>
        <v>2025</v>
      </c>
    </row>
    <row r="2338" spans="1:17" x14ac:dyDescent="0.25">
      <c r="A2338" s="7">
        <v>2558</v>
      </c>
      <c r="B2338" s="9" t="s">
        <v>897</v>
      </c>
      <c r="C2338" s="9" t="s">
        <v>897</v>
      </c>
      <c r="D2338" s="8">
        <v>45950</v>
      </c>
      <c r="E2338" s="7" t="s">
        <v>60</v>
      </c>
      <c r="F2338" s="7">
        <v>1</v>
      </c>
      <c r="G2338" s="7" t="s">
        <v>15</v>
      </c>
      <c r="H2338" s="7" t="s">
        <v>318</v>
      </c>
      <c r="M2338" s="7" t="s">
        <v>898</v>
      </c>
      <c r="O2338" s="7" t="s">
        <v>682</v>
      </c>
      <c r="P2338" s="7">
        <f t="shared" si="202"/>
        <v>10</v>
      </c>
      <c r="Q2338" s="7">
        <f t="shared" si="201"/>
        <v>2025</v>
      </c>
    </row>
    <row r="2339" spans="1:17" x14ac:dyDescent="0.25">
      <c r="A2339" s="7">
        <v>2558</v>
      </c>
      <c r="B2339" s="9" t="s">
        <v>897</v>
      </c>
      <c r="C2339" s="9" t="s">
        <v>897</v>
      </c>
      <c r="D2339" s="8">
        <v>45950</v>
      </c>
      <c r="E2339" s="7" t="s">
        <v>60</v>
      </c>
      <c r="F2339" s="7">
        <v>1</v>
      </c>
      <c r="G2339" s="7" t="s">
        <v>15</v>
      </c>
      <c r="H2339" s="7" t="s">
        <v>318</v>
      </c>
      <c r="M2339" s="7" t="s">
        <v>898</v>
      </c>
      <c r="O2339" s="7" t="s">
        <v>682</v>
      </c>
      <c r="P2339" s="7">
        <f t="shared" si="202"/>
        <v>10</v>
      </c>
      <c r="Q2339" s="7">
        <f t="shared" si="201"/>
        <v>2025</v>
      </c>
    </row>
    <row r="2340" spans="1:17" x14ac:dyDescent="0.25">
      <c r="A2340" s="7">
        <v>2558</v>
      </c>
      <c r="B2340" s="9" t="s">
        <v>897</v>
      </c>
      <c r="C2340" s="9" t="s">
        <v>897</v>
      </c>
      <c r="D2340" s="8">
        <v>45950</v>
      </c>
      <c r="E2340" s="7" t="s">
        <v>60</v>
      </c>
      <c r="F2340" s="7">
        <v>1</v>
      </c>
      <c r="G2340" s="7" t="s">
        <v>15</v>
      </c>
      <c r="H2340" s="7" t="s">
        <v>318</v>
      </c>
      <c r="M2340" s="7" t="s">
        <v>898</v>
      </c>
      <c r="O2340" s="7" t="s">
        <v>682</v>
      </c>
      <c r="P2340" s="7">
        <f t="shared" si="202"/>
        <v>10</v>
      </c>
      <c r="Q2340" s="7">
        <f t="shared" si="201"/>
        <v>2025</v>
      </c>
    </row>
    <row r="2341" spans="1:17" x14ac:dyDescent="0.25">
      <c r="A2341" s="7">
        <v>2558</v>
      </c>
      <c r="B2341" s="9" t="s">
        <v>897</v>
      </c>
      <c r="C2341" s="9" t="s">
        <v>897</v>
      </c>
      <c r="D2341" s="8">
        <v>45950</v>
      </c>
      <c r="E2341" s="7" t="s">
        <v>60</v>
      </c>
      <c r="F2341" s="7">
        <v>1</v>
      </c>
      <c r="G2341" s="7" t="s">
        <v>15</v>
      </c>
      <c r="H2341" s="7" t="s">
        <v>318</v>
      </c>
      <c r="M2341" s="7" t="s">
        <v>898</v>
      </c>
      <c r="O2341" s="7" t="s">
        <v>682</v>
      </c>
      <c r="P2341" s="7">
        <f t="shared" si="202"/>
        <v>10</v>
      </c>
      <c r="Q2341" s="7">
        <f t="shared" si="201"/>
        <v>2025</v>
      </c>
    </row>
    <row r="2342" spans="1:17" x14ac:dyDescent="0.25">
      <c r="A2342" s="7">
        <v>2558</v>
      </c>
      <c r="B2342" s="9" t="s">
        <v>897</v>
      </c>
      <c r="C2342" s="9" t="s">
        <v>897</v>
      </c>
      <c r="D2342" s="8">
        <v>45950</v>
      </c>
      <c r="E2342" s="7" t="s">
        <v>60</v>
      </c>
      <c r="F2342" s="7">
        <v>1</v>
      </c>
      <c r="G2342" s="7" t="s">
        <v>15</v>
      </c>
      <c r="H2342" s="7" t="s">
        <v>318</v>
      </c>
      <c r="M2342" s="7" t="s">
        <v>898</v>
      </c>
      <c r="O2342" s="7" t="s">
        <v>682</v>
      </c>
      <c r="P2342" s="7">
        <f t="shared" si="202"/>
        <v>10</v>
      </c>
      <c r="Q2342" s="7">
        <f t="shared" si="201"/>
        <v>2025</v>
      </c>
    </row>
    <row r="2343" spans="1:17" x14ac:dyDescent="0.25">
      <c r="A2343" s="7">
        <v>2558</v>
      </c>
      <c r="B2343" s="9" t="s">
        <v>897</v>
      </c>
      <c r="C2343" s="9" t="s">
        <v>897</v>
      </c>
      <c r="D2343" s="8">
        <v>45950</v>
      </c>
      <c r="E2343" s="7" t="s">
        <v>60</v>
      </c>
      <c r="F2343" s="7">
        <v>1</v>
      </c>
      <c r="G2343" s="7" t="s">
        <v>15</v>
      </c>
      <c r="H2343" s="7" t="s">
        <v>318</v>
      </c>
      <c r="M2343" s="7" t="s">
        <v>898</v>
      </c>
      <c r="O2343" s="7" t="s">
        <v>682</v>
      </c>
      <c r="P2343" s="7">
        <f t="shared" si="202"/>
        <v>10</v>
      </c>
      <c r="Q2343" s="7">
        <f t="shared" si="201"/>
        <v>2025</v>
      </c>
    </row>
    <row r="2344" spans="1:17" x14ac:dyDescent="0.25">
      <c r="A2344" s="7">
        <v>2558</v>
      </c>
      <c r="B2344" s="9" t="s">
        <v>897</v>
      </c>
      <c r="C2344" s="9" t="s">
        <v>897</v>
      </c>
      <c r="D2344" s="8">
        <v>45950</v>
      </c>
      <c r="E2344" s="7" t="s">
        <v>60</v>
      </c>
      <c r="F2344" s="7">
        <v>1</v>
      </c>
      <c r="G2344" s="7" t="s">
        <v>15</v>
      </c>
      <c r="H2344" s="7" t="s">
        <v>318</v>
      </c>
      <c r="M2344" s="7" t="s">
        <v>898</v>
      </c>
      <c r="O2344" s="7" t="s">
        <v>682</v>
      </c>
      <c r="P2344" s="7">
        <f t="shared" si="202"/>
        <v>10</v>
      </c>
      <c r="Q2344" s="7">
        <f t="shared" si="201"/>
        <v>2025</v>
      </c>
    </row>
    <row r="2345" spans="1:17" x14ac:dyDescent="0.25">
      <c r="A2345" s="7">
        <v>2558</v>
      </c>
      <c r="B2345" s="9" t="s">
        <v>897</v>
      </c>
      <c r="C2345" s="9" t="s">
        <v>897</v>
      </c>
      <c r="D2345" s="8">
        <v>45950</v>
      </c>
      <c r="E2345" s="7" t="s">
        <v>60</v>
      </c>
      <c r="F2345" s="7">
        <v>1</v>
      </c>
      <c r="G2345" s="7" t="s">
        <v>15</v>
      </c>
      <c r="H2345" s="7" t="s">
        <v>318</v>
      </c>
      <c r="M2345" s="7" t="s">
        <v>898</v>
      </c>
      <c r="O2345" s="7" t="s">
        <v>682</v>
      </c>
      <c r="P2345" s="7">
        <f t="shared" si="202"/>
        <v>10</v>
      </c>
      <c r="Q2345" s="7">
        <f t="shared" si="201"/>
        <v>2025</v>
      </c>
    </row>
    <row r="2346" spans="1:17" x14ac:dyDescent="0.25">
      <c r="A2346" s="7">
        <v>2558</v>
      </c>
      <c r="B2346" s="9" t="s">
        <v>897</v>
      </c>
      <c r="C2346" s="9" t="s">
        <v>897</v>
      </c>
      <c r="D2346" s="8">
        <v>45950</v>
      </c>
      <c r="E2346" s="7" t="s">
        <v>60</v>
      </c>
      <c r="F2346" s="7">
        <v>1</v>
      </c>
      <c r="G2346" s="7" t="s">
        <v>15</v>
      </c>
      <c r="H2346" s="7" t="s">
        <v>318</v>
      </c>
      <c r="M2346" s="7" t="s">
        <v>898</v>
      </c>
      <c r="O2346" s="7" t="s">
        <v>682</v>
      </c>
      <c r="P2346" s="7">
        <f t="shared" si="202"/>
        <v>10</v>
      </c>
      <c r="Q2346" s="7">
        <f t="shared" si="201"/>
        <v>2025</v>
      </c>
    </row>
    <row r="2347" spans="1:17" x14ac:dyDescent="0.25">
      <c r="A2347" s="7">
        <v>2558</v>
      </c>
      <c r="B2347" s="9" t="s">
        <v>897</v>
      </c>
      <c r="C2347" s="9" t="s">
        <v>897</v>
      </c>
      <c r="D2347" s="8">
        <v>45950</v>
      </c>
      <c r="E2347" s="7" t="s">
        <v>60</v>
      </c>
      <c r="F2347" s="7">
        <v>1</v>
      </c>
      <c r="G2347" s="7" t="s">
        <v>15</v>
      </c>
      <c r="H2347" s="7" t="s">
        <v>318</v>
      </c>
      <c r="M2347" s="7" t="s">
        <v>898</v>
      </c>
      <c r="O2347" s="7" t="s">
        <v>682</v>
      </c>
      <c r="P2347" s="7">
        <f t="shared" si="202"/>
        <v>10</v>
      </c>
      <c r="Q2347" s="7">
        <f t="shared" si="201"/>
        <v>2025</v>
      </c>
    </row>
    <row r="2348" spans="1:17" x14ac:dyDescent="0.25">
      <c r="A2348" s="7">
        <v>2558</v>
      </c>
      <c r="B2348" s="9" t="s">
        <v>897</v>
      </c>
      <c r="C2348" s="9" t="s">
        <v>897</v>
      </c>
      <c r="D2348" s="8">
        <v>45950</v>
      </c>
      <c r="E2348" s="7" t="s">
        <v>60</v>
      </c>
      <c r="F2348" s="7">
        <v>1</v>
      </c>
      <c r="G2348" s="7" t="s">
        <v>15</v>
      </c>
      <c r="H2348" s="7" t="s">
        <v>318</v>
      </c>
      <c r="M2348" s="7" t="s">
        <v>898</v>
      </c>
      <c r="O2348" s="7" t="s">
        <v>682</v>
      </c>
      <c r="P2348" s="7">
        <f t="shared" si="202"/>
        <v>10</v>
      </c>
      <c r="Q2348" s="7">
        <f t="shared" si="201"/>
        <v>2025</v>
      </c>
    </row>
    <row r="2349" spans="1:17" x14ac:dyDescent="0.25">
      <c r="A2349" s="7">
        <v>2558</v>
      </c>
      <c r="B2349" s="9" t="s">
        <v>897</v>
      </c>
      <c r="C2349" s="9" t="s">
        <v>897</v>
      </c>
      <c r="D2349" s="8">
        <v>45950</v>
      </c>
      <c r="E2349" s="7" t="s">
        <v>60</v>
      </c>
      <c r="F2349" s="7">
        <v>1</v>
      </c>
      <c r="G2349" s="7" t="s">
        <v>15</v>
      </c>
      <c r="H2349" s="7" t="s">
        <v>318</v>
      </c>
      <c r="M2349" s="7" t="s">
        <v>898</v>
      </c>
      <c r="O2349" s="7" t="s">
        <v>682</v>
      </c>
      <c r="P2349" s="7">
        <f t="shared" si="202"/>
        <v>10</v>
      </c>
      <c r="Q2349" s="7">
        <f t="shared" si="201"/>
        <v>2025</v>
      </c>
    </row>
    <row r="2350" spans="1:17" x14ac:dyDescent="0.25">
      <c r="A2350" s="7">
        <v>2558</v>
      </c>
      <c r="B2350" s="9" t="s">
        <v>897</v>
      </c>
      <c r="C2350" s="9" t="s">
        <v>897</v>
      </c>
      <c r="D2350" s="8">
        <v>45950</v>
      </c>
      <c r="E2350" s="7" t="s">
        <v>60</v>
      </c>
      <c r="F2350" s="7">
        <v>1</v>
      </c>
      <c r="G2350" s="7" t="s">
        <v>15</v>
      </c>
      <c r="H2350" s="7" t="s">
        <v>318</v>
      </c>
      <c r="M2350" s="7" t="s">
        <v>898</v>
      </c>
      <c r="O2350" s="7" t="s">
        <v>682</v>
      </c>
      <c r="P2350" s="7">
        <f t="shared" si="202"/>
        <v>10</v>
      </c>
      <c r="Q2350" s="7">
        <f t="shared" si="201"/>
        <v>2025</v>
      </c>
    </row>
    <row r="2351" spans="1:17" x14ac:dyDescent="0.25">
      <c r="A2351" s="7">
        <v>2558</v>
      </c>
      <c r="B2351" s="9" t="s">
        <v>897</v>
      </c>
      <c r="C2351" s="9" t="s">
        <v>897</v>
      </c>
      <c r="D2351" s="8">
        <v>45950</v>
      </c>
      <c r="E2351" s="7" t="s">
        <v>60</v>
      </c>
      <c r="F2351" s="7">
        <v>1</v>
      </c>
      <c r="G2351" s="7" t="s">
        <v>15</v>
      </c>
      <c r="H2351" s="7" t="s">
        <v>318</v>
      </c>
      <c r="M2351" s="7" t="s">
        <v>898</v>
      </c>
      <c r="O2351" s="7" t="s">
        <v>682</v>
      </c>
      <c r="P2351" s="7">
        <f t="shared" si="202"/>
        <v>10</v>
      </c>
      <c r="Q2351" s="7">
        <f t="shared" ref="Q2351:Q2414" si="203">YEAR(D2351)</f>
        <v>2025</v>
      </c>
    </row>
    <row r="2352" spans="1:17" x14ac:dyDescent="0.25">
      <c r="A2352" s="7">
        <v>2558</v>
      </c>
      <c r="B2352" s="9" t="s">
        <v>897</v>
      </c>
      <c r="C2352" s="9" t="s">
        <v>897</v>
      </c>
      <c r="D2352" s="8">
        <v>45950</v>
      </c>
      <c r="E2352" s="7" t="s">
        <v>60</v>
      </c>
      <c r="F2352" s="7">
        <v>1</v>
      </c>
      <c r="G2352" s="7" t="s">
        <v>15</v>
      </c>
      <c r="H2352" s="7" t="s">
        <v>318</v>
      </c>
      <c r="M2352" s="7" t="s">
        <v>898</v>
      </c>
      <c r="O2352" s="7" t="s">
        <v>682</v>
      </c>
      <c r="P2352" s="7">
        <f t="shared" si="202"/>
        <v>10</v>
      </c>
      <c r="Q2352" s="7">
        <f t="shared" si="203"/>
        <v>2025</v>
      </c>
    </row>
    <row r="2353" spans="1:17" x14ac:dyDescent="0.25">
      <c r="A2353" s="7">
        <v>2558</v>
      </c>
      <c r="B2353" s="9" t="s">
        <v>897</v>
      </c>
      <c r="C2353" s="9" t="s">
        <v>897</v>
      </c>
      <c r="D2353" s="8">
        <v>45950</v>
      </c>
      <c r="E2353" s="7" t="s">
        <v>60</v>
      </c>
      <c r="F2353" s="7">
        <v>1</v>
      </c>
      <c r="G2353" s="7" t="s">
        <v>15</v>
      </c>
      <c r="H2353" s="7" t="s">
        <v>318</v>
      </c>
      <c r="M2353" s="7" t="s">
        <v>898</v>
      </c>
      <c r="O2353" s="7" t="s">
        <v>682</v>
      </c>
      <c r="P2353" s="7">
        <f t="shared" si="202"/>
        <v>10</v>
      </c>
      <c r="Q2353" s="7">
        <f t="shared" si="203"/>
        <v>2025</v>
      </c>
    </row>
    <row r="2354" spans="1:17" x14ac:dyDescent="0.25">
      <c r="A2354" s="7">
        <v>2558</v>
      </c>
      <c r="B2354" s="9" t="s">
        <v>897</v>
      </c>
      <c r="C2354" s="9" t="s">
        <v>897</v>
      </c>
      <c r="D2354" s="8">
        <v>45950</v>
      </c>
      <c r="E2354" s="7" t="s">
        <v>60</v>
      </c>
      <c r="F2354" s="7">
        <v>1</v>
      </c>
      <c r="G2354" s="7" t="s">
        <v>15</v>
      </c>
      <c r="H2354" s="7" t="s">
        <v>318</v>
      </c>
      <c r="M2354" s="7" t="s">
        <v>898</v>
      </c>
      <c r="O2354" s="7" t="s">
        <v>682</v>
      </c>
      <c r="P2354" s="7">
        <f t="shared" si="202"/>
        <v>10</v>
      </c>
      <c r="Q2354" s="7">
        <f t="shared" si="203"/>
        <v>2025</v>
      </c>
    </row>
    <row r="2355" spans="1:17" x14ac:dyDescent="0.25">
      <c r="A2355" s="7">
        <v>2558</v>
      </c>
      <c r="B2355" s="9" t="s">
        <v>897</v>
      </c>
      <c r="C2355" s="9" t="s">
        <v>897</v>
      </c>
      <c r="D2355" s="8">
        <v>45950</v>
      </c>
      <c r="E2355" s="7" t="s">
        <v>60</v>
      </c>
      <c r="F2355" s="7">
        <v>1</v>
      </c>
      <c r="G2355" s="7" t="s">
        <v>15</v>
      </c>
      <c r="H2355" s="7" t="s">
        <v>318</v>
      </c>
      <c r="M2355" s="7" t="s">
        <v>898</v>
      </c>
      <c r="O2355" s="7" t="s">
        <v>682</v>
      </c>
      <c r="P2355" s="7">
        <f t="shared" si="202"/>
        <v>10</v>
      </c>
      <c r="Q2355" s="7">
        <f t="shared" si="203"/>
        <v>2025</v>
      </c>
    </row>
    <row r="2356" spans="1:17" x14ac:dyDescent="0.25">
      <c r="A2356" s="7">
        <v>2558</v>
      </c>
      <c r="B2356" s="9" t="s">
        <v>897</v>
      </c>
      <c r="C2356" s="9" t="s">
        <v>897</v>
      </c>
      <c r="D2356" s="8">
        <v>45950</v>
      </c>
      <c r="E2356" s="7" t="s">
        <v>60</v>
      </c>
      <c r="F2356" s="7">
        <v>1</v>
      </c>
      <c r="G2356" s="7" t="s">
        <v>15</v>
      </c>
      <c r="H2356" s="7" t="s">
        <v>318</v>
      </c>
      <c r="M2356" s="7" t="s">
        <v>898</v>
      </c>
      <c r="O2356" s="7" t="s">
        <v>682</v>
      </c>
      <c r="P2356" s="7">
        <f t="shared" si="202"/>
        <v>10</v>
      </c>
      <c r="Q2356" s="7">
        <f t="shared" si="203"/>
        <v>2025</v>
      </c>
    </row>
    <row r="2357" spans="1:17" x14ac:dyDescent="0.25">
      <c r="A2357" s="7">
        <v>2558</v>
      </c>
      <c r="B2357" s="9" t="s">
        <v>897</v>
      </c>
      <c r="C2357" s="9" t="s">
        <v>897</v>
      </c>
      <c r="D2357" s="8">
        <v>45950</v>
      </c>
      <c r="E2357" s="7" t="s">
        <v>60</v>
      </c>
      <c r="F2357" s="7">
        <v>1</v>
      </c>
      <c r="G2357" s="7" t="s">
        <v>15</v>
      </c>
      <c r="H2357" s="7" t="s">
        <v>318</v>
      </c>
      <c r="M2357" s="7" t="s">
        <v>898</v>
      </c>
      <c r="O2357" s="7" t="s">
        <v>682</v>
      </c>
      <c r="P2357" s="7">
        <f t="shared" si="202"/>
        <v>10</v>
      </c>
      <c r="Q2357" s="7">
        <f t="shared" si="203"/>
        <v>2025</v>
      </c>
    </row>
    <row r="2358" spans="1:17" x14ac:dyDescent="0.25">
      <c r="A2358" s="7">
        <v>2558</v>
      </c>
      <c r="B2358" s="9" t="s">
        <v>897</v>
      </c>
      <c r="C2358" s="9" t="s">
        <v>897</v>
      </c>
      <c r="D2358" s="8">
        <v>45950</v>
      </c>
      <c r="E2358" s="7" t="s">
        <v>60</v>
      </c>
      <c r="F2358" s="7">
        <v>1</v>
      </c>
      <c r="G2358" s="7" t="s">
        <v>15</v>
      </c>
      <c r="H2358" s="7" t="s">
        <v>318</v>
      </c>
      <c r="M2358" s="7" t="s">
        <v>898</v>
      </c>
      <c r="O2358" s="7" t="s">
        <v>682</v>
      </c>
      <c r="P2358" s="7">
        <f t="shared" si="202"/>
        <v>10</v>
      </c>
      <c r="Q2358" s="7">
        <f t="shared" si="203"/>
        <v>2025</v>
      </c>
    </row>
    <row r="2359" spans="1:17" x14ac:dyDescent="0.25">
      <c r="A2359" s="7">
        <v>2558</v>
      </c>
      <c r="B2359" s="9" t="s">
        <v>897</v>
      </c>
      <c r="C2359" s="9" t="s">
        <v>897</v>
      </c>
      <c r="D2359" s="8">
        <v>45950</v>
      </c>
      <c r="E2359" s="7" t="s">
        <v>60</v>
      </c>
      <c r="F2359" s="7">
        <v>1</v>
      </c>
      <c r="G2359" s="7" t="s">
        <v>15</v>
      </c>
      <c r="H2359" s="7" t="s">
        <v>318</v>
      </c>
      <c r="M2359" s="7" t="s">
        <v>898</v>
      </c>
      <c r="O2359" s="7" t="s">
        <v>682</v>
      </c>
      <c r="P2359" s="7">
        <f t="shared" si="202"/>
        <v>10</v>
      </c>
      <c r="Q2359" s="7">
        <f t="shared" si="203"/>
        <v>2025</v>
      </c>
    </row>
    <row r="2360" spans="1:17" x14ac:dyDescent="0.25">
      <c r="A2360" s="7">
        <v>2558</v>
      </c>
      <c r="B2360" s="9" t="s">
        <v>897</v>
      </c>
      <c r="C2360" s="9" t="s">
        <v>897</v>
      </c>
      <c r="D2360" s="8">
        <v>45950</v>
      </c>
      <c r="E2360" s="7" t="s">
        <v>60</v>
      </c>
      <c r="F2360" s="7">
        <v>1</v>
      </c>
      <c r="G2360" s="7" t="s">
        <v>15</v>
      </c>
      <c r="H2360" s="7" t="s">
        <v>318</v>
      </c>
      <c r="M2360" s="7" t="s">
        <v>898</v>
      </c>
      <c r="O2360" s="7" t="s">
        <v>682</v>
      </c>
      <c r="P2360" s="7">
        <f t="shared" si="202"/>
        <v>10</v>
      </c>
      <c r="Q2360" s="7">
        <f t="shared" si="203"/>
        <v>2025</v>
      </c>
    </row>
    <row r="2361" spans="1:17" x14ac:dyDescent="0.25">
      <c r="A2361" s="7">
        <v>2558</v>
      </c>
      <c r="B2361" s="9" t="s">
        <v>897</v>
      </c>
      <c r="C2361" s="9" t="s">
        <v>897</v>
      </c>
      <c r="D2361" s="8">
        <v>45950</v>
      </c>
      <c r="E2361" s="7" t="s">
        <v>60</v>
      </c>
      <c r="F2361" s="7">
        <v>1</v>
      </c>
      <c r="G2361" s="7" t="s">
        <v>15</v>
      </c>
      <c r="H2361" s="7" t="s">
        <v>318</v>
      </c>
      <c r="M2361" s="7" t="s">
        <v>898</v>
      </c>
      <c r="O2361" s="7" t="s">
        <v>682</v>
      </c>
      <c r="P2361" s="7">
        <f t="shared" si="202"/>
        <v>10</v>
      </c>
      <c r="Q2361" s="7">
        <f t="shared" si="203"/>
        <v>2025</v>
      </c>
    </row>
    <row r="2362" spans="1:17" x14ac:dyDescent="0.25">
      <c r="A2362" s="7">
        <v>2558</v>
      </c>
      <c r="B2362" s="9" t="s">
        <v>897</v>
      </c>
      <c r="C2362" s="9" t="s">
        <v>897</v>
      </c>
      <c r="D2362" s="8">
        <v>45950</v>
      </c>
      <c r="E2362" s="7" t="s">
        <v>60</v>
      </c>
      <c r="F2362" s="7">
        <v>1</v>
      </c>
      <c r="G2362" s="7" t="s">
        <v>15</v>
      </c>
      <c r="H2362" s="7" t="s">
        <v>318</v>
      </c>
      <c r="M2362" s="7" t="s">
        <v>898</v>
      </c>
      <c r="O2362" s="7" t="s">
        <v>682</v>
      </c>
      <c r="P2362" s="7">
        <f t="shared" si="202"/>
        <v>10</v>
      </c>
      <c r="Q2362" s="7">
        <f t="shared" si="203"/>
        <v>2025</v>
      </c>
    </row>
    <row r="2363" spans="1:17" x14ac:dyDescent="0.25">
      <c r="A2363" s="7">
        <v>2558</v>
      </c>
      <c r="B2363" s="9" t="s">
        <v>897</v>
      </c>
      <c r="C2363" s="9" t="s">
        <v>897</v>
      </c>
      <c r="D2363" s="8">
        <v>45950</v>
      </c>
      <c r="E2363" s="7" t="s">
        <v>60</v>
      </c>
      <c r="F2363" s="7">
        <v>1</v>
      </c>
      <c r="G2363" s="7" t="s">
        <v>15</v>
      </c>
      <c r="H2363" s="7" t="s">
        <v>318</v>
      </c>
      <c r="M2363" s="7" t="s">
        <v>898</v>
      </c>
      <c r="O2363" s="7" t="s">
        <v>682</v>
      </c>
      <c r="P2363" s="7">
        <f t="shared" si="202"/>
        <v>10</v>
      </c>
      <c r="Q2363" s="7">
        <f t="shared" si="203"/>
        <v>2025</v>
      </c>
    </row>
    <row r="2364" spans="1:17" x14ac:dyDescent="0.25">
      <c r="A2364" s="7">
        <v>2558</v>
      </c>
      <c r="B2364" s="9" t="s">
        <v>897</v>
      </c>
      <c r="C2364" s="9" t="s">
        <v>897</v>
      </c>
      <c r="D2364" s="8">
        <v>45950</v>
      </c>
      <c r="E2364" s="7" t="s">
        <v>60</v>
      </c>
      <c r="F2364" s="7">
        <v>1</v>
      </c>
      <c r="G2364" s="7" t="s">
        <v>15</v>
      </c>
      <c r="H2364" s="7" t="s">
        <v>318</v>
      </c>
      <c r="M2364" s="7" t="s">
        <v>898</v>
      </c>
      <c r="O2364" s="7" t="s">
        <v>682</v>
      </c>
      <c r="P2364" s="7">
        <f t="shared" si="202"/>
        <v>10</v>
      </c>
      <c r="Q2364" s="7">
        <f t="shared" si="203"/>
        <v>2025</v>
      </c>
    </row>
    <row r="2365" spans="1:17" x14ac:dyDescent="0.25">
      <c r="A2365" s="7">
        <v>2558</v>
      </c>
      <c r="B2365" s="9" t="s">
        <v>897</v>
      </c>
      <c r="C2365" s="9" t="s">
        <v>897</v>
      </c>
      <c r="D2365" s="8">
        <v>45950</v>
      </c>
      <c r="E2365" s="7" t="s">
        <v>60</v>
      </c>
      <c r="F2365" s="7">
        <v>1</v>
      </c>
      <c r="G2365" s="7" t="s">
        <v>15</v>
      </c>
      <c r="H2365" s="7" t="s">
        <v>318</v>
      </c>
      <c r="M2365" s="7" t="s">
        <v>898</v>
      </c>
      <c r="O2365" s="7" t="s">
        <v>682</v>
      </c>
      <c r="P2365" s="7">
        <f t="shared" si="202"/>
        <v>10</v>
      </c>
      <c r="Q2365" s="7">
        <f t="shared" si="203"/>
        <v>2025</v>
      </c>
    </row>
    <row r="2366" spans="1:17" x14ac:dyDescent="0.25">
      <c r="A2366" s="7">
        <v>2558</v>
      </c>
      <c r="B2366" s="9" t="s">
        <v>897</v>
      </c>
      <c r="C2366" s="9" t="s">
        <v>897</v>
      </c>
      <c r="D2366" s="8">
        <v>45950</v>
      </c>
      <c r="E2366" s="7" t="s">
        <v>60</v>
      </c>
      <c r="F2366" s="7">
        <v>1</v>
      </c>
      <c r="G2366" s="7" t="s">
        <v>15</v>
      </c>
      <c r="H2366" s="7" t="s">
        <v>318</v>
      </c>
      <c r="M2366" s="7" t="s">
        <v>898</v>
      </c>
      <c r="O2366" s="7" t="s">
        <v>682</v>
      </c>
      <c r="P2366" s="7">
        <f t="shared" si="202"/>
        <v>10</v>
      </c>
      <c r="Q2366" s="7">
        <f t="shared" si="203"/>
        <v>2025</v>
      </c>
    </row>
    <row r="2367" spans="1:17" x14ac:dyDescent="0.25">
      <c r="A2367" s="7">
        <v>2558</v>
      </c>
      <c r="B2367" s="9" t="s">
        <v>897</v>
      </c>
      <c r="C2367" s="9" t="s">
        <v>897</v>
      </c>
      <c r="D2367" s="8">
        <v>45950</v>
      </c>
      <c r="E2367" s="7" t="s">
        <v>60</v>
      </c>
      <c r="F2367" s="7">
        <v>1</v>
      </c>
      <c r="G2367" s="7" t="s">
        <v>15</v>
      </c>
      <c r="H2367" s="7" t="s">
        <v>318</v>
      </c>
      <c r="M2367" s="7" t="s">
        <v>898</v>
      </c>
      <c r="O2367" s="7" t="s">
        <v>682</v>
      </c>
      <c r="P2367" s="7">
        <f t="shared" si="202"/>
        <v>10</v>
      </c>
      <c r="Q2367" s="7">
        <f t="shared" si="203"/>
        <v>2025</v>
      </c>
    </row>
    <row r="2368" spans="1:17" x14ac:dyDescent="0.25">
      <c r="A2368" s="7">
        <v>2558</v>
      </c>
      <c r="B2368" s="9" t="s">
        <v>897</v>
      </c>
      <c r="C2368" s="9" t="s">
        <v>897</v>
      </c>
      <c r="D2368" s="8">
        <v>45950</v>
      </c>
      <c r="E2368" s="7" t="s">
        <v>60</v>
      </c>
      <c r="F2368" s="7">
        <v>1</v>
      </c>
      <c r="G2368" s="7" t="s">
        <v>15</v>
      </c>
      <c r="H2368" s="7" t="s">
        <v>318</v>
      </c>
      <c r="M2368" s="7" t="s">
        <v>898</v>
      </c>
      <c r="O2368" s="7" t="s">
        <v>682</v>
      </c>
      <c r="P2368" s="7">
        <f t="shared" si="202"/>
        <v>10</v>
      </c>
      <c r="Q2368" s="7">
        <f t="shared" si="203"/>
        <v>2025</v>
      </c>
    </row>
    <row r="2369" spans="1:17" x14ac:dyDescent="0.25">
      <c r="A2369" s="7">
        <v>2558</v>
      </c>
      <c r="B2369" s="9" t="s">
        <v>897</v>
      </c>
      <c r="C2369" s="9" t="s">
        <v>897</v>
      </c>
      <c r="D2369" s="8">
        <v>45950</v>
      </c>
      <c r="E2369" s="7" t="s">
        <v>60</v>
      </c>
      <c r="F2369" s="7">
        <v>1</v>
      </c>
      <c r="G2369" s="7" t="s">
        <v>15</v>
      </c>
      <c r="H2369" s="7" t="s">
        <v>318</v>
      </c>
      <c r="M2369" s="7" t="s">
        <v>898</v>
      </c>
      <c r="O2369" s="7" t="s">
        <v>682</v>
      </c>
      <c r="P2369" s="7">
        <f t="shared" si="202"/>
        <v>10</v>
      </c>
      <c r="Q2369" s="7">
        <f t="shared" si="203"/>
        <v>2025</v>
      </c>
    </row>
    <row r="2370" spans="1:17" x14ac:dyDescent="0.25">
      <c r="A2370" s="7">
        <v>2558</v>
      </c>
      <c r="B2370" s="9" t="s">
        <v>897</v>
      </c>
      <c r="C2370" s="9" t="s">
        <v>897</v>
      </c>
      <c r="D2370" s="8">
        <v>45950</v>
      </c>
      <c r="E2370" s="7" t="s">
        <v>60</v>
      </c>
      <c r="F2370" s="7">
        <v>1</v>
      </c>
      <c r="G2370" s="7" t="s">
        <v>15</v>
      </c>
      <c r="H2370" s="7" t="s">
        <v>318</v>
      </c>
      <c r="M2370" s="7" t="s">
        <v>898</v>
      </c>
      <c r="O2370" s="7" t="s">
        <v>682</v>
      </c>
      <c r="P2370" s="7">
        <f t="shared" si="202"/>
        <v>10</v>
      </c>
      <c r="Q2370" s="7">
        <f t="shared" si="203"/>
        <v>2025</v>
      </c>
    </row>
    <row r="2371" spans="1:17" x14ac:dyDescent="0.25">
      <c r="A2371" s="7">
        <v>2558</v>
      </c>
      <c r="B2371" s="9" t="s">
        <v>897</v>
      </c>
      <c r="C2371" s="9" t="s">
        <v>897</v>
      </c>
      <c r="D2371" s="8">
        <v>45950</v>
      </c>
      <c r="E2371" s="7" t="s">
        <v>60</v>
      </c>
      <c r="F2371" s="7">
        <v>1</v>
      </c>
      <c r="G2371" s="7" t="s">
        <v>15</v>
      </c>
      <c r="H2371" s="7" t="s">
        <v>318</v>
      </c>
      <c r="M2371" s="7" t="s">
        <v>898</v>
      </c>
      <c r="O2371" s="7" t="s">
        <v>682</v>
      </c>
      <c r="P2371" s="7">
        <f t="shared" si="202"/>
        <v>10</v>
      </c>
      <c r="Q2371" s="7">
        <f t="shared" si="203"/>
        <v>2025</v>
      </c>
    </row>
    <row r="2372" spans="1:17" x14ac:dyDescent="0.25">
      <c r="A2372" s="7">
        <v>2558</v>
      </c>
      <c r="B2372" s="9" t="s">
        <v>897</v>
      </c>
      <c r="C2372" s="9" t="s">
        <v>897</v>
      </c>
      <c r="D2372" s="8">
        <v>45950</v>
      </c>
      <c r="E2372" s="7" t="s">
        <v>60</v>
      </c>
      <c r="F2372" s="7">
        <v>1</v>
      </c>
      <c r="G2372" s="7" t="s">
        <v>15</v>
      </c>
      <c r="H2372" s="7" t="s">
        <v>318</v>
      </c>
      <c r="M2372" s="7" t="s">
        <v>898</v>
      </c>
      <c r="O2372" s="7" t="s">
        <v>682</v>
      </c>
      <c r="P2372" s="7">
        <f t="shared" si="202"/>
        <v>10</v>
      </c>
      <c r="Q2372" s="7">
        <f t="shared" si="203"/>
        <v>2025</v>
      </c>
    </row>
    <row r="2373" spans="1:17" x14ac:dyDescent="0.25">
      <c r="A2373" s="7">
        <v>2558</v>
      </c>
      <c r="B2373" s="9" t="s">
        <v>897</v>
      </c>
      <c r="C2373" s="9" t="s">
        <v>897</v>
      </c>
      <c r="D2373" s="8">
        <v>45950</v>
      </c>
      <c r="E2373" s="7" t="s">
        <v>60</v>
      </c>
      <c r="F2373" s="7">
        <v>1</v>
      </c>
      <c r="G2373" s="7" t="s">
        <v>15</v>
      </c>
      <c r="H2373" s="7" t="s">
        <v>318</v>
      </c>
      <c r="M2373" s="7" t="s">
        <v>898</v>
      </c>
      <c r="O2373" s="7" t="s">
        <v>682</v>
      </c>
      <c r="P2373" s="7">
        <f t="shared" si="202"/>
        <v>10</v>
      </c>
      <c r="Q2373" s="7">
        <f t="shared" si="203"/>
        <v>2025</v>
      </c>
    </row>
    <row r="2374" spans="1:17" x14ac:dyDescent="0.25">
      <c r="A2374" s="7">
        <v>2558</v>
      </c>
      <c r="B2374" s="9" t="s">
        <v>897</v>
      </c>
      <c r="C2374" s="9" t="s">
        <v>897</v>
      </c>
      <c r="D2374" s="8">
        <v>45950</v>
      </c>
      <c r="E2374" s="7" t="s">
        <v>60</v>
      </c>
      <c r="F2374" s="7">
        <v>1</v>
      </c>
      <c r="G2374" s="7" t="s">
        <v>15</v>
      </c>
      <c r="H2374" s="7" t="s">
        <v>318</v>
      </c>
      <c r="M2374" s="7" t="s">
        <v>898</v>
      </c>
      <c r="O2374" s="7" t="s">
        <v>682</v>
      </c>
      <c r="P2374" s="7">
        <f t="shared" si="202"/>
        <v>10</v>
      </c>
      <c r="Q2374" s="7">
        <f t="shared" si="203"/>
        <v>2025</v>
      </c>
    </row>
    <row r="2375" spans="1:17" x14ac:dyDescent="0.25">
      <c r="A2375" s="7">
        <v>2558</v>
      </c>
      <c r="B2375" s="9" t="s">
        <v>897</v>
      </c>
      <c r="C2375" s="9" t="s">
        <v>897</v>
      </c>
      <c r="D2375" s="8">
        <v>45950</v>
      </c>
      <c r="E2375" s="7" t="s">
        <v>60</v>
      </c>
      <c r="F2375" s="7">
        <v>1</v>
      </c>
      <c r="G2375" s="7" t="s">
        <v>15</v>
      </c>
      <c r="H2375" s="7" t="s">
        <v>318</v>
      </c>
      <c r="M2375" s="7" t="s">
        <v>898</v>
      </c>
      <c r="O2375" s="7" t="s">
        <v>682</v>
      </c>
      <c r="P2375" s="7">
        <f t="shared" si="202"/>
        <v>10</v>
      </c>
      <c r="Q2375" s="7">
        <f t="shared" si="203"/>
        <v>2025</v>
      </c>
    </row>
    <row r="2376" spans="1:17" x14ac:dyDescent="0.25">
      <c r="A2376" s="7">
        <v>2558</v>
      </c>
      <c r="B2376" s="9" t="s">
        <v>897</v>
      </c>
      <c r="C2376" s="9" t="s">
        <v>897</v>
      </c>
      <c r="D2376" s="8">
        <v>45950</v>
      </c>
      <c r="E2376" s="7" t="s">
        <v>60</v>
      </c>
      <c r="F2376" s="7">
        <v>1</v>
      </c>
      <c r="G2376" s="7" t="s">
        <v>15</v>
      </c>
      <c r="H2376" s="7" t="s">
        <v>318</v>
      </c>
      <c r="M2376" s="7" t="s">
        <v>898</v>
      </c>
      <c r="O2376" s="7" t="s">
        <v>682</v>
      </c>
      <c r="P2376" s="7">
        <f t="shared" si="202"/>
        <v>10</v>
      </c>
      <c r="Q2376" s="7">
        <f t="shared" si="203"/>
        <v>2025</v>
      </c>
    </row>
    <row r="2377" spans="1:17" x14ac:dyDescent="0.25">
      <c r="A2377" s="7">
        <v>2558</v>
      </c>
      <c r="B2377" s="9" t="s">
        <v>897</v>
      </c>
      <c r="C2377" s="9" t="s">
        <v>897</v>
      </c>
      <c r="D2377" s="8">
        <v>45950</v>
      </c>
      <c r="E2377" s="7" t="s">
        <v>60</v>
      </c>
      <c r="F2377" s="7">
        <v>1</v>
      </c>
      <c r="G2377" s="7" t="s">
        <v>15</v>
      </c>
      <c r="H2377" s="7" t="s">
        <v>318</v>
      </c>
      <c r="M2377" s="7" t="s">
        <v>898</v>
      </c>
      <c r="O2377" s="7" t="s">
        <v>682</v>
      </c>
      <c r="P2377" s="7">
        <f t="shared" ref="P2377:P2432" si="204">MONTH(D2377)</f>
        <v>10</v>
      </c>
      <c r="Q2377" s="7">
        <f t="shared" si="203"/>
        <v>2025</v>
      </c>
    </row>
    <row r="2378" spans="1:17" x14ac:dyDescent="0.25">
      <c r="A2378" s="7">
        <v>2558</v>
      </c>
      <c r="B2378" s="9" t="s">
        <v>897</v>
      </c>
      <c r="C2378" s="9" t="s">
        <v>897</v>
      </c>
      <c r="D2378" s="8">
        <v>45950</v>
      </c>
      <c r="E2378" s="7" t="s">
        <v>60</v>
      </c>
      <c r="F2378" s="7">
        <v>1</v>
      </c>
      <c r="G2378" s="7" t="s">
        <v>15</v>
      </c>
      <c r="H2378" s="7" t="s">
        <v>318</v>
      </c>
      <c r="M2378" s="7" t="s">
        <v>898</v>
      </c>
      <c r="O2378" s="7" t="s">
        <v>682</v>
      </c>
      <c r="P2378" s="7">
        <f t="shared" si="204"/>
        <v>10</v>
      </c>
      <c r="Q2378" s="7">
        <f t="shared" si="203"/>
        <v>2025</v>
      </c>
    </row>
    <row r="2379" spans="1:17" x14ac:dyDescent="0.25">
      <c r="A2379" s="7">
        <v>2558</v>
      </c>
      <c r="B2379" s="9" t="s">
        <v>897</v>
      </c>
      <c r="C2379" s="9" t="s">
        <v>897</v>
      </c>
      <c r="D2379" s="8">
        <v>45950</v>
      </c>
      <c r="E2379" s="7" t="s">
        <v>60</v>
      </c>
      <c r="F2379" s="7">
        <v>1</v>
      </c>
      <c r="G2379" s="7" t="s">
        <v>15</v>
      </c>
      <c r="H2379" s="7" t="s">
        <v>318</v>
      </c>
      <c r="M2379" s="7" t="s">
        <v>898</v>
      </c>
      <c r="O2379" s="7" t="s">
        <v>682</v>
      </c>
      <c r="P2379" s="7">
        <f t="shared" si="204"/>
        <v>10</v>
      </c>
      <c r="Q2379" s="7">
        <f t="shared" si="203"/>
        <v>2025</v>
      </c>
    </row>
    <row r="2380" spans="1:17" x14ac:dyDescent="0.25">
      <c r="A2380" s="7">
        <v>2558</v>
      </c>
      <c r="B2380" s="9" t="s">
        <v>897</v>
      </c>
      <c r="C2380" s="9" t="s">
        <v>897</v>
      </c>
      <c r="D2380" s="8">
        <v>45950</v>
      </c>
      <c r="E2380" s="7" t="s">
        <v>60</v>
      </c>
      <c r="F2380" s="7">
        <v>1</v>
      </c>
      <c r="G2380" s="7" t="s">
        <v>15</v>
      </c>
      <c r="H2380" s="7" t="s">
        <v>318</v>
      </c>
      <c r="M2380" s="7" t="s">
        <v>898</v>
      </c>
      <c r="O2380" s="7" t="s">
        <v>682</v>
      </c>
      <c r="P2380" s="7">
        <f t="shared" si="204"/>
        <v>10</v>
      </c>
      <c r="Q2380" s="7">
        <f t="shared" si="203"/>
        <v>2025</v>
      </c>
    </row>
    <row r="2381" spans="1:17" x14ac:dyDescent="0.25">
      <c r="A2381" s="7">
        <v>2558</v>
      </c>
      <c r="B2381" s="9" t="s">
        <v>897</v>
      </c>
      <c r="C2381" s="9" t="s">
        <v>897</v>
      </c>
      <c r="D2381" s="8">
        <v>45950</v>
      </c>
      <c r="E2381" s="7" t="s">
        <v>60</v>
      </c>
      <c r="F2381" s="7">
        <v>1</v>
      </c>
      <c r="G2381" s="7" t="s">
        <v>15</v>
      </c>
      <c r="H2381" s="7" t="s">
        <v>318</v>
      </c>
      <c r="M2381" s="7" t="s">
        <v>898</v>
      </c>
      <c r="O2381" s="7" t="s">
        <v>682</v>
      </c>
      <c r="P2381" s="7">
        <f t="shared" si="204"/>
        <v>10</v>
      </c>
      <c r="Q2381" s="7">
        <f t="shared" si="203"/>
        <v>2025</v>
      </c>
    </row>
    <row r="2382" spans="1:17" x14ac:dyDescent="0.25">
      <c r="A2382" s="7">
        <v>2558</v>
      </c>
      <c r="B2382" s="9" t="s">
        <v>897</v>
      </c>
      <c r="C2382" s="9" t="s">
        <v>897</v>
      </c>
      <c r="D2382" s="8">
        <v>45950</v>
      </c>
      <c r="E2382" s="7" t="s">
        <v>60</v>
      </c>
      <c r="F2382" s="7">
        <v>1</v>
      </c>
      <c r="G2382" s="7" t="s">
        <v>15</v>
      </c>
      <c r="H2382" s="7" t="s">
        <v>318</v>
      </c>
      <c r="M2382" s="7" t="s">
        <v>898</v>
      </c>
      <c r="O2382" s="7" t="s">
        <v>682</v>
      </c>
      <c r="P2382" s="7">
        <f t="shared" si="204"/>
        <v>10</v>
      </c>
      <c r="Q2382" s="7">
        <f t="shared" si="203"/>
        <v>2025</v>
      </c>
    </row>
    <row r="2383" spans="1:17" x14ac:dyDescent="0.25">
      <c r="A2383" s="7">
        <v>2558</v>
      </c>
      <c r="B2383" s="9" t="s">
        <v>897</v>
      </c>
      <c r="C2383" s="9" t="s">
        <v>897</v>
      </c>
      <c r="D2383" s="8">
        <v>45950</v>
      </c>
      <c r="E2383" s="7" t="s">
        <v>60</v>
      </c>
      <c r="F2383" s="7">
        <v>1</v>
      </c>
      <c r="G2383" s="7" t="s">
        <v>15</v>
      </c>
      <c r="H2383" s="7" t="s">
        <v>318</v>
      </c>
      <c r="M2383" s="7" t="s">
        <v>898</v>
      </c>
      <c r="O2383" s="7" t="s">
        <v>682</v>
      </c>
      <c r="P2383" s="7">
        <f t="shared" si="204"/>
        <v>10</v>
      </c>
      <c r="Q2383" s="7">
        <f t="shared" si="203"/>
        <v>2025</v>
      </c>
    </row>
    <row r="2384" spans="1:17" x14ac:dyDescent="0.25">
      <c r="A2384" s="7">
        <v>2558</v>
      </c>
      <c r="B2384" s="9" t="s">
        <v>897</v>
      </c>
      <c r="C2384" s="9" t="s">
        <v>897</v>
      </c>
      <c r="D2384" s="8">
        <v>45950</v>
      </c>
      <c r="E2384" s="7" t="s">
        <v>60</v>
      </c>
      <c r="F2384" s="7">
        <v>1</v>
      </c>
      <c r="G2384" s="7" t="s">
        <v>15</v>
      </c>
      <c r="H2384" s="7" t="s">
        <v>318</v>
      </c>
      <c r="M2384" s="7" t="s">
        <v>898</v>
      </c>
      <c r="O2384" s="7" t="s">
        <v>682</v>
      </c>
      <c r="P2384" s="7">
        <f t="shared" si="204"/>
        <v>10</v>
      </c>
      <c r="Q2384" s="7">
        <f t="shared" si="203"/>
        <v>2025</v>
      </c>
    </row>
    <row r="2385" spans="1:17" x14ac:dyDescent="0.25">
      <c r="A2385" s="7">
        <v>2558</v>
      </c>
      <c r="B2385" s="9" t="s">
        <v>897</v>
      </c>
      <c r="C2385" s="9" t="s">
        <v>897</v>
      </c>
      <c r="D2385" s="8">
        <v>45950</v>
      </c>
      <c r="E2385" s="7" t="s">
        <v>60</v>
      </c>
      <c r="F2385" s="7">
        <v>1</v>
      </c>
      <c r="G2385" s="7" t="s">
        <v>15</v>
      </c>
      <c r="H2385" s="7" t="s">
        <v>318</v>
      </c>
      <c r="M2385" s="7" t="s">
        <v>898</v>
      </c>
      <c r="O2385" s="7" t="s">
        <v>682</v>
      </c>
      <c r="P2385" s="7">
        <f t="shared" si="204"/>
        <v>10</v>
      </c>
      <c r="Q2385" s="7">
        <f t="shared" si="203"/>
        <v>2025</v>
      </c>
    </row>
    <row r="2386" spans="1:17" x14ac:dyDescent="0.25">
      <c r="A2386" s="7">
        <v>2558</v>
      </c>
      <c r="B2386" s="9" t="s">
        <v>897</v>
      </c>
      <c r="C2386" s="9" t="s">
        <v>897</v>
      </c>
      <c r="D2386" s="8">
        <v>45950</v>
      </c>
      <c r="E2386" s="7" t="s">
        <v>60</v>
      </c>
      <c r="F2386" s="7">
        <v>1</v>
      </c>
      <c r="G2386" s="7" t="s">
        <v>15</v>
      </c>
      <c r="H2386" s="7" t="s">
        <v>318</v>
      </c>
      <c r="M2386" s="7" t="s">
        <v>898</v>
      </c>
      <c r="O2386" s="7" t="s">
        <v>682</v>
      </c>
      <c r="P2386" s="7">
        <f t="shared" si="204"/>
        <v>10</v>
      </c>
      <c r="Q2386" s="7">
        <f t="shared" si="203"/>
        <v>2025</v>
      </c>
    </row>
    <row r="2387" spans="1:17" x14ac:dyDescent="0.25">
      <c r="A2387" s="7">
        <v>2558</v>
      </c>
      <c r="B2387" s="9" t="s">
        <v>897</v>
      </c>
      <c r="C2387" s="9" t="s">
        <v>897</v>
      </c>
      <c r="D2387" s="8">
        <v>45950</v>
      </c>
      <c r="E2387" s="7" t="s">
        <v>60</v>
      </c>
      <c r="F2387" s="7">
        <v>1</v>
      </c>
      <c r="G2387" s="7" t="s">
        <v>15</v>
      </c>
      <c r="H2387" s="7" t="s">
        <v>318</v>
      </c>
      <c r="M2387" s="7" t="s">
        <v>898</v>
      </c>
      <c r="O2387" s="7" t="s">
        <v>682</v>
      </c>
      <c r="P2387" s="7">
        <f t="shared" si="204"/>
        <v>10</v>
      </c>
      <c r="Q2387" s="7">
        <f t="shared" si="203"/>
        <v>2025</v>
      </c>
    </row>
    <row r="2388" spans="1:17" x14ac:dyDescent="0.25">
      <c r="A2388" s="7">
        <v>2558</v>
      </c>
      <c r="B2388" s="9" t="s">
        <v>897</v>
      </c>
      <c r="C2388" s="9" t="s">
        <v>897</v>
      </c>
      <c r="D2388" s="8">
        <v>45950</v>
      </c>
      <c r="E2388" s="7" t="s">
        <v>60</v>
      </c>
      <c r="F2388" s="7">
        <v>1</v>
      </c>
      <c r="G2388" s="7" t="s">
        <v>15</v>
      </c>
      <c r="H2388" s="7" t="s">
        <v>318</v>
      </c>
      <c r="M2388" s="7" t="s">
        <v>898</v>
      </c>
      <c r="O2388" s="7" t="s">
        <v>682</v>
      </c>
      <c r="P2388" s="7">
        <f t="shared" si="204"/>
        <v>10</v>
      </c>
      <c r="Q2388" s="7">
        <f t="shared" si="203"/>
        <v>2025</v>
      </c>
    </row>
    <row r="2389" spans="1:17" x14ac:dyDescent="0.25">
      <c r="A2389" s="7">
        <v>2558</v>
      </c>
      <c r="B2389" s="9" t="s">
        <v>897</v>
      </c>
      <c r="C2389" s="9" t="s">
        <v>897</v>
      </c>
      <c r="D2389" s="8">
        <v>45950</v>
      </c>
      <c r="E2389" s="7" t="s">
        <v>60</v>
      </c>
      <c r="F2389" s="7">
        <v>1</v>
      </c>
      <c r="G2389" s="7" t="s">
        <v>15</v>
      </c>
      <c r="H2389" s="7" t="s">
        <v>318</v>
      </c>
      <c r="M2389" s="7" t="s">
        <v>898</v>
      </c>
      <c r="O2389" s="7" t="s">
        <v>682</v>
      </c>
      <c r="P2389" s="7">
        <f t="shared" si="204"/>
        <v>10</v>
      </c>
      <c r="Q2389" s="7">
        <f t="shared" si="203"/>
        <v>2025</v>
      </c>
    </row>
    <row r="2390" spans="1:17" x14ac:dyDescent="0.25">
      <c r="A2390" s="7">
        <v>2558</v>
      </c>
      <c r="B2390" s="9" t="s">
        <v>897</v>
      </c>
      <c r="C2390" s="9" t="s">
        <v>897</v>
      </c>
      <c r="D2390" s="8">
        <v>45950</v>
      </c>
      <c r="E2390" s="7" t="s">
        <v>60</v>
      </c>
      <c r="F2390" s="7">
        <v>1</v>
      </c>
      <c r="G2390" s="7" t="s">
        <v>15</v>
      </c>
      <c r="H2390" s="7" t="s">
        <v>318</v>
      </c>
      <c r="M2390" s="7" t="s">
        <v>898</v>
      </c>
      <c r="O2390" s="7" t="s">
        <v>682</v>
      </c>
      <c r="P2390" s="7">
        <f t="shared" si="204"/>
        <v>10</v>
      </c>
      <c r="Q2390" s="7">
        <f t="shared" si="203"/>
        <v>2025</v>
      </c>
    </row>
    <row r="2391" spans="1:17" x14ac:dyDescent="0.25">
      <c r="A2391" s="7">
        <v>2558</v>
      </c>
      <c r="B2391" s="9" t="s">
        <v>897</v>
      </c>
      <c r="C2391" s="9" t="s">
        <v>897</v>
      </c>
      <c r="D2391" s="8">
        <v>45950</v>
      </c>
      <c r="E2391" s="7" t="s">
        <v>60</v>
      </c>
      <c r="F2391" s="7">
        <v>1</v>
      </c>
      <c r="G2391" s="7" t="s">
        <v>15</v>
      </c>
      <c r="H2391" s="7" t="s">
        <v>318</v>
      </c>
      <c r="M2391" s="7" t="s">
        <v>898</v>
      </c>
      <c r="O2391" s="7" t="s">
        <v>682</v>
      </c>
      <c r="P2391" s="7">
        <f t="shared" si="204"/>
        <v>10</v>
      </c>
      <c r="Q2391" s="7">
        <f t="shared" si="203"/>
        <v>2025</v>
      </c>
    </row>
    <row r="2392" spans="1:17" x14ac:dyDescent="0.25">
      <c r="A2392" s="7">
        <v>2558</v>
      </c>
      <c r="B2392" s="9" t="s">
        <v>897</v>
      </c>
      <c r="C2392" s="9" t="s">
        <v>897</v>
      </c>
      <c r="D2392" s="8">
        <v>45950</v>
      </c>
      <c r="E2392" s="7" t="s">
        <v>60</v>
      </c>
      <c r="F2392" s="7">
        <v>1</v>
      </c>
      <c r="G2392" s="7" t="s">
        <v>15</v>
      </c>
      <c r="H2392" s="7" t="s">
        <v>318</v>
      </c>
      <c r="M2392" s="7" t="s">
        <v>898</v>
      </c>
      <c r="O2392" s="7" t="s">
        <v>682</v>
      </c>
      <c r="P2392" s="7">
        <f t="shared" si="204"/>
        <v>10</v>
      </c>
      <c r="Q2392" s="7">
        <f t="shared" si="203"/>
        <v>2025</v>
      </c>
    </row>
    <row r="2393" spans="1:17" x14ac:dyDescent="0.25">
      <c r="A2393" s="7">
        <v>2558</v>
      </c>
      <c r="B2393" s="9" t="s">
        <v>897</v>
      </c>
      <c r="C2393" s="9" t="s">
        <v>897</v>
      </c>
      <c r="D2393" s="8">
        <v>45950</v>
      </c>
      <c r="E2393" s="7" t="s">
        <v>60</v>
      </c>
      <c r="F2393" s="7">
        <v>1</v>
      </c>
      <c r="G2393" s="7" t="s">
        <v>15</v>
      </c>
      <c r="H2393" s="7" t="s">
        <v>318</v>
      </c>
      <c r="M2393" s="7" t="s">
        <v>898</v>
      </c>
      <c r="O2393" s="7" t="s">
        <v>682</v>
      </c>
      <c r="P2393" s="7">
        <f t="shared" si="204"/>
        <v>10</v>
      </c>
      <c r="Q2393" s="7">
        <f t="shared" si="203"/>
        <v>2025</v>
      </c>
    </row>
    <row r="2394" spans="1:17" x14ac:dyDescent="0.25">
      <c r="A2394" s="7">
        <v>2558</v>
      </c>
      <c r="B2394" s="9" t="s">
        <v>897</v>
      </c>
      <c r="C2394" s="9" t="s">
        <v>897</v>
      </c>
      <c r="D2394" s="8">
        <v>45950</v>
      </c>
      <c r="E2394" s="7" t="s">
        <v>60</v>
      </c>
      <c r="F2394" s="7">
        <v>1</v>
      </c>
      <c r="G2394" s="7" t="s">
        <v>15</v>
      </c>
      <c r="H2394" s="7" t="s">
        <v>318</v>
      </c>
      <c r="M2394" s="7" t="s">
        <v>898</v>
      </c>
      <c r="O2394" s="7" t="s">
        <v>682</v>
      </c>
      <c r="P2394" s="7">
        <f t="shared" si="204"/>
        <v>10</v>
      </c>
      <c r="Q2394" s="7">
        <f t="shared" si="203"/>
        <v>2025</v>
      </c>
    </row>
    <row r="2395" spans="1:17" x14ac:dyDescent="0.25">
      <c r="A2395" s="7">
        <v>2558</v>
      </c>
      <c r="B2395" s="9" t="s">
        <v>897</v>
      </c>
      <c r="C2395" s="9" t="s">
        <v>897</v>
      </c>
      <c r="D2395" s="8">
        <v>45950</v>
      </c>
      <c r="E2395" s="7" t="s">
        <v>60</v>
      </c>
      <c r="F2395" s="7">
        <v>1</v>
      </c>
      <c r="G2395" s="7" t="s">
        <v>15</v>
      </c>
      <c r="H2395" s="7" t="s">
        <v>318</v>
      </c>
      <c r="M2395" s="7" t="s">
        <v>898</v>
      </c>
      <c r="O2395" s="7" t="s">
        <v>682</v>
      </c>
      <c r="P2395" s="7">
        <f t="shared" si="204"/>
        <v>10</v>
      </c>
      <c r="Q2395" s="7">
        <f t="shared" si="203"/>
        <v>2025</v>
      </c>
    </row>
    <row r="2396" spans="1:17" x14ac:dyDescent="0.25">
      <c r="A2396" s="7">
        <v>2558</v>
      </c>
      <c r="B2396" s="9" t="s">
        <v>897</v>
      </c>
      <c r="C2396" s="9" t="s">
        <v>897</v>
      </c>
      <c r="D2396" s="8">
        <v>45950</v>
      </c>
      <c r="E2396" s="7" t="s">
        <v>60</v>
      </c>
      <c r="F2396" s="7">
        <v>1</v>
      </c>
      <c r="G2396" s="7" t="s">
        <v>15</v>
      </c>
      <c r="H2396" s="7" t="s">
        <v>318</v>
      </c>
      <c r="M2396" s="7" t="s">
        <v>898</v>
      </c>
      <c r="O2396" s="7" t="s">
        <v>682</v>
      </c>
      <c r="P2396" s="7">
        <f t="shared" si="204"/>
        <v>10</v>
      </c>
      <c r="Q2396" s="7">
        <f t="shared" si="203"/>
        <v>2025</v>
      </c>
    </row>
    <row r="2397" spans="1:17" x14ac:dyDescent="0.25">
      <c r="A2397" s="7">
        <v>2558</v>
      </c>
      <c r="B2397" s="9" t="s">
        <v>897</v>
      </c>
      <c r="C2397" s="9" t="s">
        <v>897</v>
      </c>
      <c r="D2397" s="8">
        <v>45950</v>
      </c>
      <c r="E2397" s="7" t="s">
        <v>60</v>
      </c>
      <c r="F2397" s="7">
        <v>1</v>
      </c>
      <c r="G2397" s="7" t="s">
        <v>15</v>
      </c>
      <c r="H2397" s="7" t="s">
        <v>318</v>
      </c>
      <c r="M2397" s="7" t="s">
        <v>898</v>
      </c>
      <c r="O2397" s="7" t="s">
        <v>682</v>
      </c>
      <c r="P2397" s="7">
        <f t="shared" si="204"/>
        <v>10</v>
      </c>
      <c r="Q2397" s="7">
        <f t="shared" si="203"/>
        <v>2025</v>
      </c>
    </row>
    <row r="2398" spans="1:17" x14ac:dyDescent="0.25">
      <c r="A2398" s="7">
        <v>2558</v>
      </c>
      <c r="B2398" s="9" t="s">
        <v>897</v>
      </c>
      <c r="C2398" s="9" t="s">
        <v>897</v>
      </c>
      <c r="D2398" s="8">
        <v>45950</v>
      </c>
      <c r="E2398" s="7" t="s">
        <v>60</v>
      </c>
      <c r="F2398" s="7">
        <v>1</v>
      </c>
      <c r="G2398" s="7" t="s">
        <v>15</v>
      </c>
      <c r="H2398" s="7" t="s">
        <v>318</v>
      </c>
      <c r="M2398" s="7" t="s">
        <v>898</v>
      </c>
      <c r="O2398" s="7" t="s">
        <v>682</v>
      </c>
      <c r="P2398" s="7">
        <f t="shared" si="204"/>
        <v>10</v>
      </c>
      <c r="Q2398" s="7">
        <f t="shared" si="203"/>
        <v>2025</v>
      </c>
    </row>
    <row r="2399" spans="1:17" x14ac:dyDescent="0.25">
      <c r="A2399" s="7">
        <v>2558</v>
      </c>
      <c r="B2399" s="9" t="s">
        <v>897</v>
      </c>
      <c r="C2399" s="9" t="s">
        <v>897</v>
      </c>
      <c r="D2399" s="8">
        <v>45950</v>
      </c>
      <c r="E2399" s="7" t="s">
        <v>60</v>
      </c>
      <c r="F2399" s="7">
        <v>1</v>
      </c>
      <c r="G2399" s="7" t="s">
        <v>15</v>
      </c>
      <c r="H2399" s="7" t="s">
        <v>318</v>
      </c>
      <c r="M2399" s="7" t="s">
        <v>898</v>
      </c>
      <c r="O2399" s="7" t="s">
        <v>682</v>
      </c>
      <c r="P2399" s="7">
        <f t="shared" si="204"/>
        <v>10</v>
      </c>
      <c r="Q2399" s="7">
        <f t="shared" si="203"/>
        <v>2025</v>
      </c>
    </row>
    <row r="2400" spans="1:17" x14ac:dyDescent="0.25">
      <c r="A2400" s="7">
        <v>2558</v>
      </c>
      <c r="B2400" s="9" t="s">
        <v>897</v>
      </c>
      <c r="C2400" s="9" t="s">
        <v>897</v>
      </c>
      <c r="D2400" s="8">
        <v>45950</v>
      </c>
      <c r="E2400" s="7" t="s">
        <v>60</v>
      </c>
      <c r="F2400" s="7">
        <v>1</v>
      </c>
      <c r="G2400" s="7" t="s">
        <v>15</v>
      </c>
      <c r="H2400" s="7" t="s">
        <v>318</v>
      </c>
      <c r="M2400" s="7" t="s">
        <v>898</v>
      </c>
      <c r="O2400" s="7" t="s">
        <v>682</v>
      </c>
      <c r="P2400" s="7">
        <f t="shared" si="204"/>
        <v>10</v>
      </c>
      <c r="Q2400" s="7">
        <f t="shared" si="203"/>
        <v>2025</v>
      </c>
    </row>
    <row r="2401" spans="1:17" x14ac:dyDescent="0.25">
      <c r="A2401" s="7">
        <v>2558</v>
      </c>
      <c r="B2401" s="9" t="s">
        <v>897</v>
      </c>
      <c r="C2401" s="9" t="s">
        <v>897</v>
      </c>
      <c r="D2401" s="8">
        <v>45950</v>
      </c>
      <c r="E2401" s="7" t="s">
        <v>60</v>
      </c>
      <c r="F2401" s="7">
        <v>1</v>
      </c>
      <c r="G2401" s="7" t="s">
        <v>15</v>
      </c>
      <c r="H2401" s="7" t="s">
        <v>318</v>
      </c>
      <c r="M2401" s="7" t="s">
        <v>898</v>
      </c>
      <c r="O2401" s="7" t="s">
        <v>682</v>
      </c>
      <c r="P2401" s="7">
        <f t="shared" si="204"/>
        <v>10</v>
      </c>
      <c r="Q2401" s="7">
        <f t="shared" si="203"/>
        <v>2025</v>
      </c>
    </row>
    <row r="2402" spans="1:17" x14ac:dyDescent="0.25">
      <c r="A2402" s="7">
        <v>2558</v>
      </c>
      <c r="B2402" s="9" t="s">
        <v>897</v>
      </c>
      <c r="C2402" s="9" t="s">
        <v>897</v>
      </c>
      <c r="D2402" s="8">
        <v>45950</v>
      </c>
      <c r="E2402" s="7" t="s">
        <v>60</v>
      </c>
      <c r="F2402" s="7">
        <v>1</v>
      </c>
      <c r="G2402" s="7" t="s">
        <v>15</v>
      </c>
      <c r="H2402" s="7" t="s">
        <v>318</v>
      </c>
      <c r="M2402" s="7" t="s">
        <v>898</v>
      </c>
      <c r="O2402" s="7" t="s">
        <v>682</v>
      </c>
      <c r="P2402" s="7">
        <f t="shared" si="204"/>
        <v>10</v>
      </c>
      <c r="Q2402" s="7">
        <f t="shared" si="203"/>
        <v>2025</v>
      </c>
    </row>
    <row r="2403" spans="1:17" x14ac:dyDescent="0.25">
      <c r="A2403" s="7">
        <v>2558</v>
      </c>
      <c r="B2403" s="9" t="s">
        <v>897</v>
      </c>
      <c r="C2403" s="9" t="s">
        <v>897</v>
      </c>
      <c r="D2403" s="8">
        <v>45950</v>
      </c>
      <c r="E2403" s="7" t="s">
        <v>60</v>
      </c>
      <c r="F2403" s="7">
        <v>1</v>
      </c>
      <c r="G2403" s="7" t="s">
        <v>15</v>
      </c>
      <c r="H2403" s="7" t="s">
        <v>318</v>
      </c>
      <c r="M2403" s="7" t="s">
        <v>898</v>
      </c>
      <c r="O2403" s="7" t="s">
        <v>682</v>
      </c>
      <c r="P2403" s="7">
        <f t="shared" si="204"/>
        <v>10</v>
      </c>
      <c r="Q2403" s="7">
        <f t="shared" si="203"/>
        <v>2025</v>
      </c>
    </row>
    <row r="2404" spans="1:17" x14ac:dyDescent="0.25">
      <c r="A2404" s="7">
        <v>2558</v>
      </c>
      <c r="B2404" s="9" t="s">
        <v>897</v>
      </c>
      <c r="C2404" s="9" t="s">
        <v>897</v>
      </c>
      <c r="D2404" s="8">
        <v>45950</v>
      </c>
      <c r="E2404" s="7" t="s">
        <v>60</v>
      </c>
      <c r="F2404" s="7">
        <v>1</v>
      </c>
      <c r="G2404" s="7" t="s">
        <v>15</v>
      </c>
      <c r="H2404" s="7" t="s">
        <v>318</v>
      </c>
      <c r="M2404" s="7" t="s">
        <v>898</v>
      </c>
      <c r="O2404" s="7" t="s">
        <v>682</v>
      </c>
      <c r="P2404" s="7">
        <f t="shared" si="204"/>
        <v>10</v>
      </c>
      <c r="Q2404" s="7">
        <f t="shared" si="203"/>
        <v>2025</v>
      </c>
    </row>
    <row r="2405" spans="1:17" x14ac:dyDescent="0.25">
      <c r="A2405" s="7">
        <v>2558</v>
      </c>
      <c r="B2405" s="9" t="s">
        <v>897</v>
      </c>
      <c r="C2405" s="9" t="s">
        <v>897</v>
      </c>
      <c r="D2405" s="8">
        <v>45950</v>
      </c>
      <c r="E2405" s="7" t="s">
        <v>60</v>
      </c>
      <c r="F2405" s="7">
        <v>1</v>
      </c>
      <c r="G2405" s="7" t="s">
        <v>15</v>
      </c>
      <c r="H2405" s="7" t="s">
        <v>318</v>
      </c>
      <c r="M2405" s="7" t="s">
        <v>898</v>
      </c>
      <c r="O2405" s="7" t="s">
        <v>682</v>
      </c>
      <c r="P2405" s="7">
        <f t="shared" si="204"/>
        <v>10</v>
      </c>
      <c r="Q2405" s="7">
        <f t="shared" si="203"/>
        <v>2025</v>
      </c>
    </row>
    <row r="2406" spans="1:17" x14ac:dyDescent="0.25">
      <c r="A2406" s="7">
        <v>2558</v>
      </c>
      <c r="B2406" s="9" t="s">
        <v>897</v>
      </c>
      <c r="C2406" s="9" t="s">
        <v>897</v>
      </c>
      <c r="D2406" s="8">
        <v>45950</v>
      </c>
      <c r="E2406" s="7" t="s">
        <v>60</v>
      </c>
      <c r="F2406" s="7">
        <v>1</v>
      </c>
      <c r="G2406" s="7" t="s">
        <v>15</v>
      </c>
      <c r="H2406" s="7" t="s">
        <v>318</v>
      </c>
      <c r="M2406" s="7" t="s">
        <v>898</v>
      </c>
      <c r="O2406" s="7" t="s">
        <v>682</v>
      </c>
      <c r="P2406" s="7">
        <f t="shared" si="204"/>
        <v>10</v>
      </c>
      <c r="Q2406" s="7">
        <f t="shared" si="203"/>
        <v>2025</v>
      </c>
    </row>
    <row r="2407" spans="1:17" x14ac:dyDescent="0.25">
      <c r="A2407" s="7">
        <v>2558</v>
      </c>
      <c r="B2407" s="9" t="s">
        <v>897</v>
      </c>
      <c r="C2407" s="9" t="s">
        <v>897</v>
      </c>
      <c r="D2407" s="8">
        <v>45950</v>
      </c>
      <c r="E2407" s="7" t="s">
        <v>60</v>
      </c>
      <c r="F2407" s="7">
        <v>1</v>
      </c>
      <c r="G2407" s="7" t="s">
        <v>15</v>
      </c>
      <c r="H2407" s="7" t="s">
        <v>318</v>
      </c>
      <c r="M2407" s="7" t="s">
        <v>898</v>
      </c>
      <c r="O2407" s="7" t="s">
        <v>682</v>
      </c>
      <c r="P2407" s="7">
        <f t="shared" si="204"/>
        <v>10</v>
      </c>
      <c r="Q2407" s="7">
        <f t="shared" si="203"/>
        <v>2025</v>
      </c>
    </row>
    <row r="2408" spans="1:17" x14ac:dyDescent="0.25">
      <c r="A2408" s="7">
        <v>2558</v>
      </c>
      <c r="B2408" s="9" t="s">
        <v>897</v>
      </c>
      <c r="C2408" s="9" t="s">
        <v>897</v>
      </c>
      <c r="D2408" s="8">
        <v>45950</v>
      </c>
      <c r="E2408" s="7" t="s">
        <v>60</v>
      </c>
      <c r="F2408" s="7">
        <v>1</v>
      </c>
      <c r="G2408" s="7" t="s">
        <v>15</v>
      </c>
      <c r="H2408" s="7" t="s">
        <v>318</v>
      </c>
      <c r="M2408" s="7" t="s">
        <v>898</v>
      </c>
      <c r="O2408" s="7" t="s">
        <v>682</v>
      </c>
      <c r="P2408" s="7">
        <f t="shared" si="204"/>
        <v>10</v>
      </c>
      <c r="Q2408" s="7">
        <f t="shared" si="203"/>
        <v>2025</v>
      </c>
    </row>
    <row r="2409" spans="1:17" x14ac:dyDescent="0.25">
      <c r="A2409" s="7">
        <v>2558</v>
      </c>
      <c r="B2409" s="9" t="s">
        <v>897</v>
      </c>
      <c r="C2409" s="9" t="s">
        <v>897</v>
      </c>
      <c r="D2409" s="8">
        <v>45950</v>
      </c>
      <c r="E2409" s="7" t="s">
        <v>60</v>
      </c>
      <c r="F2409" s="7">
        <v>1</v>
      </c>
      <c r="G2409" s="7" t="s">
        <v>15</v>
      </c>
      <c r="H2409" s="7" t="s">
        <v>318</v>
      </c>
      <c r="M2409" s="7" t="s">
        <v>898</v>
      </c>
      <c r="O2409" s="7" t="s">
        <v>682</v>
      </c>
      <c r="P2409" s="7">
        <f t="shared" si="204"/>
        <v>10</v>
      </c>
      <c r="Q2409" s="7">
        <f t="shared" si="203"/>
        <v>2025</v>
      </c>
    </row>
    <row r="2410" spans="1:17" x14ac:dyDescent="0.25">
      <c r="A2410" s="7">
        <v>2558</v>
      </c>
      <c r="B2410" s="9" t="s">
        <v>897</v>
      </c>
      <c r="C2410" s="9" t="s">
        <v>897</v>
      </c>
      <c r="D2410" s="8">
        <v>45950</v>
      </c>
      <c r="E2410" s="7" t="s">
        <v>60</v>
      </c>
      <c r="F2410" s="7">
        <v>1</v>
      </c>
      <c r="G2410" s="7" t="s">
        <v>15</v>
      </c>
      <c r="H2410" s="7" t="s">
        <v>318</v>
      </c>
      <c r="M2410" s="7" t="s">
        <v>898</v>
      </c>
      <c r="O2410" s="7" t="s">
        <v>682</v>
      </c>
      <c r="P2410" s="7">
        <f t="shared" si="204"/>
        <v>10</v>
      </c>
      <c r="Q2410" s="7">
        <f t="shared" si="203"/>
        <v>2025</v>
      </c>
    </row>
    <row r="2411" spans="1:17" x14ac:dyDescent="0.25">
      <c r="A2411" s="7">
        <v>2558</v>
      </c>
      <c r="B2411" s="9" t="s">
        <v>897</v>
      </c>
      <c r="C2411" s="9" t="s">
        <v>897</v>
      </c>
      <c r="D2411" s="8">
        <v>45950</v>
      </c>
      <c r="E2411" s="7" t="s">
        <v>60</v>
      </c>
      <c r="F2411" s="7">
        <v>1</v>
      </c>
      <c r="G2411" s="7" t="s">
        <v>15</v>
      </c>
      <c r="H2411" s="7" t="s">
        <v>318</v>
      </c>
      <c r="M2411" s="7" t="s">
        <v>898</v>
      </c>
      <c r="O2411" s="7" t="s">
        <v>682</v>
      </c>
      <c r="P2411" s="7">
        <f t="shared" si="204"/>
        <v>10</v>
      </c>
      <c r="Q2411" s="7">
        <f t="shared" si="203"/>
        <v>2025</v>
      </c>
    </row>
    <row r="2412" spans="1:17" x14ac:dyDescent="0.25">
      <c r="A2412" s="7">
        <v>2558</v>
      </c>
      <c r="B2412" s="9" t="s">
        <v>897</v>
      </c>
      <c r="C2412" s="9" t="s">
        <v>897</v>
      </c>
      <c r="D2412" s="8">
        <v>45950</v>
      </c>
      <c r="E2412" s="7" t="s">
        <v>60</v>
      </c>
      <c r="F2412" s="7">
        <v>1</v>
      </c>
      <c r="G2412" s="7" t="s">
        <v>15</v>
      </c>
      <c r="H2412" s="7" t="s">
        <v>318</v>
      </c>
      <c r="M2412" s="7" t="s">
        <v>898</v>
      </c>
      <c r="O2412" s="7" t="s">
        <v>682</v>
      </c>
      <c r="P2412" s="7">
        <f t="shared" si="204"/>
        <v>10</v>
      </c>
      <c r="Q2412" s="7">
        <f t="shared" si="203"/>
        <v>2025</v>
      </c>
    </row>
    <row r="2413" spans="1:17" x14ac:dyDescent="0.25">
      <c r="A2413" s="7">
        <v>2558</v>
      </c>
      <c r="B2413" s="9" t="s">
        <v>897</v>
      </c>
      <c r="C2413" s="9" t="s">
        <v>897</v>
      </c>
      <c r="D2413" s="8">
        <v>45950</v>
      </c>
      <c r="E2413" s="7" t="s">
        <v>60</v>
      </c>
      <c r="F2413" s="7">
        <v>1</v>
      </c>
      <c r="G2413" s="7" t="s">
        <v>15</v>
      </c>
      <c r="H2413" s="7" t="s">
        <v>318</v>
      </c>
      <c r="M2413" s="7" t="s">
        <v>898</v>
      </c>
      <c r="O2413" s="7" t="s">
        <v>682</v>
      </c>
      <c r="P2413" s="7">
        <f t="shared" si="204"/>
        <v>10</v>
      </c>
      <c r="Q2413" s="7">
        <f t="shared" si="203"/>
        <v>2025</v>
      </c>
    </row>
    <row r="2414" spans="1:17" x14ac:dyDescent="0.25">
      <c r="A2414" s="7">
        <v>2558</v>
      </c>
      <c r="B2414" s="9" t="s">
        <v>897</v>
      </c>
      <c r="C2414" s="9" t="s">
        <v>897</v>
      </c>
      <c r="D2414" s="8">
        <v>45950</v>
      </c>
      <c r="E2414" s="7" t="s">
        <v>60</v>
      </c>
      <c r="F2414" s="7">
        <v>1</v>
      </c>
      <c r="G2414" s="7" t="s">
        <v>15</v>
      </c>
      <c r="H2414" s="7" t="s">
        <v>318</v>
      </c>
      <c r="M2414" s="7" t="s">
        <v>898</v>
      </c>
      <c r="O2414" s="7" t="s">
        <v>682</v>
      </c>
      <c r="P2414" s="7">
        <f t="shared" si="204"/>
        <v>10</v>
      </c>
      <c r="Q2414" s="7">
        <f t="shared" si="203"/>
        <v>2025</v>
      </c>
    </row>
    <row r="2415" spans="1:17" x14ac:dyDescent="0.25">
      <c r="A2415" s="7">
        <v>2558</v>
      </c>
      <c r="B2415" s="9" t="s">
        <v>897</v>
      </c>
      <c r="C2415" s="9" t="s">
        <v>897</v>
      </c>
      <c r="D2415" s="8">
        <v>45950</v>
      </c>
      <c r="E2415" s="7" t="s">
        <v>60</v>
      </c>
      <c r="F2415" s="7">
        <v>1</v>
      </c>
      <c r="G2415" s="7" t="s">
        <v>15</v>
      </c>
      <c r="H2415" s="7" t="s">
        <v>318</v>
      </c>
      <c r="M2415" s="7" t="s">
        <v>898</v>
      </c>
      <c r="O2415" s="7" t="s">
        <v>682</v>
      </c>
      <c r="P2415" s="7">
        <f t="shared" si="204"/>
        <v>10</v>
      </c>
      <c r="Q2415" s="7">
        <f t="shared" ref="Q2415:Q2478" si="205">YEAR(D2415)</f>
        <v>2025</v>
      </c>
    </row>
    <row r="2416" spans="1:17" x14ac:dyDescent="0.25">
      <c r="A2416" s="7">
        <v>2558</v>
      </c>
      <c r="B2416" s="9" t="s">
        <v>897</v>
      </c>
      <c r="C2416" s="9" t="s">
        <v>897</v>
      </c>
      <c r="D2416" s="8">
        <v>45950</v>
      </c>
      <c r="E2416" s="7" t="s">
        <v>60</v>
      </c>
      <c r="F2416" s="7">
        <v>1</v>
      </c>
      <c r="G2416" s="7" t="s">
        <v>15</v>
      </c>
      <c r="H2416" s="7" t="s">
        <v>318</v>
      </c>
      <c r="M2416" s="7" t="s">
        <v>898</v>
      </c>
      <c r="O2416" s="7" t="s">
        <v>682</v>
      </c>
      <c r="P2416" s="7">
        <f t="shared" si="204"/>
        <v>10</v>
      </c>
      <c r="Q2416" s="7">
        <f t="shared" si="205"/>
        <v>2025</v>
      </c>
    </row>
    <row r="2417" spans="1:17" x14ac:dyDescent="0.25">
      <c r="A2417" s="7">
        <v>2558</v>
      </c>
      <c r="B2417" s="9" t="s">
        <v>897</v>
      </c>
      <c r="C2417" s="9" t="s">
        <v>897</v>
      </c>
      <c r="D2417" s="8">
        <v>45950</v>
      </c>
      <c r="E2417" s="7" t="s">
        <v>60</v>
      </c>
      <c r="F2417" s="7">
        <v>1</v>
      </c>
      <c r="G2417" s="7" t="s">
        <v>15</v>
      </c>
      <c r="H2417" s="7" t="s">
        <v>318</v>
      </c>
      <c r="M2417" s="7" t="s">
        <v>898</v>
      </c>
      <c r="O2417" s="7" t="s">
        <v>682</v>
      </c>
      <c r="P2417" s="7">
        <f t="shared" si="204"/>
        <v>10</v>
      </c>
      <c r="Q2417" s="7">
        <f t="shared" si="205"/>
        <v>2025</v>
      </c>
    </row>
    <row r="2418" spans="1:17" x14ac:dyDescent="0.25">
      <c r="A2418" s="7">
        <v>2558</v>
      </c>
      <c r="B2418" s="9" t="s">
        <v>897</v>
      </c>
      <c r="C2418" s="9" t="s">
        <v>897</v>
      </c>
      <c r="D2418" s="8">
        <v>45950</v>
      </c>
      <c r="E2418" s="7" t="s">
        <v>60</v>
      </c>
      <c r="F2418" s="7">
        <v>1</v>
      </c>
      <c r="G2418" s="7" t="s">
        <v>15</v>
      </c>
      <c r="H2418" s="7" t="s">
        <v>318</v>
      </c>
      <c r="M2418" s="7" t="s">
        <v>898</v>
      </c>
      <c r="O2418" s="7" t="s">
        <v>682</v>
      </c>
      <c r="P2418" s="7">
        <f t="shared" si="204"/>
        <v>10</v>
      </c>
      <c r="Q2418" s="7">
        <f t="shared" si="205"/>
        <v>2025</v>
      </c>
    </row>
    <row r="2419" spans="1:17" x14ac:dyDescent="0.25">
      <c r="A2419" s="7">
        <v>2558</v>
      </c>
      <c r="B2419" s="9" t="s">
        <v>897</v>
      </c>
      <c r="C2419" s="9" t="s">
        <v>897</v>
      </c>
      <c r="D2419" s="8">
        <v>45950</v>
      </c>
      <c r="E2419" s="7" t="s">
        <v>60</v>
      </c>
      <c r="F2419" s="7">
        <v>1</v>
      </c>
      <c r="G2419" s="7" t="s">
        <v>15</v>
      </c>
      <c r="H2419" s="7" t="s">
        <v>318</v>
      </c>
      <c r="M2419" s="7" t="s">
        <v>898</v>
      </c>
      <c r="O2419" s="7" t="s">
        <v>682</v>
      </c>
      <c r="P2419" s="7">
        <f t="shared" si="204"/>
        <v>10</v>
      </c>
      <c r="Q2419" s="7">
        <f t="shared" si="205"/>
        <v>2025</v>
      </c>
    </row>
    <row r="2420" spans="1:17" x14ac:dyDescent="0.25">
      <c r="A2420" s="7">
        <v>2558</v>
      </c>
      <c r="B2420" s="9" t="s">
        <v>897</v>
      </c>
      <c r="C2420" s="9" t="s">
        <v>897</v>
      </c>
      <c r="D2420" s="8">
        <v>45950</v>
      </c>
      <c r="E2420" s="7" t="s">
        <v>60</v>
      </c>
      <c r="F2420" s="7">
        <v>1</v>
      </c>
      <c r="G2420" s="7" t="s">
        <v>15</v>
      </c>
      <c r="H2420" s="7" t="s">
        <v>318</v>
      </c>
      <c r="M2420" s="7" t="s">
        <v>898</v>
      </c>
      <c r="O2420" s="7" t="s">
        <v>682</v>
      </c>
      <c r="P2420" s="7">
        <f t="shared" si="204"/>
        <v>10</v>
      </c>
      <c r="Q2420" s="7">
        <f t="shared" si="205"/>
        <v>2025</v>
      </c>
    </row>
    <row r="2421" spans="1:17" x14ac:dyDescent="0.25">
      <c r="A2421" s="7">
        <v>2558</v>
      </c>
      <c r="B2421" s="9" t="s">
        <v>897</v>
      </c>
      <c r="C2421" s="9" t="s">
        <v>897</v>
      </c>
      <c r="D2421" s="8">
        <v>45950</v>
      </c>
      <c r="E2421" s="7" t="s">
        <v>60</v>
      </c>
      <c r="F2421" s="7">
        <v>1</v>
      </c>
      <c r="G2421" s="7" t="s">
        <v>15</v>
      </c>
      <c r="H2421" s="7" t="s">
        <v>318</v>
      </c>
      <c r="M2421" s="7" t="s">
        <v>898</v>
      </c>
      <c r="O2421" s="7" t="s">
        <v>682</v>
      </c>
      <c r="P2421" s="7">
        <f t="shared" si="204"/>
        <v>10</v>
      </c>
      <c r="Q2421" s="7">
        <f t="shared" si="205"/>
        <v>2025</v>
      </c>
    </row>
    <row r="2422" spans="1:17" x14ac:dyDescent="0.25">
      <c r="A2422" s="7">
        <v>2558</v>
      </c>
      <c r="B2422" s="9" t="s">
        <v>897</v>
      </c>
      <c r="C2422" s="9" t="s">
        <v>897</v>
      </c>
      <c r="D2422" s="8">
        <v>45950</v>
      </c>
      <c r="E2422" s="7" t="s">
        <v>60</v>
      </c>
      <c r="F2422" s="7">
        <v>1</v>
      </c>
      <c r="G2422" s="7" t="s">
        <v>15</v>
      </c>
      <c r="H2422" s="7" t="s">
        <v>318</v>
      </c>
      <c r="M2422" s="7" t="s">
        <v>898</v>
      </c>
      <c r="O2422" s="7" t="s">
        <v>682</v>
      </c>
      <c r="P2422" s="7">
        <f t="shared" si="204"/>
        <v>10</v>
      </c>
      <c r="Q2422" s="7">
        <f t="shared" si="205"/>
        <v>2025</v>
      </c>
    </row>
    <row r="2423" spans="1:17" x14ac:dyDescent="0.25">
      <c r="A2423" s="7">
        <v>2558</v>
      </c>
      <c r="B2423" s="9" t="s">
        <v>897</v>
      </c>
      <c r="C2423" s="9" t="s">
        <v>897</v>
      </c>
      <c r="D2423" s="8">
        <v>45950</v>
      </c>
      <c r="E2423" s="7" t="s">
        <v>60</v>
      </c>
      <c r="F2423" s="7">
        <v>1</v>
      </c>
      <c r="G2423" s="7" t="s">
        <v>15</v>
      </c>
      <c r="H2423" s="7" t="s">
        <v>318</v>
      </c>
      <c r="M2423" s="7" t="s">
        <v>898</v>
      </c>
      <c r="O2423" s="7" t="s">
        <v>682</v>
      </c>
      <c r="P2423" s="7">
        <f t="shared" si="204"/>
        <v>10</v>
      </c>
      <c r="Q2423" s="7">
        <f t="shared" si="205"/>
        <v>2025</v>
      </c>
    </row>
    <row r="2424" spans="1:17" x14ac:dyDescent="0.25">
      <c r="A2424" s="7">
        <v>2558</v>
      </c>
      <c r="B2424" s="9" t="s">
        <v>897</v>
      </c>
      <c r="C2424" s="9" t="s">
        <v>897</v>
      </c>
      <c r="D2424" s="8">
        <v>45950</v>
      </c>
      <c r="E2424" s="7" t="s">
        <v>60</v>
      </c>
      <c r="F2424" s="7">
        <v>1</v>
      </c>
      <c r="G2424" s="7" t="s">
        <v>15</v>
      </c>
      <c r="H2424" s="7" t="s">
        <v>318</v>
      </c>
      <c r="M2424" s="7" t="s">
        <v>898</v>
      </c>
      <c r="O2424" s="7" t="s">
        <v>682</v>
      </c>
      <c r="P2424" s="7">
        <f t="shared" si="204"/>
        <v>10</v>
      </c>
      <c r="Q2424" s="7">
        <f t="shared" si="205"/>
        <v>2025</v>
      </c>
    </row>
    <row r="2425" spans="1:17" x14ac:dyDescent="0.25">
      <c r="A2425" s="7">
        <v>2558</v>
      </c>
      <c r="B2425" s="9" t="s">
        <v>897</v>
      </c>
      <c r="C2425" s="9" t="s">
        <v>897</v>
      </c>
      <c r="D2425" s="8">
        <v>45950</v>
      </c>
      <c r="E2425" s="7" t="s">
        <v>60</v>
      </c>
      <c r="F2425" s="7">
        <v>1</v>
      </c>
      <c r="G2425" s="7" t="s">
        <v>15</v>
      </c>
      <c r="H2425" s="7" t="s">
        <v>318</v>
      </c>
      <c r="M2425" s="7" t="s">
        <v>898</v>
      </c>
      <c r="O2425" s="7" t="s">
        <v>682</v>
      </c>
      <c r="P2425" s="7">
        <f t="shared" si="204"/>
        <v>10</v>
      </c>
      <c r="Q2425" s="7">
        <f t="shared" si="205"/>
        <v>2025</v>
      </c>
    </row>
    <row r="2426" spans="1:17" x14ac:dyDescent="0.25">
      <c r="A2426" s="7">
        <v>2558</v>
      </c>
      <c r="B2426" s="9" t="s">
        <v>897</v>
      </c>
      <c r="C2426" s="9" t="s">
        <v>897</v>
      </c>
      <c r="D2426" s="8">
        <v>45950</v>
      </c>
      <c r="E2426" s="7" t="s">
        <v>60</v>
      </c>
      <c r="F2426" s="7">
        <v>1</v>
      </c>
      <c r="G2426" s="7" t="s">
        <v>15</v>
      </c>
      <c r="H2426" s="7" t="s">
        <v>318</v>
      </c>
      <c r="M2426" s="7" t="s">
        <v>898</v>
      </c>
      <c r="O2426" s="7" t="s">
        <v>682</v>
      </c>
      <c r="P2426" s="7">
        <f t="shared" si="204"/>
        <v>10</v>
      </c>
      <c r="Q2426" s="7">
        <f t="shared" si="205"/>
        <v>2025</v>
      </c>
    </row>
    <row r="2427" spans="1:17" x14ac:dyDescent="0.25">
      <c r="A2427" s="7">
        <v>2558</v>
      </c>
      <c r="B2427" s="9" t="s">
        <v>897</v>
      </c>
      <c r="C2427" s="9" t="s">
        <v>897</v>
      </c>
      <c r="D2427" s="8">
        <v>45950</v>
      </c>
      <c r="E2427" s="7" t="s">
        <v>60</v>
      </c>
      <c r="F2427" s="7">
        <v>1</v>
      </c>
      <c r="G2427" s="7" t="s">
        <v>15</v>
      </c>
      <c r="H2427" s="7" t="s">
        <v>318</v>
      </c>
      <c r="M2427" s="7" t="s">
        <v>898</v>
      </c>
      <c r="O2427" s="7" t="s">
        <v>682</v>
      </c>
      <c r="P2427" s="7">
        <f t="shared" si="204"/>
        <v>10</v>
      </c>
      <c r="Q2427" s="7">
        <f t="shared" si="205"/>
        <v>2025</v>
      </c>
    </row>
    <row r="2428" spans="1:17" x14ac:dyDescent="0.25">
      <c r="A2428" s="7">
        <v>2558</v>
      </c>
      <c r="B2428" s="9" t="s">
        <v>897</v>
      </c>
      <c r="C2428" s="9" t="s">
        <v>897</v>
      </c>
      <c r="D2428" s="8">
        <v>45950</v>
      </c>
      <c r="E2428" s="7" t="s">
        <v>60</v>
      </c>
      <c r="F2428" s="7">
        <v>1</v>
      </c>
      <c r="G2428" s="7" t="s">
        <v>15</v>
      </c>
      <c r="H2428" s="7" t="s">
        <v>318</v>
      </c>
      <c r="M2428" s="7" t="s">
        <v>898</v>
      </c>
      <c r="O2428" s="7" t="s">
        <v>682</v>
      </c>
      <c r="P2428" s="7">
        <f t="shared" si="204"/>
        <v>10</v>
      </c>
      <c r="Q2428" s="7">
        <f t="shared" si="205"/>
        <v>2025</v>
      </c>
    </row>
    <row r="2429" spans="1:17" x14ac:dyDescent="0.25">
      <c r="A2429" s="7">
        <v>2558</v>
      </c>
      <c r="B2429" s="9" t="s">
        <v>897</v>
      </c>
      <c r="C2429" s="9" t="s">
        <v>897</v>
      </c>
      <c r="D2429" s="8">
        <v>45950</v>
      </c>
      <c r="E2429" s="7" t="s">
        <v>60</v>
      </c>
      <c r="F2429" s="7">
        <v>1</v>
      </c>
      <c r="G2429" s="7" t="s">
        <v>15</v>
      </c>
      <c r="H2429" s="7" t="s">
        <v>318</v>
      </c>
      <c r="M2429" s="7" t="s">
        <v>898</v>
      </c>
      <c r="O2429" s="7" t="s">
        <v>682</v>
      </c>
      <c r="P2429" s="7">
        <f t="shared" si="204"/>
        <v>10</v>
      </c>
      <c r="Q2429" s="7">
        <f t="shared" si="205"/>
        <v>2025</v>
      </c>
    </row>
    <row r="2430" spans="1:17" x14ac:dyDescent="0.25">
      <c r="A2430" s="7">
        <v>2558</v>
      </c>
      <c r="B2430" s="9" t="s">
        <v>897</v>
      </c>
      <c r="C2430" s="9" t="s">
        <v>897</v>
      </c>
      <c r="D2430" s="8">
        <v>45950</v>
      </c>
      <c r="E2430" s="7" t="s">
        <v>60</v>
      </c>
      <c r="F2430" s="7">
        <v>1</v>
      </c>
      <c r="G2430" s="7" t="s">
        <v>15</v>
      </c>
      <c r="H2430" s="7" t="s">
        <v>318</v>
      </c>
      <c r="M2430" s="7" t="s">
        <v>898</v>
      </c>
      <c r="O2430" s="7" t="s">
        <v>682</v>
      </c>
      <c r="P2430" s="7">
        <f t="shared" si="204"/>
        <v>10</v>
      </c>
      <c r="Q2430" s="7">
        <f t="shared" si="205"/>
        <v>2025</v>
      </c>
    </row>
    <row r="2431" spans="1:17" x14ac:dyDescent="0.25">
      <c r="A2431" s="7">
        <v>2558</v>
      </c>
      <c r="B2431" s="9" t="s">
        <v>897</v>
      </c>
      <c r="C2431" s="9" t="s">
        <v>897</v>
      </c>
      <c r="D2431" s="8">
        <v>45950</v>
      </c>
      <c r="E2431" s="7" t="s">
        <v>60</v>
      </c>
      <c r="F2431" s="7">
        <v>1</v>
      </c>
      <c r="G2431" s="7" t="s">
        <v>15</v>
      </c>
      <c r="H2431" s="7" t="s">
        <v>318</v>
      </c>
      <c r="M2431" s="7" t="s">
        <v>898</v>
      </c>
      <c r="O2431" s="7" t="s">
        <v>682</v>
      </c>
      <c r="P2431" s="7">
        <f t="shared" si="204"/>
        <v>10</v>
      </c>
      <c r="Q2431" s="7">
        <f t="shared" si="205"/>
        <v>2025</v>
      </c>
    </row>
    <row r="2432" spans="1:17" x14ac:dyDescent="0.25">
      <c r="A2432" s="7">
        <v>2558</v>
      </c>
      <c r="B2432" s="9" t="s">
        <v>897</v>
      </c>
      <c r="C2432" s="9" t="s">
        <v>897</v>
      </c>
      <c r="D2432" s="8">
        <v>45950</v>
      </c>
      <c r="E2432" s="7" t="s">
        <v>60</v>
      </c>
      <c r="F2432" s="7">
        <v>1</v>
      </c>
      <c r="G2432" s="7" t="s">
        <v>15</v>
      </c>
      <c r="H2432" s="7" t="s">
        <v>318</v>
      </c>
      <c r="M2432" s="7" t="s">
        <v>898</v>
      </c>
      <c r="O2432" s="7" t="s">
        <v>682</v>
      </c>
      <c r="P2432" s="7">
        <f t="shared" si="204"/>
        <v>10</v>
      </c>
      <c r="Q2432" s="7">
        <f t="shared" si="205"/>
        <v>2025</v>
      </c>
    </row>
    <row r="2433" spans="1:17" x14ac:dyDescent="0.25">
      <c r="A2433" s="7">
        <v>2558</v>
      </c>
      <c r="B2433" s="9" t="s">
        <v>897</v>
      </c>
      <c r="C2433" s="9" t="s">
        <v>897</v>
      </c>
      <c r="D2433" s="8">
        <v>45950</v>
      </c>
      <c r="E2433" s="7" t="s">
        <v>60</v>
      </c>
      <c r="F2433" s="7">
        <v>1</v>
      </c>
      <c r="G2433" s="7" t="s">
        <v>15</v>
      </c>
      <c r="H2433" s="7" t="s">
        <v>318</v>
      </c>
      <c r="M2433" s="7" t="s">
        <v>898</v>
      </c>
      <c r="O2433" s="7" t="s">
        <v>682</v>
      </c>
      <c r="P2433" s="7">
        <f t="shared" ref="P2433:P2496" si="206">MONTH(D2433)</f>
        <v>10</v>
      </c>
      <c r="Q2433" s="7">
        <f t="shared" si="205"/>
        <v>2025</v>
      </c>
    </row>
    <row r="2434" spans="1:17" x14ac:dyDescent="0.25">
      <c r="A2434" s="7">
        <v>2558</v>
      </c>
      <c r="B2434" s="9" t="s">
        <v>897</v>
      </c>
      <c r="C2434" s="9" t="s">
        <v>897</v>
      </c>
      <c r="D2434" s="8">
        <v>45950</v>
      </c>
      <c r="E2434" s="7" t="s">
        <v>60</v>
      </c>
      <c r="F2434" s="7">
        <v>1</v>
      </c>
      <c r="G2434" s="7" t="s">
        <v>15</v>
      </c>
      <c r="H2434" s="7" t="s">
        <v>318</v>
      </c>
      <c r="M2434" s="7" t="s">
        <v>898</v>
      </c>
      <c r="O2434" s="7" t="s">
        <v>682</v>
      </c>
      <c r="P2434" s="7">
        <f t="shared" si="206"/>
        <v>10</v>
      </c>
      <c r="Q2434" s="7">
        <f t="shared" si="205"/>
        <v>2025</v>
      </c>
    </row>
    <row r="2435" spans="1:17" x14ac:dyDescent="0.25">
      <c r="A2435" s="7">
        <v>2558</v>
      </c>
      <c r="B2435" s="9" t="s">
        <v>897</v>
      </c>
      <c r="C2435" s="9" t="s">
        <v>897</v>
      </c>
      <c r="D2435" s="8">
        <v>45950</v>
      </c>
      <c r="E2435" s="7" t="s">
        <v>60</v>
      </c>
      <c r="F2435" s="7">
        <v>1</v>
      </c>
      <c r="G2435" s="7" t="s">
        <v>15</v>
      </c>
      <c r="H2435" s="7" t="s">
        <v>318</v>
      </c>
      <c r="M2435" s="7" t="s">
        <v>898</v>
      </c>
      <c r="O2435" s="7" t="s">
        <v>682</v>
      </c>
      <c r="P2435" s="7">
        <f t="shared" si="206"/>
        <v>10</v>
      </c>
      <c r="Q2435" s="7">
        <f t="shared" si="205"/>
        <v>2025</v>
      </c>
    </row>
    <row r="2436" spans="1:17" x14ac:dyDescent="0.25">
      <c r="A2436" s="7">
        <v>2558</v>
      </c>
      <c r="B2436" s="9" t="s">
        <v>897</v>
      </c>
      <c r="C2436" s="9" t="s">
        <v>897</v>
      </c>
      <c r="D2436" s="8">
        <v>45950</v>
      </c>
      <c r="E2436" s="7" t="s">
        <v>60</v>
      </c>
      <c r="F2436" s="7">
        <v>1</v>
      </c>
      <c r="G2436" s="7" t="s">
        <v>15</v>
      </c>
      <c r="H2436" s="7" t="s">
        <v>318</v>
      </c>
      <c r="M2436" s="7" t="s">
        <v>898</v>
      </c>
      <c r="O2436" s="7" t="s">
        <v>682</v>
      </c>
      <c r="P2436" s="7">
        <f t="shared" si="206"/>
        <v>10</v>
      </c>
      <c r="Q2436" s="7">
        <f t="shared" si="205"/>
        <v>2025</v>
      </c>
    </row>
    <row r="2437" spans="1:17" x14ac:dyDescent="0.25">
      <c r="A2437" s="7">
        <v>2558</v>
      </c>
      <c r="B2437" s="9" t="s">
        <v>897</v>
      </c>
      <c r="C2437" s="9" t="s">
        <v>897</v>
      </c>
      <c r="D2437" s="8">
        <v>45950</v>
      </c>
      <c r="E2437" s="7" t="s">
        <v>60</v>
      </c>
      <c r="F2437" s="7">
        <v>1</v>
      </c>
      <c r="G2437" s="7" t="s">
        <v>15</v>
      </c>
      <c r="H2437" s="7" t="s">
        <v>318</v>
      </c>
      <c r="M2437" s="7" t="s">
        <v>898</v>
      </c>
      <c r="O2437" s="7" t="s">
        <v>682</v>
      </c>
      <c r="P2437" s="7">
        <f t="shared" si="206"/>
        <v>10</v>
      </c>
      <c r="Q2437" s="7">
        <f t="shared" si="205"/>
        <v>2025</v>
      </c>
    </row>
    <row r="2438" spans="1:17" x14ac:dyDescent="0.25">
      <c r="A2438" s="7">
        <v>2558</v>
      </c>
      <c r="B2438" s="9" t="s">
        <v>897</v>
      </c>
      <c r="C2438" s="9" t="s">
        <v>897</v>
      </c>
      <c r="D2438" s="8">
        <v>45950</v>
      </c>
      <c r="E2438" s="7" t="s">
        <v>60</v>
      </c>
      <c r="F2438" s="7">
        <v>1</v>
      </c>
      <c r="G2438" s="7" t="s">
        <v>15</v>
      </c>
      <c r="H2438" s="7" t="s">
        <v>318</v>
      </c>
      <c r="M2438" s="7" t="s">
        <v>898</v>
      </c>
      <c r="O2438" s="7" t="s">
        <v>682</v>
      </c>
      <c r="P2438" s="7">
        <f t="shared" si="206"/>
        <v>10</v>
      </c>
      <c r="Q2438" s="7">
        <f t="shared" si="205"/>
        <v>2025</v>
      </c>
    </row>
    <row r="2439" spans="1:17" x14ac:dyDescent="0.25">
      <c r="A2439" s="7">
        <v>2558</v>
      </c>
      <c r="B2439" s="9" t="s">
        <v>897</v>
      </c>
      <c r="C2439" s="9" t="s">
        <v>897</v>
      </c>
      <c r="D2439" s="8">
        <v>45950</v>
      </c>
      <c r="E2439" s="7" t="s">
        <v>60</v>
      </c>
      <c r="F2439" s="7">
        <v>1</v>
      </c>
      <c r="G2439" s="7" t="s">
        <v>15</v>
      </c>
      <c r="H2439" s="7" t="s">
        <v>318</v>
      </c>
      <c r="M2439" s="7" t="s">
        <v>898</v>
      </c>
      <c r="O2439" s="7" t="s">
        <v>682</v>
      </c>
      <c r="P2439" s="7">
        <f t="shared" si="206"/>
        <v>10</v>
      </c>
      <c r="Q2439" s="7">
        <f t="shared" si="205"/>
        <v>2025</v>
      </c>
    </row>
    <row r="2440" spans="1:17" x14ac:dyDescent="0.25">
      <c r="A2440" s="7">
        <v>2558</v>
      </c>
      <c r="B2440" s="9" t="s">
        <v>897</v>
      </c>
      <c r="C2440" s="9" t="s">
        <v>897</v>
      </c>
      <c r="D2440" s="8">
        <v>45950</v>
      </c>
      <c r="E2440" s="7" t="s">
        <v>60</v>
      </c>
      <c r="F2440" s="7">
        <v>1</v>
      </c>
      <c r="G2440" s="7" t="s">
        <v>15</v>
      </c>
      <c r="H2440" s="7" t="s">
        <v>318</v>
      </c>
      <c r="M2440" s="7" t="s">
        <v>898</v>
      </c>
      <c r="O2440" s="7" t="s">
        <v>682</v>
      </c>
      <c r="P2440" s="7">
        <f t="shared" si="206"/>
        <v>10</v>
      </c>
      <c r="Q2440" s="7">
        <f t="shared" si="205"/>
        <v>2025</v>
      </c>
    </row>
    <row r="2441" spans="1:17" x14ac:dyDescent="0.25">
      <c r="A2441" s="7">
        <v>2558</v>
      </c>
      <c r="B2441" s="9" t="s">
        <v>897</v>
      </c>
      <c r="C2441" s="9" t="s">
        <v>897</v>
      </c>
      <c r="D2441" s="8">
        <v>45950</v>
      </c>
      <c r="E2441" s="7" t="s">
        <v>60</v>
      </c>
      <c r="F2441" s="7">
        <v>1</v>
      </c>
      <c r="G2441" s="7" t="s">
        <v>15</v>
      </c>
      <c r="H2441" s="7" t="s">
        <v>318</v>
      </c>
      <c r="M2441" s="7" t="s">
        <v>898</v>
      </c>
      <c r="O2441" s="7" t="s">
        <v>682</v>
      </c>
      <c r="P2441" s="7">
        <f t="shared" si="206"/>
        <v>10</v>
      </c>
      <c r="Q2441" s="7">
        <f t="shared" si="205"/>
        <v>2025</v>
      </c>
    </row>
    <row r="2442" spans="1:17" x14ac:dyDescent="0.25">
      <c r="A2442" s="7">
        <v>2558</v>
      </c>
      <c r="B2442" s="9" t="s">
        <v>897</v>
      </c>
      <c r="C2442" s="9" t="s">
        <v>897</v>
      </c>
      <c r="D2442" s="8">
        <v>45950</v>
      </c>
      <c r="E2442" s="7" t="s">
        <v>60</v>
      </c>
      <c r="F2442" s="7">
        <v>1</v>
      </c>
      <c r="G2442" s="7" t="s">
        <v>15</v>
      </c>
      <c r="H2442" s="7" t="s">
        <v>318</v>
      </c>
      <c r="M2442" s="7" t="s">
        <v>898</v>
      </c>
      <c r="O2442" s="7" t="s">
        <v>682</v>
      </c>
      <c r="P2442" s="7">
        <f t="shared" si="206"/>
        <v>10</v>
      </c>
      <c r="Q2442" s="7">
        <f t="shared" si="205"/>
        <v>2025</v>
      </c>
    </row>
    <row r="2443" spans="1:17" x14ac:dyDescent="0.25">
      <c r="A2443" s="7">
        <v>2558</v>
      </c>
      <c r="B2443" s="9" t="s">
        <v>897</v>
      </c>
      <c r="C2443" s="9" t="s">
        <v>897</v>
      </c>
      <c r="D2443" s="8">
        <v>45950</v>
      </c>
      <c r="E2443" s="7" t="s">
        <v>60</v>
      </c>
      <c r="F2443" s="7">
        <v>1</v>
      </c>
      <c r="G2443" s="7" t="s">
        <v>15</v>
      </c>
      <c r="H2443" s="7" t="s">
        <v>318</v>
      </c>
      <c r="M2443" s="7" t="s">
        <v>898</v>
      </c>
      <c r="O2443" s="7" t="s">
        <v>682</v>
      </c>
      <c r="P2443" s="7">
        <f t="shared" si="206"/>
        <v>10</v>
      </c>
      <c r="Q2443" s="7">
        <f t="shared" si="205"/>
        <v>2025</v>
      </c>
    </row>
    <row r="2444" spans="1:17" x14ac:dyDescent="0.25">
      <c r="A2444" s="7">
        <v>2558</v>
      </c>
      <c r="B2444" s="9" t="s">
        <v>897</v>
      </c>
      <c r="C2444" s="9" t="s">
        <v>897</v>
      </c>
      <c r="D2444" s="8">
        <v>45950</v>
      </c>
      <c r="E2444" s="7" t="s">
        <v>60</v>
      </c>
      <c r="F2444" s="7">
        <v>1</v>
      </c>
      <c r="G2444" s="7" t="s">
        <v>15</v>
      </c>
      <c r="H2444" s="7" t="s">
        <v>318</v>
      </c>
      <c r="M2444" s="7" t="s">
        <v>898</v>
      </c>
      <c r="O2444" s="7" t="s">
        <v>682</v>
      </c>
      <c r="P2444" s="7">
        <f t="shared" si="206"/>
        <v>10</v>
      </c>
      <c r="Q2444" s="7">
        <f t="shared" si="205"/>
        <v>2025</v>
      </c>
    </row>
    <row r="2445" spans="1:17" x14ac:dyDescent="0.25">
      <c r="A2445" s="7">
        <v>2558</v>
      </c>
      <c r="B2445" s="9" t="s">
        <v>897</v>
      </c>
      <c r="C2445" s="9" t="s">
        <v>897</v>
      </c>
      <c r="D2445" s="8">
        <v>45950</v>
      </c>
      <c r="E2445" s="7" t="s">
        <v>60</v>
      </c>
      <c r="F2445" s="7">
        <v>1</v>
      </c>
      <c r="G2445" s="7" t="s">
        <v>15</v>
      </c>
      <c r="H2445" s="7" t="s">
        <v>318</v>
      </c>
      <c r="M2445" s="7" t="s">
        <v>898</v>
      </c>
      <c r="O2445" s="7" t="s">
        <v>682</v>
      </c>
      <c r="P2445" s="7">
        <f t="shared" si="206"/>
        <v>10</v>
      </c>
      <c r="Q2445" s="7">
        <f t="shared" si="205"/>
        <v>2025</v>
      </c>
    </row>
    <row r="2446" spans="1:17" x14ac:dyDescent="0.25">
      <c r="A2446" s="7">
        <v>2558</v>
      </c>
      <c r="B2446" s="9" t="s">
        <v>897</v>
      </c>
      <c r="C2446" s="9" t="s">
        <v>897</v>
      </c>
      <c r="D2446" s="8">
        <v>45950</v>
      </c>
      <c r="E2446" s="7" t="s">
        <v>60</v>
      </c>
      <c r="F2446" s="7">
        <v>1</v>
      </c>
      <c r="G2446" s="7" t="s">
        <v>15</v>
      </c>
      <c r="H2446" s="7" t="s">
        <v>318</v>
      </c>
      <c r="M2446" s="7" t="s">
        <v>898</v>
      </c>
      <c r="O2446" s="7" t="s">
        <v>682</v>
      </c>
      <c r="P2446" s="7">
        <f t="shared" si="206"/>
        <v>10</v>
      </c>
      <c r="Q2446" s="7">
        <f t="shared" si="205"/>
        <v>2025</v>
      </c>
    </row>
    <row r="2447" spans="1:17" x14ac:dyDescent="0.25">
      <c r="A2447" s="7">
        <v>2558</v>
      </c>
      <c r="B2447" s="9" t="s">
        <v>897</v>
      </c>
      <c r="C2447" s="9" t="s">
        <v>897</v>
      </c>
      <c r="D2447" s="8">
        <v>45950</v>
      </c>
      <c r="E2447" s="7" t="s">
        <v>60</v>
      </c>
      <c r="F2447" s="7">
        <v>1</v>
      </c>
      <c r="G2447" s="7" t="s">
        <v>15</v>
      </c>
      <c r="H2447" s="7" t="s">
        <v>318</v>
      </c>
      <c r="M2447" s="7" t="s">
        <v>898</v>
      </c>
      <c r="O2447" s="7" t="s">
        <v>682</v>
      </c>
      <c r="P2447" s="7">
        <f t="shared" si="206"/>
        <v>10</v>
      </c>
      <c r="Q2447" s="7">
        <f t="shared" si="205"/>
        <v>2025</v>
      </c>
    </row>
    <row r="2448" spans="1:17" x14ac:dyDescent="0.25">
      <c r="A2448" s="7">
        <v>2558</v>
      </c>
      <c r="B2448" s="9" t="s">
        <v>897</v>
      </c>
      <c r="C2448" s="9" t="s">
        <v>897</v>
      </c>
      <c r="D2448" s="8">
        <v>45950</v>
      </c>
      <c r="E2448" s="7" t="s">
        <v>60</v>
      </c>
      <c r="F2448" s="7">
        <v>1</v>
      </c>
      <c r="G2448" s="7" t="s">
        <v>15</v>
      </c>
      <c r="H2448" s="7" t="s">
        <v>318</v>
      </c>
      <c r="M2448" s="7" t="s">
        <v>898</v>
      </c>
      <c r="O2448" s="7" t="s">
        <v>682</v>
      </c>
      <c r="P2448" s="7">
        <f t="shared" si="206"/>
        <v>10</v>
      </c>
      <c r="Q2448" s="7">
        <f t="shared" si="205"/>
        <v>2025</v>
      </c>
    </row>
    <row r="2449" spans="1:17" x14ac:dyDescent="0.25">
      <c r="A2449" s="7">
        <v>2558</v>
      </c>
      <c r="B2449" s="9" t="s">
        <v>897</v>
      </c>
      <c r="C2449" s="9" t="s">
        <v>897</v>
      </c>
      <c r="D2449" s="8">
        <v>45950</v>
      </c>
      <c r="E2449" s="7" t="s">
        <v>60</v>
      </c>
      <c r="F2449" s="7">
        <v>1</v>
      </c>
      <c r="G2449" s="7" t="s">
        <v>15</v>
      </c>
      <c r="H2449" s="7" t="s">
        <v>318</v>
      </c>
      <c r="M2449" s="7" t="s">
        <v>898</v>
      </c>
      <c r="O2449" s="7" t="s">
        <v>682</v>
      </c>
      <c r="P2449" s="7">
        <f t="shared" si="206"/>
        <v>10</v>
      </c>
      <c r="Q2449" s="7">
        <f t="shared" si="205"/>
        <v>2025</v>
      </c>
    </row>
    <row r="2450" spans="1:17" x14ac:dyDescent="0.25">
      <c r="A2450" s="7">
        <v>2558</v>
      </c>
      <c r="B2450" s="9" t="s">
        <v>897</v>
      </c>
      <c r="C2450" s="9" t="s">
        <v>897</v>
      </c>
      <c r="D2450" s="8">
        <v>45950</v>
      </c>
      <c r="E2450" s="7" t="s">
        <v>60</v>
      </c>
      <c r="F2450" s="7">
        <v>1</v>
      </c>
      <c r="G2450" s="7" t="s">
        <v>15</v>
      </c>
      <c r="H2450" s="7" t="s">
        <v>318</v>
      </c>
      <c r="M2450" s="7" t="s">
        <v>898</v>
      </c>
      <c r="O2450" s="7" t="s">
        <v>682</v>
      </c>
      <c r="P2450" s="7">
        <f t="shared" si="206"/>
        <v>10</v>
      </c>
      <c r="Q2450" s="7">
        <f t="shared" si="205"/>
        <v>2025</v>
      </c>
    </row>
    <row r="2451" spans="1:17" x14ac:dyDescent="0.25">
      <c r="A2451" s="7">
        <v>2558</v>
      </c>
      <c r="B2451" s="9" t="s">
        <v>897</v>
      </c>
      <c r="C2451" s="9" t="s">
        <v>897</v>
      </c>
      <c r="D2451" s="8">
        <v>45950</v>
      </c>
      <c r="E2451" s="7" t="s">
        <v>60</v>
      </c>
      <c r="F2451" s="7">
        <v>1</v>
      </c>
      <c r="G2451" s="7" t="s">
        <v>15</v>
      </c>
      <c r="H2451" s="7" t="s">
        <v>318</v>
      </c>
      <c r="M2451" s="7" t="s">
        <v>898</v>
      </c>
      <c r="O2451" s="7" t="s">
        <v>682</v>
      </c>
      <c r="P2451" s="7">
        <f t="shared" si="206"/>
        <v>10</v>
      </c>
      <c r="Q2451" s="7">
        <f t="shared" si="205"/>
        <v>2025</v>
      </c>
    </row>
    <row r="2452" spans="1:17" x14ac:dyDescent="0.25">
      <c r="A2452" s="7">
        <v>2558</v>
      </c>
      <c r="B2452" s="9" t="s">
        <v>897</v>
      </c>
      <c r="C2452" s="9" t="s">
        <v>897</v>
      </c>
      <c r="D2452" s="8">
        <v>45950</v>
      </c>
      <c r="E2452" s="7" t="s">
        <v>60</v>
      </c>
      <c r="F2452" s="7">
        <v>1</v>
      </c>
      <c r="G2452" s="7" t="s">
        <v>15</v>
      </c>
      <c r="H2452" s="7" t="s">
        <v>318</v>
      </c>
      <c r="M2452" s="7" t="s">
        <v>898</v>
      </c>
      <c r="O2452" s="7" t="s">
        <v>682</v>
      </c>
      <c r="P2452" s="7">
        <f t="shared" si="206"/>
        <v>10</v>
      </c>
      <c r="Q2452" s="7">
        <f t="shared" si="205"/>
        <v>2025</v>
      </c>
    </row>
    <row r="2453" spans="1:17" x14ac:dyDescent="0.25">
      <c r="A2453" s="7">
        <v>2558</v>
      </c>
      <c r="B2453" s="9" t="s">
        <v>897</v>
      </c>
      <c r="C2453" s="9" t="s">
        <v>897</v>
      </c>
      <c r="D2453" s="8">
        <v>45950</v>
      </c>
      <c r="E2453" s="7" t="s">
        <v>60</v>
      </c>
      <c r="F2453" s="7">
        <v>1</v>
      </c>
      <c r="G2453" s="7" t="s">
        <v>15</v>
      </c>
      <c r="H2453" s="7" t="s">
        <v>318</v>
      </c>
      <c r="M2453" s="7" t="s">
        <v>898</v>
      </c>
      <c r="O2453" s="7" t="s">
        <v>682</v>
      </c>
      <c r="P2453" s="7">
        <f t="shared" si="206"/>
        <v>10</v>
      </c>
      <c r="Q2453" s="7">
        <f t="shared" si="205"/>
        <v>2025</v>
      </c>
    </row>
    <row r="2454" spans="1:17" x14ac:dyDescent="0.25">
      <c r="A2454" s="7">
        <v>2558</v>
      </c>
      <c r="B2454" s="9" t="s">
        <v>897</v>
      </c>
      <c r="C2454" s="9" t="s">
        <v>897</v>
      </c>
      <c r="D2454" s="8">
        <v>45950</v>
      </c>
      <c r="E2454" s="7" t="s">
        <v>60</v>
      </c>
      <c r="F2454" s="7">
        <v>1</v>
      </c>
      <c r="G2454" s="7" t="s">
        <v>15</v>
      </c>
      <c r="H2454" s="7" t="s">
        <v>318</v>
      </c>
      <c r="M2454" s="7" t="s">
        <v>898</v>
      </c>
      <c r="O2454" s="7" t="s">
        <v>682</v>
      </c>
      <c r="P2454" s="7">
        <f t="shared" si="206"/>
        <v>10</v>
      </c>
      <c r="Q2454" s="7">
        <f t="shared" si="205"/>
        <v>2025</v>
      </c>
    </row>
    <row r="2455" spans="1:17" x14ac:dyDescent="0.25">
      <c r="A2455" s="7">
        <v>2558</v>
      </c>
      <c r="B2455" s="9" t="s">
        <v>897</v>
      </c>
      <c r="C2455" s="9" t="s">
        <v>897</v>
      </c>
      <c r="D2455" s="8">
        <v>45950</v>
      </c>
      <c r="E2455" s="7" t="s">
        <v>60</v>
      </c>
      <c r="F2455" s="7">
        <v>1</v>
      </c>
      <c r="G2455" s="7" t="s">
        <v>15</v>
      </c>
      <c r="H2455" s="7" t="s">
        <v>318</v>
      </c>
      <c r="M2455" s="7" t="s">
        <v>898</v>
      </c>
      <c r="O2455" s="7" t="s">
        <v>682</v>
      </c>
      <c r="P2455" s="7">
        <f t="shared" si="206"/>
        <v>10</v>
      </c>
      <c r="Q2455" s="7">
        <f t="shared" si="205"/>
        <v>2025</v>
      </c>
    </row>
    <row r="2456" spans="1:17" x14ac:dyDescent="0.25">
      <c r="A2456" s="7">
        <v>2558</v>
      </c>
      <c r="B2456" s="9" t="s">
        <v>897</v>
      </c>
      <c r="C2456" s="9" t="s">
        <v>897</v>
      </c>
      <c r="D2456" s="8">
        <v>45950</v>
      </c>
      <c r="E2456" s="7" t="s">
        <v>60</v>
      </c>
      <c r="F2456" s="7">
        <v>1</v>
      </c>
      <c r="G2456" s="7" t="s">
        <v>15</v>
      </c>
      <c r="H2456" s="7" t="s">
        <v>318</v>
      </c>
      <c r="M2456" s="7" t="s">
        <v>898</v>
      </c>
      <c r="O2456" s="7" t="s">
        <v>682</v>
      </c>
      <c r="P2456" s="7">
        <f t="shared" si="206"/>
        <v>10</v>
      </c>
      <c r="Q2456" s="7">
        <f t="shared" si="205"/>
        <v>2025</v>
      </c>
    </row>
    <row r="2457" spans="1:17" x14ac:dyDescent="0.25">
      <c r="A2457" s="7">
        <v>2558</v>
      </c>
      <c r="B2457" s="9" t="s">
        <v>897</v>
      </c>
      <c r="C2457" s="9" t="s">
        <v>897</v>
      </c>
      <c r="D2457" s="8">
        <v>45950</v>
      </c>
      <c r="E2457" s="7" t="s">
        <v>60</v>
      </c>
      <c r="F2457" s="7">
        <v>1</v>
      </c>
      <c r="G2457" s="7" t="s">
        <v>15</v>
      </c>
      <c r="H2457" s="7" t="s">
        <v>318</v>
      </c>
      <c r="M2457" s="7" t="s">
        <v>898</v>
      </c>
      <c r="O2457" s="7" t="s">
        <v>682</v>
      </c>
      <c r="P2457" s="7">
        <f t="shared" si="206"/>
        <v>10</v>
      </c>
      <c r="Q2457" s="7">
        <f t="shared" si="205"/>
        <v>2025</v>
      </c>
    </row>
    <row r="2458" spans="1:17" x14ac:dyDescent="0.25">
      <c r="A2458" s="7">
        <v>2558</v>
      </c>
      <c r="B2458" s="9" t="s">
        <v>897</v>
      </c>
      <c r="C2458" s="9" t="s">
        <v>897</v>
      </c>
      <c r="D2458" s="8">
        <v>45950</v>
      </c>
      <c r="E2458" s="7" t="s">
        <v>60</v>
      </c>
      <c r="F2458" s="7">
        <v>1</v>
      </c>
      <c r="G2458" s="7" t="s">
        <v>15</v>
      </c>
      <c r="H2458" s="7" t="s">
        <v>318</v>
      </c>
      <c r="M2458" s="7" t="s">
        <v>898</v>
      </c>
      <c r="O2458" s="7" t="s">
        <v>682</v>
      </c>
      <c r="P2458" s="7">
        <f t="shared" si="206"/>
        <v>10</v>
      </c>
      <c r="Q2458" s="7">
        <f t="shared" si="205"/>
        <v>2025</v>
      </c>
    </row>
    <row r="2459" spans="1:17" x14ac:dyDescent="0.25">
      <c r="A2459" s="7">
        <v>2558</v>
      </c>
      <c r="B2459" s="9" t="s">
        <v>897</v>
      </c>
      <c r="C2459" s="9" t="s">
        <v>897</v>
      </c>
      <c r="D2459" s="8">
        <v>45950</v>
      </c>
      <c r="E2459" s="7" t="s">
        <v>60</v>
      </c>
      <c r="F2459" s="7">
        <v>1</v>
      </c>
      <c r="G2459" s="7" t="s">
        <v>15</v>
      </c>
      <c r="H2459" s="7" t="s">
        <v>318</v>
      </c>
      <c r="M2459" s="7" t="s">
        <v>898</v>
      </c>
      <c r="O2459" s="7" t="s">
        <v>682</v>
      </c>
      <c r="P2459" s="7">
        <f t="shared" si="206"/>
        <v>10</v>
      </c>
      <c r="Q2459" s="7">
        <f t="shared" si="205"/>
        <v>2025</v>
      </c>
    </row>
    <row r="2460" spans="1:17" x14ac:dyDescent="0.25">
      <c r="A2460" s="7">
        <v>2558</v>
      </c>
      <c r="B2460" s="9" t="s">
        <v>897</v>
      </c>
      <c r="C2460" s="9" t="s">
        <v>897</v>
      </c>
      <c r="D2460" s="8">
        <v>45950</v>
      </c>
      <c r="E2460" s="7" t="s">
        <v>60</v>
      </c>
      <c r="F2460" s="7">
        <v>1</v>
      </c>
      <c r="G2460" s="7" t="s">
        <v>15</v>
      </c>
      <c r="H2460" s="7" t="s">
        <v>318</v>
      </c>
      <c r="M2460" s="7" t="s">
        <v>898</v>
      </c>
      <c r="O2460" s="7" t="s">
        <v>682</v>
      </c>
      <c r="P2460" s="7">
        <f t="shared" si="206"/>
        <v>10</v>
      </c>
      <c r="Q2460" s="7">
        <f t="shared" si="205"/>
        <v>2025</v>
      </c>
    </row>
    <row r="2461" spans="1:17" x14ac:dyDescent="0.25">
      <c r="A2461" s="7">
        <v>2558</v>
      </c>
      <c r="B2461" s="9" t="s">
        <v>897</v>
      </c>
      <c r="C2461" s="9" t="s">
        <v>897</v>
      </c>
      <c r="D2461" s="8">
        <v>45950</v>
      </c>
      <c r="E2461" s="7" t="s">
        <v>60</v>
      </c>
      <c r="F2461" s="7">
        <v>1</v>
      </c>
      <c r="G2461" s="7" t="s">
        <v>15</v>
      </c>
      <c r="H2461" s="7" t="s">
        <v>318</v>
      </c>
      <c r="M2461" s="7" t="s">
        <v>898</v>
      </c>
      <c r="O2461" s="7" t="s">
        <v>682</v>
      </c>
      <c r="P2461" s="7">
        <f t="shared" si="206"/>
        <v>10</v>
      </c>
      <c r="Q2461" s="7">
        <f t="shared" si="205"/>
        <v>2025</v>
      </c>
    </row>
    <row r="2462" spans="1:17" x14ac:dyDescent="0.25">
      <c r="A2462" s="7">
        <v>2558</v>
      </c>
      <c r="B2462" s="9" t="s">
        <v>897</v>
      </c>
      <c r="C2462" s="9" t="s">
        <v>897</v>
      </c>
      <c r="D2462" s="8">
        <v>45950</v>
      </c>
      <c r="E2462" s="7" t="s">
        <v>60</v>
      </c>
      <c r="F2462" s="7">
        <v>1</v>
      </c>
      <c r="G2462" s="7" t="s">
        <v>15</v>
      </c>
      <c r="H2462" s="7" t="s">
        <v>318</v>
      </c>
      <c r="M2462" s="7" t="s">
        <v>898</v>
      </c>
      <c r="O2462" s="7" t="s">
        <v>682</v>
      </c>
      <c r="P2462" s="7">
        <f t="shared" si="206"/>
        <v>10</v>
      </c>
      <c r="Q2462" s="7">
        <f t="shared" si="205"/>
        <v>2025</v>
      </c>
    </row>
    <row r="2463" spans="1:17" x14ac:dyDescent="0.25">
      <c r="A2463" s="7">
        <v>2558</v>
      </c>
      <c r="B2463" s="9" t="s">
        <v>897</v>
      </c>
      <c r="C2463" s="9" t="s">
        <v>897</v>
      </c>
      <c r="D2463" s="8">
        <v>45950</v>
      </c>
      <c r="E2463" s="7" t="s">
        <v>60</v>
      </c>
      <c r="F2463" s="7">
        <v>1</v>
      </c>
      <c r="G2463" s="7" t="s">
        <v>15</v>
      </c>
      <c r="H2463" s="7" t="s">
        <v>318</v>
      </c>
      <c r="M2463" s="7" t="s">
        <v>898</v>
      </c>
      <c r="O2463" s="7" t="s">
        <v>682</v>
      </c>
      <c r="P2463" s="7">
        <f t="shared" si="206"/>
        <v>10</v>
      </c>
      <c r="Q2463" s="7">
        <f t="shared" si="205"/>
        <v>2025</v>
      </c>
    </row>
    <row r="2464" spans="1:17" x14ac:dyDescent="0.25">
      <c r="A2464" s="7">
        <v>2558</v>
      </c>
      <c r="B2464" s="9" t="s">
        <v>897</v>
      </c>
      <c r="C2464" s="9" t="s">
        <v>897</v>
      </c>
      <c r="D2464" s="8">
        <v>45950</v>
      </c>
      <c r="E2464" s="7" t="s">
        <v>60</v>
      </c>
      <c r="F2464" s="7">
        <v>1</v>
      </c>
      <c r="G2464" s="7" t="s">
        <v>15</v>
      </c>
      <c r="H2464" s="7" t="s">
        <v>318</v>
      </c>
      <c r="M2464" s="7" t="s">
        <v>898</v>
      </c>
      <c r="O2464" s="7" t="s">
        <v>682</v>
      </c>
      <c r="P2464" s="7">
        <f t="shared" si="206"/>
        <v>10</v>
      </c>
      <c r="Q2464" s="7">
        <f t="shared" si="205"/>
        <v>2025</v>
      </c>
    </row>
    <row r="2465" spans="1:17" x14ac:dyDescent="0.25">
      <c r="A2465" s="7">
        <v>2558</v>
      </c>
      <c r="B2465" s="9" t="s">
        <v>897</v>
      </c>
      <c r="C2465" s="9" t="s">
        <v>897</v>
      </c>
      <c r="D2465" s="8">
        <v>45950</v>
      </c>
      <c r="E2465" s="7" t="s">
        <v>60</v>
      </c>
      <c r="F2465" s="7">
        <v>1</v>
      </c>
      <c r="G2465" s="7" t="s">
        <v>15</v>
      </c>
      <c r="H2465" s="7" t="s">
        <v>318</v>
      </c>
      <c r="M2465" s="7" t="s">
        <v>898</v>
      </c>
      <c r="O2465" s="7" t="s">
        <v>682</v>
      </c>
      <c r="P2465" s="7">
        <f t="shared" si="206"/>
        <v>10</v>
      </c>
      <c r="Q2465" s="7">
        <f t="shared" si="205"/>
        <v>2025</v>
      </c>
    </row>
    <row r="2466" spans="1:17" x14ac:dyDescent="0.25">
      <c r="A2466" s="7">
        <v>2558</v>
      </c>
      <c r="B2466" s="9" t="s">
        <v>897</v>
      </c>
      <c r="C2466" s="9" t="s">
        <v>897</v>
      </c>
      <c r="D2466" s="8">
        <v>45950</v>
      </c>
      <c r="E2466" s="7" t="s">
        <v>60</v>
      </c>
      <c r="F2466" s="7">
        <v>1</v>
      </c>
      <c r="G2466" s="7" t="s">
        <v>15</v>
      </c>
      <c r="H2466" s="7" t="s">
        <v>318</v>
      </c>
      <c r="M2466" s="7" t="s">
        <v>898</v>
      </c>
      <c r="O2466" s="7" t="s">
        <v>682</v>
      </c>
      <c r="P2466" s="7">
        <f t="shared" si="206"/>
        <v>10</v>
      </c>
      <c r="Q2466" s="7">
        <f t="shared" si="205"/>
        <v>2025</v>
      </c>
    </row>
    <row r="2467" spans="1:17" x14ac:dyDescent="0.25">
      <c r="A2467" s="7">
        <v>2558</v>
      </c>
      <c r="B2467" s="9" t="s">
        <v>897</v>
      </c>
      <c r="C2467" s="9" t="s">
        <v>897</v>
      </c>
      <c r="D2467" s="8">
        <v>45950</v>
      </c>
      <c r="E2467" s="7" t="s">
        <v>60</v>
      </c>
      <c r="F2467" s="7">
        <v>1</v>
      </c>
      <c r="G2467" s="7" t="s">
        <v>15</v>
      </c>
      <c r="H2467" s="7" t="s">
        <v>318</v>
      </c>
      <c r="M2467" s="7" t="s">
        <v>898</v>
      </c>
      <c r="O2467" s="7" t="s">
        <v>682</v>
      </c>
      <c r="P2467" s="7">
        <f t="shared" si="206"/>
        <v>10</v>
      </c>
      <c r="Q2467" s="7">
        <f t="shared" si="205"/>
        <v>2025</v>
      </c>
    </row>
    <row r="2468" spans="1:17" x14ac:dyDescent="0.25">
      <c r="A2468" s="7">
        <v>2558</v>
      </c>
      <c r="B2468" s="9" t="s">
        <v>897</v>
      </c>
      <c r="C2468" s="9" t="s">
        <v>897</v>
      </c>
      <c r="D2468" s="8">
        <v>45950</v>
      </c>
      <c r="E2468" s="7" t="s">
        <v>60</v>
      </c>
      <c r="F2468" s="7">
        <v>1</v>
      </c>
      <c r="G2468" s="7" t="s">
        <v>15</v>
      </c>
      <c r="H2468" s="7" t="s">
        <v>318</v>
      </c>
      <c r="M2468" s="7" t="s">
        <v>898</v>
      </c>
      <c r="O2468" s="7" t="s">
        <v>682</v>
      </c>
      <c r="P2468" s="7">
        <f t="shared" si="206"/>
        <v>10</v>
      </c>
      <c r="Q2468" s="7">
        <f t="shared" si="205"/>
        <v>2025</v>
      </c>
    </row>
    <row r="2469" spans="1:17" x14ac:dyDescent="0.25">
      <c r="A2469" s="7">
        <v>2558</v>
      </c>
      <c r="B2469" s="9" t="s">
        <v>897</v>
      </c>
      <c r="C2469" s="9" t="s">
        <v>897</v>
      </c>
      <c r="D2469" s="8">
        <v>45950</v>
      </c>
      <c r="E2469" s="7" t="s">
        <v>60</v>
      </c>
      <c r="F2469" s="7">
        <v>1</v>
      </c>
      <c r="G2469" s="7" t="s">
        <v>15</v>
      </c>
      <c r="H2469" s="7" t="s">
        <v>318</v>
      </c>
      <c r="M2469" s="7" t="s">
        <v>898</v>
      </c>
      <c r="O2469" s="7" t="s">
        <v>682</v>
      </c>
      <c r="P2469" s="7">
        <f t="shared" si="206"/>
        <v>10</v>
      </c>
      <c r="Q2469" s="7">
        <f t="shared" si="205"/>
        <v>2025</v>
      </c>
    </row>
    <row r="2470" spans="1:17" x14ac:dyDescent="0.25">
      <c r="A2470" s="7">
        <v>2558</v>
      </c>
      <c r="B2470" s="9" t="s">
        <v>897</v>
      </c>
      <c r="C2470" s="9" t="s">
        <v>897</v>
      </c>
      <c r="D2470" s="8">
        <v>45950</v>
      </c>
      <c r="E2470" s="7" t="s">
        <v>60</v>
      </c>
      <c r="F2470" s="7">
        <v>1</v>
      </c>
      <c r="G2470" s="7" t="s">
        <v>15</v>
      </c>
      <c r="H2470" s="7" t="s">
        <v>318</v>
      </c>
      <c r="M2470" s="7" t="s">
        <v>898</v>
      </c>
      <c r="O2470" s="7" t="s">
        <v>682</v>
      </c>
      <c r="P2470" s="7">
        <f t="shared" si="206"/>
        <v>10</v>
      </c>
      <c r="Q2470" s="7">
        <f t="shared" si="205"/>
        <v>2025</v>
      </c>
    </row>
    <row r="2471" spans="1:17" x14ac:dyDescent="0.25">
      <c r="A2471" s="7">
        <v>2558</v>
      </c>
      <c r="B2471" s="9" t="s">
        <v>897</v>
      </c>
      <c r="C2471" s="9" t="s">
        <v>897</v>
      </c>
      <c r="D2471" s="8">
        <v>45950</v>
      </c>
      <c r="E2471" s="7" t="s">
        <v>60</v>
      </c>
      <c r="F2471" s="7">
        <v>1</v>
      </c>
      <c r="G2471" s="7" t="s">
        <v>15</v>
      </c>
      <c r="H2471" s="7" t="s">
        <v>318</v>
      </c>
      <c r="M2471" s="7" t="s">
        <v>898</v>
      </c>
      <c r="O2471" s="7" t="s">
        <v>682</v>
      </c>
      <c r="P2471" s="7">
        <f t="shared" si="206"/>
        <v>10</v>
      </c>
      <c r="Q2471" s="7">
        <f t="shared" si="205"/>
        <v>2025</v>
      </c>
    </row>
    <row r="2472" spans="1:17" x14ac:dyDescent="0.25">
      <c r="A2472" s="7">
        <v>2558</v>
      </c>
      <c r="B2472" s="9" t="s">
        <v>897</v>
      </c>
      <c r="C2472" s="9" t="s">
        <v>897</v>
      </c>
      <c r="D2472" s="8">
        <v>45950</v>
      </c>
      <c r="E2472" s="7" t="s">
        <v>60</v>
      </c>
      <c r="F2472" s="7">
        <v>1</v>
      </c>
      <c r="G2472" s="7" t="s">
        <v>15</v>
      </c>
      <c r="H2472" s="7" t="s">
        <v>318</v>
      </c>
      <c r="M2472" s="7" t="s">
        <v>898</v>
      </c>
      <c r="O2472" s="7" t="s">
        <v>682</v>
      </c>
      <c r="P2472" s="7">
        <f t="shared" si="206"/>
        <v>10</v>
      </c>
      <c r="Q2472" s="7">
        <f t="shared" si="205"/>
        <v>2025</v>
      </c>
    </row>
    <row r="2473" spans="1:17" x14ac:dyDescent="0.25">
      <c r="A2473" s="7">
        <v>2558</v>
      </c>
      <c r="B2473" s="9" t="s">
        <v>897</v>
      </c>
      <c r="C2473" s="9" t="s">
        <v>897</v>
      </c>
      <c r="D2473" s="8">
        <v>45950</v>
      </c>
      <c r="E2473" s="7" t="s">
        <v>60</v>
      </c>
      <c r="F2473" s="7">
        <v>1</v>
      </c>
      <c r="G2473" s="7" t="s">
        <v>15</v>
      </c>
      <c r="H2473" s="7" t="s">
        <v>318</v>
      </c>
      <c r="M2473" s="7" t="s">
        <v>898</v>
      </c>
      <c r="O2473" s="7" t="s">
        <v>682</v>
      </c>
      <c r="P2473" s="7">
        <f t="shared" si="206"/>
        <v>10</v>
      </c>
      <c r="Q2473" s="7">
        <f t="shared" si="205"/>
        <v>2025</v>
      </c>
    </row>
    <row r="2474" spans="1:17" x14ac:dyDescent="0.25">
      <c r="A2474" s="7">
        <v>2558</v>
      </c>
      <c r="B2474" s="9" t="s">
        <v>897</v>
      </c>
      <c r="C2474" s="9" t="s">
        <v>897</v>
      </c>
      <c r="D2474" s="8">
        <v>45950</v>
      </c>
      <c r="E2474" s="7" t="s">
        <v>60</v>
      </c>
      <c r="F2474" s="7">
        <v>1</v>
      </c>
      <c r="G2474" s="7" t="s">
        <v>15</v>
      </c>
      <c r="H2474" s="7" t="s">
        <v>318</v>
      </c>
      <c r="M2474" s="7" t="s">
        <v>898</v>
      </c>
      <c r="O2474" s="7" t="s">
        <v>682</v>
      </c>
      <c r="P2474" s="7">
        <f t="shared" si="206"/>
        <v>10</v>
      </c>
      <c r="Q2474" s="7">
        <f t="shared" si="205"/>
        <v>2025</v>
      </c>
    </row>
    <row r="2475" spans="1:17" x14ac:dyDescent="0.25">
      <c r="A2475" s="7">
        <v>2558</v>
      </c>
      <c r="B2475" s="9" t="s">
        <v>897</v>
      </c>
      <c r="C2475" s="9" t="s">
        <v>897</v>
      </c>
      <c r="D2475" s="8">
        <v>45950</v>
      </c>
      <c r="E2475" s="7" t="s">
        <v>60</v>
      </c>
      <c r="F2475" s="7">
        <v>1</v>
      </c>
      <c r="G2475" s="7" t="s">
        <v>15</v>
      </c>
      <c r="H2475" s="7" t="s">
        <v>318</v>
      </c>
      <c r="M2475" s="7" t="s">
        <v>898</v>
      </c>
      <c r="O2475" s="7" t="s">
        <v>682</v>
      </c>
      <c r="P2475" s="7">
        <f t="shared" si="206"/>
        <v>10</v>
      </c>
      <c r="Q2475" s="7">
        <f t="shared" si="205"/>
        <v>2025</v>
      </c>
    </row>
    <row r="2476" spans="1:17" x14ac:dyDescent="0.25">
      <c r="A2476" s="7">
        <v>2558</v>
      </c>
      <c r="B2476" s="9" t="s">
        <v>897</v>
      </c>
      <c r="C2476" s="9" t="s">
        <v>897</v>
      </c>
      <c r="D2476" s="8">
        <v>45950</v>
      </c>
      <c r="E2476" s="7" t="s">
        <v>60</v>
      </c>
      <c r="F2476" s="7">
        <v>1</v>
      </c>
      <c r="G2476" s="7" t="s">
        <v>15</v>
      </c>
      <c r="H2476" s="7" t="s">
        <v>318</v>
      </c>
      <c r="M2476" s="7" t="s">
        <v>898</v>
      </c>
      <c r="O2476" s="7" t="s">
        <v>682</v>
      </c>
      <c r="P2476" s="7">
        <f t="shared" si="206"/>
        <v>10</v>
      </c>
      <c r="Q2476" s="7">
        <f t="shared" si="205"/>
        <v>2025</v>
      </c>
    </row>
    <row r="2477" spans="1:17" x14ac:dyDescent="0.25">
      <c r="A2477" s="7">
        <v>2558</v>
      </c>
      <c r="B2477" s="9" t="s">
        <v>897</v>
      </c>
      <c r="C2477" s="9" t="s">
        <v>897</v>
      </c>
      <c r="D2477" s="8">
        <v>45950</v>
      </c>
      <c r="E2477" s="7" t="s">
        <v>60</v>
      </c>
      <c r="F2477" s="7">
        <v>1</v>
      </c>
      <c r="G2477" s="7" t="s">
        <v>15</v>
      </c>
      <c r="H2477" s="7" t="s">
        <v>318</v>
      </c>
      <c r="M2477" s="7" t="s">
        <v>898</v>
      </c>
      <c r="O2477" s="7" t="s">
        <v>682</v>
      </c>
      <c r="P2477" s="7">
        <f t="shared" si="206"/>
        <v>10</v>
      </c>
      <c r="Q2477" s="7">
        <f t="shared" si="205"/>
        <v>2025</v>
      </c>
    </row>
    <row r="2478" spans="1:17" x14ac:dyDescent="0.25">
      <c r="A2478" s="7">
        <v>2558</v>
      </c>
      <c r="B2478" s="9" t="s">
        <v>897</v>
      </c>
      <c r="C2478" s="9" t="s">
        <v>897</v>
      </c>
      <c r="D2478" s="8">
        <v>45950</v>
      </c>
      <c r="E2478" s="7" t="s">
        <v>60</v>
      </c>
      <c r="F2478" s="7">
        <v>1</v>
      </c>
      <c r="G2478" s="7" t="s">
        <v>15</v>
      </c>
      <c r="H2478" s="7" t="s">
        <v>318</v>
      </c>
      <c r="M2478" s="7" t="s">
        <v>898</v>
      </c>
      <c r="O2478" s="7" t="s">
        <v>682</v>
      </c>
      <c r="P2478" s="7">
        <f t="shared" si="206"/>
        <v>10</v>
      </c>
      <c r="Q2478" s="7">
        <f t="shared" si="205"/>
        <v>2025</v>
      </c>
    </row>
    <row r="2479" spans="1:17" x14ac:dyDescent="0.25">
      <c r="A2479" s="7">
        <v>2558</v>
      </c>
      <c r="B2479" s="9" t="s">
        <v>897</v>
      </c>
      <c r="C2479" s="9" t="s">
        <v>897</v>
      </c>
      <c r="D2479" s="8">
        <v>45950</v>
      </c>
      <c r="E2479" s="7" t="s">
        <v>60</v>
      </c>
      <c r="F2479" s="7">
        <v>1</v>
      </c>
      <c r="G2479" s="7" t="s">
        <v>15</v>
      </c>
      <c r="H2479" s="7" t="s">
        <v>318</v>
      </c>
      <c r="M2479" s="7" t="s">
        <v>898</v>
      </c>
      <c r="O2479" s="7" t="s">
        <v>682</v>
      </c>
      <c r="P2479" s="7">
        <f t="shared" si="206"/>
        <v>10</v>
      </c>
      <c r="Q2479" s="7">
        <f t="shared" ref="Q2479:Q2542" si="207">YEAR(D2479)</f>
        <v>2025</v>
      </c>
    </row>
    <row r="2480" spans="1:17" x14ac:dyDescent="0.25">
      <c r="A2480" s="7">
        <v>2558</v>
      </c>
      <c r="B2480" s="9" t="s">
        <v>897</v>
      </c>
      <c r="C2480" s="9" t="s">
        <v>897</v>
      </c>
      <c r="D2480" s="8">
        <v>45950</v>
      </c>
      <c r="E2480" s="7" t="s">
        <v>60</v>
      </c>
      <c r="F2480" s="7">
        <v>1</v>
      </c>
      <c r="G2480" s="7" t="s">
        <v>15</v>
      </c>
      <c r="H2480" s="7" t="s">
        <v>318</v>
      </c>
      <c r="M2480" s="7" t="s">
        <v>898</v>
      </c>
      <c r="O2480" s="7" t="s">
        <v>682</v>
      </c>
      <c r="P2480" s="7">
        <f t="shared" si="206"/>
        <v>10</v>
      </c>
      <c r="Q2480" s="7">
        <f t="shared" si="207"/>
        <v>2025</v>
      </c>
    </row>
    <row r="2481" spans="1:17" x14ac:dyDescent="0.25">
      <c r="A2481" s="7">
        <v>2558</v>
      </c>
      <c r="B2481" s="9" t="s">
        <v>897</v>
      </c>
      <c r="C2481" s="9" t="s">
        <v>897</v>
      </c>
      <c r="D2481" s="8">
        <v>45950</v>
      </c>
      <c r="E2481" s="7" t="s">
        <v>60</v>
      </c>
      <c r="F2481" s="7">
        <v>1</v>
      </c>
      <c r="G2481" s="7" t="s">
        <v>15</v>
      </c>
      <c r="H2481" s="7" t="s">
        <v>318</v>
      </c>
      <c r="M2481" s="7" t="s">
        <v>898</v>
      </c>
      <c r="O2481" s="7" t="s">
        <v>682</v>
      </c>
      <c r="P2481" s="7">
        <f t="shared" si="206"/>
        <v>10</v>
      </c>
      <c r="Q2481" s="7">
        <f t="shared" si="207"/>
        <v>2025</v>
      </c>
    </row>
    <row r="2482" spans="1:17" x14ac:dyDescent="0.25">
      <c r="A2482" s="7">
        <v>2558</v>
      </c>
      <c r="B2482" s="9" t="s">
        <v>897</v>
      </c>
      <c r="C2482" s="9" t="s">
        <v>897</v>
      </c>
      <c r="D2482" s="8">
        <v>45950</v>
      </c>
      <c r="E2482" s="7" t="s">
        <v>60</v>
      </c>
      <c r="F2482" s="7">
        <v>1</v>
      </c>
      <c r="G2482" s="7" t="s">
        <v>15</v>
      </c>
      <c r="H2482" s="7" t="s">
        <v>318</v>
      </c>
      <c r="M2482" s="7" t="s">
        <v>898</v>
      </c>
      <c r="O2482" s="7" t="s">
        <v>682</v>
      </c>
      <c r="P2482" s="7">
        <f t="shared" si="206"/>
        <v>10</v>
      </c>
      <c r="Q2482" s="7">
        <f t="shared" si="207"/>
        <v>2025</v>
      </c>
    </row>
    <row r="2483" spans="1:17" x14ac:dyDescent="0.25">
      <c r="A2483" s="7">
        <v>2558</v>
      </c>
      <c r="B2483" s="9" t="s">
        <v>897</v>
      </c>
      <c r="C2483" s="9" t="s">
        <v>897</v>
      </c>
      <c r="D2483" s="8">
        <v>45950</v>
      </c>
      <c r="E2483" s="7" t="s">
        <v>60</v>
      </c>
      <c r="F2483" s="7">
        <v>1</v>
      </c>
      <c r="G2483" s="7" t="s">
        <v>15</v>
      </c>
      <c r="H2483" s="7" t="s">
        <v>318</v>
      </c>
      <c r="M2483" s="7" t="s">
        <v>898</v>
      </c>
      <c r="O2483" s="7" t="s">
        <v>682</v>
      </c>
      <c r="P2483" s="7">
        <f t="shared" si="206"/>
        <v>10</v>
      </c>
      <c r="Q2483" s="7">
        <f t="shared" si="207"/>
        <v>2025</v>
      </c>
    </row>
    <row r="2484" spans="1:17" x14ac:dyDescent="0.25">
      <c r="A2484" s="7">
        <v>2558</v>
      </c>
      <c r="B2484" s="9" t="s">
        <v>897</v>
      </c>
      <c r="C2484" s="9" t="s">
        <v>897</v>
      </c>
      <c r="D2484" s="8">
        <v>45950</v>
      </c>
      <c r="E2484" s="7" t="s">
        <v>60</v>
      </c>
      <c r="F2484" s="7">
        <v>1</v>
      </c>
      <c r="G2484" s="7" t="s">
        <v>15</v>
      </c>
      <c r="H2484" s="7" t="s">
        <v>318</v>
      </c>
      <c r="M2484" s="7" t="s">
        <v>898</v>
      </c>
      <c r="O2484" s="7" t="s">
        <v>682</v>
      </c>
      <c r="P2484" s="7">
        <f t="shared" si="206"/>
        <v>10</v>
      </c>
      <c r="Q2484" s="7">
        <f t="shared" si="207"/>
        <v>2025</v>
      </c>
    </row>
    <row r="2485" spans="1:17" x14ac:dyDescent="0.25">
      <c r="A2485" s="7">
        <v>2558</v>
      </c>
      <c r="B2485" s="9" t="s">
        <v>897</v>
      </c>
      <c r="C2485" s="9" t="s">
        <v>897</v>
      </c>
      <c r="D2485" s="8">
        <v>45950</v>
      </c>
      <c r="E2485" s="7" t="s">
        <v>60</v>
      </c>
      <c r="F2485" s="7">
        <v>1</v>
      </c>
      <c r="G2485" s="7" t="s">
        <v>15</v>
      </c>
      <c r="H2485" s="7" t="s">
        <v>318</v>
      </c>
      <c r="M2485" s="7" t="s">
        <v>898</v>
      </c>
      <c r="O2485" s="7" t="s">
        <v>682</v>
      </c>
      <c r="P2485" s="7">
        <f t="shared" si="206"/>
        <v>10</v>
      </c>
      <c r="Q2485" s="7">
        <f t="shared" si="207"/>
        <v>2025</v>
      </c>
    </row>
    <row r="2486" spans="1:17" x14ac:dyDescent="0.25">
      <c r="A2486" s="7">
        <v>2558</v>
      </c>
      <c r="B2486" s="9" t="s">
        <v>897</v>
      </c>
      <c r="C2486" s="9" t="s">
        <v>897</v>
      </c>
      <c r="D2486" s="8">
        <v>45950</v>
      </c>
      <c r="E2486" s="7" t="s">
        <v>60</v>
      </c>
      <c r="F2486" s="7">
        <v>1</v>
      </c>
      <c r="G2486" s="7" t="s">
        <v>15</v>
      </c>
      <c r="H2486" s="7" t="s">
        <v>318</v>
      </c>
      <c r="M2486" s="7" t="s">
        <v>898</v>
      </c>
      <c r="O2486" s="7" t="s">
        <v>682</v>
      </c>
      <c r="P2486" s="7">
        <f t="shared" si="206"/>
        <v>10</v>
      </c>
      <c r="Q2486" s="7">
        <f t="shared" si="207"/>
        <v>2025</v>
      </c>
    </row>
    <row r="2487" spans="1:17" x14ac:dyDescent="0.25">
      <c r="A2487" s="7">
        <v>2558</v>
      </c>
      <c r="B2487" s="9" t="s">
        <v>897</v>
      </c>
      <c r="C2487" s="9" t="s">
        <v>897</v>
      </c>
      <c r="D2487" s="8">
        <v>45950</v>
      </c>
      <c r="E2487" s="7" t="s">
        <v>60</v>
      </c>
      <c r="F2487" s="7">
        <v>1</v>
      </c>
      <c r="G2487" s="7" t="s">
        <v>15</v>
      </c>
      <c r="H2487" s="7" t="s">
        <v>318</v>
      </c>
      <c r="M2487" s="7" t="s">
        <v>898</v>
      </c>
      <c r="O2487" s="7" t="s">
        <v>682</v>
      </c>
      <c r="P2487" s="7">
        <f t="shared" si="206"/>
        <v>10</v>
      </c>
      <c r="Q2487" s="7">
        <f t="shared" si="207"/>
        <v>2025</v>
      </c>
    </row>
    <row r="2488" spans="1:17" x14ac:dyDescent="0.25">
      <c r="A2488" s="7">
        <v>2558</v>
      </c>
      <c r="B2488" s="9" t="s">
        <v>897</v>
      </c>
      <c r="C2488" s="9" t="s">
        <v>897</v>
      </c>
      <c r="D2488" s="8">
        <v>45950</v>
      </c>
      <c r="E2488" s="7" t="s">
        <v>60</v>
      </c>
      <c r="F2488" s="7">
        <v>1</v>
      </c>
      <c r="G2488" s="7" t="s">
        <v>15</v>
      </c>
      <c r="H2488" s="7" t="s">
        <v>318</v>
      </c>
      <c r="M2488" s="7" t="s">
        <v>898</v>
      </c>
      <c r="O2488" s="7" t="s">
        <v>682</v>
      </c>
      <c r="P2488" s="7">
        <f t="shared" si="206"/>
        <v>10</v>
      </c>
      <c r="Q2488" s="7">
        <f t="shared" si="207"/>
        <v>2025</v>
      </c>
    </row>
    <row r="2489" spans="1:17" x14ac:dyDescent="0.25">
      <c r="A2489" s="7">
        <v>2558</v>
      </c>
      <c r="B2489" s="9" t="s">
        <v>897</v>
      </c>
      <c r="C2489" s="9" t="s">
        <v>897</v>
      </c>
      <c r="D2489" s="8">
        <v>45950</v>
      </c>
      <c r="E2489" s="7" t="s">
        <v>60</v>
      </c>
      <c r="F2489" s="7">
        <v>1</v>
      </c>
      <c r="G2489" s="7" t="s">
        <v>15</v>
      </c>
      <c r="H2489" s="7" t="s">
        <v>318</v>
      </c>
      <c r="M2489" s="7" t="s">
        <v>898</v>
      </c>
      <c r="O2489" s="7" t="s">
        <v>682</v>
      </c>
      <c r="P2489" s="7">
        <f t="shared" si="206"/>
        <v>10</v>
      </c>
      <c r="Q2489" s="7">
        <f t="shared" si="207"/>
        <v>2025</v>
      </c>
    </row>
    <row r="2490" spans="1:17" x14ac:dyDescent="0.25">
      <c r="A2490" s="7">
        <v>2558</v>
      </c>
      <c r="B2490" s="9" t="s">
        <v>897</v>
      </c>
      <c r="C2490" s="9" t="s">
        <v>897</v>
      </c>
      <c r="D2490" s="8">
        <v>45950</v>
      </c>
      <c r="E2490" s="7" t="s">
        <v>60</v>
      </c>
      <c r="F2490" s="7">
        <v>1</v>
      </c>
      <c r="G2490" s="7" t="s">
        <v>15</v>
      </c>
      <c r="H2490" s="7" t="s">
        <v>318</v>
      </c>
      <c r="M2490" s="7" t="s">
        <v>898</v>
      </c>
      <c r="O2490" s="7" t="s">
        <v>682</v>
      </c>
      <c r="P2490" s="7">
        <f t="shared" si="206"/>
        <v>10</v>
      </c>
      <c r="Q2490" s="7">
        <f t="shared" si="207"/>
        <v>2025</v>
      </c>
    </row>
    <row r="2491" spans="1:17" x14ac:dyDescent="0.25">
      <c r="A2491" s="7">
        <v>2558</v>
      </c>
      <c r="B2491" s="9" t="s">
        <v>897</v>
      </c>
      <c r="C2491" s="9" t="s">
        <v>897</v>
      </c>
      <c r="D2491" s="8">
        <v>45950</v>
      </c>
      <c r="E2491" s="7" t="s">
        <v>60</v>
      </c>
      <c r="F2491" s="7">
        <v>1</v>
      </c>
      <c r="G2491" s="7" t="s">
        <v>15</v>
      </c>
      <c r="H2491" s="7" t="s">
        <v>318</v>
      </c>
      <c r="M2491" s="7" t="s">
        <v>898</v>
      </c>
      <c r="O2491" s="7" t="s">
        <v>682</v>
      </c>
      <c r="P2491" s="7">
        <f t="shared" si="206"/>
        <v>10</v>
      </c>
      <c r="Q2491" s="7">
        <f t="shared" si="207"/>
        <v>2025</v>
      </c>
    </row>
    <row r="2492" spans="1:17" x14ac:dyDescent="0.25">
      <c r="A2492" s="7">
        <v>2558</v>
      </c>
      <c r="B2492" s="9" t="s">
        <v>897</v>
      </c>
      <c r="C2492" s="9" t="s">
        <v>897</v>
      </c>
      <c r="D2492" s="8">
        <v>45950</v>
      </c>
      <c r="E2492" s="7" t="s">
        <v>60</v>
      </c>
      <c r="F2492" s="7">
        <v>1</v>
      </c>
      <c r="G2492" s="7" t="s">
        <v>15</v>
      </c>
      <c r="H2492" s="7" t="s">
        <v>318</v>
      </c>
      <c r="M2492" s="7" t="s">
        <v>898</v>
      </c>
      <c r="O2492" s="7" t="s">
        <v>682</v>
      </c>
      <c r="P2492" s="7">
        <f t="shared" si="206"/>
        <v>10</v>
      </c>
      <c r="Q2492" s="7">
        <f t="shared" si="207"/>
        <v>2025</v>
      </c>
    </row>
    <row r="2493" spans="1:17" x14ac:dyDescent="0.25">
      <c r="A2493" s="7">
        <v>2558</v>
      </c>
      <c r="B2493" s="9" t="s">
        <v>897</v>
      </c>
      <c r="C2493" s="9" t="s">
        <v>897</v>
      </c>
      <c r="D2493" s="8">
        <v>45950</v>
      </c>
      <c r="E2493" s="7" t="s">
        <v>60</v>
      </c>
      <c r="F2493" s="7">
        <v>1</v>
      </c>
      <c r="G2493" s="7" t="s">
        <v>15</v>
      </c>
      <c r="H2493" s="7" t="s">
        <v>318</v>
      </c>
      <c r="M2493" s="7" t="s">
        <v>898</v>
      </c>
      <c r="O2493" s="7" t="s">
        <v>682</v>
      </c>
      <c r="P2493" s="7">
        <f t="shared" si="206"/>
        <v>10</v>
      </c>
      <c r="Q2493" s="7">
        <f t="shared" si="207"/>
        <v>2025</v>
      </c>
    </row>
    <row r="2494" spans="1:17" x14ac:dyDescent="0.25">
      <c r="A2494" s="7">
        <v>2558</v>
      </c>
      <c r="B2494" s="9" t="s">
        <v>897</v>
      </c>
      <c r="C2494" s="9" t="s">
        <v>897</v>
      </c>
      <c r="D2494" s="8">
        <v>45950</v>
      </c>
      <c r="E2494" s="7" t="s">
        <v>60</v>
      </c>
      <c r="F2494" s="7">
        <v>1</v>
      </c>
      <c r="G2494" s="7" t="s">
        <v>15</v>
      </c>
      <c r="H2494" s="7" t="s">
        <v>318</v>
      </c>
      <c r="M2494" s="7" t="s">
        <v>898</v>
      </c>
      <c r="O2494" s="7" t="s">
        <v>682</v>
      </c>
      <c r="P2494" s="7">
        <f t="shared" si="206"/>
        <v>10</v>
      </c>
      <c r="Q2494" s="7">
        <f t="shared" si="207"/>
        <v>2025</v>
      </c>
    </row>
    <row r="2495" spans="1:17" x14ac:dyDescent="0.25">
      <c r="A2495" s="7">
        <v>2558</v>
      </c>
      <c r="B2495" s="9" t="s">
        <v>897</v>
      </c>
      <c r="C2495" s="9" t="s">
        <v>897</v>
      </c>
      <c r="D2495" s="8">
        <v>45950</v>
      </c>
      <c r="E2495" s="7" t="s">
        <v>60</v>
      </c>
      <c r="F2495" s="7">
        <v>1</v>
      </c>
      <c r="G2495" s="7" t="s">
        <v>15</v>
      </c>
      <c r="H2495" s="7" t="s">
        <v>318</v>
      </c>
      <c r="M2495" s="7" t="s">
        <v>898</v>
      </c>
      <c r="O2495" s="7" t="s">
        <v>682</v>
      </c>
      <c r="P2495" s="7">
        <f t="shared" si="206"/>
        <v>10</v>
      </c>
      <c r="Q2495" s="7">
        <f t="shared" si="207"/>
        <v>2025</v>
      </c>
    </row>
    <row r="2496" spans="1:17" x14ac:dyDescent="0.25">
      <c r="A2496" s="7">
        <v>2558</v>
      </c>
      <c r="B2496" s="9" t="s">
        <v>897</v>
      </c>
      <c r="C2496" s="9" t="s">
        <v>897</v>
      </c>
      <c r="D2496" s="8">
        <v>45950</v>
      </c>
      <c r="E2496" s="7" t="s">
        <v>60</v>
      </c>
      <c r="F2496" s="7">
        <v>1</v>
      </c>
      <c r="G2496" s="7" t="s">
        <v>15</v>
      </c>
      <c r="H2496" s="7" t="s">
        <v>318</v>
      </c>
      <c r="M2496" s="7" t="s">
        <v>898</v>
      </c>
      <c r="O2496" s="7" t="s">
        <v>682</v>
      </c>
      <c r="P2496" s="7">
        <f t="shared" si="206"/>
        <v>10</v>
      </c>
      <c r="Q2496" s="7">
        <f t="shared" si="207"/>
        <v>2025</v>
      </c>
    </row>
    <row r="2497" spans="1:17" x14ac:dyDescent="0.25">
      <c r="A2497" s="7">
        <v>2558</v>
      </c>
      <c r="B2497" s="9" t="s">
        <v>897</v>
      </c>
      <c r="C2497" s="9" t="s">
        <v>897</v>
      </c>
      <c r="D2497" s="8">
        <v>45950</v>
      </c>
      <c r="E2497" s="7" t="s">
        <v>60</v>
      </c>
      <c r="F2497" s="7">
        <v>1</v>
      </c>
      <c r="G2497" s="7" t="s">
        <v>15</v>
      </c>
      <c r="H2497" s="7" t="s">
        <v>318</v>
      </c>
      <c r="M2497" s="7" t="s">
        <v>898</v>
      </c>
      <c r="O2497" s="7" t="s">
        <v>682</v>
      </c>
      <c r="P2497" s="7">
        <f t="shared" ref="P2497:P2540" si="208">MONTH(D2497)</f>
        <v>10</v>
      </c>
      <c r="Q2497" s="7">
        <f t="shared" si="207"/>
        <v>2025</v>
      </c>
    </row>
    <row r="2498" spans="1:17" x14ac:dyDescent="0.25">
      <c r="A2498" s="7">
        <v>2558</v>
      </c>
      <c r="B2498" s="9" t="s">
        <v>897</v>
      </c>
      <c r="C2498" s="9" t="s">
        <v>897</v>
      </c>
      <c r="D2498" s="8">
        <v>45950</v>
      </c>
      <c r="E2498" s="7" t="s">
        <v>60</v>
      </c>
      <c r="F2498" s="7">
        <v>1</v>
      </c>
      <c r="G2498" s="7" t="s">
        <v>15</v>
      </c>
      <c r="H2498" s="7" t="s">
        <v>318</v>
      </c>
      <c r="M2498" s="7" t="s">
        <v>898</v>
      </c>
      <c r="O2498" s="7" t="s">
        <v>682</v>
      </c>
      <c r="P2498" s="7">
        <f t="shared" si="208"/>
        <v>10</v>
      </c>
      <c r="Q2498" s="7">
        <f t="shared" si="207"/>
        <v>2025</v>
      </c>
    </row>
    <row r="2499" spans="1:17" x14ac:dyDescent="0.25">
      <c r="A2499" s="7">
        <v>2558</v>
      </c>
      <c r="B2499" s="9" t="s">
        <v>897</v>
      </c>
      <c r="C2499" s="9" t="s">
        <v>897</v>
      </c>
      <c r="D2499" s="8">
        <v>45950</v>
      </c>
      <c r="E2499" s="7" t="s">
        <v>60</v>
      </c>
      <c r="F2499" s="7">
        <v>1</v>
      </c>
      <c r="G2499" s="7" t="s">
        <v>15</v>
      </c>
      <c r="H2499" s="7" t="s">
        <v>318</v>
      </c>
      <c r="M2499" s="7" t="s">
        <v>898</v>
      </c>
      <c r="O2499" s="7" t="s">
        <v>682</v>
      </c>
      <c r="P2499" s="7">
        <f t="shared" si="208"/>
        <v>10</v>
      </c>
      <c r="Q2499" s="7">
        <f t="shared" si="207"/>
        <v>2025</v>
      </c>
    </row>
    <row r="2500" spans="1:17" x14ac:dyDescent="0.25">
      <c r="A2500" s="7">
        <v>2558</v>
      </c>
      <c r="B2500" s="9" t="s">
        <v>897</v>
      </c>
      <c r="C2500" s="9" t="s">
        <v>897</v>
      </c>
      <c r="D2500" s="8">
        <v>45950</v>
      </c>
      <c r="E2500" s="7" t="s">
        <v>60</v>
      </c>
      <c r="F2500" s="7">
        <v>1</v>
      </c>
      <c r="G2500" s="7" t="s">
        <v>15</v>
      </c>
      <c r="H2500" s="7" t="s">
        <v>318</v>
      </c>
      <c r="M2500" s="7" t="s">
        <v>898</v>
      </c>
      <c r="O2500" s="7" t="s">
        <v>682</v>
      </c>
      <c r="P2500" s="7">
        <f t="shared" si="208"/>
        <v>10</v>
      </c>
      <c r="Q2500" s="7">
        <f t="shared" si="207"/>
        <v>2025</v>
      </c>
    </row>
    <row r="2501" spans="1:17" x14ac:dyDescent="0.25">
      <c r="A2501" s="7">
        <v>2558</v>
      </c>
      <c r="B2501" s="9" t="s">
        <v>897</v>
      </c>
      <c r="C2501" s="9" t="s">
        <v>897</v>
      </c>
      <c r="D2501" s="8">
        <v>45950</v>
      </c>
      <c r="E2501" s="7" t="s">
        <v>60</v>
      </c>
      <c r="F2501" s="7">
        <v>1</v>
      </c>
      <c r="G2501" s="7" t="s">
        <v>15</v>
      </c>
      <c r="H2501" s="7" t="s">
        <v>318</v>
      </c>
      <c r="M2501" s="7" t="s">
        <v>898</v>
      </c>
      <c r="O2501" s="7" t="s">
        <v>682</v>
      </c>
      <c r="P2501" s="7">
        <f t="shared" si="208"/>
        <v>10</v>
      </c>
      <c r="Q2501" s="7">
        <f t="shared" si="207"/>
        <v>2025</v>
      </c>
    </row>
    <row r="2502" spans="1:17" x14ac:dyDescent="0.25">
      <c r="A2502" s="7">
        <v>2558</v>
      </c>
      <c r="B2502" s="9" t="s">
        <v>897</v>
      </c>
      <c r="C2502" s="9" t="s">
        <v>897</v>
      </c>
      <c r="D2502" s="8">
        <v>45950</v>
      </c>
      <c r="E2502" s="7" t="s">
        <v>60</v>
      </c>
      <c r="F2502" s="7">
        <v>1</v>
      </c>
      <c r="G2502" s="7" t="s">
        <v>15</v>
      </c>
      <c r="H2502" s="7" t="s">
        <v>318</v>
      </c>
      <c r="M2502" s="7" t="s">
        <v>898</v>
      </c>
      <c r="O2502" s="7" t="s">
        <v>682</v>
      </c>
      <c r="P2502" s="7">
        <f t="shared" si="208"/>
        <v>10</v>
      </c>
      <c r="Q2502" s="7">
        <f t="shared" si="207"/>
        <v>2025</v>
      </c>
    </row>
    <row r="2503" spans="1:17" x14ac:dyDescent="0.25">
      <c r="A2503" s="7">
        <v>2558</v>
      </c>
      <c r="B2503" s="9" t="s">
        <v>897</v>
      </c>
      <c r="C2503" s="9" t="s">
        <v>897</v>
      </c>
      <c r="D2503" s="8">
        <v>45950</v>
      </c>
      <c r="E2503" s="7" t="s">
        <v>60</v>
      </c>
      <c r="F2503" s="7">
        <v>1</v>
      </c>
      <c r="G2503" s="7" t="s">
        <v>15</v>
      </c>
      <c r="H2503" s="7" t="s">
        <v>318</v>
      </c>
      <c r="M2503" s="7" t="s">
        <v>898</v>
      </c>
      <c r="O2503" s="7" t="s">
        <v>682</v>
      </c>
      <c r="P2503" s="7">
        <f t="shared" si="208"/>
        <v>10</v>
      </c>
      <c r="Q2503" s="7">
        <f t="shared" si="207"/>
        <v>2025</v>
      </c>
    </row>
    <row r="2504" spans="1:17" x14ac:dyDescent="0.25">
      <c r="A2504" s="7">
        <v>2558</v>
      </c>
      <c r="B2504" s="9" t="s">
        <v>897</v>
      </c>
      <c r="C2504" s="9" t="s">
        <v>897</v>
      </c>
      <c r="D2504" s="8">
        <v>45950</v>
      </c>
      <c r="E2504" s="7" t="s">
        <v>60</v>
      </c>
      <c r="F2504" s="7">
        <v>1</v>
      </c>
      <c r="G2504" s="7" t="s">
        <v>15</v>
      </c>
      <c r="H2504" s="7" t="s">
        <v>318</v>
      </c>
      <c r="M2504" s="7" t="s">
        <v>898</v>
      </c>
      <c r="O2504" s="7" t="s">
        <v>682</v>
      </c>
      <c r="P2504" s="7">
        <f t="shared" si="208"/>
        <v>10</v>
      </c>
      <c r="Q2504" s="7">
        <f t="shared" si="207"/>
        <v>2025</v>
      </c>
    </row>
    <row r="2505" spans="1:17" x14ac:dyDescent="0.25">
      <c r="A2505" s="7">
        <v>2558</v>
      </c>
      <c r="B2505" s="9" t="s">
        <v>897</v>
      </c>
      <c r="C2505" s="9" t="s">
        <v>897</v>
      </c>
      <c r="D2505" s="8">
        <v>45950</v>
      </c>
      <c r="E2505" s="7" t="s">
        <v>60</v>
      </c>
      <c r="F2505" s="7">
        <v>1</v>
      </c>
      <c r="G2505" s="7" t="s">
        <v>15</v>
      </c>
      <c r="H2505" s="7" t="s">
        <v>318</v>
      </c>
      <c r="M2505" s="7" t="s">
        <v>898</v>
      </c>
      <c r="O2505" s="7" t="s">
        <v>682</v>
      </c>
      <c r="P2505" s="7">
        <f t="shared" si="208"/>
        <v>10</v>
      </c>
      <c r="Q2505" s="7">
        <f t="shared" si="207"/>
        <v>2025</v>
      </c>
    </row>
    <row r="2506" spans="1:17" x14ac:dyDescent="0.25">
      <c r="A2506" s="7">
        <v>2558</v>
      </c>
      <c r="B2506" s="9" t="s">
        <v>897</v>
      </c>
      <c r="C2506" s="9" t="s">
        <v>897</v>
      </c>
      <c r="D2506" s="8">
        <v>45950</v>
      </c>
      <c r="E2506" s="7" t="s">
        <v>60</v>
      </c>
      <c r="F2506" s="7">
        <v>1</v>
      </c>
      <c r="G2506" s="7" t="s">
        <v>15</v>
      </c>
      <c r="H2506" s="7" t="s">
        <v>318</v>
      </c>
      <c r="M2506" s="7" t="s">
        <v>898</v>
      </c>
      <c r="O2506" s="7" t="s">
        <v>682</v>
      </c>
      <c r="P2506" s="7">
        <f t="shared" si="208"/>
        <v>10</v>
      </c>
      <c r="Q2506" s="7">
        <f t="shared" si="207"/>
        <v>2025</v>
      </c>
    </row>
    <row r="2507" spans="1:17" x14ac:dyDescent="0.25">
      <c r="A2507" s="7">
        <v>2558</v>
      </c>
      <c r="B2507" s="9" t="s">
        <v>897</v>
      </c>
      <c r="C2507" s="9" t="s">
        <v>897</v>
      </c>
      <c r="D2507" s="8">
        <v>45950</v>
      </c>
      <c r="E2507" s="7" t="s">
        <v>60</v>
      </c>
      <c r="F2507" s="7">
        <v>1</v>
      </c>
      <c r="G2507" s="7" t="s">
        <v>15</v>
      </c>
      <c r="H2507" s="7" t="s">
        <v>318</v>
      </c>
      <c r="M2507" s="7" t="s">
        <v>898</v>
      </c>
      <c r="O2507" s="7" t="s">
        <v>682</v>
      </c>
      <c r="P2507" s="7">
        <f t="shared" si="208"/>
        <v>10</v>
      </c>
      <c r="Q2507" s="7">
        <f t="shared" si="207"/>
        <v>2025</v>
      </c>
    </row>
    <row r="2508" spans="1:17" x14ac:dyDescent="0.25">
      <c r="A2508" s="7">
        <v>2558</v>
      </c>
      <c r="B2508" s="9" t="s">
        <v>897</v>
      </c>
      <c r="C2508" s="9" t="s">
        <v>897</v>
      </c>
      <c r="D2508" s="8">
        <v>45950</v>
      </c>
      <c r="E2508" s="7" t="s">
        <v>60</v>
      </c>
      <c r="F2508" s="7">
        <v>1</v>
      </c>
      <c r="G2508" s="7" t="s">
        <v>15</v>
      </c>
      <c r="H2508" s="7" t="s">
        <v>318</v>
      </c>
      <c r="M2508" s="7" t="s">
        <v>898</v>
      </c>
      <c r="O2508" s="7" t="s">
        <v>682</v>
      </c>
      <c r="P2508" s="7">
        <f t="shared" si="208"/>
        <v>10</v>
      </c>
      <c r="Q2508" s="7">
        <f t="shared" si="207"/>
        <v>2025</v>
      </c>
    </row>
    <row r="2509" spans="1:17" x14ac:dyDescent="0.25">
      <c r="A2509" s="7">
        <v>2558</v>
      </c>
      <c r="B2509" s="9" t="s">
        <v>897</v>
      </c>
      <c r="C2509" s="9" t="s">
        <v>897</v>
      </c>
      <c r="D2509" s="8">
        <v>45950</v>
      </c>
      <c r="E2509" s="7" t="s">
        <v>60</v>
      </c>
      <c r="F2509" s="7">
        <v>1</v>
      </c>
      <c r="G2509" s="7" t="s">
        <v>15</v>
      </c>
      <c r="H2509" s="7" t="s">
        <v>318</v>
      </c>
      <c r="M2509" s="7" t="s">
        <v>898</v>
      </c>
      <c r="O2509" s="7" t="s">
        <v>682</v>
      </c>
      <c r="P2509" s="7">
        <f t="shared" si="208"/>
        <v>10</v>
      </c>
      <c r="Q2509" s="7">
        <f t="shared" si="207"/>
        <v>2025</v>
      </c>
    </row>
    <row r="2510" spans="1:17" x14ac:dyDescent="0.25">
      <c r="A2510" s="7">
        <v>2558</v>
      </c>
      <c r="B2510" s="9" t="s">
        <v>897</v>
      </c>
      <c r="C2510" s="9" t="s">
        <v>897</v>
      </c>
      <c r="D2510" s="8">
        <v>45950</v>
      </c>
      <c r="E2510" s="7" t="s">
        <v>60</v>
      </c>
      <c r="F2510" s="7">
        <v>1</v>
      </c>
      <c r="G2510" s="7" t="s">
        <v>15</v>
      </c>
      <c r="H2510" s="7" t="s">
        <v>318</v>
      </c>
      <c r="M2510" s="7" t="s">
        <v>898</v>
      </c>
      <c r="O2510" s="7" t="s">
        <v>682</v>
      </c>
      <c r="P2510" s="7">
        <f t="shared" si="208"/>
        <v>10</v>
      </c>
      <c r="Q2510" s="7">
        <f t="shared" si="207"/>
        <v>2025</v>
      </c>
    </row>
    <row r="2511" spans="1:17" x14ac:dyDescent="0.25">
      <c r="A2511" s="7">
        <v>2558</v>
      </c>
      <c r="B2511" s="9" t="s">
        <v>897</v>
      </c>
      <c r="C2511" s="9" t="s">
        <v>897</v>
      </c>
      <c r="D2511" s="8">
        <v>45950</v>
      </c>
      <c r="E2511" s="7" t="s">
        <v>60</v>
      </c>
      <c r="F2511" s="7">
        <v>1</v>
      </c>
      <c r="G2511" s="7" t="s">
        <v>15</v>
      </c>
      <c r="H2511" s="7" t="s">
        <v>318</v>
      </c>
      <c r="M2511" s="7" t="s">
        <v>898</v>
      </c>
      <c r="O2511" s="7" t="s">
        <v>682</v>
      </c>
      <c r="P2511" s="7">
        <f t="shared" si="208"/>
        <v>10</v>
      </c>
      <c r="Q2511" s="7">
        <f t="shared" si="207"/>
        <v>2025</v>
      </c>
    </row>
    <row r="2512" spans="1:17" x14ac:dyDescent="0.25">
      <c r="A2512" s="7">
        <v>2558</v>
      </c>
      <c r="B2512" s="9" t="s">
        <v>897</v>
      </c>
      <c r="C2512" s="9" t="s">
        <v>897</v>
      </c>
      <c r="D2512" s="8">
        <v>45950</v>
      </c>
      <c r="E2512" s="7" t="s">
        <v>60</v>
      </c>
      <c r="F2512" s="7">
        <v>1</v>
      </c>
      <c r="G2512" s="7" t="s">
        <v>15</v>
      </c>
      <c r="H2512" s="7" t="s">
        <v>318</v>
      </c>
      <c r="M2512" s="7" t="s">
        <v>898</v>
      </c>
      <c r="O2512" s="7" t="s">
        <v>682</v>
      </c>
      <c r="P2512" s="7">
        <f t="shared" si="208"/>
        <v>10</v>
      </c>
      <c r="Q2512" s="7">
        <f t="shared" si="207"/>
        <v>2025</v>
      </c>
    </row>
    <row r="2513" spans="1:17" x14ac:dyDescent="0.25">
      <c r="A2513" s="7">
        <v>2558</v>
      </c>
      <c r="B2513" s="9" t="s">
        <v>897</v>
      </c>
      <c r="C2513" s="9" t="s">
        <v>897</v>
      </c>
      <c r="D2513" s="8">
        <v>45950</v>
      </c>
      <c r="E2513" s="7" t="s">
        <v>60</v>
      </c>
      <c r="F2513" s="7">
        <v>1</v>
      </c>
      <c r="G2513" s="7" t="s">
        <v>15</v>
      </c>
      <c r="H2513" s="7" t="s">
        <v>318</v>
      </c>
      <c r="M2513" s="7" t="s">
        <v>898</v>
      </c>
      <c r="O2513" s="7" t="s">
        <v>682</v>
      </c>
      <c r="P2513" s="7">
        <f t="shared" si="208"/>
        <v>10</v>
      </c>
      <c r="Q2513" s="7">
        <f t="shared" si="207"/>
        <v>2025</v>
      </c>
    </row>
    <row r="2514" spans="1:17" x14ac:dyDescent="0.25">
      <c r="A2514" s="7">
        <v>2558</v>
      </c>
      <c r="B2514" s="9" t="s">
        <v>897</v>
      </c>
      <c r="C2514" s="9" t="s">
        <v>897</v>
      </c>
      <c r="D2514" s="8">
        <v>45950</v>
      </c>
      <c r="E2514" s="7" t="s">
        <v>60</v>
      </c>
      <c r="F2514" s="7">
        <v>1</v>
      </c>
      <c r="G2514" s="7" t="s">
        <v>15</v>
      </c>
      <c r="H2514" s="7" t="s">
        <v>318</v>
      </c>
      <c r="M2514" s="7" t="s">
        <v>898</v>
      </c>
      <c r="O2514" s="7" t="s">
        <v>682</v>
      </c>
      <c r="P2514" s="7">
        <f t="shared" si="208"/>
        <v>10</v>
      </c>
      <c r="Q2514" s="7">
        <f t="shared" si="207"/>
        <v>2025</v>
      </c>
    </row>
    <row r="2515" spans="1:17" x14ac:dyDescent="0.25">
      <c r="A2515" s="7">
        <v>2558</v>
      </c>
      <c r="B2515" s="9" t="s">
        <v>897</v>
      </c>
      <c r="C2515" s="9" t="s">
        <v>897</v>
      </c>
      <c r="D2515" s="8">
        <v>45950</v>
      </c>
      <c r="E2515" s="7" t="s">
        <v>60</v>
      </c>
      <c r="F2515" s="7">
        <v>1</v>
      </c>
      <c r="G2515" s="7" t="s">
        <v>15</v>
      </c>
      <c r="H2515" s="7" t="s">
        <v>318</v>
      </c>
      <c r="M2515" s="7" t="s">
        <v>898</v>
      </c>
      <c r="O2515" s="7" t="s">
        <v>682</v>
      </c>
      <c r="P2515" s="7">
        <f t="shared" si="208"/>
        <v>10</v>
      </c>
      <c r="Q2515" s="7">
        <f t="shared" si="207"/>
        <v>2025</v>
      </c>
    </row>
    <row r="2516" spans="1:17" x14ac:dyDescent="0.25">
      <c r="A2516" s="7">
        <v>2558</v>
      </c>
      <c r="B2516" s="9" t="s">
        <v>897</v>
      </c>
      <c r="C2516" s="9" t="s">
        <v>897</v>
      </c>
      <c r="D2516" s="8">
        <v>45950</v>
      </c>
      <c r="E2516" s="7" t="s">
        <v>60</v>
      </c>
      <c r="F2516" s="7">
        <v>1</v>
      </c>
      <c r="G2516" s="7" t="s">
        <v>15</v>
      </c>
      <c r="H2516" s="7" t="s">
        <v>318</v>
      </c>
      <c r="M2516" s="7" t="s">
        <v>898</v>
      </c>
      <c r="O2516" s="7" t="s">
        <v>682</v>
      </c>
      <c r="P2516" s="7">
        <f t="shared" si="208"/>
        <v>10</v>
      </c>
      <c r="Q2516" s="7">
        <f t="shared" si="207"/>
        <v>2025</v>
      </c>
    </row>
    <row r="2517" spans="1:17" x14ac:dyDescent="0.25">
      <c r="A2517" s="7">
        <v>2558</v>
      </c>
      <c r="B2517" s="9" t="s">
        <v>897</v>
      </c>
      <c r="C2517" s="9" t="s">
        <v>897</v>
      </c>
      <c r="D2517" s="8">
        <v>45950</v>
      </c>
      <c r="E2517" s="7" t="s">
        <v>60</v>
      </c>
      <c r="F2517" s="7">
        <v>1</v>
      </c>
      <c r="G2517" s="7" t="s">
        <v>15</v>
      </c>
      <c r="H2517" s="7" t="s">
        <v>318</v>
      </c>
      <c r="M2517" s="7" t="s">
        <v>898</v>
      </c>
      <c r="O2517" s="7" t="s">
        <v>682</v>
      </c>
      <c r="P2517" s="7">
        <f t="shared" si="208"/>
        <v>10</v>
      </c>
      <c r="Q2517" s="7">
        <f t="shared" si="207"/>
        <v>2025</v>
      </c>
    </row>
    <row r="2518" spans="1:17" x14ac:dyDescent="0.25">
      <c r="A2518" s="7">
        <v>2558</v>
      </c>
      <c r="B2518" s="9" t="s">
        <v>897</v>
      </c>
      <c r="C2518" s="9" t="s">
        <v>897</v>
      </c>
      <c r="D2518" s="8">
        <v>45950</v>
      </c>
      <c r="E2518" s="7" t="s">
        <v>60</v>
      </c>
      <c r="F2518" s="7">
        <v>1</v>
      </c>
      <c r="G2518" s="7" t="s">
        <v>15</v>
      </c>
      <c r="H2518" s="7" t="s">
        <v>318</v>
      </c>
      <c r="M2518" s="7" t="s">
        <v>898</v>
      </c>
      <c r="O2518" s="7" t="s">
        <v>682</v>
      </c>
      <c r="P2518" s="7">
        <f t="shared" si="208"/>
        <v>10</v>
      </c>
      <c r="Q2518" s="7">
        <f t="shared" si="207"/>
        <v>2025</v>
      </c>
    </row>
    <row r="2519" spans="1:17" x14ac:dyDescent="0.25">
      <c r="A2519" s="7">
        <v>2558</v>
      </c>
      <c r="B2519" s="9" t="s">
        <v>897</v>
      </c>
      <c r="C2519" s="9" t="s">
        <v>897</v>
      </c>
      <c r="D2519" s="8">
        <v>45950</v>
      </c>
      <c r="E2519" s="7" t="s">
        <v>60</v>
      </c>
      <c r="F2519" s="7">
        <v>1</v>
      </c>
      <c r="G2519" s="7" t="s">
        <v>15</v>
      </c>
      <c r="H2519" s="7" t="s">
        <v>318</v>
      </c>
      <c r="M2519" s="7" t="s">
        <v>898</v>
      </c>
      <c r="O2519" s="7" t="s">
        <v>682</v>
      </c>
      <c r="P2519" s="7">
        <f t="shared" si="208"/>
        <v>10</v>
      </c>
      <c r="Q2519" s="7">
        <f t="shared" si="207"/>
        <v>2025</v>
      </c>
    </row>
    <row r="2520" spans="1:17" x14ac:dyDescent="0.25">
      <c r="A2520" s="7">
        <v>2558</v>
      </c>
      <c r="B2520" s="9" t="s">
        <v>897</v>
      </c>
      <c r="C2520" s="9" t="s">
        <v>897</v>
      </c>
      <c r="D2520" s="8">
        <v>45950</v>
      </c>
      <c r="E2520" s="7" t="s">
        <v>60</v>
      </c>
      <c r="F2520" s="7">
        <v>1</v>
      </c>
      <c r="G2520" s="7" t="s">
        <v>15</v>
      </c>
      <c r="H2520" s="7" t="s">
        <v>318</v>
      </c>
      <c r="M2520" s="7" t="s">
        <v>898</v>
      </c>
      <c r="O2520" s="7" t="s">
        <v>682</v>
      </c>
      <c r="P2520" s="7">
        <f t="shared" si="208"/>
        <v>10</v>
      </c>
      <c r="Q2520" s="7">
        <f t="shared" si="207"/>
        <v>2025</v>
      </c>
    </row>
    <row r="2521" spans="1:17" x14ac:dyDescent="0.25">
      <c r="A2521" s="7">
        <v>2558</v>
      </c>
      <c r="B2521" s="9" t="s">
        <v>897</v>
      </c>
      <c r="C2521" s="9" t="s">
        <v>897</v>
      </c>
      <c r="D2521" s="8">
        <v>45950</v>
      </c>
      <c r="E2521" s="7" t="s">
        <v>60</v>
      </c>
      <c r="F2521" s="7">
        <v>1</v>
      </c>
      <c r="G2521" s="7" t="s">
        <v>15</v>
      </c>
      <c r="H2521" s="7" t="s">
        <v>318</v>
      </c>
      <c r="M2521" s="7" t="s">
        <v>898</v>
      </c>
      <c r="O2521" s="7" t="s">
        <v>682</v>
      </c>
      <c r="P2521" s="7">
        <f t="shared" si="208"/>
        <v>10</v>
      </c>
      <c r="Q2521" s="7">
        <f t="shared" si="207"/>
        <v>2025</v>
      </c>
    </row>
    <row r="2522" spans="1:17" x14ac:dyDescent="0.25">
      <c r="A2522" s="7">
        <v>2558</v>
      </c>
      <c r="B2522" s="9" t="s">
        <v>897</v>
      </c>
      <c r="C2522" s="9" t="s">
        <v>897</v>
      </c>
      <c r="D2522" s="8">
        <v>45950</v>
      </c>
      <c r="E2522" s="7" t="s">
        <v>60</v>
      </c>
      <c r="F2522" s="7">
        <v>1</v>
      </c>
      <c r="G2522" s="7" t="s">
        <v>15</v>
      </c>
      <c r="H2522" s="7" t="s">
        <v>318</v>
      </c>
      <c r="M2522" s="7" t="s">
        <v>898</v>
      </c>
      <c r="O2522" s="7" t="s">
        <v>682</v>
      </c>
      <c r="P2522" s="7">
        <f t="shared" si="208"/>
        <v>10</v>
      </c>
      <c r="Q2522" s="7">
        <f t="shared" si="207"/>
        <v>2025</v>
      </c>
    </row>
    <row r="2523" spans="1:17" x14ac:dyDescent="0.25">
      <c r="A2523" s="7">
        <v>2558</v>
      </c>
      <c r="B2523" s="9" t="s">
        <v>897</v>
      </c>
      <c r="C2523" s="9" t="s">
        <v>897</v>
      </c>
      <c r="D2523" s="8">
        <v>45950</v>
      </c>
      <c r="E2523" s="7" t="s">
        <v>60</v>
      </c>
      <c r="F2523" s="7">
        <v>1</v>
      </c>
      <c r="G2523" s="7" t="s">
        <v>15</v>
      </c>
      <c r="H2523" s="7" t="s">
        <v>318</v>
      </c>
      <c r="M2523" s="7" t="s">
        <v>898</v>
      </c>
      <c r="O2523" s="7" t="s">
        <v>682</v>
      </c>
      <c r="P2523" s="7">
        <f t="shared" si="208"/>
        <v>10</v>
      </c>
      <c r="Q2523" s="7">
        <f t="shared" si="207"/>
        <v>2025</v>
      </c>
    </row>
    <row r="2524" spans="1:17" x14ac:dyDescent="0.25">
      <c r="A2524" s="7">
        <v>2558</v>
      </c>
      <c r="B2524" s="9" t="s">
        <v>897</v>
      </c>
      <c r="C2524" s="9" t="s">
        <v>897</v>
      </c>
      <c r="D2524" s="8">
        <v>45950</v>
      </c>
      <c r="E2524" s="7" t="s">
        <v>60</v>
      </c>
      <c r="F2524" s="7">
        <v>1</v>
      </c>
      <c r="G2524" s="7" t="s">
        <v>15</v>
      </c>
      <c r="H2524" s="7" t="s">
        <v>318</v>
      </c>
      <c r="M2524" s="7" t="s">
        <v>898</v>
      </c>
      <c r="O2524" s="7" t="s">
        <v>682</v>
      </c>
      <c r="P2524" s="7">
        <f t="shared" si="208"/>
        <v>10</v>
      </c>
      <c r="Q2524" s="7">
        <f t="shared" si="207"/>
        <v>2025</v>
      </c>
    </row>
    <row r="2525" spans="1:17" x14ac:dyDescent="0.25">
      <c r="A2525" s="7">
        <v>2558</v>
      </c>
      <c r="B2525" s="9" t="s">
        <v>897</v>
      </c>
      <c r="C2525" s="9" t="s">
        <v>897</v>
      </c>
      <c r="D2525" s="8">
        <v>45950</v>
      </c>
      <c r="E2525" s="7" t="s">
        <v>60</v>
      </c>
      <c r="F2525" s="7">
        <v>1</v>
      </c>
      <c r="G2525" s="7" t="s">
        <v>15</v>
      </c>
      <c r="H2525" s="7" t="s">
        <v>318</v>
      </c>
      <c r="M2525" s="7" t="s">
        <v>898</v>
      </c>
      <c r="O2525" s="7" t="s">
        <v>682</v>
      </c>
      <c r="P2525" s="7">
        <f t="shared" si="208"/>
        <v>10</v>
      </c>
      <c r="Q2525" s="7">
        <f t="shared" si="207"/>
        <v>2025</v>
      </c>
    </row>
    <row r="2526" spans="1:17" x14ac:dyDescent="0.25">
      <c r="A2526" s="7">
        <v>2558</v>
      </c>
      <c r="B2526" s="9" t="s">
        <v>897</v>
      </c>
      <c r="C2526" s="9" t="s">
        <v>897</v>
      </c>
      <c r="D2526" s="8">
        <v>45950</v>
      </c>
      <c r="E2526" s="7" t="s">
        <v>60</v>
      </c>
      <c r="F2526" s="7">
        <v>1</v>
      </c>
      <c r="G2526" s="7" t="s">
        <v>15</v>
      </c>
      <c r="H2526" s="7" t="s">
        <v>318</v>
      </c>
      <c r="M2526" s="7" t="s">
        <v>898</v>
      </c>
      <c r="O2526" s="7" t="s">
        <v>682</v>
      </c>
      <c r="P2526" s="7">
        <f t="shared" si="208"/>
        <v>10</v>
      </c>
      <c r="Q2526" s="7">
        <f t="shared" si="207"/>
        <v>2025</v>
      </c>
    </row>
    <row r="2527" spans="1:17" x14ac:dyDescent="0.25">
      <c r="A2527" s="7">
        <v>2558</v>
      </c>
      <c r="B2527" s="9" t="s">
        <v>897</v>
      </c>
      <c r="C2527" s="9" t="s">
        <v>897</v>
      </c>
      <c r="D2527" s="8">
        <v>45950</v>
      </c>
      <c r="E2527" s="7" t="s">
        <v>60</v>
      </c>
      <c r="F2527" s="7">
        <v>1</v>
      </c>
      <c r="G2527" s="7" t="s">
        <v>15</v>
      </c>
      <c r="H2527" s="7" t="s">
        <v>318</v>
      </c>
      <c r="M2527" s="7" t="s">
        <v>898</v>
      </c>
      <c r="O2527" s="7" t="s">
        <v>682</v>
      </c>
      <c r="P2527" s="7">
        <f t="shared" si="208"/>
        <v>10</v>
      </c>
      <c r="Q2527" s="7">
        <f t="shared" si="207"/>
        <v>2025</v>
      </c>
    </row>
    <row r="2528" spans="1:17" x14ac:dyDescent="0.25">
      <c r="A2528" s="7">
        <v>2558</v>
      </c>
      <c r="B2528" s="9" t="s">
        <v>897</v>
      </c>
      <c r="C2528" s="9" t="s">
        <v>897</v>
      </c>
      <c r="D2528" s="8">
        <v>45950</v>
      </c>
      <c r="E2528" s="7" t="s">
        <v>60</v>
      </c>
      <c r="F2528" s="7">
        <v>1</v>
      </c>
      <c r="G2528" s="7" t="s">
        <v>15</v>
      </c>
      <c r="H2528" s="7" t="s">
        <v>318</v>
      </c>
      <c r="M2528" s="7" t="s">
        <v>898</v>
      </c>
      <c r="O2528" s="7" t="s">
        <v>682</v>
      </c>
      <c r="P2528" s="7">
        <f t="shared" si="208"/>
        <v>10</v>
      </c>
      <c r="Q2528" s="7">
        <f t="shared" si="207"/>
        <v>2025</v>
      </c>
    </row>
    <row r="2529" spans="1:17" x14ac:dyDescent="0.25">
      <c r="A2529" s="7">
        <v>2558</v>
      </c>
      <c r="B2529" s="9" t="s">
        <v>897</v>
      </c>
      <c r="C2529" s="9" t="s">
        <v>897</v>
      </c>
      <c r="D2529" s="8">
        <v>45950</v>
      </c>
      <c r="E2529" s="7" t="s">
        <v>60</v>
      </c>
      <c r="F2529" s="7">
        <v>1</v>
      </c>
      <c r="G2529" s="7" t="s">
        <v>15</v>
      </c>
      <c r="H2529" s="7" t="s">
        <v>318</v>
      </c>
      <c r="M2529" s="7" t="s">
        <v>898</v>
      </c>
      <c r="O2529" s="7" t="s">
        <v>682</v>
      </c>
      <c r="P2529" s="7">
        <f t="shared" si="208"/>
        <v>10</v>
      </c>
      <c r="Q2529" s="7">
        <f t="shared" si="207"/>
        <v>2025</v>
      </c>
    </row>
    <row r="2530" spans="1:17" x14ac:dyDescent="0.25">
      <c r="A2530" s="7">
        <v>2558</v>
      </c>
      <c r="B2530" s="9" t="s">
        <v>897</v>
      </c>
      <c r="C2530" s="9" t="s">
        <v>897</v>
      </c>
      <c r="D2530" s="8">
        <v>45950</v>
      </c>
      <c r="E2530" s="7" t="s">
        <v>60</v>
      </c>
      <c r="F2530" s="7">
        <v>1</v>
      </c>
      <c r="G2530" s="7" t="s">
        <v>15</v>
      </c>
      <c r="H2530" s="7" t="s">
        <v>318</v>
      </c>
      <c r="M2530" s="7" t="s">
        <v>898</v>
      </c>
      <c r="O2530" s="7" t="s">
        <v>682</v>
      </c>
      <c r="P2530" s="7">
        <f t="shared" si="208"/>
        <v>10</v>
      </c>
      <c r="Q2530" s="7">
        <f t="shared" si="207"/>
        <v>2025</v>
      </c>
    </row>
    <row r="2531" spans="1:17" x14ac:dyDescent="0.25">
      <c r="A2531" s="7">
        <v>2558</v>
      </c>
      <c r="B2531" s="9" t="s">
        <v>897</v>
      </c>
      <c r="C2531" s="9" t="s">
        <v>897</v>
      </c>
      <c r="D2531" s="8">
        <v>45950</v>
      </c>
      <c r="E2531" s="7" t="s">
        <v>60</v>
      </c>
      <c r="F2531" s="7">
        <v>1</v>
      </c>
      <c r="G2531" s="7" t="s">
        <v>15</v>
      </c>
      <c r="H2531" s="7" t="s">
        <v>318</v>
      </c>
      <c r="M2531" s="7" t="s">
        <v>898</v>
      </c>
      <c r="O2531" s="7" t="s">
        <v>682</v>
      </c>
      <c r="P2531" s="7">
        <f t="shared" si="208"/>
        <v>10</v>
      </c>
      <c r="Q2531" s="7">
        <f t="shared" si="207"/>
        <v>2025</v>
      </c>
    </row>
    <row r="2532" spans="1:17" x14ac:dyDescent="0.25">
      <c r="A2532" s="7">
        <v>2558</v>
      </c>
      <c r="B2532" s="9" t="s">
        <v>897</v>
      </c>
      <c r="C2532" s="9" t="s">
        <v>897</v>
      </c>
      <c r="D2532" s="8">
        <v>45950</v>
      </c>
      <c r="E2532" s="7" t="s">
        <v>60</v>
      </c>
      <c r="F2532" s="7">
        <v>1</v>
      </c>
      <c r="G2532" s="7" t="s">
        <v>15</v>
      </c>
      <c r="H2532" s="7" t="s">
        <v>318</v>
      </c>
      <c r="M2532" s="7" t="s">
        <v>898</v>
      </c>
      <c r="O2532" s="7" t="s">
        <v>682</v>
      </c>
      <c r="P2532" s="7">
        <f t="shared" si="208"/>
        <v>10</v>
      </c>
      <c r="Q2532" s="7">
        <f t="shared" si="207"/>
        <v>2025</v>
      </c>
    </row>
    <row r="2533" spans="1:17" x14ac:dyDescent="0.25">
      <c r="A2533" s="7">
        <v>2558</v>
      </c>
      <c r="B2533" s="9" t="s">
        <v>897</v>
      </c>
      <c r="C2533" s="9" t="s">
        <v>897</v>
      </c>
      <c r="D2533" s="8">
        <v>45950</v>
      </c>
      <c r="E2533" s="7" t="s">
        <v>60</v>
      </c>
      <c r="F2533" s="7">
        <v>1</v>
      </c>
      <c r="G2533" s="7" t="s">
        <v>15</v>
      </c>
      <c r="H2533" s="7" t="s">
        <v>318</v>
      </c>
      <c r="M2533" s="7" t="s">
        <v>898</v>
      </c>
      <c r="O2533" s="7" t="s">
        <v>682</v>
      </c>
      <c r="P2533" s="7">
        <f t="shared" si="208"/>
        <v>10</v>
      </c>
      <c r="Q2533" s="7">
        <f t="shared" si="207"/>
        <v>2025</v>
      </c>
    </row>
    <row r="2534" spans="1:17" x14ac:dyDescent="0.25">
      <c r="A2534" s="7">
        <v>2558</v>
      </c>
      <c r="B2534" s="9" t="s">
        <v>897</v>
      </c>
      <c r="C2534" s="9" t="s">
        <v>897</v>
      </c>
      <c r="D2534" s="8">
        <v>45950</v>
      </c>
      <c r="E2534" s="7" t="s">
        <v>60</v>
      </c>
      <c r="F2534" s="7">
        <v>1</v>
      </c>
      <c r="G2534" s="7" t="s">
        <v>15</v>
      </c>
      <c r="H2534" s="7" t="s">
        <v>318</v>
      </c>
      <c r="M2534" s="7" t="s">
        <v>898</v>
      </c>
      <c r="O2534" s="7" t="s">
        <v>682</v>
      </c>
      <c r="P2534" s="7">
        <f t="shared" si="208"/>
        <v>10</v>
      </c>
      <c r="Q2534" s="7">
        <f t="shared" si="207"/>
        <v>2025</v>
      </c>
    </row>
    <row r="2535" spans="1:17" x14ac:dyDescent="0.25">
      <c r="A2535" s="7">
        <v>2558</v>
      </c>
      <c r="B2535" s="9" t="s">
        <v>897</v>
      </c>
      <c r="C2535" s="9" t="s">
        <v>897</v>
      </c>
      <c r="D2535" s="8">
        <v>45950</v>
      </c>
      <c r="E2535" s="7" t="s">
        <v>60</v>
      </c>
      <c r="F2535" s="7">
        <v>1</v>
      </c>
      <c r="G2535" s="7" t="s">
        <v>15</v>
      </c>
      <c r="H2535" s="7" t="s">
        <v>318</v>
      </c>
      <c r="M2535" s="7" t="s">
        <v>898</v>
      </c>
      <c r="O2535" s="7" t="s">
        <v>682</v>
      </c>
      <c r="P2535" s="7">
        <f t="shared" si="208"/>
        <v>10</v>
      </c>
      <c r="Q2535" s="7">
        <f t="shared" si="207"/>
        <v>2025</v>
      </c>
    </row>
    <row r="2536" spans="1:17" x14ac:dyDescent="0.25">
      <c r="A2536" s="7">
        <v>2558</v>
      </c>
      <c r="B2536" s="9" t="s">
        <v>897</v>
      </c>
      <c r="C2536" s="9" t="s">
        <v>897</v>
      </c>
      <c r="D2536" s="8">
        <v>45950</v>
      </c>
      <c r="E2536" s="7" t="s">
        <v>60</v>
      </c>
      <c r="F2536" s="7">
        <v>1</v>
      </c>
      <c r="G2536" s="7" t="s">
        <v>15</v>
      </c>
      <c r="H2536" s="7" t="s">
        <v>318</v>
      </c>
      <c r="M2536" s="7" t="s">
        <v>898</v>
      </c>
      <c r="O2536" s="7" t="s">
        <v>682</v>
      </c>
      <c r="P2536" s="7">
        <f t="shared" si="208"/>
        <v>10</v>
      </c>
      <c r="Q2536" s="7">
        <f t="shared" si="207"/>
        <v>2025</v>
      </c>
    </row>
    <row r="2537" spans="1:17" x14ac:dyDescent="0.25">
      <c r="A2537" s="7">
        <v>2558</v>
      </c>
      <c r="B2537" s="9" t="s">
        <v>897</v>
      </c>
      <c r="C2537" s="9" t="s">
        <v>897</v>
      </c>
      <c r="D2537" s="8">
        <v>45950</v>
      </c>
      <c r="E2537" s="7" t="s">
        <v>60</v>
      </c>
      <c r="F2537" s="7">
        <v>1</v>
      </c>
      <c r="G2537" s="7" t="s">
        <v>15</v>
      </c>
      <c r="H2537" s="7" t="s">
        <v>318</v>
      </c>
      <c r="M2537" s="7" t="s">
        <v>898</v>
      </c>
      <c r="O2537" s="7" t="s">
        <v>682</v>
      </c>
      <c r="P2537" s="7">
        <f t="shared" si="208"/>
        <v>10</v>
      </c>
      <c r="Q2537" s="7">
        <f t="shared" si="207"/>
        <v>2025</v>
      </c>
    </row>
    <row r="2538" spans="1:17" x14ac:dyDescent="0.25">
      <c r="A2538" s="7">
        <v>2558</v>
      </c>
      <c r="B2538" s="9" t="s">
        <v>897</v>
      </c>
      <c r="C2538" s="9" t="s">
        <v>897</v>
      </c>
      <c r="D2538" s="8">
        <v>45950</v>
      </c>
      <c r="E2538" s="7" t="s">
        <v>60</v>
      </c>
      <c r="F2538" s="7">
        <v>1</v>
      </c>
      <c r="G2538" s="7" t="s">
        <v>15</v>
      </c>
      <c r="H2538" s="7" t="s">
        <v>318</v>
      </c>
      <c r="M2538" s="7" t="s">
        <v>898</v>
      </c>
      <c r="O2538" s="7" t="s">
        <v>682</v>
      </c>
      <c r="P2538" s="7">
        <f t="shared" si="208"/>
        <v>10</v>
      </c>
      <c r="Q2538" s="7">
        <f t="shared" si="207"/>
        <v>2025</v>
      </c>
    </row>
    <row r="2539" spans="1:17" x14ac:dyDescent="0.25">
      <c r="A2539" s="7">
        <v>2558</v>
      </c>
      <c r="B2539" s="9" t="s">
        <v>897</v>
      </c>
      <c r="C2539" s="9" t="s">
        <v>897</v>
      </c>
      <c r="D2539" s="8">
        <v>45950</v>
      </c>
      <c r="E2539" s="7" t="s">
        <v>60</v>
      </c>
      <c r="F2539" s="7">
        <v>1</v>
      </c>
      <c r="G2539" s="7" t="s">
        <v>15</v>
      </c>
      <c r="H2539" s="7" t="s">
        <v>318</v>
      </c>
      <c r="M2539" s="7" t="s">
        <v>898</v>
      </c>
      <c r="O2539" s="7" t="s">
        <v>682</v>
      </c>
      <c r="P2539" s="7">
        <f t="shared" si="208"/>
        <v>10</v>
      </c>
      <c r="Q2539" s="7">
        <f t="shared" si="207"/>
        <v>2025</v>
      </c>
    </row>
    <row r="2540" spans="1:17" x14ac:dyDescent="0.25">
      <c r="A2540" s="7">
        <v>2558</v>
      </c>
      <c r="B2540" s="9" t="s">
        <v>897</v>
      </c>
      <c r="C2540" s="9" t="s">
        <v>897</v>
      </c>
      <c r="D2540" s="8">
        <v>45950</v>
      </c>
      <c r="E2540" s="7" t="s">
        <v>60</v>
      </c>
      <c r="F2540" s="7">
        <v>1</v>
      </c>
      <c r="G2540" s="7" t="s">
        <v>15</v>
      </c>
      <c r="H2540" s="7" t="s">
        <v>318</v>
      </c>
      <c r="M2540" s="7" t="s">
        <v>898</v>
      </c>
      <c r="O2540" s="7" t="s">
        <v>682</v>
      </c>
      <c r="P2540" s="7">
        <f t="shared" si="208"/>
        <v>10</v>
      </c>
      <c r="Q2540" s="7">
        <f t="shared" si="207"/>
        <v>2025</v>
      </c>
    </row>
    <row r="2541" spans="1:17" x14ac:dyDescent="0.25">
      <c r="A2541" s="7">
        <v>2559</v>
      </c>
      <c r="B2541" s="9" t="s">
        <v>9</v>
      </c>
      <c r="C2541" s="9" t="s">
        <v>9</v>
      </c>
      <c r="D2541" s="8">
        <v>45952</v>
      </c>
      <c r="E2541" s="7" t="s">
        <v>902</v>
      </c>
      <c r="F2541" s="7">
        <v>1</v>
      </c>
      <c r="G2541" s="7" t="s">
        <v>14</v>
      </c>
      <c r="H2541" s="7" t="s">
        <v>311</v>
      </c>
      <c r="M2541" s="7" t="s">
        <v>900</v>
      </c>
      <c r="N2541" s="7" t="s">
        <v>580</v>
      </c>
      <c r="O2541" s="7" t="s">
        <v>680</v>
      </c>
      <c r="P2541" s="7">
        <f t="shared" ref="P2541:P2558" si="209">MONTH(D2541)</f>
        <v>10</v>
      </c>
      <c r="Q2541" s="7">
        <f t="shared" si="207"/>
        <v>2025</v>
      </c>
    </row>
    <row r="2542" spans="1:17" x14ac:dyDescent="0.25">
      <c r="A2542" s="7">
        <v>2560</v>
      </c>
      <c r="B2542" s="9" t="s">
        <v>9</v>
      </c>
      <c r="C2542" s="9" t="s">
        <v>9</v>
      </c>
      <c r="D2542" s="8">
        <v>45952</v>
      </c>
      <c r="E2542" s="7" t="s">
        <v>903</v>
      </c>
      <c r="F2542" s="7">
        <v>1</v>
      </c>
      <c r="G2542" s="7" t="s">
        <v>14</v>
      </c>
      <c r="H2542" s="7" t="s">
        <v>311</v>
      </c>
      <c r="M2542" s="7" t="s">
        <v>901</v>
      </c>
      <c r="O2542" s="7" t="s">
        <v>682</v>
      </c>
      <c r="P2542" s="7">
        <f t="shared" si="209"/>
        <v>10</v>
      </c>
      <c r="Q2542" s="7">
        <f t="shared" si="207"/>
        <v>2025</v>
      </c>
    </row>
    <row r="2543" spans="1:17" x14ac:dyDescent="0.25">
      <c r="A2543" s="7">
        <v>2560</v>
      </c>
      <c r="B2543" s="9" t="s">
        <v>9</v>
      </c>
      <c r="C2543" s="9" t="s">
        <v>9</v>
      </c>
      <c r="D2543" s="8">
        <v>45952</v>
      </c>
      <c r="E2543" s="7" t="s">
        <v>904</v>
      </c>
      <c r="F2543" s="7">
        <v>1</v>
      </c>
      <c r="G2543" s="7" t="s">
        <v>14</v>
      </c>
      <c r="H2543" s="7" t="s">
        <v>311</v>
      </c>
      <c r="M2543" s="7" t="s">
        <v>901</v>
      </c>
      <c r="O2543" s="7" t="s">
        <v>682</v>
      </c>
      <c r="P2543" s="7">
        <f t="shared" si="209"/>
        <v>10</v>
      </c>
      <c r="Q2543" s="7">
        <f t="shared" ref="Q2543:Q2606" si="210">YEAR(D2543)</f>
        <v>2025</v>
      </c>
    </row>
    <row r="2544" spans="1:17" x14ac:dyDescent="0.25">
      <c r="A2544" s="7">
        <v>2561</v>
      </c>
      <c r="B2544" s="9" t="s">
        <v>10</v>
      </c>
      <c r="C2544" s="9" t="s">
        <v>906</v>
      </c>
      <c r="D2544" s="8">
        <v>45952</v>
      </c>
      <c r="E2544" s="7" t="s">
        <v>60</v>
      </c>
      <c r="F2544" s="7">
        <v>1</v>
      </c>
      <c r="G2544" s="7" t="s">
        <v>15</v>
      </c>
      <c r="H2544" s="7" t="s">
        <v>314</v>
      </c>
      <c r="M2544" s="7" t="s">
        <v>494</v>
      </c>
      <c r="O2544" s="7" t="s">
        <v>908</v>
      </c>
      <c r="P2544" s="7">
        <f t="shared" si="209"/>
        <v>10</v>
      </c>
      <c r="Q2544" s="7">
        <f t="shared" si="210"/>
        <v>2025</v>
      </c>
    </row>
    <row r="2545" spans="1:17" x14ac:dyDescent="0.25">
      <c r="A2545" s="7">
        <v>2561</v>
      </c>
      <c r="B2545" s="9" t="s">
        <v>10</v>
      </c>
      <c r="C2545" s="9" t="s">
        <v>906</v>
      </c>
      <c r="D2545" s="8">
        <v>45952</v>
      </c>
      <c r="E2545" s="7" t="s">
        <v>60</v>
      </c>
      <c r="F2545" s="7">
        <v>1</v>
      </c>
      <c r="G2545" s="7" t="s">
        <v>15</v>
      </c>
      <c r="H2545" s="7" t="s">
        <v>314</v>
      </c>
      <c r="M2545" s="7" t="s">
        <v>494</v>
      </c>
      <c r="N2545" s="7" t="s">
        <v>580</v>
      </c>
      <c r="O2545" s="7" t="s">
        <v>680</v>
      </c>
      <c r="P2545" s="7">
        <f t="shared" si="209"/>
        <v>10</v>
      </c>
      <c r="Q2545" s="7">
        <f t="shared" si="210"/>
        <v>2025</v>
      </c>
    </row>
    <row r="2546" spans="1:17" x14ac:dyDescent="0.25">
      <c r="A2546" s="7">
        <v>2561</v>
      </c>
      <c r="B2546" s="9" t="s">
        <v>10</v>
      </c>
      <c r="C2546" s="9" t="s">
        <v>906</v>
      </c>
      <c r="D2546" s="8">
        <v>45952</v>
      </c>
      <c r="E2546" s="7" t="s">
        <v>60</v>
      </c>
      <c r="F2546" s="7">
        <v>1</v>
      </c>
      <c r="G2546" s="7" t="s">
        <v>15</v>
      </c>
      <c r="H2546" s="7" t="s">
        <v>314</v>
      </c>
      <c r="M2546" s="7" t="s">
        <v>494</v>
      </c>
      <c r="N2546" s="7" t="s">
        <v>580</v>
      </c>
      <c r="O2546" s="7" t="s">
        <v>680</v>
      </c>
      <c r="P2546" s="7">
        <f t="shared" si="209"/>
        <v>10</v>
      </c>
      <c r="Q2546" s="7">
        <f t="shared" si="210"/>
        <v>2025</v>
      </c>
    </row>
    <row r="2547" spans="1:17" x14ac:dyDescent="0.25">
      <c r="A2547" s="7">
        <v>2561</v>
      </c>
      <c r="B2547" s="9" t="s">
        <v>10</v>
      </c>
      <c r="C2547" s="9" t="s">
        <v>906</v>
      </c>
      <c r="D2547" s="8">
        <v>45952</v>
      </c>
      <c r="E2547" s="7" t="s">
        <v>60</v>
      </c>
      <c r="F2547" s="7">
        <v>1</v>
      </c>
      <c r="G2547" s="7" t="s">
        <v>15</v>
      </c>
      <c r="H2547" s="7" t="s">
        <v>314</v>
      </c>
      <c r="M2547" s="7" t="s">
        <v>494</v>
      </c>
      <c r="N2547" s="7" t="s">
        <v>580</v>
      </c>
      <c r="O2547" s="7" t="s">
        <v>680</v>
      </c>
      <c r="P2547" s="7">
        <f t="shared" si="209"/>
        <v>10</v>
      </c>
      <c r="Q2547" s="7">
        <f t="shared" si="210"/>
        <v>2025</v>
      </c>
    </row>
    <row r="2548" spans="1:17" x14ac:dyDescent="0.25">
      <c r="A2548" s="7">
        <v>2561</v>
      </c>
      <c r="B2548" s="9" t="s">
        <v>10</v>
      </c>
      <c r="C2548" s="9" t="s">
        <v>906</v>
      </c>
      <c r="D2548" s="8">
        <v>45952</v>
      </c>
      <c r="E2548" s="7" t="s">
        <v>60</v>
      </c>
      <c r="F2548" s="7">
        <v>1</v>
      </c>
      <c r="G2548" s="7" t="s">
        <v>15</v>
      </c>
      <c r="H2548" s="7" t="s">
        <v>314</v>
      </c>
      <c r="M2548" s="7" t="s">
        <v>494</v>
      </c>
      <c r="N2548" s="7" t="s">
        <v>580</v>
      </c>
      <c r="O2548" s="7" t="s">
        <v>680</v>
      </c>
      <c r="P2548" s="7">
        <f t="shared" si="209"/>
        <v>10</v>
      </c>
      <c r="Q2548" s="7">
        <f t="shared" si="210"/>
        <v>2025</v>
      </c>
    </row>
    <row r="2549" spans="1:17" x14ac:dyDescent="0.25">
      <c r="A2549" s="7">
        <v>2561</v>
      </c>
      <c r="B2549" s="9" t="s">
        <v>10</v>
      </c>
      <c r="C2549" s="9" t="s">
        <v>906</v>
      </c>
      <c r="D2549" s="8">
        <v>45952</v>
      </c>
      <c r="E2549" s="7" t="s">
        <v>60</v>
      </c>
      <c r="F2549" s="7">
        <v>1</v>
      </c>
      <c r="G2549" s="7" t="s">
        <v>15</v>
      </c>
      <c r="H2549" s="7" t="s">
        <v>314</v>
      </c>
      <c r="M2549" s="7" t="s">
        <v>494</v>
      </c>
      <c r="N2549" s="7" t="s">
        <v>580</v>
      </c>
      <c r="O2549" s="7" t="s">
        <v>680</v>
      </c>
      <c r="P2549" s="7">
        <f t="shared" ref="P2549:P2550" si="211">MONTH(D2549)</f>
        <v>10</v>
      </c>
      <c r="Q2549" s="7">
        <f t="shared" si="210"/>
        <v>2025</v>
      </c>
    </row>
    <row r="2550" spans="1:17" x14ac:dyDescent="0.25">
      <c r="A2550" s="7">
        <v>2561</v>
      </c>
      <c r="B2550" s="9" t="s">
        <v>10</v>
      </c>
      <c r="C2550" s="9" t="s">
        <v>906</v>
      </c>
      <c r="D2550" s="8">
        <v>45952</v>
      </c>
      <c r="E2550" s="7" t="s">
        <v>60</v>
      </c>
      <c r="F2550" s="7">
        <v>1</v>
      </c>
      <c r="G2550" s="7" t="s">
        <v>15</v>
      </c>
      <c r="H2550" s="7" t="s">
        <v>314</v>
      </c>
      <c r="M2550" s="7" t="s">
        <v>494</v>
      </c>
      <c r="N2550" s="7" t="s">
        <v>580</v>
      </c>
      <c r="O2550" s="7" t="s">
        <v>680</v>
      </c>
      <c r="P2550" s="7">
        <f t="shared" si="211"/>
        <v>10</v>
      </c>
      <c r="Q2550" s="7">
        <f t="shared" si="210"/>
        <v>2025</v>
      </c>
    </row>
    <row r="2551" spans="1:17" x14ac:dyDescent="0.25">
      <c r="A2551" s="7">
        <v>2561</v>
      </c>
      <c r="B2551" s="9" t="s">
        <v>10</v>
      </c>
      <c r="C2551" s="9" t="s">
        <v>906</v>
      </c>
      <c r="D2551" s="8">
        <v>45952</v>
      </c>
      <c r="E2551" s="7" t="s">
        <v>60</v>
      </c>
      <c r="F2551" s="7">
        <v>1</v>
      </c>
      <c r="G2551" s="7" t="s">
        <v>15</v>
      </c>
      <c r="H2551" s="7" t="s">
        <v>314</v>
      </c>
      <c r="M2551" s="7" t="s">
        <v>494</v>
      </c>
      <c r="N2551" s="7" t="s">
        <v>580</v>
      </c>
      <c r="O2551" s="7" t="s">
        <v>680</v>
      </c>
      <c r="P2551" s="7">
        <f t="shared" ref="P2551:P2552" si="212">MONTH(D2551)</f>
        <v>10</v>
      </c>
      <c r="Q2551" s="7">
        <f t="shared" si="210"/>
        <v>2025</v>
      </c>
    </row>
    <row r="2552" spans="1:17" x14ac:dyDescent="0.25">
      <c r="A2552" s="7">
        <v>2561</v>
      </c>
      <c r="B2552" s="9" t="s">
        <v>10</v>
      </c>
      <c r="C2552" s="9" t="s">
        <v>906</v>
      </c>
      <c r="D2552" s="8">
        <v>45952</v>
      </c>
      <c r="E2552" s="7" t="s">
        <v>60</v>
      </c>
      <c r="F2552" s="7">
        <v>1</v>
      </c>
      <c r="G2552" s="7" t="s">
        <v>15</v>
      </c>
      <c r="H2552" s="7" t="s">
        <v>314</v>
      </c>
      <c r="M2552" s="7" t="s">
        <v>494</v>
      </c>
      <c r="N2552" s="7" t="s">
        <v>580</v>
      </c>
      <c r="O2552" s="7" t="s">
        <v>680</v>
      </c>
      <c r="P2552" s="7">
        <f t="shared" si="212"/>
        <v>10</v>
      </c>
      <c r="Q2552" s="7">
        <f t="shared" si="210"/>
        <v>2025</v>
      </c>
    </row>
    <row r="2553" spans="1:17" x14ac:dyDescent="0.25">
      <c r="A2553" s="7">
        <v>2561</v>
      </c>
      <c r="B2553" s="9" t="s">
        <v>10</v>
      </c>
      <c r="C2553" s="9" t="s">
        <v>906</v>
      </c>
      <c r="D2553" s="8">
        <v>45952</v>
      </c>
      <c r="E2553" s="7" t="s">
        <v>60</v>
      </c>
      <c r="F2553" s="7">
        <v>1</v>
      </c>
      <c r="G2553" s="7" t="s">
        <v>15</v>
      </c>
      <c r="H2553" s="7" t="s">
        <v>314</v>
      </c>
      <c r="M2553" s="7" t="s">
        <v>494</v>
      </c>
      <c r="N2553" s="7" t="s">
        <v>580</v>
      </c>
      <c r="O2553" s="7" t="s">
        <v>680</v>
      </c>
      <c r="P2553" s="7">
        <f t="shared" si="209"/>
        <v>10</v>
      </c>
      <c r="Q2553" s="7">
        <f t="shared" si="210"/>
        <v>2025</v>
      </c>
    </row>
    <row r="2554" spans="1:17" x14ac:dyDescent="0.25">
      <c r="A2554" s="7">
        <v>2562</v>
      </c>
      <c r="B2554" s="9" t="s">
        <v>636</v>
      </c>
      <c r="C2554" s="9" t="s">
        <v>636</v>
      </c>
      <c r="D2554" s="8">
        <v>45960</v>
      </c>
      <c r="E2554" s="7" t="s">
        <v>915</v>
      </c>
      <c r="F2554" s="7">
        <v>1</v>
      </c>
      <c r="G2554" s="7" t="s">
        <v>15</v>
      </c>
      <c r="H2554" s="7" t="s">
        <v>314</v>
      </c>
      <c r="M2554" s="7" t="s">
        <v>917</v>
      </c>
      <c r="O2554" s="7" t="s">
        <v>682</v>
      </c>
      <c r="P2554" s="7">
        <f t="shared" si="209"/>
        <v>10</v>
      </c>
      <c r="Q2554" s="7">
        <f t="shared" si="210"/>
        <v>2025</v>
      </c>
    </row>
    <row r="2555" spans="1:17" x14ac:dyDescent="0.25">
      <c r="A2555" s="7">
        <v>2562</v>
      </c>
      <c r="B2555" s="9" t="s">
        <v>636</v>
      </c>
      <c r="C2555" s="9" t="s">
        <v>636</v>
      </c>
      <c r="D2555" s="8">
        <v>45960</v>
      </c>
      <c r="E2555" s="7" t="s">
        <v>916</v>
      </c>
      <c r="F2555" s="7">
        <v>1</v>
      </c>
      <c r="G2555" s="7" t="s">
        <v>15</v>
      </c>
      <c r="H2555" s="7" t="s">
        <v>314</v>
      </c>
      <c r="M2555" s="7" t="s">
        <v>917</v>
      </c>
      <c r="O2555" s="7" t="s">
        <v>682</v>
      </c>
      <c r="P2555" s="7">
        <f t="shared" si="209"/>
        <v>10</v>
      </c>
      <c r="Q2555" s="7">
        <f t="shared" si="210"/>
        <v>2025</v>
      </c>
    </row>
    <row r="2556" spans="1:17" x14ac:dyDescent="0.25">
      <c r="A2556" s="7">
        <v>2563</v>
      </c>
      <c r="B2556" s="9" t="s">
        <v>28</v>
      </c>
      <c r="C2556" s="9" t="s">
        <v>918</v>
      </c>
      <c r="D2556" s="8">
        <v>45960</v>
      </c>
      <c r="E2556" s="7" t="s">
        <v>919</v>
      </c>
      <c r="F2556" s="7">
        <v>1</v>
      </c>
      <c r="G2556" s="7" t="s">
        <v>14</v>
      </c>
      <c r="H2556" s="7" t="s">
        <v>311</v>
      </c>
      <c r="M2556" s="16" t="s">
        <v>497</v>
      </c>
      <c r="N2556" s="7" t="s">
        <v>579</v>
      </c>
      <c r="O2556" s="7" t="s">
        <v>680</v>
      </c>
      <c r="P2556" s="7">
        <f t="shared" si="209"/>
        <v>10</v>
      </c>
      <c r="Q2556" s="7">
        <f t="shared" si="210"/>
        <v>2025</v>
      </c>
    </row>
    <row r="2557" spans="1:17" x14ac:dyDescent="0.25">
      <c r="A2557" s="7">
        <v>2563</v>
      </c>
      <c r="B2557" s="9" t="s">
        <v>28</v>
      </c>
      <c r="C2557" s="9" t="s">
        <v>918</v>
      </c>
      <c r="D2557" s="8">
        <v>45960</v>
      </c>
      <c r="E2557" s="7" t="s">
        <v>920</v>
      </c>
      <c r="F2557" s="7">
        <v>1</v>
      </c>
      <c r="G2557" s="7" t="s">
        <v>14</v>
      </c>
      <c r="H2557" s="7" t="s">
        <v>311</v>
      </c>
      <c r="M2557" s="16" t="s">
        <v>497</v>
      </c>
      <c r="N2557" s="7" t="s">
        <v>579</v>
      </c>
      <c r="O2557" s="7" t="s">
        <v>680</v>
      </c>
      <c r="P2557" s="7">
        <f t="shared" si="209"/>
        <v>10</v>
      </c>
      <c r="Q2557" s="7">
        <f t="shared" si="210"/>
        <v>2025</v>
      </c>
    </row>
    <row r="2558" spans="1:17" x14ac:dyDescent="0.25">
      <c r="A2558" s="7">
        <v>2564</v>
      </c>
      <c r="B2558" s="9" t="s">
        <v>10</v>
      </c>
      <c r="C2558" s="9" t="s">
        <v>969</v>
      </c>
      <c r="D2558" s="8">
        <v>45964</v>
      </c>
      <c r="E2558" s="7" t="s">
        <v>60</v>
      </c>
      <c r="F2558" s="7">
        <v>1</v>
      </c>
      <c r="G2558" s="7" t="s">
        <v>15</v>
      </c>
      <c r="H2558" s="7" t="s">
        <v>314</v>
      </c>
      <c r="M2558" s="16" t="s">
        <v>497</v>
      </c>
      <c r="N2558" s="7" t="s">
        <v>579</v>
      </c>
      <c r="O2558" s="7" t="s">
        <v>680</v>
      </c>
      <c r="P2558" s="7">
        <f t="shared" si="209"/>
        <v>11</v>
      </c>
      <c r="Q2558" s="7">
        <f t="shared" si="210"/>
        <v>2025</v>
      </c>
    </row>
    <row r="2559" spans="1:17" x14ac:dyDescent="0.25">
      <c r="A2559" s="7">
        <v>2564</v>
      </c>
      <c r="B2559" s="9" t="s">
        <v>10</v>
      </c>
      <c r="C2559" s="9" t="s">
        <v>969</v>
      </c>
      <c r="D2559" s="8">
        <v>45964</v>
      </c>
      <c r="E2559" s="7" t="s">
        <v>60</v>
      </c>
      <c r="F2559" s="7">
        <v>1</v>
      </c>
      <c r="G2559" s="7" t="s">
        <v>15</v>
      </c>
      <c r="H2559" s="7" t="s">
        <v>314</v>
      </c>
      <c r="M2559" s="16" t="s">
        <v>497</v>
      </c>
      <c r="N2559" s="7" t="s">
        <v>579</v>
      </c>
      <c r="O2559" s="7" t="s">
        <v>680</v>
      </c>
      <c r="P2559" s="7">
        <f t="shared" ref="P2559:P2610" si="213">MONTH(D2559)</f>
        <v>11</v>
      </c>
      <c r="Q2559" s="7">
        <f t="shared" si="210"/>
        <v>2025</v>
      </c>
    </row>
    <row r="2560" spans="1:17" x14ac:dyDescent="0.25">
      <c r="A2560" s="7">
        <v>2564</v>
      </c>
      <c r="B2560" s="9" t="s">
        <v>10</v>
      </c>
      <c r="C2560" s="9" t="s">
        <v>969</v>
      </c>
      <c r="D2560" s="8">
        <v>45964</v>
      </c>
      <c r="E2560" s="7" t="s">
        <v>60</v>
      </c>
      <c r="F2560" s="7">
        <v>1</v>
      </c>
      <c r="G2560" s="7" t="s">
        <v>15</v>
      </c>
      <c r="H2560" s="7" t="s">
        <v>314</v>
      </c>
      <c r="M2560" s="16" t="s">
        <v>497</v>
      </c>
      <c r="N2560" s="7" t="s">
        <v>579</v>
      </c>
      <c r="O2560" s="7" t="s">
        <v>680</v>
      </c>
      <c r="P2560" s="7">
        <f t="shared" si="213"/>
        <v>11</v>
      </c>
      <c r="Q2560" s="7">
        <f t="shared" si="210"/>
        <v>2025</v>
      </c>
    </row>
    <row r="2561" spans="1:17" x14ac:dyDescent="0.25">
      <c r="A2561" s="7">
        <v>2564</v>
      </c>
      <c r="B2561" s="9" t="s">
        <v>10</v>
      </c>
      <c r="C2561" s="9" t="s">
        <v>969</v>
      </c>
      <c r="D2561" s="8">
        <v>45964</v>
      </c>
      <c r="E2561" s="7" t="s">
        <v>60</v>
      </c>
      <c r="F2561" s="7">
        <v>1</v>
      </c>
      <c r="G2561" s="7" t="s">
        <v>15</v>
      </c>
      <c r="H2561" s="7" t="s">
        <v>314</v>
      </c>
      <c r="M2561" s="16" t="s">
        <v>497</v>
      </c>
      <c r="N2561" s="7" t="s">
        <v>579</v>
      </c>
      <c r="O2561" s="7" t="s">
        <v>680</v>
      </c>
      <c r="P2561" s="7">
        <f t="shared" si="213"/>
        <v>11</v>
      </c>
      <c r="Q2561" s="7">
        <f t="shared" si="210"/>
        <v>2025</v>
      </c>
    </row>
    <row r="2562" spans="1:17" x14ac:dyDescent="0.25">
      <c r="A2562" s="7">
        <v>2564</v>
      </c>
      <c r="B2562" s="9" t="s">
        <v>10</v>
      </c>
      <c r="C2562" s="9" t="s">
        <v>969</v>
      </c>
      <c r="D2562" s="8">
        <v>45964</v>
      </c>
      <c r="E2562" s="7" t="s">
        <v>60</v>
      </c>
      <c r="F2562" s="7">
        <v>1</v>
      </c>
      <c r="G2562" s="7" t="s">
        <v>15</v>
      </c>
      <c r="H2562" s="7" t="s">
        <v>314</v>
      </c>
      <c r="M2562" s="16" t="s">
        <v>497</v>
      </c>
      <c r="N2562" s="7" t="s">
        <v>579</v>
      </c>
      <c r="O2562" s="7" t="s">
        <v>680</v>
      </c>
      <c r="P2562" s="7">
        <f t="shared" si="213"/>
        <v>11</v>
      </c>
      <c r="Q2562" s="7">
        <f t="shared" si="210"/>
        <v>2025</v>
      </c>
    </row>
    <row r="2563" spans="1:17" x14ac:dyDescent="0.25">
      <c r="A2563" s="7">
        <v>2564</v>
      </c>
      <c r="B2563" s="9" t="s">
        <v>10</v>
      </c>
      <c r="C2563" s="9" t="s">
        <v>969</v>
      </c>
      <c r="D2563" s="8">
        <v>45964</v>
      </c>
      <c r="E2563" s="7" t="s">
        <v>60</v>
      </c>
      <c r="F2563" s="7">
        <v>1</v>
      </c>
      <c r="G2563" s="7" t="s">
        <v>15</v>
      </c>
      <c r="H2563" s="7" t="s">
        <v>314</v>
      </c>
      <c r="M2563" s="16" t="s">
        <v>497</v>
      </c>
      <c r="N2563" s="7" t="s">
        <v>579</v>
      </c>
      <c r="O2563" s="7" t="s">
        <v>680</v>
      </c>
      <c r="P2563" s="7">
        <f t="shared" si="213"/>
        <v>11</v>
      </c>
      <c r="Q2563" s="7">
        <f t="shared" si="210"/>
        <v>2025</v>
      </c>
    </row>
    <row r="2564" spans="1:17" x14ac:dyDescent="0.25">
      <c r="A2564" s="7">
        <v>2564</v>
      </c>
      <c r="B2564" s="9" t="s">
        <v>10</v>
      </c>
      <c r="C2564" s="9" t="s">
        <v>969</v>
      </c>
      <c r="D2564" s="8">
        <v>45964</v>
      </c>
      <c r="E2564" s="7" t="s">
        <v>60</v>
      </c>
      <c r="F2564" s="7">
        <v>1</v>
      </c>
      <c r="G2564" s="7" t="s">
        <v>15</v>
      </c>
      <c r="H2564" s="7" t="s">
        <v>314</v>
      </c>
      <c r="M2564" s="16" t="s">
        <v>497</v>
      </c>
      <c r="N2564" s="7" t="s">
        <v>579</v>
      </c>
      <c r="O2564" s="7" t="s">
        <v>680</v>
      </c>
      <c r="P2564" s="7">
        <f t="shared" si="213"/>
        <v>11</v>
      </c>
      <c r="Q2564" s="7">
        <f t="shared" si="210"/>
        <v>2025</v>
      </c>
    </row>
    <row r="2565" spans="1:17" x14ac:dyDescent="0.25">
      <c r="A2565" s="7">
        <v>2564</v>
      </c>
      <c r="B2565" s="9" t="s">
        <v>10</v>
      </c>
      <c r="C2565" s="9" t="s">
        <v>969</v>
      </c>
      <c r="D2565" s="8">
        <v>45964</v>
      </c>
      <c r="E2565" s="7" t="s">
        <v>60</v>
      </c>
      <c r="F2565" s="7">
        <v>1</v>
      </c>
      <c r="G2565" s="7" t="s">
        <v>15</v>
      </c>
      <c r="H2565" s="7" t="s">
        <v>314</v>
      </c>
      <c r="M2565" s="16" t="s">
        <v>497</v>
      </c>
      <c r="N2565" s="7" t="s">
        <v>579</v>
      </c>
      <c r="O2565" s="7" t="s">
        <v>680</v>
      </c>
      <c r="P2565" s="7">
        <f t="shared" si="213"/>
        <v>11</v>
      </c>
      <c r="Q2565" s="7">
        <f t="shared" si="210"/>
        <v>2025</v>
      </c>
    </row>
    <row r="2566" spans="1:17" x14ac:dyDescent="0.25">
      <c r="A2566" s="7">
        <v>2564</v>
      </c>
      <c r="B2566" s="9" t="s">
        <v>10</v>
      </c>
      <c r="C2566" s="9" t="s">
        <v>969</v>
      </c>
      <c r="D2566" s="8">
        <v>45964</v>
      </c>
      <c r="E2566" s="7" t="s">
        <v>60</v>
      </c>
      <c r="F2566" s="7">
        <v>1</v>
      </c>
      <c r="G2566" s="7" t="s">
        <v>15</v>
      </c>
      <c r="H2566" s="7" t="s">
        <v>314</v>
      </c>
      <c r="M2566" s="16" t="s">
        <v>497</v>
      </c>
      <c r="N2566" s="7" t="s">
        <v>579</v>
      </c>
      <c r="O2566" s="7" t="s">
        <v>680</v>
      </c>
      <c r="P2566" s="7">
        <f t="shared" si="213"/>
        <v>11</v>
      </c>
      <c r="Q2566" s="7">
        <f t="shared" si="210"/>
        <v>2025</v>
      </c>
    </row>
    <row r="2567" spans="1:17" x14ac:dyDescent="0.25">
      <c r="A2567" s="7">
        <v>2564</v>
      </c>
      <c r="B2567" s="9" t="s">
        <v>10</v>
      </c>
      <c r="C2567" s="9" t="s">
        <v>969</v>
      </c>
      <c r="D2567" s="8">
        <v>45964</v>
      </c>
      <c r="E2567" s="7" t="s">
        <v>60</v>
      </c>
      <c r="F2567" s="7">
        <v>1</v>
      </c>
      <c r="G2567" s="7" t="s">
        <v>15</v>
      </c>
      <c r="H2567" s="7" t="s">
        <v>314</v>
      </c>
      <c r="M2567" s="16" t="s">
        <v>497</v>
      </c>
      <c r="N2567" s="7" t="s">
        <v>579</v>
      </c>
      <c r="O2567" s="7" t="s">
        <v>680</v>
      </c>
      <c r="P2567" s="7">
        <f t="shared" si="213"/>
        <v>11</v>
      </c>
      <c r="Q2567" s="7">
        <f t="shared" si="210"/>
        <v>2025</v>
      </c>
    </row>
    <row r="2568" spans="1:17" x14ac:dyDescent="0.25">
      <c r="A2568" s="7">
        <v>2564</v>
      </c>
      <c r="B2568" s="9" t="s">
        <v>10</v>
      </c>
      <c r="C2568" s="9" t="s">
        <v>969</v>
      </c>
      <c r="D2568" s="8">
        <v>45964</v>
      </c>
      <c r="E2568" s="7" t="s">
        <v>60</v>
      </c>
      <c r="F2568" s="7">
        <v>1</v>
      </c>
      <c r="G2568" s="7" t="s">
        <v>15</v>
      </c>
      <c r="H2568" s="7" t="s">
        <v>314</v>
      </c>
      <c r="M2568" s="16" t="s">
        <v>497</v>
      </c>
      <c r="N2568" s="7" t="s">
        <v>579</v>
      </c>
      <c r="O2568" s="7" t="s">
        <v>680</v>
      </c>
      <c r="P2568" s="7">
        <f t="shared" si="213"/>
        <v>11</v>
      </c>
      <c r="Q2568" s="7">
        <f t="shared" si="210"/>
        <v>2025</v>
      </c>
    </row>
    <row r="2569" spans="1:17" x14ac:dyDescent="0.25">
      <c r="A2569" s="7">
        <v>2564</v>
      </c>
      <c r="B2569" s="9" t="s">
        <v>10</v>
      </c>
      <c r="C2569" s="9" t="s">
        <v>969</v>
      </c>
      <c r="D2569" s="8">
        <v>45964</v>
      </c>
      <c r="E2569" s="7" t="s">
        <v>60</v>
      </c>
      <c r="F2569" s="7">
        <v>1</v>
      </c>
      <c r="G2569" s="7" t="s">
        <v>15</v>
      </c>
      <c r="H2569" s="7" t="s">
        <v>314</v>
      </c>
      <c r="M2569" s="16" t="s">
        <v>497</v>
      </c>
      <c r="N2569" s="7" t="s">
        <v>579</v>
      </c>
      <c r="O2569" s="7" t="s">
        <v>680</v>
      </c>
      <c r="P2569" s="7">
        <f t="shared" si="213"/>
        <v>11</v>
      </c>
      <c r="Q2569" s="7">
        <f t="shared" si="210"/>
        <v>2025</v>
      </c>
    </row>
    <row r="2570" spans="1:17" x14ac:dyDescent="0.25">
      <c r="A2570" s="7">
        <v>2564</v>
      </c>
      <c r="B2570" s="9" t="s">
        <v>10</v>
      </c>
      <c r="C2570" s="9" t="s">
        <v>969</v>
      </c>
      <c r="D2570" s="8">
        <v>45964</v>
      </c>
      <c r="E2570" s="7" t="s">
        <v>60</v>
      </c>
      <c r="F2570" s="7">
        <v>1</v>
      </c>
      <c r="G2570" s="7" t="s">
        <v>15</v>
      </c>
      <c r="H2570" s="7" t="s">
        <v>314</v>
      </c>
      <c r="M2570" s="16" t="s">
        <v>497</v>
      </c>
      <c r="N2570" s="7" t="s">
        <v>579</v>
      </c>
      <c r="O2570" s="7" t="s">
        <v>680</v>
      </c>
      <c r="P2570" s="7">
        <f t="shared" si="213"/>
        <v>11</v>
      </c>
      <c r="Q2570" s="7">
        <f t="shared" si="210"/>
        <v>2025</v>
      </c>
    </row>
    <row r="2571" spans="1:17" x14ac:dyDescent="0.25">
      <c r="A2571" s="7">
        <v>2564</v>
      </c>
      <c r="B2571" s="9" t="s">
        <v>10</v>
      </c>
      <c r="C2571" s="9" t="s">
        <v>969</v>
      </c>
      <c r="D2571" s="8">
        <v>45964</v>
      </c>
      <c r="E2571" s="7" t="s">
        <v>60</v>
      </c>
      <c r="F2571" s="7">
        <v>1</v>
      </c>
      <c r="G2571" s="7" t="s">
        <v>15</v>
      </c>
      <c r="H2571" s="7" t="s">
        <v>314</v>
      </c>
      <c r="M2571" s="16" t="s">
        <v>497</v>
      </c>
      <c r="N2571" s="7" t="s">
        <v>579</v>
      </c>
      <c r="O2571" s="7" t="s">
        <v>680</v>
      </c>
      <c r="P2571" s="7">
        <f t="shared" si="213"/>
        <v>11</v>
      </c>
      <c r="Q2571" s="7">
        <f t="shared" si="210"/>
        <v>2025</v>
      </c>
    </row>
    <row r="2572" spans="1:17" x14ac:dyDescent="0.25">
      <c r="A2572" s="7">
        <v>2564</v>
      </c>
      <c r="B2572" s="9" t="s">
        <v>10</v>
      </c>
      <c r="C2572" s="9" t="s">
        <v>969</v>
      </c>
      <c r="D2572" s="8">
        <v>45964</v>
      </c>
      <c r="E2572" s="7" t="s">
        <v>60</v>
      </c>
      <c r="F2572" s="7">
        <v>1</v>
      </c>
      <c r="G2572" s="7" t="s">
        <v>15</v>
      </c>
      <c r="H2572" s="7" t="s">
        <v>314</v>
      </c>
      <c r="M2572" s="16" t="s">
        <v>497</v>
      </c>
      <c r="N2572" s="7" t="s">
        <v>579</v>
      </c>
      <c r="O2572" s="7" t="s">
        <v>680</v>
      </c>
      <c r="P2572" s="7">
        <f t="shared" si="213"/>
        <v>11</v>
      </c>
      <c r="Q2572" s="7">
        <f t="shared" si="210"/>
        <v>2025</v>
      </c>
    </row>
    <row r="2573" spans="1:17" x14ac:dyDescent="0.25">
      <c r="A2573" s="7">
        <v>2564</v>
      </c>
      <c r="B2573" s="9" t="s">
        <v>10</v>
      </c>
      <c r="C2573" s="9" t="s">
        <v>969</v>
      </c>
      <c r="D2573" s="8">
        <v>45964</v>
      </c>
      <c r="E2573" s="7" t="s">
        <v>60</v>
      </c>
      <c r="F2573" s="7">
        <v>1</v>
      </c>
      <c r="G2573" s="7" t="s">
        <v>15</v>
      </c>
      <c r="H2573" s="7" t="s">
        <v>314</v>
      </c>
      <c r="M2573" s="16" t="s">
        <v>497</v>
      </c>
      <c r="N2573" s="7" t="s">
        <v>579</v>
      </c>
      <c r="O2573" s="7" t="s">
        <v>680</v>
      </c>
      <c r="P2573" s="7">
        <f t="shared" si="213"/>
        <v>11</v>
      </c>
      <c r="Q2573" s="7">
        <f t="shared" si="210"/>
        <v>2025</v>
      </c>
    </row>
    <row r="2574" spans="1:17" x14ac:dyDescent="0.25">
      <c r="A2574" s="7">
        <v>2564</v>
      </c>
      <c r="B2574" s="9" t="s">
        <v>10</v>
      </c>
      <c r="C2574" s="9" t="s">
        <v>969</v>
      </c>
      <c r="D2574" s="8">
        <v>45964</v>
      </c>
      <c r="E2574" s="7" t="s">
        <v>60</v>
      </c>
      <c r="F2574" s="7">
        <v>1</v>
      </c>
      <c r="G2574" s="7" t="s">
        <v>15</v>
      </c>
      <c r="H2574" s="7" t="s">
        <v>314</v>
      </c>
      <c r="M2574" s="16" t="s">
        <v>497</v>
      </c>
      <c r="N2574" s="7" t="s">
        <v>579</v>
      </c>
      <c r="O2574" s="7" t="s">
        <v>680</v>
      </c>
      <c r="P2574" s="7">
        <f t="shared" si="213"/>
        <v>11</v>
      </c>
      <c r="Q2574" s="7">
        <f t="shared" si="210"/>
        <v>2025</v>
      </c>
    </row>
    <row r="2575" spans="1:17" x14ac:dyDescent="0.25">
      <c r="A2575" s="7">
        <v>2564</v>
      </c>
      <c r="B2575" s="9" t="s">
        <v>10</v>
      </c>
      <c r="C2575" s="9" t="s">
        <v>969</v>
      </c>
      <c r="D2575" s="8">
        <v>45964</v>
      </c>
      <c r="E2575" s="7" t="s">
        <v>60</v>
      </c>
      <c r="F2575" s="7">
        <v>1</v>
      </c>
      <c r="G2575" s="7" t="s">
        <v>15</v>
      </c>
      <c r="H2575" s="7" t="s">
        <v>314</v>
      </c>
      <c r="M2575" s="16" t="s">
        <v>497</v>
      </c>
      <c r="N2575" s="7" t="s">
        <v>579</v>
      </c>
      <c r="O2575" s="7" t="s">
        <v>680</v>
      </c>
      <c r="P2575" s="7">
        <f t="shared" si="213"/>
        <v>11</v>
      </c>
      <c r="Q2575" s="7">
        <f t="shared" si="210"/>
        <v>2025</v>
      </c>
    </row>
    <row r="2576" spans="1:17" x14ac:dyDescent="0.25">
      <c r="A2576" s="7">
        <v>2564</v>
      </c>
      <c r="B2576" s="9" t="s">
        <v>10</v>
      </c>
      <c r="C2576" s="9" t="s">
        <v>969</v>
      </c>
      <c r="D2576" s="8">
        <v>45964</v>
      </c>
      <c r="E2576" s="7" t="s">
        <v>60</v>
      </c>
      <c r="F2576" s="7">
        <v>1</v>
      </c>
      <c r="G2576" s="7" t="s">
        <v>15</v>
      </c>
      <c r="H2576" s="7" t="s">
        <v>314</v>
      </c>
      <c r="M2576" s="16" t="s">
        <v>497</v>
      </c>
      <c r="N2576" s="7" t="s">
        <v>579</v>
      </c>
      <c r="O2576" s="7" t="s">
        <v>680</v>
      </c>
      <c r="P2576" s="7">
        <f t="shared" si="213"/>
        <v>11</v>
      </c>
      <c r="Q2576" s="7">
        <f t="shared" si="210"/>
        <v>2025</v>
      </c>
    </row>
    <row r="2577" spans="1:17" x14ac:dyDescent="0.25">
      <c r="A2577" s="7">
        <v>2564</v>
      </c>
      <c r="B2577" s="9" t="s">
        <v>10</v>
      </c>
      <c r="C2577" s="9" t="s">
        <v>969</v>
      </c>
      <c r="D2577" s="8">
        <v>45964</v>
      </c>
      <c r="E2577" s="7" t="s">
        <v>60</v>
      </c>
      <c r="F2577" s="7">
        <v>1</v>
      </c>
      <c r="G2577" s="7" t="s">
        <v>15</v>
      </c>
      <c r="H2577" s="7" t="s">
        <v>314</v>
      </c>
      <c r="M2577" s="16" t="s">
        <v>497</v>
      </c>
      <c r="N2577" s="7" t="s">
        <v>579</v>
      </c>
      <c r="O2577" s="7" t="s">
        <v>680</v>
      </c>
      <c r="P2577" s="7">
        <f t="shared" si="213"/>
        <v>11</v>
      </c>
      <c r="Q2577" s="7">
        <f t="shared" si="210"/>
        <v>2025</v>
      </c>
    </row>
    <row r="2578" spans="1:17" x14ac:dyDescent="0.25">
      <c r="A2578" s="7">
        <v>2564</v>
      </c>
      <c r="B2578" s="9" t="s">
        <v>10</v>
      </c>
      <c r="C2578" s="9" t="s">
        <v>969</v>
      </c>
      <c r="D2578" s="8">
        <v>45964</v>
      </c>
      <c r="E2578" s="7" t="s">
        <v>60</v>
      </c>
      <c r="F2578" s="7">
        <v>1</v>
      </c>
      <c r="G2578" s="7" t="s">
        <v>15</v>
      </c>
      <c r="H2578" s="7" t="s">
        <v>314</v>
      </c>
      <c r="M2578" s="16" t="s">
        <v>497</v>
      </c>
      <c r="N2578" s="7" t="s">
        <v>579</v>
      </c>
      <c r="O2578" s="7" t="s">
        <v>680</v>
      </c>
      <c r="P2578" s="7">
        <f t="shared" si="213"/>
        <v>11</v>
      </c>
      <c r="Q2578" s="7">
        <f t="shared" si="210"/>
        <v>2025</v>
      </c>
    </row>
    <row r="2579" spans="1:17" x14ac:dyDescent="0.25">
      <c r="A2579" s="7">
        <v>2564</v>
      </c>
      <c r="B2579" s="9" t="s">
        <v>10</v>
      </c>
      <c r="C2579" s="9" t="s">
        <v>969</v>
      </c>
      <c r="D2579" s="8">
        <v>45964</v>
      </c>
      <c r="E2579" s="7" t="s">
        <v>60</v>
      </c>
      <c r="F2579" s="7">
        <v>1</v>
      </c>
      <c r="G2579" s="7" t="s">
        <v>15</v>
      </c>
      <c r="H2579" s="7" t="s">
        <v>314</v>
      </c>
      <c r="M2579" s="16" t="s">
        <v>497</v>
      </c>
      <c r="N2579" s="7" t="s">
        <v>579</v>
      </c>
      <c r="O2579" s="7" t="s">
        <v>680</v>
      </c>
      <c r="P2579" s="7">
        <f t="shared" si="213"/>
        <v>11</v>
      </c>
      <c r="Q2579" s="7">
        <f t="shared" si="210"/>
        <v>2025</v>
      </c>
    </row>
    <row r="2580" spans="1:17" x14ac:dyDescent="0.25">
      <c r="A2580" s="7">
        <v>2564</v>
      </c>
      <c r="B2580" s="9" t="s">
        <v>10</v>
      </c>
      <c r="C2580" s="9" t="s">
        <v>969</v>
      </c>
      <c r="D2580" s="8">
        <v>45964</v>
      </c>
      <c r="E2580" s="7" t="s">
        <v>60</v>
      </c>
      <c r="F2580" s="7">
        <v>1</v>
      </c>
      <c r="G2580" s="7" t="s">
        <v>15</v>
      </c>
      <c r="H2580" s="7" t="s">
        <v>314</v>
      </c>
      <c r="M2580" s="16" t="s">
        <v>497</v>
      </c>
      <c r="N2580" s="7" t="s">
        <v>579</v>
      </c>
      <c r="O2580" s="7" t="s">
        <v>680</v>
      </c>
      <c r="P2580" s="7">
        <f t="shared" si="213"/>
        <v>11</v>
      </c>
      <c r="Q2580" s="7">
        <f t="shared" si="210"/>
        <v>2025</v>
      </c>
    </row>
    <row r="2581" spans="1:17" x14ac:dyDescent="0.25">
      <c r="A2581" s="7">
        <v>2564</v>
      </c>
      <c r="B2581" s="9" t="s">
        <v>10</v>
      </c>
      <c r="C2581" s="9" t="s">
        <v>969</v>
      </c>
      <c r="D2581" s="8">
        <v>45964</v>
      </c>
      <c r="E2581" s="7" t="s">
        <v>60</v>
      </c>
      <c r="F2581" s="7">
        <v>1</v>
      </c>
      <c r="G2581" s="7" t="s">
        <v>15</v>
      </c>
      <c r="H2581" s="7" t="s">
        <v>314</v>
      </c>
      <c r="M2581" s="16" t="s">
        <v>497</v>
      </c>
      <c r="N2581" s="7" t="s">
        <v>579</v>
      </c>
      <c r="O2581" s="7" t="s">
        <v>680</v>
      </c>
      <c r="P2581" s="7">
        <f t="shared" si="213"/>
        <v>11</v>
      </c>
      <c r="Q2581" s="7">
        <f t="shared" si="210"/>
        <v>2025</v>
      </c>
    </row>
    <row r="2582" spans="1:17" x14ac:dyDescent="0.25">
      <c r="A2582" s="7">
        <v>2564</v>
      </c>
      <c r="B2582" s="9" t="s">
        <v>10</v>
      </c>
      <c r="C2582" s="9" t="s">
        <v>969</v>
      </c>
      <c r="D2582" s="8">
        <v>45964</v>
      </c>
      <c r="E2582" s="7" t="s">
        <v>60</v>
      </c>
      <c r="F2582" s="7">
        <v>1</v>
      </c>
      <c r="G2582" s="7" t="s">
        <v>15</v>
      </c>
      <c r="H2582" s="7" t="s">
        <v>314</v>
      </c>
      <c r="M2582" s="16" t="s">
        <v>497</v>
      </c>
      <c r="N2582" s="7" t="s">
        <v>579</v>
      </c>
      <c r="O2582" s="7" t="s">
        <v>680</v>
      </c>
      <c r="P2582" s="7">
        <f t="shared" si="213"/>
        <v>11</v>
      </c>
      <c r="Q2582" s="7">
        <f t="shared" si="210"/>
        <v>2025</v>
      </c>
    </row>
    <row r="2583" spans="1:17" x14ac:dyDescent="0.25">
      <c r="A2583" s="7">
        <v>2564</v>
      </c>
      <c r="B2583" s="9" t="s">
        <v>10</v>
      </c>
      <c r="C2583" s="9" t="s">
        <v>969</v>
      </c>
      <c r="D2583" s="8">
        <v>45964</v>
      </c>
      <c r="E2583" s="7" t="s">
        <v>60</v>
      </c>
      <c r="F2583" s="7">
        <v>1</v>
      </c>
      <c r="G2583" s="7" t="s">
        <v>15</v>
      </c>
      <c r="H2583" s="7" t="s">
        <v>314</v>
      </c>
      <c r="M2583" s="16" t="s">
        <v>497</v>
      </c>
      <c r="N2583" s="7" t="s">
        <v>579</v>
      </c>
      <c r="O2583" s="7" t="s">
        <v>680</v>
      </c>
      <c r="P2583" s="7">
        <f t="shared" si="213"/>
        <v>11</v>
      </c>
      <c r="Q2583" s="7">
        <f t="shared" si="210"/>
        <v>2025</v>
      </c>
    </row>
    <row r="2584" spans="1:17" x14ac:dyDescent="0.25">
      <c r="A2584" s="7">
        <v>2564</v>
      </c>
      <c r="B2584" s="9" t="s">
        <v>10</v>
      </c>
      <c r="C2584" s="9" t="s">
        <v>969</v>
      </c>
      <c r="D2584" s="8">
        <v>45964</v>
      </c>
      <c r="E2584" s="7" t="s">
        <v>60</v>
      </c>
      <c r="F2584" s="7">
        <v>1</v>
      </c>
      <c r="G2584" s="7" t="s">
        <v>15</v>
      </c>
      <c r="H2584" s="7" t="s">
        <v>314</v>
      </c>
      <c r="M2584" s="16" t="s">
        <v>497</v>
      </c>
      <c r="N2584" s="7" t="s">
        <v>579</v>
      </c>
      <c r="O2584" s="7" t="s">
        <v>680</v>
      </c>
      <c r="P2584" s="7">
        <f t="shared" si="213"/>
        <v>11</v>
      </c>
      <c r="Q2584" s="7">
        <f t="shared" si="210"/>
        <v>2025</v>
      </c>
    </row>
    <row r="2585" spans="1:17" x14ac:dyDescent="0.25">
      <c r="A2585" s="7">
        <v>2564</v>
      </c>
      <c r="B2585" s="9" t="s">
        <v>10</v>
      </c>
      <c r="C2585" s="9" t="s">
        <v>969</v>
      </c>
      <c r="D2585" s="8">
        <v>45964</v>
      </c>
      <c r="E2585" s="7" t="s">
        <v>60</v>
      </c>
      <c r="F2585" s="7">
        <v>1</v>
      </c>
      <c r="G2585" s="7" t="s">
        <v>15</v>
      </c>
      <c r="H2585" s="7" t="s">
        <v>314</v>
      </c>
      <c r="M2585" s="16" t="s">
        <v>497</v>
      </c>
      <c r="N2585" s="7" t="s">
        <v>579</v>
      </c>
      <c r="O2585" s="7" t="s">
        <v>680</v>
      </c>
      <c r="P2585" s="7">
        <f t="shared" si="213"/>
        <v>11</v>
      </c>
      <c r="Q2585" s="7">
        <f t="shared" si="210"/>
        <v>2025</v>
      </c>
    </row>
    <row r="2586" spans="1:17" x14ac:dyDescent="0.25">
      <c r="A2586" s="7">
        <v>2564</v>
      </c>
      <c r="B2586" s="9" t="s">
        <v>10</v>
      </c>
      <c r="C2586" s="9" t="s">
        <v>969</v>
      </c>
      <c r="D2586" s="8">
        <v>45964</v>
      </c>
      <c r="E2586" s="7" t="s">
        <v>60</v>
      </c>
      <c r="F2586" s="7">
        <v>1</v>
      </c>
      <c r="G2586" s="7" t="s">
        <v>15</v>
      </c>
      <c r="H2586" s="7" t="s">
        <v>314</v>
      </c>
      <c r="M2586" s="16" t="s">
        <v>497</v>
      </c>
      <c r="N2586" s="7" t="s">
        <v>579</v>
      </c>
      <c r="O2586" s="7" t="s">
        <v>680</v>
      </c>
      <c r="P2586" s="7">
        <f t="shared" si="213"/>
        <v>11</v>
      </c>
      <c r="Q2586" s="7">
        <f t="shared" si="210"/>
        <v>2025</v>
      </c>
    </row>
    <row r="2587" spans="1:17" x14ac:dyDescent="0.25">
      <c r="A2587" s="7">
        <v>2564</v>
      </c>
      <c r="B2587" s="9" t="s">
        <v>10</v>
      </c>
      <c r="C2587" s="9" t="s">
        <v>969</v>
      </c>
      <c r="D2587" s="8">
        <v>45964</v>
      </c>
      <c r="E2587" s="7" t="s">
        <v>60</v>
      </c>
      <c r="F2587" s="7">
        <v>1</v>
      </c>
      <c r="G2587" s="7" t="s">
        <v>15</v>
      </c>
      <c r="H2587" s="7" t="s">
        <v>314</v>
      </c>
      <c r="M2587" s="16" t="s">
        <v>497</v>
      </c>
      <c r="N2587" s="7" t="s">
        <v>579</v>
      </c>
      <c r="O2587" s="7" t="s">
        <v>680</v>
      </c>
      <c r="P2587" s="7">
        <f t="shared" si="213"/>
        <v>11</v>
      </c>
      <c r="Q2587" s="7">
        <f t="shared" si="210"/>
        <v>2025</v>
      </c>
    </row>
    <row r="2588" spans="1:17" x14ac:dyDescent="0.25">
      <c r="A2588" s="7">
        <v>2564</v>
      </c>
      <c r="B2588" s="9" t="s">
        <v>10</v>
      </c>
      <c r="C2588" s="9" t="s">
        <v>969</v>
      </c>
      <c r="D2588" s="8">
        <v>45964</v>
      </c>
      <c r="E2588" s="7" t="s">
        <v>60</v>
      </c>
      <c r="F2588" s="7">
        <v>1</v>
      </c>
      <c r="G2588" s="7" t="s">
        <v>15</v>
      </c>
      <c r="H2588" s="7" t="s">
        <v>314</v>
      </c>
      <c r="M2588" s="16" t="s">
        <v>497</v>
      </c>
      <c r="N2588" s="7" t="s">
        <v>579</v>
      </c>
      <c r="O2588" s="7" t="s">
        <v>680</v>
      </c>
      <c r="P2588" s="7">
        <f t="shared" si="213"/>
        <v>11</v>
      </c>
      <c r="Q2588" s="7">
        <f t="shared" si="210"/>
        <v>2025</v>
      </c>
    </row>
    <row r="2589" spans="1:17" x14ac:dyDescent="0.25">
      <c r="A2589" s="7">
        <v>2564</v>
      </c>
      <c r="B2589" s="9" t="s">
        <v>10</v>
      </c>
      <c r="C2589" s="9" t="s">
        <v>969</v>
      </c>
      <c r="D2589" s="8">
        <v>45964</v>
      </c>
      <c r="E2589" s="7" t="s">
        <v>60</v>
      </c>
      <c r="F2589" s="7">
        <v>1</v>
      </c>
      <c r="G2589" s="7" t="s">
        <v>15</v>
      </c>
      <c r="H2589" s="7" t="s">
        <v>314</v>
      </c>
      <c r="M2589" s="16" t="s">
        <v>497</v>
      </c>
      <c r="N2589" s="7" t="s">
        <v>579</v>
      </c>
      <c r="O2589" s="7" t="s">
        <v>680</v>
      </c>
      <c r="P2589" s="7">
        <f t="shared" si="213"/>
        <v>11</v>
      </c>
      <c r="Q2589" s="7">
        <f t="shared" si="210"/>
        <v>2025</v>
      </c>
    </row>
    <row r="2590" spans="1:17" x14ac:dyDescent="0.25">
      <c r="A2590" s="7">
        <v>2564</v>
      </c>
      <c r="B2590" s="9" t="s">
        <v>10</v>
      </c>
      <c r="C2590" s="9" t="s">
        <v>969</v>
      </c>
      <c r="D2590" s="8">
        <v>45964</v>
      </c>
      <c r="E2590" s="7" t="s">
        <v>60</v>
      </c>
      <c r="F2590" s="7">
        <v>1</v>
      </c>
      <c r="G2590" s="7" t="s">
        <v>15</v>
      </c>
      <c r="H2590" s="7" t="s">
        <v>314</v>
      </c>
      <c r="M2590" s="16" t="s">
        <v>497</v>
      </c>
      <c r="N2590" s="7" t="s">
        <v>579</v>
      </c>
      <c r="O2590" s="7" t="s">
        <v>680</v>
      </c>
      <c r="P2590" s="7">
        <f t="shared" si="213"/>
        <v>11</v>
      </c>
      <c r="Q2590" s="7">
        <f t="shared" si="210"/>
        <v>2025</v>
      </c>
    </row>
    <row r="2591" spans="1:17" x14ac:dyDescent="0.25">
      <c r="A2591" s="7">
        <v>2564</v>
      </c>
      <c r="B2591" s="9" t="s">
        <v>10</v>
      </c>
      <c r="C2591" s="9" t="s">
        <v>969</v>
      </c>
      <c r="D2591" s="8">
        <v>45964</v>
      </c>
      <c r="E2591" s="7" t="s">
        <v>60</v>
      </c>
      <c r="F2591" s="7">
        <v>1</v>
      </c>
      <c r="G2591" s="7" t="s">
        <v>15</v>
      </c>
      <c r="H2591" s="7" t="s">
        <v>314</v>
      </c>
      <c r="M2591" s="16" t="s">
        <v>497</v>
      </c>
      <c r="N2591" s="7" t="s">
        <v>579</v>
      </c>
      <c r="O2591" s="7" t="s">
        <v>680</v>
      </c>
      <c r="P2591" s="7">
        <f t="shared" si="213"/>
        <v>11</v>
      </c>
      <c r="Q2591" s="7">
        <f t="shared" si="210"/>
        <v>2025</v>
      </c>
    </row>
    <row r="2592" spans="1:17" x14ac:dyDescent="0.25">
      <c r="A2592" s="7">
        <v>2564</v>
      </c>
      <c r="B2592" s="9" t="s">
        <v>10</v>
      </c>
      <c r="C2592" s="9" t="s">
        <v>969</v>
      </c>
      <c r="D2592" s="8">
        <v>45964</v>
      </c>
      <c r="E2592" s="7" t="s">
        <v>60</v>
      </c>
      <c r="F2592" s="7">
        <v>1</v>
      </c>
      <c r="G2592" s="7" t="s">
        <v>15</v>
      </c>
      <c r="H2592" s="7" t="s">
        <v>314</v>
      </c>
      <c r="M2592" s="16" t="s">
        <v>497</v>
      </c>
      <c r="N2592" s="7" t="s">
        <v>579</v>
      </c>
      <c r="O2592" s="7" t="s">
        <v>680</v>
      </c>
      <c r="P2592" s="7">
        <f t="shared" si="213"/>
        <v>11</v>
      </c>
      <c r="Q2592" s="7">
        <f t="shared" si="210"/>
        <v>2025</v>
      </c>
    </row>
    <row r="2593" spans="1:17" x14ac:dyDescent="0.25">
      <c r="A2593" s="7">
        <v>2564</v>
      </c>
      <c r="B2593" s="9" t="s">
        <v>10</v>
      </c>
      <c r="C2593" s="9" t="s">
        <v>969</v>
      </c>
      <c r="D2593" s="8">
        <v>45964</v>
      </c>
      <c r="E2593" s="7" t="s">
        <v>60</v>
      </c>
      <c r="F2593" s="7">
        <v>1</v>
      </c>
      <c r="G2593" s="7" t="s">
        <v>15</v>
      </c>
      <c r="H2593" s="7" t="s">
        <v>314</v>
      </c>
      <c r="M2593" s="16" t="s">
        <v>497</v>
      </c>
      <c r="N2593" s="7" t="s">
        <v>579</v>
      </c>
      <c r="O2593" s="7" t="s">
        <v>680</v>
      </c>
      <c r="P2593" s="7">
        <f t="shared" si="213"/>
        <v>11</v>
      </c>
      <c r="Q2593" s="7">
        <f t="shared" si="210"/>
        <v>2025</v>
      </c>
    </row>
    <row r="2594" spans="1:17" x14ac:dyDescent="0.25">
      <c r="A2594" s="7">
        <v>2564</v>
      </c>
      <c r="B2594" s="9" t="s">
        <v>10</v>
      </c>
      <c r="C2594" s="9" t="s">
        <v>969</v>
      </c>
      <c r="D2594" s="8">
        <v>45964</v>
      </c>
      <c r="E2594" s="7" t="s">
        <v>60</v>
      </c>
      <c r="F2594" s="7">
        <v>1</v>
      </c>
      <c r="G2594" s="7" t="s">
        <v>15</v>
      </c>
      <c r="H2594" s="7" t="s">
        <v>314</v>
      </c>
      <c r="M2594" s="16" t="s">
        <v>497</v>
      </c>
      <c r="N2594" s="7" t="s">
        <v>579</v>
      </c>
      <c r="O2594" s="7" t="s">
        <v>680</v>
      </c>
      <c r="P2594" s="7">
        <f t="shared" si="213"/>
        <v>11</v>
      </c>
      <c r="Q2594" s="7">
        <f t="shared" si="210"/>
        <v>2025</v>
      </c>
    </row>
    <row r="2595" spans="1:17" x14ac:dyDescent="0.25">
      <c r="A2595" s="7">
        <v>2564</v>
      </c>
      <c r="B2595" s="9" t="s">
        <v>10</v>
      </c>
      <c r="C2595" s="9" t="s">
        <v>969</v>
      </c>
      <c r="D2595" s="8">
        <v>45964</v>
      </c>
      <c r="E2595" s="7" t="s">
        <v>60</v>
      </c>
      <c r="F2595" s="7">
        <v>1</v>
      </c>
      <c r="G2595" s="7" t="s">
        <v>15</v>
      </c>
      <c r="H2595" s="7" t="s">
        <v>314</v>
      </c>
      <c r="M2595" s="16" t="s">
        <v>497</v>
      </c>
      <c r="N2595" s="7" t="s">
        <v>579</v>
      </c>
      <c r="O2595" s="7" t="s">
        <v>680</v>
      </c>
      <c r="P2595" s="7">
        <f t="shared" si="213"/>
        <v>11</v>
      </c>
      <c r="Q2595" s="7">
        <f t="shared" si="210"/>
        <v>2025</v>
      </c>
    </row>
    <row r="2596" spans="1:17" x14ac:dyDescent="0.25">
      <c r="A2596" s="7">
        <v>2564</v>
      </c>
      <c r="B2596" s="9" t="s">
        <v>10</v>
      </c>
      <c r="C2596" s="9" t="s">
        <v>969</v>
      </c>
      <c r="D2596" s="8">
        <v>45964</v>
      </c>
      <c r="E2596" s="7" t="s">
        <v>60</v>
      </c>
      <c r="F2596" s="7">
        <v>1</v>
      </c>
      <c r="G2596" s="7" t="s">
        <v>15</v>
      </c>
      <c r="H2596" s="7" t="s">
        <v>314</v>
      </c>
      <c r="M2596" s="16" t="s">
        <v>497</v>
      </c>
      <c r="N2596" s="7" t="s">
        <v>579</v>
      </c>
      <c r="O2596" s="7" t="s">
        <v>680</v>
      </c>
      <c r="P2596" s="7">
        <f t="shared" si="213"/>
        <v>11</v>
      </c>
      <c r="Q2596" s="7">
        <f t="shared" si="210"/>
        <v>2025</v>
      </c>
    </row>
    <row r="2597" spans="1:17" x14ac:dyDescent="0.25">
      <c r="A2597" s="7">
        <v>2564</v>
      </c>
      <c r="B2597" s="9" t="s">
        <v>10</v>
      </c>
      <c r="C2597" s="9" t="s">
        <v>969</v>
      </c>
      <c r="D2597" s="8">
        <v>45964</v>
      </c>
      <c r="E2597" s="7" t="s">
        <v>60</v>
      </c>
      <c r="F2597" s="7">
        <v>1</v>
      </c>
      <c r="G2597" s="7" t="s">
        <v>15</v>
      </c>
      <c r="H2597" s="7" t="s">
        <v>314</v>
      </c>
      <c r="M2597" s="16" t="s">
        <v>497</v>
      </c>
      <c r="N2597" s="7" t="s">
        <v>579</v>
      </c>
      <c r="O2597" s="7" t="s">
        <v>680</v>
      </c>
      <c r="P2597" s="7">
        <f t="shared" si="213"/>
        <v>11</v>
      </c>
      <c r="Q2597" s="7">
        <f t="shared" si="210"/>
        <v>2025</v>
      </c>
    </row>
    <row r="2598" spans="1:17" x14ac:dyDescent="0.25">
      <c r="A2598" s="7">
        <v>2564</v>
      </c>
      <c r="B2598" s="9" t="s">
        <v>10</v>
      </c>
      <c r="C2598" s="9" t="s">
        <v>969</v>
      </c>
      <c r="D2598" s="8">
        <v>45964</v>
      </c>
      <c r="E2598" s="7" t="s">
        <v>60</v>
      </c>
      <c r="F2598" s="7">
        <v>1</v>
      </c>
      <c r="G2598" s="7" t="s">
        <v>15</v>
      </c>
      <c r="H2598" s="7" t="s">
        <v>314</v>
      </c>
      <c r="M2598" s="16" t="s">
        <v>497</v>
      </c>
      <c r="N2598" s="7" t="s">
        <v>579</v>
      </c>
      <c r="O2598" s="7" t="s">
        <v>680</v>
      </c>
      <c r="P2598" s="7">
        <f t="shared" si="213"/>
        <v>11</v>
      </c>
      <c r="Q2598" s="7">
        <f t="shared" si="210"/>
        <v>2025</v>
      </c>
    </row>
    <row r="2599" spans="1:17" x14ac:dyDescent="0.25">
      <c r="A2599" s="7">
        <v>2564</v>
      </c>
      <c r="B2599" s="9" t="s">
        <v>10</v>
      </c>
      <c r="C2599" s="9" t="s">
        <v>969</v>
      </c>
      <c r="D2599" s="8">
        <v>45964</v>
      </c>
      <c r="E2599" s="7" t="s">
        <v>60</v>
      </c>
      <c r="F2599" s="7">
        <v>1</v>
      </c>
      <c r="G2599" s="7" t="s">
        <v>15</v>
      </c>
      <c r="H2599" s="7" t="s">
        <v>314</v>
      </c>
      <c r="M2599" s="16" t="s">
        <v>497</v>
      </c>
      <c r="N2599" s="7" t="s">
        <v>579</v>
      </c>
      <c r="O2599" s="7" t="s">
        <v>680</v>
      </c>
      <c r="P2599" s="7">
        <f t="shared" si="213"/>
        <v>11</v>
      </c>
      <c r="Q2599" s="7">
        <f t="shared" si="210"/>
        <v>2025</v>
      </c>
    </row>
    <row r="2600" spans="1:17" x14ac:dyDescent="0.25">
      <c r="A2600" s="7">
        <v>2564</v>
      </c>
      <c r="B2600" s="9" t="s">
        <v>10</v>
      </c>
      <c r="C2600" s="9" t="s">
        <v>969</v>
      </c>
      <c r="D2600" s="8">
        <v>45964</v>
      </c>
      <c r="E2600" s="7" t="s">
        <v>60</v>
      </c>
      <c r="F2600" s="7">
        <v>1</v>
      </c>
      <c r="G2600" s="7" t="s">
        <v>15</v>
      </c>
      <c r="H2600" s="7" t="s">
        <v>314</v>
      </c>
      <c r="M2600" s="16" t="s">
        <v>497</v>
      </c>
      <c r="N2600" s="7" t="s">
        <v>579</v>
      </c>
      <c r="O2600" s="7" t="s">
        <v>680</v>
      </c>
      <c r="P2600" s="7">
        <f t="shared" si="213"/>
        <v>11</v>
      </c>
      <c r="Q2600" s="7">
        <f t="shared" si="210"/>
        <v>2025</v>
      </c>
    </row>
    <row r="2601" spans="1:17" x14ac:dyDescent="0.25">
      <c r="A2601" s="7">
        <v>2564</v>
      </c>
      <c r="B2601" s="9" t="s">
        <v>10</v>
      </c>
      <c r="C2601" s="9" t="s">
        <v>969</v>
      </c>
      <c r="D2601" s="8">
        <v>45964</v>
      </c>
      <c r="E2601" s="7" t="s">
        <v>60</v>
      </c>
      <c r="F2601" s="7">
        <v>1</v>
      </c>
      <c r="G2601" s="7" t="s">
        <v>15</v>
      </c>
      <c r="H2601" s="7" t="s">
        <v>314</v>
      </c>
      <c r="M2601" s="16" t="s">
        <v>497</v>
      </c>
      <c r="N2601" s="7" t="s">
        <v>579</v>
      </c>
      <c r="O2601" s="7" t="s">
        <v>680</v>
      </c>
      <c r="P2601" s="7">
        <f t="shared" si="213"/>
        <v>11</v>
      </c>
      <c r="Q2601" s="7">
        <f t="shared" si="210"/>
        <v>2025</v>
      </c>
    </row>
    <row r="2602" spans="1:17" x14ac:dyDescent="0.25">
      <c r="A2602" s="7">
        <v>2564</v>
      </c>
      <c r="B2602" s="9" t="s">
        <v>10</v>
      </c>
      <c r="C2602" s="9" t="s">
        <v>969</v>
      </c>
      <c r="D2602" s="8">
        <v>45964</v>
      </c>
      <c r="E2602" s="7" t="s">
        <v>60</v>
      </c>
      <c r="F2602" s="7">
        <v>1</v>
      </c>
      <c r="G2602" s="7" t="s">
        <v>15</v>
      </c>
      <c r="H2602" s="7" t="s">
        <v>314</v>
      </c>
      <c r="M2602" s="16" t="s">
        <v>497</v>
      </c>
      <c r="N2602" s="7" t="s">
        <v>579</v>
      </c>
      <c r="O2602" s="7" t="s">
        <v>680</v>
      </c>
      <c r="P2602" s="7">
        <f t="shared" si="213"/>
        <v>11</v>
      </c>
      <c r="Q2602" s="7">
        <f t="shared" si="210"/>
        <v>2025</v>
      </c>
    </row>
    <row r="2603" spans="1:17" x14ac:dyDescent="0.25">
      <c r="A2603" s="7">
        <v>2564</v>
      </c>
      <c r="B2603" s="9" t="s">
        <v>10</v>
      </c>
      <c r="C2603" s="9" t="s">
        <v>969</v>
      </c>
      <c r="D2603" s="8">
        <v>45964</v>
      </c>
      <c r="E2603" s="7" t="s">
        <v>60</v>
      </c>
      <c r="F2603" s="7">
        <v>1</v>
      </c>
      <c r="G2603" s="7" t="s">
        <v>15</v>
      </c>
      <c r="H2603" s="7" t="s">
        <v>314</v>
      </c>
      <c r="M2603" s="16" t="s">
        <v>497</v>
      </c>
      <c r="N2603" s="7" t="s">
        <v>579</v>
      </c>
      <c r="O2603" s="7" t="s">
        <v>680</v>
      </c>
      <c r="P2603" s="7">
        <f t="shared" si="213"/>
        <v>11</v>
      </c>
      <c r="Q2603" s="7">
        <f t="shared" si="210"/>
        <v>2025</v>
      </c>
    </row>
    <row r="2604" spans="1:17" x14ac:dyDescent="0.25">
      <c r="A2604" s="7">
        <v>2564</v>
      </c>
      <c r="B2604" s="9" t="s">
        <v>10</v>
      </c>
      <c r="C2604" s="9" t="s">
        <v>969</v>
      </c>
      <c r="D2604" s="8">
        <v>45964</v>
      </c>
      <c r="E2604" s="7" t="s">
        <v>60</v>
      </c>
      <c r="F2604" s="7">
        <v>1</v>
      </c>
      <c r="G2604" s="7" t="s">
        <v>15</v>
      </c>
      <c r="H2604" s="7" t="s">
        <v>314</v>
      </c>
      <c r="M2604" s="16" t="s">
        <v>497</v>
      </c>
      <c r="N2604" s="7" t="s">
        <v>579</v>
      </c>
      <c r="O2604" s="7" t="s">
        <v>680</v>
      </c>
      <c r="P2604" s="7">
        <f t="shared" si="213"/>
        <v>11</v>
      </c>
      <c r="Q2604" s="7">
        <f t="shared" si="210"/>
        <v>2025</v>
      </c>
    </row>
    <row r="2605" spans="1:17" x14ac:dyDescent="0.25">
      <c r="A2605" s="7">
        <v>2564</v>
      </c>
      <c r="B2605" s="9" t="s">
        <v>10</v>
      </c>
      <c r="C2605" s="9" t="s">
        <v>969</v>
      </c>
      <c r="D2605" s="8">
        <v>45964</v>
      </c>
      <c r="E2605" s="7" t="s">
        <v>60</v>
      </c>
      <c r="F2605" s="7">
        <v>1</v>
      </c>
      <c r="G2605" s="7" t="s">
        <v>15</v>
      </c>
      <c r="H2605" s="7" t="s">
        <v>314</v>
      </c>
      <c r="M2605" s="16" t="s">
        <v>497</v>
      </c>
      <c r="N2605" s="7" t="s">
        <v>579</v>
      </c>
      <c r="O2605" s="7" t="s">
        <v>680</v>
      </c>
      <c r="P2605" s="7">
        <f t="shared" si="213"/>
        <v>11</v>
      </c>
      <c r="Q2605" s="7">
        <f t="shared" si="210"/>
        <v>2025</v>
      </c>
    </row>
    <row r="2606" spans="1:17" x14ac:dyDescent="0.25">
      <c r="A2606" s="7">
        <v>2564</v>
      </c>
      <c r="B2606" s="9" t="s">
        <v>10</v>
      </c>
      <c r="C2606" s="9" t="s">
        <v>969</v>
      </c>
      <c r="D2606" s="8">
        <v>45964</v>
      </c>
      <c r="E2606" s="7" t="s">
        <v>60</v>
      </c>
      <c r="F2606" s="7">
        <v>1</v>
      </c>
      <c r="G2606" s="7" t="s">
        <v>15</v>
      </c>
      <c r="H2606" s="7" t="s">
        <v>314</v>
      </c>
      <c r="M2606" s="16" t="s">
        <v>497</v>
      </c>
      <c r="N2606" s="7" t="s">
        <v>579</v>
      </c>
      <c r="O2606" s="7" t="s">
        <v>680</v>
      </c>
      <c r="P2606" s="7">
        <f t="shared" si="213"/>
        <v>11</v>
      </c>
      <c r="Q2606" s="7">
        <f t="shared" si="210"/>
        <v>2025</v>
      </c>
    </row>
    <row r="2607" spans="1:17" x14ac:dyDescent="0.25">
      <c r="A2607" s="7">
        <v>2564</v>
      </c>
      <c r="B2607" s="9" t="s">
        <v>10</v>
      </c>
      <c r="C2607" s="9" t="s">
        <v>969</v>
      </c>
      <c r="D2607" s="8">
        <v>45964</v>
      </c>
      <c r="E2607" s="7" t="s">
        <v>60</v>
      </c>
      <c r="F2607" s="7">
        <v>1</v>
      </c>
      <c r="G2607" s="7" t="s">
        <v>15</v>
      </c>
      <c r="H2607" s="7" t="s">
        <v>314</v>
      </c>
      <c r="M2607" s="16" t="s">
        <v>497</v>
      </c>
      <c r="N2607" s="7" t="s">
        <v>579</v>
      </c>
      <c r="O2607" s="7" t="s">
        <v>680</v>
      </c>
      <c r="P2607" s="7">
        <f t="shared" si="213"/>
        <v>11</v>
      </c>
      <c r="Q2607" s="7">
        <f t="shared" ref="Q2607:Q2670" si="214">YEAR(D2607)</f>
        <v>2025</v>
      </c>
    </row>
    <row r="2608" spans="1:17" x14ac:dyDescent="0.25">
      <c r="A2608" s="7">
        <v>2564</v>
      </c>
      <c r="B2608" s="9" t="s">
        <v>10</v>
      </c>
      <c r="C2608" s="9" t="s">
        <v>969</v>
      </c>
      <c r="D2608" s="8">
        <v>45964</v>
      </c>
      <c r="E2608" s="7" t="s">
        <v>60</v>
      </c>
      <c r="F2608" s="7">
        <v>1</v>
      </c>
      <c r="G2608" s="7" t="s">
        <v>15</v>
      </c>
      <c r="H2608" s="7" t="s">
        <v>314</v>
      </c>
      <c r="M2608" s="16" t="s">
        <v>497</v>
      </c>
      <c r="N2608" s="7" t="s">
        <v>579</v>
      </c>
      <c r="O2608" s="7" t="s">
        <v>680</v>
      </c>
      <c r="P2608" s="7">
        <f t="shared" si="213"/>
        <v>11</v>
      </c>
      <c r="Q2608" s="7">
        <f t="shared" si="214"/>
        <v>2025</v>
      </c>
    </row>
    <row r="2609" spans="1:17" x14ac:dyDescent="0.25">
      <c r="A2609" s="7">
        <v>2564</v>
      </c>
      <c r="B2609" s="9" t="s">
        <v>10</v>
      </c>
      <c r="C2609" s="9" t="s">
        <v>969</v>
      </c>
      <c r="D2609" s="8">
        <v>45964</v>
      </c>
      <c r="E2609" s="7" t="s">
        <v>60</v>
      </c>
      <c r="F2609" s="7">
        <v>1</v>
      </c>
      <c r="G2609" s="7" t="s">
        <v>15</v>
      </c>
      <c r="H2609" s="7" t="s">
        <v>314</v>
      </c>
      <c r="M2609" s="16" t="s">
        <v>497</v>
      </c>
      <c r="N2609" s="7" t="s">
        <v>579</v>
      </c>
      <c r="O2609" s="7" t="s">
        <v>680</v>
      </c>
      <c r="P2609" s="7">
        <f t="shared" si="213"/>
        <v>11</v>
      </c>
      <c r="Q2609" s="7">
        <f t="shared" si="214"/>
        <v>2025</v>
      </c>
    </row>
    <row r="2610" spans="1:17" x14ac:dyDescent="0.25">
      <c r="A2610" s="7">
        <v>2564</v>
      </c>
      <c r="B2610" s="9" t="s">
        <v>10</v>
      </c>
      <c r="C2610" s="9" t="s">
        <v>969</v>
      </c>
      <c r="D2610" s="8">
        <v>45964</v>
      </c>
      <c r="E2610" s="7" t="s">
        <v>60</v>
      </c>
      <c r="F2610" s="7">
        <v>1</v>
      </c>
      <c r="G2610" s="7" t="s">
        <v>15</v>
      </c>
      <c r="H2610" s="7" t="s">
        <v>314</v>
      </c>
      <c r="M2610" s="16" t="s">
        <v>497</v>
      </c>
      <c r="N2610" s="7" t="s">
        <v>579</v>
      </c>
      <c r="O2610" s="7" t="s">
        <v>680</v>
      </c>
      <c r="P2610" s="7">
        <f t="shared" si="213"/>
        <v>11</v>
      </c>
      <c r="Q2610" s="7">
        <f t="shared" si="214"/>
        <v>2025</v>
      </c>
    </row>
    <row r="2611" spans="1:17" x14ac:dyDescent="0.25">
      <c r="A2611" s="7">
        <v>2564</v>
      </c>
      <c r="B2611" s="9" t="s">
        <v>10</v>
      </c>
      <c r="C2611" s="9" t="s">
        <v>969</v>
      </c>
      <c r="D2611" s="8">
        <v>45964</v>
      </c>
      <c r="E2611" s="7" t="s">
        <v>60</v>
      </c>
      <c r="F2611" s="7">
        <v>1</v>
      </c>
      <c r="G2611" s="7" t="s">
        <v>15</v>
      </c>
      <c r="H2611" s="7" t="s">
        <v>314</v>
      </c>
      <c r="M2611" s="16" t="s">
        <v>497</v>
      </c>
      <c r="N2611" s="7" t="s">
        <v>579</v>
      </c>
      <c r="O2611" s="7" t="s">
        <v>680</v>
      </c>
      <c r="P2611" s="7">
        <f t="shared" ref="P2611:P2630" si="215">MONTH(D2611)</f>
        <v>11</v>
      </c>
      <c r="Q2611" s="7">
        <f t="shared" si="214"/>
        <v>2025</v>
      </c>
    </row>
    <row r="2612" spans="1:17" x14ac:dyDescent="0.25">
      <c r="A2612" s="7">
        <v>2564</v>
      </c>
      <c r="B2612" s="9" t="s">
        <v>10</v>
      </c>
      <c r="C2612" s="9" t="s">
        <v>969</v>
      </c>
      <c r="D2612" s="8">
        <v>45964</v>
      </c>
      <c r="E2612" s="7" t="s">
        <v>60</v>
      </c>
      <c r="F2612" s="7">
        <v>1</v>
      </c>
      <c r="G2612" s="7" t="s">
        <v>15</v>
      </c>
      <c r="H2612" s="7" t="s">
        <v>314</v>
      </c>
      <c r="M2612" s="16" t="s">
        <v>497</v>
      </c>
      <c r="N2612" s="7" t="s">
        <v>579</v>
      </c>
      <c r="O2612" s="7" t="s">
        <v>680</v>
      </c>
      <c r="P2612" s="7">
        <f t="shared" si="215"/>
        <v>11</v>
      </c>
      <c r="Q2612" s="7">
        <f t="shared" si="214"/>
        <v>2025</v>
      </c>
    </row>
    <row r="2613" spans="1:17" x14ac:dyDescent="0.25">
      <c r="A2613" s="7">
        <v>2564</v>
      </c>
      <c r="B2613" s="9" t="s">
        <v>10</v>
      </c>
      <c r="C2613" s="9" t="s">
        <v>969</v>
      </c>
      <c r="D2613" s="8">
        <v>45964</v>
      </c>
      <c r="E2613" s="7" t="s">
        <v>60</v>
      </c>
      <c r="F2613" s="7">
        <v>1</v>
      </c>
      <c r="G2613" s="7" t="s">
        <v>15</v>
      </c>
      <c r="H2613" s="7" t="s">
        <v>314</v>
      </c>
      <c r="M2613" s="16" t="s">
        <v>497</v>
      </c>
      <c r="N2613" s="7" t="s">
        <v>579</v>
      </c>
      <c r="O2613" s="7" t="s">
        <v>680</v>
      </c>
      <c r="P2613" s="7">
        <f t="shared" si="215"/>
        <v>11</v>
      </c>
      <c r="Q2613" s="7">
        <f t="shared" si="214"/>
        <v>2025</v>
      </c>
    </row>
    <row r="2614" spans="1:17" x14ac:dyDescent="0.25">
      <c r="A2614" s="7">
        <v>2564</v>
      </c>
      <c r="B2614" s="9" t="s">
        <v>10</v>
      </c>
      <c r="C2614" s="9" t="s">
        <v>969</v>
      </c>
      <c r="D2614" s="8">
        <v>45964</v>
      </c>
      <c r="E2614" s="7" t="s">
        <v>60</v>
      </c>
      <c r="F2614" s="7">
        <v>1</v>
      </c>
      <c r="G2614" s="7" t="s">
        <v>15</v>
      </c>
      <c r="H2614" s="7" t="s">
        <v>314</v>
      </c>
      <c r="M2614" s="16" t="s">
        <v>497</v>
      </c>
      <c r="N2614" s="7" t="s">
        <v>579</v>
      </c>
      <c r="O2614" s="7" t="s">
        <v>680</v>
      </c>
      <c r="P2614" s="7">
        <f t="shared" si="215"/>
        <v>11</v>
      </c>
      <c r="Q2614" s="7">
        <f t="shared" si="214"/>
        <v>2025</v>
      </c>
    </row>
    <row r="2615" spans="1:17" x14ac:dyDescent="0.25">
      <c r="A2615" s="7">
        <v>2564</v>
      </c>
      <c r="B2615" s="9" t="s">
        <v>10</v>
      </c>
      <c r="C2615" s="9" t="s">
        <v>969</v>
      </c>
      <c r="D2615" s="8">
        <v>45964</v>
      </c>
      <c r="E2615" s="7" t="s">
        <v>60</v>
      </c>
      <c r="F2615" s="7">
        <v>1</v>
      </c>
      <c r="G2615" s="7" t="s">
        <v>15</v>
      </c>
      <c r="H2615" s="7" t="s">
        <v>314</v>
      </c>
      <c r="M2615" s="16" t="s">
        <v>497</v>
      </c>
      <c r="N2615" s="7" t="s">
        <v>579</v>
      </c>
      <c r="O2615" s="7" t="s">
        <v>680</v>
      </c>
      <c r="P2615" s="7">
        <f t="shared" si="215"/>
        <v>11</v>
      </c>
      <c r="Q2615" s="7">
        <f t="shared" si="214"/>
        <v>2025</v>
      </c>
    </row>
    <row r="2616" spans="1:17" x14ac:dyDescent="0.25">
      <c r="A2616" s="7">
        <v>2564</v>
      </c>
      <c r="B2616" s="9" t="s">
        <v>10</v>
      </c>
      <c r="C2616" s="9" t="s">
        <v>969</v>
      </c>
      <c r="D2616" s="8">
        <v>45964</v>
      </c>
      <c r="E2616" s="7" t="s">
        <v>60</v>
      </c>
      <c r="F2616" s="7">
        <v>1</v>
      </c>
      <c r="G2616" s="7" t="s">
        <v>15</v>
      </c>
      <c r="H2616" s="7" t="s">
        <v>314</v>
      </c>
      <c r="M2616" s="16" t="s">
        <v>497</v>
      </c>
      <c r="N2616" s="7" t="s">
        <v>579</v>
      </c>
      <c r="O2616" s="7" t="s">
        <v>680</v>
      </c>
      <c r="P2616" s="7">
        <f t="shared" si="215"/>
        <v>11</v>
      </c>
      <c r="Q2616" s="7">
        <f t="shared" si="214"/>
        <v>2025</v>
      </c>
    </row>
    <row r="2617" spans="1:17" x14ac:dyDescent="0.25">
      <c r="A2617" s="7">
        <v>2564</v>
      </c>
      <c r="B2617" s="9" t="s">
        <v>10</v>
      </c>
      <c r="C2617" s="9" t="s">
        <v>969</v>
      </c>
      <c r="D2617" s="8">
        <v>45964</v>
      </c>
      <c r="E2617" s="7" t="s">
        <v>60</v>
      </c>
      <c r="F2617" s="7">
        <v>1</v>
      </c>
      <c r="G2617" s="7" t="s">
        <v>15</v>
      </c>
      <c r="H2617" s="7" t="s">
        <v>314</v>
      </c>
      <c r="M2617" s="16" t="s">
        <v>497</v>
      </c>
      <c r="N2617" s="7" t="s">
        <v>579</v>
      </c>
      <c r="O2617" s="7" t="s">
        <v>680</v>
      </c>
      <c r="P2617" s="7">
        <f t="shared" si="215"/>
        <v>11</v>
      </c>
      <c r="Q2617" s="7">
        <f t="shared" si="214"/>
        <v>2025</v>
      </c>
    </row>
    <row r="2618" spans="1:17" x14ac:dyDescent="0.25">
      <c r="A2618" s="7">
        <v>2564</v>
      </c>
      <c r="B2618" s="9" t="s">
        <v>10</v>
      </c>
      <c r="C2618" s="9" t="s">
        <v>969</v>
      </c>
      <c r="D2618" s="8">
        <v>45964</v>
      </c>
      <c r="E2618" s="7" t="s">
        <v>60</v>
      </c>
      <c r="F2618" s="7">
        <v>1</v>
      </c>
      <c r="G2618" s="7" t="s">
        <v>15</v>
      </c>
      <c r="H2618" s="7" t="s">
        <v>314</v>
      </c>
      <c r="M2618" s="16" t="s">
        <v>497</v>
      </c>
      <c r="N2618" s="7" t="s">
        <v>579</v>
      </c>
      <c r="O2618" s="7" t="s">
        <v>680</v>
      </c>
      <c r="P2618" s="7">
        <f t="shared" si="215"/>
        <v>11</v>
      </c>
      <c r="Q2618" s="7">
        <f t="shared" si="214"/>
        <v>2025</v>
      </c>
    </row>
    <row r="2619" spans="1:17" x14ac:dyDescent="0.25">
      <c r="A2619" s="7">
        <v>2564</v>
      </c>
      <c r="B2619" s="9" t="s">
        <v>10</v>
      </c>
      <c r="C2619" s="9" t="s">
        <v>969</v>
      </c>
      <c r="D2619" s="8">
        <v>45964</v>
      </c>
      <c r="E2619" s="7" t="s">
        <v>60</v>
      </c>
      <c r="F2619" s="7">
        <v>1</v>
      </c>
      <c r="G2619" s="7" t="s">
        <v>15</v>
      </c>
      <c r="H2619" s="7" t="s">
        <v>314</v>
      </c>
      <c r="M2619" s="16" t="s">
        <v>497</v>
      </c>
      <c r="N2619" s="7" t="s">
        <v>579</v>
      </c>
      <c r="O2619" s="7" t="s">
        <v>680</v>
      </c>
      <c r="P2619" s="7">
        <f t="shared" si="215"/>
        <v>11</v>
      </c>
      <c r="Q2619" s="7">
        <f t="shared" si="214"/>
        <v>2025</v>
      </c>
    </row>
    <row r="2620" spans="1:17" x14ac:dyDescent="0.25">
      <c r="A2620" s="7">
        <v>2564</v>
      </c>
      <c r="B2620" s="9" t="s">
        <v>10</v>
      </c>
      <c r="C2620" s="9" t="s">
        <v>969</v>
      </c>
      <c r="D2620" s="8">
        <v>45964</v>
      </c>
      <c r="E2620" s="7" t="s">
        <v>60</v>
      </c>
      <c r="F2620" s="7">
        <v>1</v>
      </c>
      <c r="G2620" s="7" t="s">
        <v>15</v>
      </c>
      <c r="H2620" s="7" t="s">
        <v>314</v>
      </c>
      <c r="M2620" s="16" t="s">
        <v>497</v>
      </c>
      <c r="N2620" s="7" t="s">
        <v>579</v>
      </c>
      <c r="O2620" s="7" t="s">
        <v>680</v>
      </c>
      <c r="P2620" s="7">
        <f t="shared" si="215"/>
        <v>11</v>
      </c>
      <c r="Q2620" s="7">
        <f t="shared" si="214"/>
        <v>2025</v>
      </c>
    </row>
    <row r="2621" spans="1:17" x14ac:dyDescent="0.25">
      <c r="A2621" s="7">
        <v>2564</v>
      </c>
      <c r="B2621" s="9" t="s">
        <v>10</v>
      </c>
      <c r="C2621" s="9" t="s">
        <v>969</v>
      </c>
      <c r="D2621" s="8">
        <v>45964</v>
      </c>
      <c r="E2621" s="7" t="s">
        <v>60</v>
      </c>
      <c r="F2621" s="7">
        <v>1</v>
      </c>
      <c r="G2621" s="7" t="s">
        <v>15</v>
      </c>
      <c r="H2621" s="7" t="s">
        <v>314</v>
      </c>
      <c r="M2621" s="16" t="s">
        <v>497</v>
      </c>
      <c r="N2621" s="7" t="s">
        <v>579</v>
      </c>
      <c r="O2621" s="7" t="s">
        <v>680</v>
      </c>
      <c r="P2621" s="7">
        <f t="shared" si="215"/>
        <v>11</v>
      </c>
      <c r="Q2621" s="7">
        <f t="shared" si="214"/>
        <v>2025</v>
      </c>
    </row>
    <row r="2622" spans="1:17" x14ac:dyDescent="0.25">
      <c r="A2622" s="7">
        <v>2564</v>
      </c>
      <c r="B2622" s="9" t="s">
        <v>10</v>
      </c>
      <c r="C2622" s="9" t="s">
        <v>969</v>
      </c>
      <c r="D2622" s="8">
        <v>45964</v>
      </c>
      <c r="E2622" s="7" t="s">
        <v>60</v>
      </c>
      <c r="F2622" s="7">
        <v>1</v>
      </c>
      <c r="G2622" s="7" t="s">
        <v>15</v>
      </c>
      <c r="H2622" s="7" t="s">
        <v>314</v>
      </c>
      <c r="M2622" s="16" t="s">
        <v>497</v>
      </c>
      <c r="N2622" s="7" t="s">
        <v>579</v>
      </c>
      <c r="O2622" s="7" t="s">
        <v>680</v>
      </c>
      <c r="P2622" s="7">
        <f t="shared" si="215"/>
        <v>11</v>
      </c>
      <c r="Q2622" s="7">
        <f t="shared" si="214"/>
        <v>2025</v>
      </c>
    </row>
    <row r="2623" spans="1:17" x14ac:dyDescent="0.25">
      <c r="A2623" s="7">
        <v>2564</v>
      </c>
      <c r="B2623" s="9" t="s">
        <v>10</v>
      </c>
      <c r="C2623" s="9" t="s">
        <v>969</v>
      </c>
      <c r="D2623" s="8">
        <v>45964</v>
      </c>
      <c r="E2623" s="7" t="s">
        <v>60</v>
      </c>
      <c r="F2623" s="7">
        <v>1</v>
      </c>
      <c r="G2623" s="7" t="s">
        <v>15</v>
      </c>
      <c r="H2623" s="7" t="s">
        <v>314</v>
      </c>
      <c r="M2623" s="16" t="s">
        <v>497</v>
      </c>
      <c r="N2623" s="7" t="s">
        <v>579</v>
      </c>
      <c r="O2623" s="7" t="s">
        <v>680</v>
      </c>
      <c r="P2623" s="7">
        <f t="shared" si="215"/>
        <v>11</v>
      </c>
      <c r="Q2623" s="7">
        <f t="shared" si="214"/>
        <v>2025</v>
      </c>
    </row>
    <row r="2624" spans="1:17" x14ac:dyDescent="0.25">
      <c r="A2624" s="7">
        <v>2564</v>
      </c>
      <c r="B2624" s="9" t="s">
        <v>10</v>
      </c>
      <c r="C2624" s="9" t="s">
        <v>969</v>
      </c>
      <c r="D2624" s="8">
        <v>45964</v>
      </c>
      <c r="E2624" s="7" t="s">
        <v>60</v>
      </c>
      <c r="F2624" s="7">
        <v>1</v>
      </c>
      <c r="G2624" s="7" t="s">
        <v>15</v>
      </c>
      <c r="H2624" s="7" t="s">
        <v>314</v>
      </c>
      <c r="M2624" s="16" t="s">
        <v>497</v>
      </c>
      <c r="N2624" s="7" t="s">
        <v>579</v>
      </c>
      <c r="O2624" s="7" t="s">
        <v>680</v>
      </c>
      <c r="P2624" s="7">
        <f t="shared" ref="P2624" si="216">MONTH(D2624)</f>
        <v>11</v>
      </c>
      <c r="Q2624" s="7">
        <f t="shared" si="214"/>
        <v>2025</v>
      </c>
    </row>
    <row r="2625" spans="1:17" x14ac:dyDescent="0.25">
      <c r="A2625" s="7">
        <v>2564</v>
      </c>
      <c r="B2625" s="9" t="s">
        <v>10</v>
      </c>
      <c r="C2625" s="9" t="s">
        <v>969</v>
      </c>
      <c r="D2625" s="8">
        <v>45964</v>
      </c>
      <c r="E2625" s="7" t="s">
        <v>60</v>
      </c>
      <c r="F2625" s="7">
        <v>1</v>
      </c>
      <c r="G2625" s="7" t="s">
        <v>15</v>
      </c>
      <c r="H2625" s="7" t="s">
        <v>314</v>
      </c>
      <c r="M2625" s="16" t="s">
        <v>497</v>
      </c>
      <c r="N2625" s="7" t="s">
        <v>579</v>
      </c>
      <c r="O2625" s="7" t="s">
        <v>680</v>
      </c>
      <c r="P2625" s="7">
        <f t="shared" si="215"/>
        <v>11</v>
      </c>
      <c r="Q2625" s="7">
        <f t="shared" si="214"/>
        <v>2025</v>
      </c>
    </row>
    <row r="2626" spans="1:17" x14ac:dyDescent="0.25">
      <c r="A2626" s="7">
        <v>2564</v>
      </c>
      <c r="B2626" s="9" t="s">
        <v>10</v>
      </c>
      <c r="C2626" s="9" t="s">
        <v>969</v>
      </c>
      <c r="D2626" s="8">
        <v>45964</v>
      </c>
      <c r="E2626" s="7" t="s">
        <v>60</v>
      </c>
      <c r="F2626" s="7">
        <v>1</v>
      </c>
      <c r="G2626" s="7" t="s">
        <v>15</v>
      </c>
      <c r="H2626" s="7" t="s">
        <v>314</v>
      </c>
      <c r="M2626" s="16" t="s">
        <v>497</v>
      </c>
      <c r="N2626" s="7" t="s">
        <v>579</v>
      </c>
      <c r="O2626" s="7" t="s">
        <v>680</v>
      </c>
      <c r="P2626" s="7">
        <f t="shared" si="215"/>
        <v>11</v>
      </c>
      <c r="Q2626" s="7">
        <f t="shared" si="214"/>
        <v>2025</v>
      </c>
    </row>
    <row r="2627" spans="1:17" x14ac:dyDescent="0.25">
      <c r="A2627" s="7">
        <v>2564</v>
      </c>
      <c r="B2627" s="9" t="s">
        <v>10</v>
      </c>
      <c r="C2627" s="9" t="s">
        <v>969</v>
      </c>
      <c r="D2627" s="8">
        <v>45964</v>
      </c>
      <c r="E2627" s="7" t="s">
        <v>60</v>
      </c>
      <c r="F2627" s="7">
        <v>1</v>
      </c>
      <c r="G2627" s="7" t="s">
        <v>15</v>
      </c>
      <c r="H2627" s="7" t="s">
        <v>314</v>
      </c>
      <c r="M2627" s="16" t="s">
        <v>497</v>
      </c>
      <c r="N2627" s="7" t="s">
        <v>579</v>
      </c>
      <c r="O2627" s="7" t="s">
        <v>680</v>
      </c>
      <c r="P2627" s="7">
        <f t="shared" si="215"/>
        <v>11</v>
      </c>
      <c r="Q2627" s="7">
        <f t="shared" si="214"/>
        <v>2025</v>
      </c>
    </row>
    <row r="2628" spans="1:17" x14ac:dyDescent="0.25">
      <c r="A2628" s="7">
        <v>2564</v>
      </c>
      <c r="B2628" s="9" t="s">
        <v>10</v>
      </c>
      <c r="C2628" s="9" t="s">
        <v>969</v>
      </c>
      <c r="D2628" s="8">
        <v>45964</v>
      </c>
      <c r="E2628" s="7" t="s">
        <v>60</v>
      </c>
      <c r="F2628" s="7">
        <v>1</v>
      </c>
      <c r="G2628" s="7" t="s">
        <v>15</v>
      </c>
      <c r="H2628" s="7" t="s">
        <v>314</v>
      </c>
      <c r="M2628" s="16" t="s">
        <v>497</v>
      </c>
      <c r="N2628" s="7" t="s">
        <v>579</v>
      </c>
      <c r="O2628" s="7" t="s">
        <v>680</v>
      </c>
      <c r="P2628" s="7">
        <f t="shared" si="215"/>
        <v>11</v>
      </c>
      <c r="Q2628" s="7">
        <f t="shared" si="214"/>
        <v>2025</v>
      </c>
    </row>
    <row r="2629" spans="1:17" x14ac:dyDescent="0.25">
      <c r="A2629" s="7">
        <v>2564</v>
      </c>
      <c r="B2629" s="9" t="s">
        <v>10</v>
      </c>
      <c r="C2629" s="9" t="s">
        <v>969</v>
      </c>
      <c r="D2629" s="8">
        <v>45964</v>
      </c>
      <c r="E2629" s="7" t="s">
        <v>60</v>
      </c>
      <c r="F2629" s="7">
        <v>1</v>
      </c>
      <c r="G2629" s="7" t="s">
        <v>15</v>
      </c>
      <c r="H2629" s="7" t="s">
        <v>314</v>
      </c>
      <c r="M2629" s="16" t="s">
        <v>497</v>
      </c>
      <c r="N2629" s="7" t="s">
        <v>579</v>
      </c>
      <c r="O2629" s="7" t="s">
        <v>680</v>
      </c>
      <c r="P2629" s="7">
        <f t="shared" si="215"/>
        <v>11</v>
      </c>
      <c r="Q2629" s="7">
        <f t="shared" si="214"/>
        <v>2025</v>
      </c>
    </row>
    <row r="2630" spans="1:17" x14ac:dyDescent="0.25">
      <c r="A2630" s="7">
        <v>2564</v>
      </c>
      <c r="B2630" s="9" t="s">
        <v>10</v>
      </c>
      <c r="C2630" s="9" t="s">
        <v>969</v>
      </c>
      <c r="D2630" s="8">
        <v>45964</v>
      </c>
      <c r="E2630" s="7" t="s">
        <v>60</v>
      </c>
      <c r="F2630" s="7">
        <v>1</v>
      </c>
      <c r="G2630" s="7" t="s">
        <v>15</v>
      </c>
      <c r="H2630" s="7" t="s">
        <v>314</v>
      </c>
      <c r="M2630" s="16" t="s">
        <v>497</v>
      </c>
      <c r="N2630" s="7" t="s">
        <v>579</v>
      </c>
      <c r="O2630" s="7" t="s">
        <v>680</v>
      </c>
      <c r="P2630" s="7">
        <f t="shared" si="215"/>
        <v>11</v>
      </c>
      <c r="Q2630" s="7">
        <f t="shared" si="214"/>
        <v>2025</v>
      </c>
    </row>
    <row r="2631" spans="1:17" x14ac:dyDescent="0.25">
      <c r="A2631" s="7">
        <v>2564</v>
      </c>
      <c r="B2631" s="9" t="s">
        <v>10</v>
      </c>
      <c r="C2631" s="9" t="s">
        <v>969</v>
      </c>
      <c r="D2631" s="8">
        <v>45964</v>
      </c>
      <c r="E2631" s="7" t="s">
        <v>60</v>
      </c>
      <c r="F2631" s="7">
        <v>1</v>
      </c>
      <c r="G2631" s="7" t="s">
        <v>15</v>
      </c>
      <c r="H2631" s="7" t="s">
        <v>314</v>
      </c>
      <c r="M2631" s="16" t="s">
        <v>497</v>
      </c>
      <c r="N2631" s="7" t="s">
        <v>579</v>
      </c>
      <c r="O2631" s="7" t="s">
        <v>680</v>
      </c>
      <c r="P2631" s="7">
        <f t="shared" ref="P2631:P2646" si="217">MONTH(D2631)</f>
        <v>11</v>
      </c>
      <c r="Q2631" s="7">
        <f t="shared" si="214"/>
        <v>2025</v>
      </c>
    </row>
    <row r="2632" spans="1:17" x14ac:dyDescent="0.25">
      <c r="A2632" s="7">
        <v>2564</v>
      </c>
      <c r="B2632" s="9" t="s">
        <v>10</v>
      </c>
      <c r="C2632" s="9" t="s">
        <v>969</v>
      </c>
      <c r="D2632" s="8">
        <v>45964</v>
      </c>
      <c r="E2632" s="7" t="s">
        <v>60</v>
      </c>
      <c r="F2632" s="7">
        <v>1</v>
      </c>
      <c r="G2632" s="7" t="s">
        <v>15</v>
      </c>
      <c r="H2632" s="7" t="s">
        <v>314</v>
      </c>
      <c r="M2632" s="16" t="s">
        <v>497</v>
      </c>
      <c r="N2632" s="7" t="s">
        <v>579</v>
      </c>
      <c r="O2632" s="7" t="s">
        <v>680</v>
      </c>
      <c r="P2632" s="7">
        <f t="shared" si="217"/>
        <v>11</v>
      </c>
      <c r="Q2632" s="7">
        <f t="shared" si="214"/>
        <v>2025</v>
      </c>
    </row>
    <row r="2633" spans="1:17" x14ac:dyDescent="0.25">
      <c r="A2633" s="7">
        <v>2564</v>
      </c>
      <c r="B2633" s="9" t="s">
        <v>10</v>
      </c>
      <c r="C2633" s="9" t="s">
        <v>969</v>
      </c>
      <c r="D2633" s="8">
        <v>45964</v>
      </c>
      <c r="E2633" s="7" t="s">
        <v>60</v>
      </c>
      <c r="F2633" s="7">
        <v>1</v>
      </c>
      <c r="G2633" s="7" t="s">
        <v>15</v>
      </c>
      <c r="H2633" s="7" t="s">
        <v>314</v>
      </c>
      <c r="M2633" s="16" t="s">
        <v>497</v>
      </c>
      <c r="N2633" s="7" t="s">
        <v>579</v>
      </c>
      <c r="O2633" s="7" t="s">
        <v>680</v>
      </c>
      <c r="P2633" s="7">
        <f t="shared" si="217"/>
        <v>11</v>
      </c>
      <c r="Q2633" s="7">
        <f t="shared" si="214"/>
        <v>2025</v>
      </c>
    </row>
    <row r="2634" spans="1:17" x14ac:dyDescent="0.25">
      <c r="A2634" s="7">
        <v>2564</v>
      </c>
      <c r="B2634" s="9" t="s">
        <v>10</v>
      </c>
      <c r="C2634" s="9" t="s">
        <v>969</v>
      </c>
      <c r="D2634" s="8">
        <v>45964</v>
      </c>
      <c r="E2634" s="7" t="s">
        <v>60</v>
      </c>
      <c r="F2634" s="7">
        <v>1</v>
      </c>
      <c r="G2634" s="7" t="s">
        <v>15</v>
      </c>
      <c r="H2634" s="7" t="s">
        <v>314</v>
      </c>
      <c r="M2634" s="16" t="s">
        <v>497</v>
      </c>
      <c r="N2634" s="7" t="s">
        <v>579</v>
      </c>
      <c r="O2634" s="7" t="s">
        <v>680</v>
      </c>
      <c r="P2634" s="7">
        <f t="shared" si="217"/>
        <v>11</v>
      </c>
      <c r="Q2634" s="7">
        <f t="shared" si="214"/>
        <v>2025</v>
      </c>
    </row>
    <row r="2635" spans="1:17" x14ac:dyDescent="0.25">
      <c r="A2635" s="7">
        <v>2564</v>
      </c>
      <c r="B2635" s="9" t="s">
        <v>10</v>
      </c>
      <c r="C2635" s="9" t="s">
        <v>969</v>
      </c>
      <c r="D2635" s="8">
        <v>45964</v>
      </c>
      <c r="E2635" s="7" t="s">
        <v>60</v>
      </c>
      <c r="F2635" s="7">
        <v>1</v>
      </c>
      <c r="G2635" s="7" t="s">
        <v>15</v>
      </c>
      <c r="H2635" s="7" t="s">
        <v>314</v>
      </c>
      <c r="M2635" s="16" t="s">
        <v>497</v>
      </c>
      <c r="N2635" s="7" t="s">
        <v>579</v>
      </c>
      <c r="O2635" s="7" t="s">
        <v>680</v>
      </c>
      <c r="P2635" s="7">
        <f t="shared" si="217"/>
        <v>11</v>
      </c>
      <c r="Q2635" s="7">
        <f t="shared" si="214"/>
        <v>2025</v>
      </c>
    </row>
    <row r="2636" spans="1:17" x14ac:dyDescent="0.25">
      <c r="A2636" s="7">
        <v>2564</v>
      </c>
      <c r="B2636" s="9" t="s">
        <v>10</v>
      </c>
      <c r="C2636" s="9" t="s">
        <v>969</v>
      </c>
      <c r="D2636" s="8">
        <v>45964</v>
      </c>
      <c r="E2636" s="7" t="s">
        <v>60</v>
      </c>
      <c r="F2636" s="7">
        <v>1</v>
      </c>
      <c r="G2636" s="7" t="s">
        <v>15</v>
      </c>
      <c r="H2636" s="7" t="s">
        <v>314</v>
      </c>
      <c r="M2636" s="16" t="s">
        <v>497</v>
      </c>
      <c r="N2636" s="7" t="s">
        <v>579</v>
      </c>
      <c r="O2636" s="7" t="s">
        <v>680</v>
      </c>
      <c r="P2636" s="7">
        <f t="shared" si="217"/>
        <v>11</v>
      </c>
      <c r="Q2636" s="7">
        <f t="shared" si="214"/>
        <v>2025</v>
      </c>
    </row>
    <row r="2637" spans="1:17" x14ac:dyDescent="0.25">
      <c r="A2637" s="7">
        <v>2564</v>
      </c>
      <c r="B2637" s="9" t="s">
        <v>10</v>
      </c>
      <c r="C2637" s="9" t="s">
        <v>969</v>
      </c>
      <c r="D2637" s="8">
        <v>45964</v>
      </c>
      <c r="E2637" s="7" t="s">
        <v>60</v>
      </c>
      <c r="F2637" s="7">
        <v>1</v>
      </c>
      <c r="G2637" s="7" t="s">
        <v>15</v>
      </c>
      <c r="H2637" s="7" t="s">
        <v>314</v>
      </c>
      <c r="M2637" s="16" t="s">
        <v>497</v>
      </c>
      <c r="N2637" s="7" t="s">
        <v>579</v>
      </c>
      <c r="O2637" s="7" t="s">
        <v>680</v>
      </c>
      <c r="P2637" s="7">
        <f t="shared" si="217"/>
        <v>11</v>
      </c>
      <c r="Q2637" s="7">
        <f t="shared" si="214"/>
        <v>2025</v>
      </c>
    </row>
    <row r="2638" spans="1:17" x14ac:dyDescent="0.25">
      <c r="A2638" s="7">
        <v>2564</v>
      </c>
      <c r="B2638" s="9" t="s">
        <v>10</v>
      </c>
      <c r="C2638" s="9" t="s">
        <v>969</v>
      </c>
      <c r="D2638" s="8">
        <v>45964</v>
      </c>
      <c r="E2638" s="7" t="s">
        <v>60</v>
      </c>
      <c r="F2638" s="7">
        <v>1</v>
      </c>
      <c r="G2638" s="7" t="s">
        <v>15</v>
      </c>
      <c r="H2638" s="7" t="s">
        <v>314</v>
      </c>
      <c r="M2638" s="16" t="s">
        <v>497</v>
      </c>
      <c r="N2638" s="7" t="s">
        <v>579</v>
      </c>
      <c r="O2638" s="7" t="s">
        <v>680</v>
      </c>
      <c r="P2638" s="7">
        <f t="shared" si="217"/>
        <v>11</v>
      </c>
      <c r="Q2638" s="7">
        <f t="shared" si="214"/>
        <v>2025</v>
      </c>
    </row>
    <row r="2639" spans="1:17" x14ac:dyDescent="0.25">
      <c r="A2639" s="7">
        <v>2564</v>
      </c>
      <c r="B2639" s="9" t="s">
        <v>10</v>
      </c>
      <c r="C2639" s="9" t="s">
        <v>969</v>
      </c>
      <c r="D2639" s="8">
        <v>45964</v>
      </c>
      <c r="E2639" s="7" t="s">
        <v>60</v>
      </c>
      <c r="F2639" s="7">
        <v>1</v>
      </c>
      <c r="G2639" s="7" t="s">
        <v>15</v>
      </c>
      <c r="H2639" s="7" t="s">
        <v>314</v>
      </c>
      <c r="M2639" s="16" t="s">
        <v>497</v>
      </c>
      <c r="N2639" s="7" t="s">
        <v>579</v>
      </c>
      <c r="O2639" s="7" t="s">
        <v>680</v>
      </c>
      <c r="P2639" s="7">
        <f t="shared" si="217"/>
        <v>11</v>
      </c>
      <c r="Q2639" s="7">
        <f t="shared" si="214"/>
        <v>2025</v>
      </c>
    </row>
    <row r="2640" spans="1:17" x14ac:dyDescent="0.25">
      <c r="A2640" s="7">
        <v>2564</v>
      </c>
      <c r="B2640" s="9" t="s">
        <v>10</v>
      </c>
      <c r="C2640" s="9" t="s">
        <v>969</v>
      </c>
      <c r="D2640" s="8">
        <v>45964</v>
      </c>
      <c r="E2640" s="7" t="s">
        <v>60</v>
      </c>
      <c r="F2640" s="7">
        <v>1</v>
      </c>
      <c r="G2640" s="7" t="s">
        <v>15</v>
      </c>
      <c r="H2640" s="7" t="s">
        <v>314</v>
      </c>
      <c r="M2640" s="16" t="s">
        <v>497</v>
      </c>
      <c r="N2640" s="7" t="s">
        <v>579</v>
      </c>
      <c r="O2640" s="7" t="s">
        <v>680</v>
      </c>
      <c r="P2640" s="7">
        <f t="shared" si="217"/>
        <v>11</v>
      </c>
      <c r="Q2640" s="7">
        <f t="shared" si="214"/>
        <v>2025</v>
      </c>
    </row>
    <row r="2641" spans="1:17" x14ac:dyDescent="0.25">
      <c r="A2641" s="7">
        <v>2564</v>
      </c>
      <c r="B2641" s="9" t="s">
        <v>10</v>
      </c>
      <c r="C2641" s="9" t="s">
        <v>969</v>
      </c>
      <c r="D2641" s="8">
        <v>45964</v>
      </c>
      <c r="E2641" s="7" t="s">
        <v>60</v>
      </c>
      <c r="F2641" s="7">
        <v>1</v>
      </c>
      <c r="G2641" s="7" t="s">
        <v>15</v>
      </c>
      <c r="H2641" s="7" t="s">
        <v>314</v>
      </c>
      <c r="M2641" s="16" t="s">
        <v>497</v>
      </c>
      <c r="N2641" s="7" t="s">
        <v>579</v>
      </c>
      <c r="O2641" s="7" t="s">
        <v>680</v>
      </c>
      <c r="P2641" s="7">
        <f t="shared" si="217"/>
        <v>11</v>
      </c>
      <c r="Q2641" s="7">
        <f t="shared" si="214"/>
        <v>2025</v>
      </c>
    </row>
    <row r="2642" spans="1:17" x14ac:dyDescent="0.25">
      <c r="A2642" s="7">
        <v>2564</v>
      </c>
      <c r="B2642" s="9" t="s">
        <v>10</v>
      </c>
      <c r="C2642" s="9" t="s">
        <v>969</v>
      </c>
      <c r="D2642" s="8">
        <v>45964</v>
      </c>
      <c r="E2642" s="7" t="s">
        <v>60</v>
      </c>
      <c r="F2642" s="7">
        <v>1</v>
      </c>
      <c r="G2642" s="7" t="s">
        <v>15</v>
      </c>
      <c r="H2642" s="7" t="s">
        <v>314</v>
      </c>
      <c r="M2642" s="16" t="s">
        <v>497</v>
      </c>
      <c r="N2642" s="7" t="s">
        <v>579</v>
      </c>
      <c r="O2642" s="7" t="s">
        <v>680</v>
      </c>
      <c r="P2642" s="7">
        <f t="shared" si="217"/>
        <v>11</v>
      </c>
      <c r="Q2642" s="7">
        <f t="shared" si="214"/>
        <v>2025</v>
      </c>
    </row>
    <row r="2643" spans="1:17" x14ac:dyDescent="0.25">
      <c r="A2643" s="7">
        <v>2564</v>
      </c>
      <c r="B2643" s="9" t="s">
        <v>10</v>
      </c>
      <c r="C2643" s="9" t="s">
        <v>969</v>
      </c>
      <c r="D2643" s="8">
        <v>45964</v>
      </c>
      <c r="E2643" s="7" t="s">
        <v>60</v>
      </c>
      <c r="F2643" s="7">
        <v>1</v>
      </c>
      <c r="G2643" s="7" t="s">
        <v>15</v>
      </c>
      <c r="H2643" s="7" t="s">
        <v>314</v>
      </c>
      <c r="M2643" s="16" t="s">
        <v>497</v>
      </c>
      <c r="N2643" s="7" t="s">
        <v>579</v>
      </c>
      <c r="O2643" s="7" t="s">
        <v>680</v>
      </c>
      <c r="P2643" s="7">
        <f t="shared" si="217"/>
        <v>11</v>
      </c>
      <c r="Q2643" s="7">
        <f t="shared" si="214"/>
        <v>2025</v>
      </c>
    </row>
    <row r="2644" spans="1:17" x14ac:dyDescent="0.25">
      <c r="A2644" s="7">
        <v>2564</v>
      </c>
      <c r="B2644" s="9" t="s">
        <v>10</v>
      </c>
      <c r="C2644" s="9" t="s">
        <v>969</v>
      </c>
      <c r="D2644" s="8">
        <v>45964</v>
      </c>
      <c r="E2644" s="7" t="s">
        <v>60</v>
      </c>
      <c r="F2644" s="7">
        <v>1</v>
      </c>
      <c r="G2644" s="7" t="s">
        <v>15</v>
      </c>
      <c r="H2644" s="7" t="s">
        <v>314</v>
      </c>
      <c r="M2644" s="16" t="s">
        <v>497</v>
      </c>
      <c r="N2644" s="7" t="s">
        <v>579</v>
      </c>
      <c r="O2644" s="7" t="s">
        <v>680</v>
      </c>
      <c r="P2644" s="7">
        <f t="shared" si="217"/>
        <v>11</v>
      </c>
      <c r="Q2644" s="7">
        <f t="shared" si="214"/>
        <v>2025</v>
      </c>
    </row>
    <row r="2645" spans="1:17" x14ac:dyDescent="0.25">
      <c r="A2645" s="7">
        <v>2564</v>
      </c>
      <c r="B2645" s="9" t="s">
        <v>10</v>
      </c>
      <c r="C2645" s="9" t="s">
        <v>969</v>
      </c>
      <c r="D2645" s="8">
        <v>45964</v>
      </c>
      <c r="E2645" s="7" t="s">
        <v>60</v>
      </c>
      <c r="F2645" s="7">
        <v>1</v>
      </c>
      <c r="G2645" s="7" t="s">
        <v>15</v>
      </c>
      <c r="H2645" s="7" t="s">
        <v>314</v>
      </c>
      <c r="M2645" s="16" t="s">
        <v>497</v>
      </c>
      <c r="N2645" s="7" t="s">
        <v>579</v>
      </c>
      <c r="O2645" s="7" t="s">
        <v>680</v>
      </c>
      <c r="P2645" s="7">
        <f t="shared" ref="P2645" si="218">MONTH(D2645)</f>
        <v>11</v>
      </c>
      <c r="Q2645" s="7">
        <f t="shared" si="214"/>
        <v>2025</v>
      </c>
    </row>
    <row r="2646" spans="1:17" x14ac:dyDescent="0.25">
      <c r="A2646" s="7">
        <v>2565</v>
      </c>
      <c r="B2646" s="9" t="s">
        <v>9</v>
      </c>
      <c r="C2646" s="9" t="s">
        <v>9</v>
      </c>
      <c r="D2646" s="8">
        <v>45981</v>
      </c>
      <c r="E2646" s="7" t="s">
        <v>1073</v>
      </c>
      <c r="F2646" s="7">
        <v>1</v>
      </c>
      <c r="G2646" s="7" t="s">
        <v>15</v>
      </c>
      <c r="H2646" s="7" t="s">
        <v>314</v>
      </c>
      <c r="M2646" s="16" t="s">
        <v>497</v>
      </c>
      <c r="N2646" s="7" t="s">
        <v>579</v>
      </c>
      <c r="O2646" s="7" t="s">
        <v>680</v>
      </c>
      <c r="P2646" s="7">
        <f t="shared" si="217"/>
        <v>11</v>
      </c>
      <c r="Q2646" s="7">
        <f t="shared" si="214"/>
        <v>2025</v>
      </c>
    </row>
    <row r="2647" spans="1:17" x14ac:dyDescent="0.25">
      <c r="A2647" s="7">
        <v>2565</v>
      </c>
      <c r="B2647" s="9" t="s">
        <v>9</v>
      </c>
      <c r="C2647" s="9" t="s">
        <v>9</v>
      </c>
      <c r="D2647" s="8">
        <v>45981</v>
      </c>
      <c r="E2647" s="7" t="s">
        <v>1074</v>
      </c>
      <c r="F2647" s="7">
        <v>1</v>
      </c>
      <c r="G2647" s="7" t="s">
        <v>15</v>
      </c>
      <c r="H2647" s="7" t="s">
        <v>314</v>
      </c>
      <c r="M2647" s="16" t="s">
        <v>497</v>
      </c>
      <c r="N2647" s="7" t="s">
        <v>579</v>
      </c>
      <c r="O2647" s="7" t="s">
        <v>680</v>
      </c>
      <c r="P2647" s="7">
        <f t="shared" ref="P2647:P2709" si="219">MONTH(D2647)</f>
        <v>11</v>
      </c>
      <c r="Q2647" s="7">
        <f t="shared" si="214"/>
        <v>2025</v>
      </c>
    </row>
    <row r="2648" spans="1:17" x14ac:dyDescent="0.25">
      <c r="A2648" s="7">
        <v>2566</v>
      </c>
      <c r="B2648" s="9" t="s">
        <v>289</v>
      </c>
      <c r="C2648" s="9" t="s">
        <v>1070</v>
      </c>
      <c r="D2648" s="8">
        <v>45999</v>
      </c>
      <c r="E2648" s="7" t="s">
        <v>974</v>
      </c>
      <c r="F2648" s="7">
        <v>1</v>
      </c>
      <c r="G2648" s="7" t="s">
        <v>14</v>
      </c>
      <c r="H2648" s="7" t="s">
        <v>311</v>
      </c>
      <c r="M2648" s="7" t="s">
        <v>917</v>
      </c>
      <c r="O2648" s="7" t="s">
        <v>682</v>
      </c>
      <c r="P2648" s="7">
        <f t="shared" si="219"/>
        <v>12</v>
      </c>
      <c r="Q2648" s="7">
        <f t="shared" si="214"/>
        <v>2025</v>
      </c>
    </row>
    <row r="2649" spans="1:17" x14ac:dyDescent="0.25">
      <c r="A2649" s="7">
        <v>2566</v>
      </c>
      <c r="B2649" s="9" t="s">
        <v>289</v>
      </c>
      <c r="C2649" s="9" t="s">
        <v>1070</v>
      </c>
      <c r="D2649" s="8">
        <v>45999</v>
      </c>
      <c r="E2649" s="7" t="s">
        <v>975</v>
      </c>
      <c r="F2649" s="7">
        <v>1</v>
      </c>
      <c r="G2649" s="7" t="s">
        <v>14</v>
      </c>
      <c r="H2649" s="7" t="s">
        <v>311</v>
      </c>
      <c r="M2649" s="7" t="s">
        <v>917</v>
      </c>
      <c r="O2649" s="7" t="s">
        <v>682</v>
      </c>
      <c r="P2649" s="7">
        <f t="shared" si="219"/>
        <v>12</v>
      </c>
      <c r="Q2649" s="7">
        <f t="shared" si="214"/>
        <v>2025</v>
      </c>
    </row>
    <row r="2650" spans="1:17" x14ac:dyDescent="0.25">
      <c r="A2650" s="7">
        <v>2566</v>
      </c>
      <c r="B2650" s="9" t="s">
        <v>289</v>
      </c>
      <c r="C2650" s="9" t="s">
        <v>1070</v>
      </c>
      <c r="D2650" s="8">
        <v>45999</v>
      </c>
      <c r="E2650" s="7" t="s">
        <v>976</v>
      </c>
      <c r="F2650" s="7">
        <v>1</v>
      </c>
      <c r="G2650" s="7" t="s">
        <v>14</v>
      </c>
      <c r="H2650" s="7" t="s">
        <v>311</v>
      </c>
      <c r="M2650" s="7" t="s">
        <v>917</v>
      </c>
      <c r="O2650" s="7" t="s">
        <v>682</v>
      </c>
      <c r="P2650" s="7">
        <f t="shared" si="219"/>
        <v>12</v>
      </c>
      <c r="Q2650" s="7">
        <f t="shared" si="214"/>
        <v>2025</v>
      </c>
    </row>
    <row r="2651" spans="1:17" x14ac:dyDescent="0.25">
      <c r="A2651" s="7">
        <v>2566</v>
      </c>
      <c r="B2651" s="9" t="s">
        <v>289</v>
      </c>
      <c r="C2651" s="9" t="s">
        <v>1070</v>
      </c>
      <c r="D2651" s="8">
        <v>45999</v>
      </c>
      <c r="E2651" s="7" t="s">
        <v>977</v>
      </c>
      <c r="F2651" s="7">
        <v>1</v>
      </c>
      <c r="G2651" s="7" t="s">
        <v>14</v>
      </c>
      <c r="H2651" s="7" t="s">
        <v>311</v>
      </c>
      <c r="M2651" s="7" t="s">
        <v>917</v>
      </c>
      <c r="O2651" s="7" t="s">
        <v>682</v>
      </c>
      <c r="P2651" s="7">
        <f t="shared" si="219"/>
        <v>12</v>
      </c>
      <c r="Q2651" s="7">
        <f t="shared" si="214"/>
        <v>2025</v>
      </c>
    </row>
    <row r="2652" spans="1:17" x14ac:dyDescent="0.25">
      <c r="A2652" s="7">
        <v>2566</v>
      </c>
      <c r="B2652" s="9" t="s">
        <v>289</v>
      </c>
      <c r="C2652" s="9" t="s">
        <v>1070</v>
      </c>
      <c r="D2652" s="8">
        <v>45999</v>
      </c>
      <c r="E2652" s="7" t="s">
        <v>978</v>
      </c>
      <c r="F2652" s="7">
        <v>1</v>
      </c>
      <c r="G2652" s="7" t="s">
        <v>14</v>
      </c>
      <c r="H2652" s="7" t="s">
        <v>311</v>
      </c>
      <c r="M2652" s="7" t="s">
        <v>917</v>
      </c>
      <c r="O2652" s="7" t="s">
        <v>682</v>
      </c>
      <c r="P2652" s="7">
        <f t="shared" si="219"/>
        <v>12</v>
      </c>
      <c r="Q2652" s="7">
        <f t="shared" si="214"/>
        <v>2025</v>
      </c>
    </row>
    <row r="2653" spans="1:17" x14ac:dyDescent="0.25">
      <c r="A2653" s="7">
        <v>2566</v>
      </c>
      <c r="B2653" s="9" t="s">
        <v>289</v>
      </c>
      <c r="C2653" s="9" t="s">
        <v>1070</v>
      </c>
      <c r="D2653" s="8">
        <v>45999</v>
      </c>
      <c r="E2653" s="7" t="s">
        <v>979</v>
      </c>
      <c r="F2653" s="7">
        <v>1</v>
      </c>
      <c r="G2653" s="7" t="s">
        <v>14</v>
      </c>
      <c r="H2653" s="7" t="s">
        <v>311</v>
      </c>
      <c r="M2653" s="7" t="s">
        <v>917</v>
      </c>
      <c r="O2653" s="7" t="s">
        <v>682</v>
      </c>
      <c r="P2653" s="7">
        <f t="shared" si="219"/>
        <v>12</v>
      </c>
      <c r="Q2653" s="7">
        <f t="shared" si="214"/>
        <v>2025</v>
      </c>
    </row>
    <row r="2654" spans="1:17" x14ac:dyDescent="0.25">
      <c r="A2654" s="7">
        <v>2567</v>
      </c>
      <c r="B2654" s="9" t="s">
        <v>980</v>
      </c>
      <c r="C2654" s="9" t="s">
        <v>980</v>
      </c>
      <c r="D2654" s="8">
        <v>46000</v>
      </c>
      <c r="E2654" s="7" t="s">
        <v>981</v>
      </c>
      <c r="F2654" s="7">
        <v>1</v>
      </c>
      <c r="G2654" s="7" t="s">
        <v>14</v>
      </c>
      <c r="H2654" s="7" t="s">
        <v>314</v>
      </c>
      <c r="M2654" s="7" t="s">
        <v>500</v>
      </c>
      <c r="O2654" s="7" t="s">
        <v>908</v>
      </c>
      <c r="P2654" s="7">
        <f t="shared" si="219"/>
        <v>12</v>
      </c>
      <c r="Q2654" s="7">
        <f t="shared" si="214"/>
        <v>2025</v>
      </c>
    </row>
    <row r="2655" spans="1:17" x14ac:dyDescent="0.25">
      <c r="A2655" s="7">
        <v>2567</v>
      </c>
      <c r="B2655" s="9" t="s">
        <v>980</v>
      </c>
      <c r="C2655" s="9" t="s">
        <v>980</v>
      </c>
      <c r="D2655" s="8">
        <v>46000</v>
      </c>
      <c r="E2655" s="7" t="s">
        <v>982</v>
      </c>
      <c r="F2655" s="7">
        <v>1</v>
      </c>
      <c r="G2655" s="7" t="s">
        <v>14</v>
      </c>
      <c r="H2655" s="7" t="s">
        <v>314</v>
      </c>
      <c r="M2655" s="7" t="s">
        <v>500</v>
      </c>
      <c r="O2655" s="7" t="s">
        <v>908</v>
      </c>
      <c r="P2655" s="7">
        <f t="shared" si="219"/>
        <v>12</v>
      </c>
      <c r="Q2655" s="7">
        <f t="shared" si="214"/>
        <v>2025</v>
      </c>
    </row>
    <row r="2656" spans="1:17" x14ac:dyDescent="0.25">
      <c r="A2656" s="7">
        <v>2567</v>
      </c>
      <c r="B2656" s="9" t="s">
        <v>980</v>
      </c>
      <c r="C2656" s="9" t="s">
        <v>980</v>
      </c>
      <c r="D2656" s="8">
        <v>46000</v>
      </c>
      <c r="E2656" s="7" t="s">
        <v>983</v>
      </c>
      <c r="F2656" s="7">
        <v>1</v>
      </c>
      <c r="G2656" s="7" t="s">
        <v>14</v>
      </c>
      <c r="H2656" s="7" t="s">
        <v>314</v>
      </c>
      <c r="M2656" s="7" t="s">
        <v>500</v>
      </c>
      <c r="O2656" s="7" t="s">
        <v>908</v>
      </c>
      <c r="P2656" s="7">
        <f t="shared" si="219"/>
        <v>12</v>
      </c>
      <c r="Q2656" s="7">
        <f t="shared" si="214"/>
        <v>2025</v>
      </c>
    </row>
    <row r="2657" spans="1:17" x14ac:dyDescent="0.25">
      <c r="A2657" s="7">
        <v>2567</v>
      </c>
      <c r="B2657" s="9" t="s">
        <v>980</v>
      </c>
      <c r="C2657" s="9" t="s">
        <v>980</v>
      </c>
      <c r="D2657" s="8">
        <v>46000</v>
      </c>
      <c r="E2657" s="7" t="s">
        <v>984</v>
      </c>
      <c r="F2657" s="7">
        <v>1</v>
      </c>
      <c r="G2657" s="7" t="s">
        <v>14</v>
      </c>
      <c r="H2657" s="7" t="s">
        <v>314</v>
      </c>
      <c r="M2657" s="7" t="s">
        <v>500</v>
      </c>
      <c r="O2657" s="7" t="s">
        <v>908</v>
      </c>
      <c r="P2657" s="7">
        <f t="shared" si="219"/>
        <v>12</v>
      </c>
      <c r="Q2657" s="7">
        <f t="shared" si="214"/>
        <v>2025</v>
      </c>
    </row>
    <row r="2658" spans="1:17" x14ac:dyDescent="0.25">
      <c r="A2658" s="7">
        <v>2567</v>
      </c>
      <c r="B2658" s="9" t="s">
        <v>980</v>
      </c>
      <c r="C2658" s="9" t="s">
        <v>980</v>
      </c>
      <c r="D2658" s="8">
        <v>46000</v>
      </c>
      <c r="E2658" s="7" t="s">
        <v>985</v>
      </c>
      <c r="F2658" s="7">
        <v>1</v>
      </c>
      <c r="G2658" s="7" t="s">
        <v>14</v>
      </c>
      <c r="H2658" s="7" t="s">
        <v>314</v>
      </c>
      <c r="M2658" s="7" t="s">
        <v>500</v>
      </c>
      <c r="O2658" s="7" t="s">
        <v>908</v>
      </c>
      <c r="P2658" s="7">
        <f t="shared" si="219"/>
        <v>12</v>
      </c>
      <c r="Q2658" s="7">
        <f t="shared" si="214"/>
        <v>2025</v>
      </c>
    </row>
    <row r="2659" spans="1:17" x14ac:dyDescent="0.25">
      <c r="A2659" s="7">
        <v>2567</v>
      </c>
      <c r="B2659" s="9" t="s">
        <v>980</v>
      </c>
      <c r="C2659" s="9" t="s">
        <v>980</v>
      </c>
      <c r="D2659" s="8">
        <v>46000</v>
      </c>
      <c r="E2659" s="7" t="s">
        <v>986</v>
      </c>
      <c r="F2659" s="7">
        <v>1</v>
      </c>
      <c r="G2659" s="7" t="s">
        <v>14</v>
      </c>
      <c r="H2659" s="7" t="s">
        <v>314</v>
      </c>
      <c r="M2659" s="7" t="s">
        <v>500</v>
      </c>
      <c r="O2659" s="7" t="s">
        <v>908</v>
      </c>
      <c r="P2659" s="7">
        <f t="shared" si="219"/>
        <v>12</v>
      </c>
      <c r="Q2659" s="7">
        <f t="shared" si="214"/>
        <v>2025</v>
      </c>
    </row>
    <row r="2660" spans="1:17" x14ac:dyDescent="0.25">
      <c r="A2660" s="7">
        <v>2567</v>
      </c>
      <c r="B2660" s="9" t="s">
        <v>980</v>
      </c>
      <c r="C2660" s="9" t="s">
        <v>980</v>
      </c>
      <c r="D2660" s="8">
        <v>46000</v>
      </c>
      <c r="E2660" s="7" t="s">
        <v>987</v>
      </c>
      <c r="F2660" s="7">
        <v>1</v>
      </c>
      <c r="G2660" s="7" t="s">
        <v>14</v>
      </c>
      <c r="H2660" s="7" t="s">
        <v>314</v>
      </c>
      <c r="M2660" s="7" t="s">
        <v>500</v>
      </c>
      <c r="O2660" s="7" t="s">
        <v>908</v>
      </c>
      <c r="P2660" s="7">
        <f t="shared" si="219"/>
        <v>12</v>
      </c>
      <c r="Q2660" s="7">
        <f t="shared" si="214"/>
        <v>2025</v>
      </c>
    </row>
    <row r="2661" spans="1:17" x14ac:dyDescent="0.25">
      <c r="A2661" s="7">
        <v>2567</v>
      </c>
      <c r="B2661" s="9" t="s">
        <v>980</v>
      </c>
      <c r="C2661" s="9" t="s">
        <v>980</v>
      </c>
      <c r="D2661" s="8">
        <v>46000</v>
      </c>
      <c r="E2661" s="7" t="s">
        <v>988</v>
      </c>
      <c r="F2661" s="7">
        <v>1</v>
      </c>
      <c r="G2661" s="7" t="s">
        <v>14</v>
      </c>
      <c r="H2661" s="7" t="s">
        <v>314</v>
      </c>
      <c r="M2661" s="7" t="s">
        <v>500</v>
      </c>
      <c r="O2661" s="7" t="s">
        <v>908</v>
      </c>
      <c r="P2661" s="7">
        <f t="shared" si="219"/>
        <v>12</v>
      </c>
      <c r="Q2661" s="7">
        <f t="shared" si="214"/>
        <v>2025</v>
      </c>
    </row>
    <row r="2662" spans="1:17" x14ac:dyDescent="0.25">
      <c r="A2662" s="7">
        <v>2567</v>
      </c>
      <c r="B2662" s="9" t="s">
        <v>980</v>
      </c>
      <c r="C2662" s="9" t="s">
        <v>980</v>
      </c>
      <c r="D2662" s="8">
        <v>46000</v>
      </c>
      <c r="E2662" s="7" t="s">
        <v>989</v>
      </c>
      <c r="F2662" s="7">
        <v>1</v>
      </c>
      <c r="G2662" s="7" t="s">
        <v>14</v>
      </c>
      <c r="H2662" s="7" t="s">
        <v>314</v>
      </c>
      <c r="M2662" s="7" t="s">
        <v>500</v>
      </c>
      <c r="O2662" s="7" t="s">
        <v>908</v>
      </c>
      <c r="P2662" s="7">
        <f t="shared" si="219"/>
        <v>12</v>
      </c>
      <c r="Q2662" s="7">
        <f t="shared" si="214"/>
        <v>2025</v>
      </c>
    </row>
    <row r="2663" spans="1:17" x14ac:dyDescent="0.25">
      <c r="A2663" s="7">
        <v>2567</v>
      </c>
      <c r="B2663" s="9" t="s">
        <v>980</v>
      </c>
      <c r="C2663" s="9" t="s">
        <v>980</v>
      </c>
      <c r="D2663" s="8">
        <v>46000</v>
      </c>
      <c r="E2663" s="7" t="s">
        <v>990</v>
      </c>
      <c r="F2663" s="7">
        <v>1</v>
      </c>
      <c r="G2663" s="7" t="s">
        <v>14</v>
      </c>
      <c r="H2663" s="7" t="s">
        <v>314</v>
      </c>
      <c r="M2663" s="7" t="s">
        <v>500</v>
      </c>
      <c r="O2663" s="7" t="s">
        <v>908</v>
      </c>
      <c r="P2663" s="7">
        <f t="shared" si="219"/>
        <v>12</v>
      </c>
      <c r="Q2663" s="7">
        <f t="shared" si="214"/>
        <v>2025</v>
      </c>
    </row>
    <row r="2664" spans="1:17" x14ac:dyDescent="0.25">
      <c r="A2664" s="7">
        <v>2567</v>
      </c>
      <c r="B2664" s="9" t="s">
        <v>980</v>
      </c>
      <c r="C2664" s="9" t="s">
        <v>980</v>
      </c>
      <c r="D2664" s="8">
        <v>46000</v>
      </c>
      <c r="E2664" s="7" t="s">
        <v>991</v>
      </c>
      <c r="F2664" s="7">
        <v>1</v>
      </c>
      <c r="G2664" s="7" t="s">
        <v>14</v>
      </c>
      <c r="H2664" s="7" t="s">
        <v>314</v>
      </c>
      <c r="M2664" s="7" t="s">
        <v>500</v>
      </c>
      <c r="O2664" s="7" t="s">
        <v>908</v>
      </c>
      <c r="P2664" s="7">
        <f t="shared" si="219"/>
        <v>12</v>
      </c>
      <c r="Q2664" s="7">
        <f t="shared" si="214"/>
        <v>2025</v>
      </c>
    </row>
    <row r="2665" spans="1:17" x14ac:dyDescent="0.25">
      <c r="A2665" s="7">
        <v>2567</v>
      </c>
      <c r="B2665" s="9" t="s">
        <v>980</v>
      </c>
      <c r="C2665" s="9" t="s">
        <v>980</v>
      </c>
      <c r="D2665" s="8">
        <v>46000</v>
      </c>
      <c r="E2665" s="7" t="s">
        <v>992</v>
      </c>
      <c r="F2665" s="7">
        <v>1</v>
      </c>
      <c r="G2665" s="7" t="s">
        <v>14</v>
      </c>
      <c r="H2665" s="7" t="s">
        <v>314</v>
      </c>
      <c r="M2665" s="7" t="s">
        <v>500</v>
      </c>
      <c r="O2665" s="7" t="s">
        <v>908</v>
      </c>
      <c r="P2665" s="7">
        <f t="shared" si="219"/>
        <v>12</v>
      </c>
      <c r="Q2665" s="7">
        <f t="shared" si="214"/>
        <v>2025</v>
      </c>
    </row>
    <row r="2666" spans="1:17" x14ac:dyDescent="0.25">
      <c r="A2666" s="7">
        <v>2567</v>
      </c>
      <c r="B2666" s="9" t="s">
        <v>980</v>
      </c>
      <c r="C2666" s="9" t="s">
        <v>980</v>
      </c>
      <c r="D2666" s="8">
        <v>46000</v>
      </c>
      <c r="E2666" s="7" t="s">
        <v>994</v>
      </c>
      <c r="F2666" s="7">
        <v>1</v>
      </c>
      <c r="G2666" s="7" t="s">
        <v>14</v>
      </c>
      <c r="H2666" s="7" t="s">
        <v>314</v>
      </c>
      <c r="M2666" s="7" t="s">
        <v>500</v>
      </c>
      <c r="O2666" s="7" t="s">
        <v>908</v>
      </c>
      <c r="P2666" s="7">
        <f t="shared" si="219"/>
        <v>12</v>
      </c>
      <c r="Q2666" s="7">
        <f t="shared" si="214"/>
        <v>2025</v>
      </c>
    </row>
    <row r="2667" spans="1:17" x14ac:dyDescent="0.25">
      <c r="A2667" s="7">
        <v>2567</v>
      </c>
      <c r="B2667" s="9" t="s">
        <v>980</v>
      </c>
      <c r="C2667" s="9" t="s">
        <v>980</v>
      </c>
      <c r="D2667" s="8">
        <v>46000</v>
      </c>
      <c r="E2667" s="7" t="s">
        <v>995</v>
      </c>
      <c r="F2667" s="7">
        <v>1</v>
      </c>
      <c r="G2667" s="7" t="s">
        <v>14</v>
      </c>
      <c r="H2667" s="7" t="s">
        <v>314</v>
      </c>
      <c r="M2667" s="7" t="s">
        <v>500</v>
      </c>
      <c r="O2667" s="7" t="s">
        <v>908</v>
      </c>
      <c r="P2667" s="7">
        <f t="shared" si="219"/>
        <v>12</v>
      </c>
      <c r="Q2667" s="7">
        <f t="shared" si="214"/>
        <v>2025</v>
      </c>
    </row>
    <row r="2668" spans="1:17" x14ac:dyDescent="0.25">
      <c r="A2668" s="7">
        <v>2567</v>
      </c>
      <c r="B2668" s="9" t="s">
        <v>980</v>
      </c>
      <c r="C2668" s="9" t="s">
        <v>980</v>
      </c>
      <c r="D2668" s="8">
        <v>46000</v>
      </c>
      <c r="E2668" s="7" t="s">
        <v>996</v>
      </c>
      <c r="F2668" s="7">
        <v>1</v>
      </c>
      <c r="G2668" s="7" t="s">
        <v>14</v>
      </c>
      <c r="H2668" s="7" t="s">
        <v>314</v>
      </c>
      <c r="M2668" s="7" t="s">
        <v>500</v>
      </c>
      <c r="O2668" s="7" t="s">
        <v>908</v>
      </c>
      <c r="P2668" s="7">
        <f t="shared" si="219"/>
        <v>12</v>
      </c>
      <c r="Q2668" s="7">
        <f t="shared" si="214"/>
        <v>2025</v>
      </c>
    </row>
    <row r="2669" spans="1:17" x14ac:dyDescent="0.25">
      <c r="A2669" s="7">
        <v>2567</v>
      </c>
      <c r="B2669" s="9" t="s">
        <v>980</v>
      </c>
      <c r="C2669" s="9" t="s">
        <v>980</v>
      </c>
      <c r="D2669" s="8">
        <v>46000</v>
      </c>
      <c r="E2669" s="7" t="s">
        <v>997</v>
      </c>
      <c r="F2669" s="7">
        <v>1</v>
      </c>
      <c r="G2669" s="7" t="s">
        <v>14</v>
      </c>
      <c r="H2669" s="7" t="s">
        <v>314</v>
      </c>
      <c r="M2669" s="7" t="s">
        <v>500</v>
      </c>
      <c r="O2669" s="7" t="s">
        <v>908</v>
      </c>
      <c r="P2669" s="7">
        <f t="shared" si="219"/>
        <v>12</v>
      </c>
      <c r="Q2669" s="7">
        <f t="shared" si="214"/>
        <v>2025</v>
      </c>
    </row>
    <row r="2670" spans="1:17" x14ac:dyDescent="0.25">
      <c r="A2670" s="7">
        <v>2567</v>
      </c>
      <c r="B2670" s="9" t="s">
        <v>980</v>
      </c>
      <c r="C2670" s="9" t="s">
        <v>980</v>
      </c>
      <c r="D2670" s="8">
        <v>46000</v>
      </c>
      <c r="E2670" s="7" t="s">
        <v>998</v>
      </c>
      <c r="F2670" s="7">
        <v>1</v>
      </c>
      <c r="G2670" s="7" t="s">
        <v>14</v>
      </c>
      <c r="H2670" s="7" t="s">
        <v>314</v>
      </c>
      <c r="M2670" s="7" t="s">
        <v>500</v>
      </c>
      <c r="O2670" s="7" t="s">
        <v>908</v>
      </c>
      <c r="P2670" s="7">
        <f t="shared" si="219"/>
        <v>12</v>
      </c>
      <c r="Q2670" s="7">
        <f t="shared" si="214"/>
        <v>2025</v>
      </c>
    </row>
    <row r="2671" spans="1:17" x14ac:dyDescent="0.25">
      <c r="A2671" s="7">
        <v>2567</v>
      </c>
      <c r="B2671" s="9" t="s">
        <v>980</v>
      </c>
      <c r="C2671" s="9" t="s">
        <v>980</v>
      </c>
      <c r="D2671" s="8">
        <v>46000</v>
      </c>
      <c r="E2671" s="7" t="s">
        <v>999</v>
      </c>
      <c r="F2671" s="7">
        <v>1</v>
      </c>
      <c r="G2671" s="7" t="s">
        <v>14</v>
      </c>
      <c r="H2671" s="7" t="s">
        <v>314</v>
      </c>
      <c r="M2671" s="7" t="s">
        <v>500</v>
      </c>
      <c r="O2671" s="7" t="s">
        <v>908</v>
      </c>
      <c r="P2671" s="7">
        <f t="shared" si="219"/>
        <v>12</v>
      </c>
      <c r="Q2671" s="7">
        <f t="shared" ref="Q2671:Q2734" si="220">YEAR(D2671)</f>
        <v>2025</v>
      </c>
    </row>
    <row r="2672" spans="1:17" x14ac:dyDescent="0.25">
      <c r="A2672" s="7">
        <v>2567</v>
      </c>
      <c r="B2672" s="9" t="s">
        <v>980</v>
      </c>
      <c r="C2672" s="9" t="s">
        <v>980</v>
      </c>
      <c r="D2672" s="8">
        <v>46000</v>
      </c>
      <c r="E2672" s="7" t="s">
        <v>1000</v>
      </c>
      <c r="F2672" s="7">
        <v>1</v>
      </c>
      <c r="G2672" s="7" t="s">
        <v>14</v>
      </c>
      <c r="H2672" s="7" t="s">
        <v>314</v>
      </c>
      <c r="M2672" s="7" t="s">
        <v>500</v>
      </c>
      <c r="O2672" s="7" t="s">
        <v>908</v>
      </c>
      <c r="P2672" s="7">
        <f t="shared" si="219"/>
        <v>12</v>
      </c>
      <c r="Q2672" s="7">
        <f t="shared" si="220"/>
        <v>2025</v>
      </c>
    </row>
    <row r="2673" spans="1:17" x14ac:dyDescent="0.25">
      <c r="A2673" s="7">
        <v>2567</v>
      </c>
      <c r="B2673" s="9" t="s">
        <v>980</v>
      </c>
      <c r="C2673" s="9" t="s">
        <v>980</v>
      </c>
      <c r="D2673" s="8">
        <v>46000</v>
      </c>
      <c r="E2673" s="7" t="s">
        <v>1001</v>
      </c>
      <c r="F2673" s="7">
        <v>1</v>
      </c>
      <c r="G2673" s="7" t="s">
        <v>14</v>
      </c>
      <c r="H2673" s="7" t="s">
        <v>314</v>
      </c>
      <c r="M2673" s="7" t="s">
        <v>500</v>
      </c>
      <c r="O2673" s="7" t="s">
        <v>908</v>
      </c>
      <c r="P2673" s="7">
        <f t="shared" si="219"/>
        <v>12</v>
      </c>
      <c r="Q2673" s="7">
        <f t="shared" si="220"/>
        <v>2025</v>
      </c>
    </row>
    <row r="2674" spans="1:17" x14ac:dyDescent="0.25">
      <c r="A2674" s="7">
        <v>2567</v>
      </c>
      <c r="B2674" s="9" t="s">
        <v>980</v>
      </c>
      <c r="C2674" s="9" t="s">
        <v>980</v>
      </c>
      <c r="D2674" s="8">
        <v>46000</v>
      </c>
      <c r="E2674" s="7" t="s">
        <v>1002</v>
      </c>
      <c r="F2674" s="7">
        <v>1</v>
      </c>
      <c r="G2674" s="7" t="s">
        <v>14</v>
      </c>
      <c r="H2674" s="7" t="s">
        <v>314</v>
      </c>
      <c r="M2674" s="7" t="s">
        <v>500</v>
      </c>
      <c r="O2674" s="7" t="s">
        <v>908</v>
      </c>
      <c r="P2674" s="7">
        <f t="shared" si="219"/>
        <v>12</v>
      </c>
      <c r="Q2674" s="7">
        <f t="shared" si="220"/>
        <v>2025</v>
      </c>
    </row>
    <row r="2675" spans="1:17" x14ac:dyDescent="0.25">
      <c r="A2675" s="7">
        <v>2567</v>
      </c>
      <c r="B2675" s="9" t="s">
        <v>980</v>
      </c>
      <c r="C2675" s="9" t="s">
        <v>980</v>
      </c>
      <c r="D2675" s="8">
        <v>46000</v>
      </c>
      <c r="E2675" s="7" t="s">
        <v>1003</v>
      </c>
      <c r="F2675" s="7">
        <v>1</v>
      </c>
      <c r="G2675" s="7" t="s">
        <v>14</v>
      </c>
      <c r="H2675" s="7" t="s">
        <v>314</v>
      </c>
      <c r="M2675" s="7" t="s">
        <v>500</v>
      </c>
      <c r="O2675" s="7" t="s">
        <v>908</v>
      </c>
      <c r="P2675" s="7">
        <f t="shared" si="219"/>
        <v>12</v>
      </c>
      <c r="Q2675" s="7">
        <f t="shared" si="220"/>
        <v>2025</v>
      </c>
    </row>
    <row r="2676" spans="1:17" x14ac:dyDescent="0.25">
      <c r="A2676" s="7">
        <v>2567</v>
      </c>
      <c r="B2676" s="9" t="s">
        <v>980</v>
      </c>
      <c r="C2676" s="9" t="s">
        <v>980</v>
      </c>
      <c r="D2676" s="8">
        <v>46000</v>
      </c>
      <c r="E2676" s="7" t="s">
        <v>1004</v>
      </c>
      <c r="F2676" s="7">
        <v>1</v>
      </c>
      <c r="G2676" s="7" t="s">
        <v>14</v>
      </c>
      <c r="H2676" s="7" t="s">
        <v>314</v>
      </c>
      <c r="M2676" s="7" t="s">
        <v>500</v>
      </c>
      <c r="O2676" s="7" t="s">
        <v>908</v>
      </c>
      <c r="P2676" s="7">
        <f t="shared" si="219"/>
        <v>12</v>
      </c>
      <c r="Q2676" s="7">
        <f t="shared" si="220"/>
        <v>2025</v>
      </c>
    </row>
    <row r="2677" spans="1:17" x14ac:dyDescent="0.25">
      <c r="A2677" s="7">
        <v>2567</v>
      </c>
      <c r="B2677" s="9" t="s">
        <v>980</v>
      </c>
      <c r="C2677" s="9" t="s">
        <v>980</v>
      </c>
      <c r="D2677" s="8">
        <v>46000</v>
      </c>
      <c r="E2677" s="7" t="s">
        <v>1005</v>
      </c>
      <c r="F2677" s="7">
        <v>1</v>
      </c>
      <c r="G2677" s="7" t="s">
        <v>14</v>
      </c>
      <c r="H2677" s="7" t="s">
        <v>314</v>
      </c>
      <c r="M2677" s="7" t="s">
        <v>500</v>
      </c>
      <c r="O2677" s="7" t="s">
        <v>908</v>
      </c>
      <c r="P2677" s="7">
        <f t="shared" si="219"/>
        <v>12</v>
      </c>
      <c r="Q2677" s="7">
        <f t="shared" si="220"/>
        <v>2025</v>
      </c>
    </row>
    <row r="2678" spans="1:17" x14ac:dyDescent="0.25">
      <c r="A2678" s="7">
        <v>2567</v>
      </c>
      <c r="B2678" s="9" t="s">
        <v>980</v>
      </c>
      <c r="C2678" s="9" t="s">
        <v>980</v>
      </c>
      <c r="D2678" s="8">
        <v>46000</v>
      </c>
      <c r="E2678" s="7" t="s">
        <v>1006</v>
      </c>
      <c r="F2678" s="7">
        <v>1</v>
      </c>
      <c r="G2678" s="7" t="s">
        <v>14</v>
      </c>
      <c r="H2678" s="7" t="s">
        <v>314</v>
      </c>
      <c r="M2678" s="7" t="s">
        <v>500</v>
      </c>
      <c r="O2678" s="7" t="s">
        <v>908</v>
      </c>
      <c r="P2678" s="7">
        <f t="shared" si="219"/>
        <v>12</v>
      </c>
      <c r="Q2678" s="7">
        <f t="shared" si="220"/>
        <v>2025</v>
      </c>
    </row>
    <row r="2679" spans="1:17" x14ac:dyDescent="0.25">
      <c r="A2679" s="7">
        <v>2567</v>
      </c>
      <c r="B2679" s="9" t="s">
        <v>980</v>
      </c>
      <c r="C2679" s="9" t="s">
        <v>980</v>
      </c>
      <c r="D2679" s="8">
        <v>46000</v>
      </c>
      <c r="E2679" s="7" t="s">
        <v>1007</v>
      </c>
      <c r="F2679" s="7">
        <v>1</v>
      </c>
      <c r="G2679" s="7" t="s">
        <v>14</v>
      </c>
      <c r="H2679" s="7" t="s">
        <v>314</v>
      </c>
      <c r="M2679" s="7" t="s">
        <v>500</v>
      </c>
      <c r="O2679" s="7" t="s">
        <v>908</v>
      </c>
      <c r="P2679" s="7">
        <f t="shared" si="219"/>
        <v>12</v>
      </c>
      <c r="Q2679" s="7">
        <f t="shared" si="220"/>
        <v>2025</v>
      </c>
    </row>
    <row r="2680" spans="1:17" x14ac:dyDescent="0.25">
      <c r="A2680" s="7">
        <v>2567</v>
      </c>
      <c r="B2680" s="9" t="s">
        <v>980</v>
      </c>
      <c r="C2680" s="9" t="s">
        <v>980</v>
      </c>
      <c r="D2680" s="8">
        <v>46000</v>
      </c>
      <c r="E2680" s="7" t="s">
        <v>1008</v>
      </c>
      <c r="F2680" s="7">
        <v>1</v>
      </c>
      <c r="G2680" s="7" t="s">
        <v>14</v>
      </c>
      <c r="H2680" s="7" t="s">
        <v>314</v>
      </c>
      <c r="M2680" s="7" t="s">
        <v>500</v>
      </c>
      <c r="O2680" s="7" t="s">
        <v>908</v>
      </c>
      <c r="P2680" s="7">
        <f t="shared" si="219"/>
        <v>12</v>
      </c>
      <c r="Q2680" s="7">
        <f t="shared" si="220"/>
        <v>2025</v>
      </c>
    </row>
    <row r="2681" spans="1:17" x14ac:dyDescent="0.25">
      <c r="A2681" s="7">
        <v>2567</v>
      </c>
      <c r="B2681" s="9" t="s">
        <v>980</v>
      </c>
      <c r="C2681" s="9" t="s">
        <v>980</v>
      </c>
      <c r="D2681" s="8">
        <v>46000</v>
      </c>
      <c r="E2681" s="7" t="s">
        <v>1009</v>
      </c>
      <c r="F2681" s="7">
        <v>1</v>
      </c>
      <c r="G2681" s="7" t="s">
        <v>14</v>
      </c>
      <c r="H2681" s="7" t="s">
        <v>314</v>
      </c>
      <c r="M2681" s="7" t="s">
        <v>500</v>
      </c>
      <c r="O2681" s="7" t="s">
        <v>908</v>
      </c>
      <c r="P2681" s="7">
        <f t="shared" si="219"/>
        <v>12</v>
      </c>
      <c r="Q2681" s="7">
        <f t="shared" si="220"/>
        <v>2025</v>
      </c>
    </row>
    <row r="2682" spans="1:17" x14ac:dyDescent="0.25">
      <c r="A2682" s="7">
        <v>2567</v>
      </c>
      <c r="B2682" s="9" t="s">
        <v>980</v>
      </c>
      <c r="C2682" s="9" t="s">
        <v>980</v>
      </c>
      <c r="D2682" s="8">
        <v>46000</v>
      </c>
      <c r="E2682" s="7" t="s">
        <v>1010</v>
      </c>
      <c r="F2682" s="7">
        <v>1</v>
      </c>
      <c r="G2682" s="7" t="s">
        <v>14</v>
      </c>
      <c r="H2682" s="7" t="s">
        <v>314</v>
      </c>
      <c r="M2682" s="7" t="s">
        <v>500</v>
      </c>
      <c r="O2682" s="7" t="s">
        <v>908</v>
      </c>
      <c r="P2682" s="7">
        <f t="shared" si="219"/>
        <v>12</v>
      </c>
      <c r="Q2682" s="7">
        <f t="shared" si="220"/>
        <v>2025</v>
      </c>
    </row>
    <row r="2683" spans="1:17" x14ac:dyDescent="0.25">
      <c r="A2683" s="7">
        <v>2567</v>
      </c>
      <c r="B2683" s="9" t="s">
        <v>980</v>
      </c>
      <c r="C2683" s="9" t="s">
        <v>980</v>
      </c>
      <c r="D2683" s="8">
        <v>46000</v>
      </c>
      <c r="E2683" s="7" t="s">
        <v>1011</v>
      </c>
      <c r="F2683" s="7">
        <v>1</v>
      </c>
      <c r="G2683" s="7" t="s">
        <v>14</v>
      </c>
      <c r="H2683" s="7" t="s">
        <v>314</v>
      </c>
      <c r="M2683" s="7" t="s">
        <v>500</v>
      </c>
      <c r="O2683" s="7" t="s">
        <v>908</v>
      </c>
      <c r="P2683" s="7">
        <f t="shared" si="219"/>
        <v>12</v>
      </c>
      <c r="Q2683" s="7">
        <f t="shared" si="220"/>
        <v>2025</v>
      </c>
    </row>
    <row r="2684" spans="1:17" x14ac:dyDescent="0.25">
      <c r="A2684" s="7">
        <v>2567</v>
      </c>
      <c r="B2684" s="9" t="s">
        <v>980</v>
      </c>
      <c r="C2684" s="9" t="s">
        <v>980</v>
      </c>
      <c r="D2684" s="8">
        <v>46000</v>
      </c>
      <c r="E2684" s="7" t="s">
        <v>1012</v>
      </c>
      <c r="F2684" s="7">
        <v>1</v>
      </c>
      <c r="G2684" s="7" t="s">
        <v>14</v>
      </c>
      <c r="H2684" s="7" t="s">
        <v>314</v>
      </c>
      <c r="M2684" s="7" t="s">
        <v>500</v>
      </c>
      <c r="O2684" s="7" t="s">
        <v>908</v>
      </c>
      <c r="P2684" s="7">
        <f t="shared" si="219"/>
        <v>12</v>
      </c>
      <c r="Q2684" s="7">
        <f t="shared" si="220"/>
        <v>2025</v>
      </c>
    </row>
    <row r="2685" spans="1:17" x14ac:dyDescent="0.25">
      <c r="A2685" s="7">
        <v>2567</v>
      </c>
      <c r="B2685" s="9" t="s">
        <v>980</v>
      </c>
      <c r="C2685" s="9" t="s">
        <v>980</v>
      </c>
      <c r="D2685" s="8">
        <v>46000</v>
      </c>
      <c r="E2685" s="7" t="s">
        <v>1013</v>
      </c>
      <c r="F2685" s="7">
        <v>1</v>
      </c>
      <c r="G2685" s="7" t="s">
        <v>14</v>
      </c>
      <c r="H2685" s="7" t="s">
        <v>314</v>
      </c>
      <c r="M2685" s="7" t="s">
        <v>500</v>
      </c>
      <c r="O2685" s="7" t="s">
        <v>908</v>
      </c>
      <c r="P2685" s="7">
        <f t="shared" si="219"/>
        <v>12</v>
      </c>
      <c r="Q2685" s="7">
        <f t="shared" si="220"/>
        <v>2025</v>
      </c>
    </row>
    <row r="2686" spans="1:17" x14ac:dyDescent="0.25">
      <c r="A2686" s="7">
        <v>2567</v>
      </c>
      <c r="B2686" s="9" t="s">
        <v>980</v>
      </c>
      <c r="C2686" s="9" t="s">
        <v>980</v>
      </c>
      <c r="D2686" s="8">
        <v>46000</v>
      </c>
      <c r="E2686" s="7" t="s">
        <v>1014</v>
      </c>
      <c r="F2686" s="7">
        <v>1</v>
      </c>
      <c r="G2686" s="7" t="s">
        <v>14</v>
      </c>
      <c r="H2686" s="7" t="s">
        <v>314</v>
      </c>
      <c r="M2686" s="7" t="s">
        <v>500</v>
      </c>
      <c r="O2686" s="7" t="s">
        <v>908</v>
      </c>
      <c r="P2686" s="7">
        <f t="shared" si="219"/>
        <v>12</v>
      </c>
      <c r="Q2686" s="7">
        <f t="shared" si="220"/>
        <v>2025</v>
      </c>
    </row>
    <row r="2687" spans="1:17" x14ac:dyDescent="0.25">
      <c r="A2687" s="7">
        <v>2567</v>
      </c>
      <c r="B2687" s="9" t="s">
        <v>980</v>
      </c>
      <c r="C2687" s="9" t="s">
        <v>980</v>
      </c>
      <c r="D2687" s="8">
        <v>46000</v>
      </c>
      <c r="E2687" s="7" t="s">
        <v>1015</v>
      </c>
      <c r="F2687" s="7">
        <v>1</v>
      </c>
      <c r="G2687" s="7" t="s">
        <v>14</v>
      </c>
      <c r="H2687" s="7" t="s">
        <v>314</v>
      </c>
      <c r="M2687" s="7" t="s">
        <v>500</v>
      </c>
      <c r="O2687" s="7" t="s">
        <v>908</v>
      </c>
      <c r="P2687" s="7">
        <f t="shared" si="219"/>
        <v>12</v>
      </c>
      <c r="Q2687" s="7">
        <f t="shared" si="220"/>
        <v>2025</v>
      </c>
    </row>
    <row r="2688" spans="1:17" x14ac:dyDescent="0.25">
      <c r="A2688" s="7">
        <v>2567</v>
      </c>
      <c r="B2688" s="9" t="s">
        <v>980</v>
      </c>
      <c r="C2688" s="9" t="s">
        <v>980</v>
      </c>
      <c r="D2688" s="8">
        <v>46000</v>
      </c>
      <c r="E2688" s="7" t="s">
        <v>1016</v>
      </c>
      <c r="F2688" s="7">
        <v>1</v>
      </c>
      <c r="G2688" s="7" t="s">
        <v>14</v>
      </c>
      <c r="H2688" s="7" t="s">
        <v>314</v>
      </c>
      <c r="M2688" s="7" t="s">
        <v>500</v>
      </c>
      <c r="O2688" s="7" t="s">
        <v>908</v>
      </c>
      <c r="P2688" s="7">
        <f t="shared" si="219"/>
        <v>12</v>
      </c>
      <c r="Q2688" s="7">
        <f t="shared" si="220"/>
        <v>2025</v>
      </c>
    </row>
    <row r="2689" spans="1:17" x14ac:dyDescent="0.25">
      <c r="A2689" s="7">
        <v>2567</v>
      </c>
      <c r="B2689" s="9" t="s">
        <v>980</v>
      </c>
      <c r="C2689" s="9" t="s">
        <v>980</v>
      </c>
      <c r="D2689" s="8">
        <v>46000</v>
      </c>
      <c r="E2689" s="7" t="s">
        <v>1017</v>
      </c>
      <c r="F2689" s="7">
        <v>1</v>
      </c>
      <c r="G2689" s="7" t="s">
        <v>14</v>
      </c>
      <c r="H2689" s="7" t="s">
        <v>314</v>
      </c>
      <c r="M2689" s="7" t="s">
        <v>500</v>
      </c>
      <c r="O2689" s="7" t="s">
        <v>908</v>
      </c>
      <c r="P2689" s="7">
        <f t="shared" si="219"/>
        <v>12</v>
      </c>
      <c r="Q2689" s="7">
        <f t="shared" si="220"/>
        <v>2025</v>
      </c>
    </row>
    <row r="2690" spans="1:17" x14ac:dyDescent="0.25">
      <c r="A2690" s="7">
        <v>2567</v>
      </c>
      <c r="B2690" s="9" t="s">
        <v>980</v>
      </c>
      <c r="C2690" s="9" t="s">
        <v>980</v>
      </c>
      <c r="D2690" s="8">
        <v>46000</v>
      </c>
      <c r="E2690" s="7" t="s">
        <v>1018</v>
      </c>
      <c r="F2690" s="7">
        <v>1</v>
      </c>
      <c r="G2690" s="7" t="s">
        <v>14</v>
      </c>
      <c r="H2690" s="7" t="s">
        <v>314</v>
      </c>
      <c r="M2690" s="7" t="s">
        <v>500</v>
      </c>
      <c r="O2690" s="7" t="s">
        <v>908</v>
      </c>
      <c r="P2690" s="7">
        <f t="shared" si="219"/>
        <v>12</v>
      </c>
      <c r="Q2690" s="7">
        <f t="shared" si="220"/>
        <v>2025</v>
      </c>
    </row>
    <row r="2691" spans="1:17" x14ac:dyDescent="0.25">
      <c r="A2691" s="7">
        <v>2567</v>
      </c>
      <c r="B2691" s="9" t="s">
        <v>980</v>
      </c>
      <c r="C2691" s="9" t="s">
        <v>980</v>
      </c>
      <c r="D2691" s="8">
        <v>46000</v>
      </c>
      <c r="E2691" s="7" t="s">
        <v>1019</v>
      </c>
      <c r="F2691" s="7">
        <v>1</v>
      </c>
      <c r="G2691" s="7" t="s">
        <v>14</v>
      </c>
      <c r="H2691" s="7" t="s">
        <v>314</v>
      </c>
      <c r="M2691" s="7" t="s">
        <v>500</v>
      </c>
      <c r="O2691" s="7" t="s">
        <v>908</v>
      </c>
      <c r="P2691" s="7">
        <f t="shared" si="219"/>
        <v>12</v>
      </c>
      <c r="Q2691" s="7">
        <f t="shared" si="220"/>
        <v>2025</v>
      </c>
    </row>
    <row r="2692" spans="1:17" x14ac:dyDescent="0.25">
      <c r="A2692" s="7">
        <v>2567</v>
      </c>
      <c r="B2692" s="9" t="s">
        <v>980</v>
      </c>
      <c r="C2692" s="9" t="s">
        <v>980</v>
      </c>
      <c r="D2692" s="8">
        <v>46000</v>
      </c>
      <c r="E2692" s="7" t="s">
        <v>1020</v>
      </c>
      <c r="F2692" s="7">
        <v>1</v>
      </c>
      <c r="G2692" s="7" t="s">
        <v>14</v>
      </c>
      <c r="H2692" s="7" t="s">
        <v>314</v>
      </c>
      <c r="M2692" s="7" t="s">
        <v>500</v>
      </c>
      <c r="O2692" s="7" t="s">
        <v>908</v>
      </c>
      <c r="P2692" s="7">
        <f t="shared" si="219"/>
        <v>12</v>
      </c>
      <c r="Q2692" s="7">
        <f t="shared" si="220"/>
        <v>2025</v>
      </c>
    </row>
    <row r="2693" spans="1:17" x14ac:dyDescent="0.25">
      <c r="A2693" s="7">
        <v>2567</v>
      </c>
      <c r="B2693" s="9" t="s">
        <v>980</v>
      </c>
      <c r="C2693" s="9" t="s">
        <v>980</v>
      </c>
      <c r="D2693" s="8">
        <v>46000</v>
      </c>
      <c r="E2693" s="7" t="s">
        <v>1021</v>
      </c>
      <c r="F2693" s="7">
        <v>1</v>
      </c>
      <c r="G2693" s="7" t="s">
        <v>14</v>
      </c>
      <c r="H2693" s="7" t="s">
        <v>314</v>
      </c>
      <c r="M2693" s="7" t="s">
        <v>500</v>
      </c>
      <c r="O2693" s="7" t="s">
        <v>908</v>
      </c>
      <c r="P2693" s="7">
        <f t="shared" si="219"/>
        <v>12</v>
      </c>
      <c r="Q2693" s="7">
        <f t="shared" si="220"/>
        <v>2025</v>
      </c>
    </row>
    <row r="2694" spans="1:17" x14ac:dyDescent="0.25">
      <c r="A2694" s="7">
        <v>2567</v>
      </c>
      <c r="B2694" s="9" t="s">
        <v>980</v>
      </c>
      <c r="C2694" s="9" t="s">
        <v>980</v>
      </c>
      <c r="D2694" s="8">
        <v>46000</v>
      </c>
      <c r="E2694" s="7" t="s">
        <v>1022</v>
      </c>
      <c r="F2694" s="7">
        <v>1</v>
      </c>
      <c r="G2694" s="7" t="s">
        <v>14</v>
      </c>
      <c r="H2694" s="7" t="s">
        <v>314</v>
      </c>
      <c r="M2694" s="7" t="s">
        <v>500</v>
      </c>
      <c r="O2694" s="7" t="s">
        <v>908</v>
      </c>
      <c r="P2694" s="7">
        <f t="shared" si="219"/>
        <v>12</v>
      </c>
      <c r="Q2694" s="7">
        <f t="shared" si="220"/>
        <v>2025</v>
      </c>
    </row>
    <row r="2695" spans="1:17" x14ac:dyDescent="0.25">
      <c r="A2695" s="7">
        <v>2567</v>
      </c>
      <c r="B2695" s="9" t="s">
        <v>980</v>
      </c>
      <c r="C2695" s="9" t="s">
        <v>980</v>
      </c>
      <c r="D2695" s="8">
        <v>46000</v>
      </c>
      <c r="E2695" s="7" t="s">
        <v>1023</v>
      </c>
      <c r="F2695" s="7">
        <v>1</v>
      </c>
      <c r="G2695" s="7" t="s">
        <v>14</v>
      </c>
      <c r="H2695" s="7" t="s">
        <v>314</v>
      </c>
      <c r="M2695" s="7" t="s">
        <v>500</v>
      </c>
      <c r="O2695" s="7" t="s">
        <v>908</v>
      </c>
      <c r="P2695" s="7">
        <f t="shared" si="219"/>
        <v>12</v>
      </c>
      <c r="Q2695" s="7">
        <f t="shared" si="220"/>
        <v>2025</v>
      </c>
    </row>
    <row r="2696" spans="1:17" x14ac:dyDescent="0.25">
      <c r="A2696" s="7">
        <v>2567</v>
      </c>
      <c r="B2696" s="9" t="s">
        <v>980</v>
      </c>
      <c r="C2696" s="9" t="s">
        <v>980</v>
      </c>
      <c r="D2696" s="8">
        <v>46000</v>
      </c>
      <c r="E2696" s="7" t="s">
        <v>1024</v>
      </c>
      <c r="F2696" s="7">
        <v>1</v>
      </c>
      <c r="G2696" s="7" t="s">
        <v>14</v>
      </c>
      <c r="H2696" s="7" t="s">
        <v>314</v>
      </c>
      <c r="M2696" s="7" t="s">
        <v>500</v>
      </c>
      <c r="O2696" s="7" t="s">
        <v>908</v>
      </c>
      <c r="P2696" s="7">
        <f t="shared" si="219"/>
        <v>12</v>
      </c>
      <c r="Q2696" s="7">
        <f t="shared" si="220"/>
        <v>2025</v>
      </c>
    </row>
    <row r="2697" spans="1:17" x14ac:dyDescent="0.25">
      <c r="A2697" s="7">
        <v>2567</v>
      </c>
      <c r="B2697" s="9" t="s">
        <v>980</v>
      </c>
      <c r="C2697" s="9" t="s">
        <v>980</v>
      </c>
      <c r="D2697" s="8">
        <v>46000</v>
      </c>
      <c r="E2697" s="7" t="s">
        <v>1025</v>
      </c>
      <c r="F2697" s="7">
        <v>1</v>
      </c>
      <c r="G2697" s="7" t="s">
        <v>14</v>
      </c>
      <c r="H2697" s="7" t="s">
        <v>314</v>
      </c>
      <c r="M2697" s="7" t="s">
        <v>500</v>
      </c>
      <c r="O2697" s="7" t="s">
        <v>908</v>
      </c>
      <c r="P2697" s="7">
        <f t="shared" si="219"/>
        <v>12</v>
      </c>
      <c r="Q2697" s="7">
        <f t="shared" si="220"/>
        <v>2025</v>
      </c>
    </row>
    <row r="2698" spans="1:17" x14ac:dyDescent="0.25">
      <c r="A2698" s="7">
        <v>2567</v>
      </c>
      <c r="B2698" s="9" t="s">
        <v>980</v>
      </c>
      <c r="C2698" s="9" t="s">
        <v>980</v>
      </c>
      <c r="D2698" s="8">
        <v>46000</v>
      </c>
      <c r="E2698" s="7" t="s">
        <v>1026</v>
      </c>
      <c r="F2698" s="7">
        <v>1</v>
      </c>
      <c r="G2698" s="7" t="s">
        <v>14</v>
      </c>
      <c r="H2698" s="7" t="s">
        <v>314</v>
      </c>
      <c r="M2698" s="7" t="s">
        <v>500</v>
      </c>
      <c r="O2698" s="7" t="s">
        <v>908</v>
      </c>
      <c r="P2698" s="7">
        <f t="shared" si="219"/>
        <v>12</v>
      </c>
      <c r="Q2698" s="7">
        <f t="shared" si="220"/>
        <v>2025</v>
      </c>
    </row>
    <row r="2699" spans="1:17" x14ac:dyDescent="0.25">
      <c r="A2699" s="7">
        <v>2567</v>
      </c>
      <c r="B2699" s="9" t="s">
        <v>980</v>
      </c>
      <c r="C2699" s="9" t="s">
        <v>980</v>
      </c>
      <c r="D2699" s="8">
        <v>46000</v>
      </c>
      <c r="E2699" s="7" t="s">
        <v>1027</v>
      </c>
      <c r="F2699" s="7">
        <v>1</v>
      </c>
      <c r="G2699" s="7" t="s">
        <v>14</v>
      </c>
      <c r="H2699" s="7" t="s">
        <v>314</v>
      </c>
      <c r="M2699" s="7" t="s">
        <v>500</v>
      </c>
      <c r="O2699" s="7" t="s">
        <v>908</v>
      </c>
      <c r="P2699" s="7">
        <f t="shared" si="219"/>
        <v>12</v>
      </c>
      <c r="Q2699" s="7">
        <f t="shared" si="220"/>
        <v>2025</v>
      </c>
    </row>
    <row r="2700" spans="1:17" x14ac:dyDescent="0.25">
      <c r="A2700" s="7">
        <v>2567</v>
      </c>
      <c r="B2700" s="9" t="s">
        <v>980</v>
      </c>
      <c r="C2700" s="9" t="s">
        <v>980</v>
      </c>
      <c r="D2700" s="8">
        <v>46000</v>
      </c>
      <c r="E2700" s="7" t="s">
        <v>1028</v>
      </c>
      <c r="F2700" s="7">
        <v>1</v>
      </c>
      <c r="G2700" s="7" t="s">
        <v>14</v>
      </c>
      <c r="H2700" s="7" t="s">
        <v>314</v>
      </c>
      <c r="M2700" s="7" t="s">
        <v>500</v>
      </c>
      <c r="O2700" s="7" t="s">
        <v>908</v>
      </c>
      <c r="P2700" s="7">
        <f t="shared" si="219"/>
        <v>12</v>
      </c>
      <c r="Q2700" s="7">
        <f t="shared" si="220"/>
        <v>2025</v>
      </c>
    </row>
    <row r="2701" spans="1:17" x14ac:dyDescent="0.25">
      <c r="A2701" s="7">
        <v>2567</v>
      </c>
      <c r="B2701" s="9" t="s">
        <v>980</v>
      </c>
      <c r="C2701" s="9" t="s">
        <v>980</v>
      </c>
      <c r="D2701" s="8">
        <v>46000</v>
      </c>
      <c r="E2701" s="7" t="s">
        <v>1029</v>
      </c>
      <c r="F2701" s="7">
        <v>1</v>
      </c>
      <c r="G2701" s="7" t="s">
        <v>14</v>
      </c>
      <c r="H2701" s="7" t="s">
        <v>314</v>
      </c>
      <c r="M2701" s="7" t="s">
        <v>500</v>
      </c>
      <c r="O2701" s="7" t="s">
        <v>908</v>
      </c>
      <c r="P2701" s="7">
        <f t="shared" si="219"/>
        <v>12</v>
      </c>
      <c r="Q2701" s="7">
        <f t="shared" si="220"/>
        <v>2025</v>
      </c>
    </row>
    <row r="2702" spans="1:17" x14ac:dyDescent="0.25">
      <c r="A2702" s="7">
        <v>2567</v>
      </c>
      <c r="B2702" s="9" t="s">
        <v>980</v>
      </c>
      <c r="C2702" s="9" t="s">
        <v>980</v>
      </c>
      <c r="D2702" s="8">
        <v>46000</v>
      </c>
      <c r="E2702" s="7" t="s">
        <v>1030</v>
      </c>
      <c r="F2702" s="7">
        <v>1</v>
      </c>
      <c r="G2702" s="7" t="s">
        <v>14</v>
      </c>
      <c r="H2702" s="7" t="s">
        <v>314</v>
      </c>
      <c r="M2702" s="7" t="s">
        <v>500</v>
      </c>
      <c r="O2702" s="7" t="s">
        <v>908</v>
      </c>
      <c r="P2702" s="7">
        <f t="shared" si="219"/>
        <v>12</v>
      </c>
      <c r="Q2702" s="7">
        <f t="shared" si="220"/>
        <v>2025</v>
      </c>
    </row>
    <row r="2703" spans="1:17" x14ac:dyDescent="0.25">
      <c r="A2703" s="7">
        <v>2567</v>
      </c>
      <c r="B2703" s="9" t="s">
        <v>980</v>
      </c>
      <c r="C2703" s="9" t="s">
        <v>980</v>
      </c>
      <c r="D2703" s="8">
        <v>46000</v>
      </c>
      <c r="E2703" s="7" t="s">
        <v>1031</v>
      </c>
      <c r="F2703" s="7">
        <v>1</v>
      </c>
      <c r="G2703" s="7" t="s">
        <v>14</v>
      </c>
      <c r="H2703" s="7" t="s">
        <v>314</v>
      </c>
      <c r="M2703" s="7" t="s">
        <v>500</v>
      </c>
      <c r="O2703" s="7" t="s">
        <v>908</v>
      </c>
      <c r="P2703" s="7">
        <f t="shared" si="219"/>
        <v>12</v>
      </c>
      <c r="Q2703" s="7">
        <f t="shared" si="220"/>
        <v>2025</v>
      </c>
    </row>
    <row r="2704" spans="1:17" x14ac:dyDescent="0.25">
      <c r="A2704" s="7">
        <v>2567</v>
      </c>
      <c r="B2704" s="9" t="s">
        <v>980</v>
      </c>
      <c r="C2704" s="9" t="s">
        <v>980</v>
      </c>
      <c r="D2704" s="8">
        <v>46000</v>
      </c>
      <c r="E2704" s="7" t="s">
        <v>1032</v>
      </c>
      <c r="F2704" s="7">
        <v>1</v>
      </c>
      <c r="G2704" s="7" t="s">
        <v>14</v>
      </c>
      <c r="H2704" s="7" t="s">
        <v>314</v>
      </c>
      <c r="M2704" s="7" t="s">
        <v>500</v>
      </c>
      <c r="O2704" s="7" t="s">
        <v>908</v>
      </c>
      <c r="P2704" s="7">
        <f t="shared" si="219"/>
        <v>12</v>
      </c>
      <c r="Q2704" s="7">
        <f t="shared" si="220"/>
        <v>2025</v>
      </c>
    </row>
    <row r="2705" spans="1:17" x14ac:dyDescent="0.25">
      <c r="A2705" s="7">
        <v>2567</v>
      </c>
      <c r="B2705" s="9" t="s">
        <v>980</v>
      </c>
      <c r="C2705" s="9" t="s">
        <v>980</v>
      </c>
      <c r="D2705" s="8">
        <v>46000</v>
      </c>
      <c r="E2705" s="7" t="s">
        <v>1033</v>
      </c>
      <c r="F2705" s="7">
        <v>1</v>
      </c>
      <c r="G2705" s="7" t="s">
        <v>14</v>
      </c>
      <c r="H2705" s="7" t="s">
        <v>314</v>
      </c>
      <c r="M2705" s="7" t="s">
        <v>500</v>
      </c>
      <c r="O2705" s="7" t="s">
        <v>908</v>
      </c>
      <c r="P2705" s="7">
        <f t="shared" si="219"/>
        <v>12</v>
      </c>
      <c r="Q2705" s="7">
        <f t="shared" si="220"/>
        <v>2025</v>
      </c>
    </row>
    <row r="2706" spans="1:17" x14ac:dyDescent="0.25">
      <c r="A2706" s="7">
        <v>2567</v>
      </c>
      <c r="B2706" s="9" t="s">
        <v>980</v>
      </c>
      <c r="C2706" s="9" t="s">
        <v>980</v>
      </c>
      <c r="D2706" s="8">
        <v>46000</v>
      </c>
      <c r="E2706" s="7" t="s">
        <v>1034</v>
      </c>
      <c r="F2706" s="7">
        <v>1</v>
      </c>
      <c r="G2706" s="7" t="s">
        <v>14</v>
      </c>
      <c r="H2706" s="7" t="s">
        <v>314</v>
      </c>
      <c r="M2706" s="7" t="s">
        <v>500</v>
      </c>
      <c r="O2706" s="7" t="s">
        <v>908</v>
      </c>
      <c r="P2706" s="7">
        <f t="shared" si="219"/>
        <v>12</v>
      </c>
      <c r="Q2706" s="7">
        <f t="shared" si="220"/>
        <v>2025</v>
      </c>
    </row>
    <row r="2707" spans="1:17" x14ac:dyDescent="0.25">
      <c r="A2707" s="7">
        <v>2567</v>
      </c>
      <c r="B2707" s="9" t="s">
        <v>980</v>
      </c>
      <c r="C2707" s="9" t="s">
        <v>980</v>
      </c>
      <c r="D2707" s="8">
        <v>46000</v>
      </c>
      <c r="E2707" s="7" t="s">
        <v>1035</v>
      </c>
      <c r="F2707" s="7">
        <v>1</v>
      </c>
      <c r="G2707" s="7" t="s">
        <v>14</v>
      </c>
      <c r="H2707" s="7" t="s">
        <v>314</v>
      </c>
      <c r="M2707" s="7" t="s">
        <v>500</v>
      </c>
      <c r="O2707" s="7" t="s">
        <v>908</v>
      </c>
      <c r="P2707" s="7">
        <f t="shared" si="219"/>
        <v>12</v>
      </c>
      <c r="Q2707" s="7">
        <f t="shared" si="220"/>
        <v>2025</v>
      </c>
    </row>
    <row r="2708" spans="1:17" x14ac:dyDescent="0.25">
      <c r="A2708" s="7">
        <v>2567</v>
      </c>
      <c r="B2708" s="9" t="s">
        <v>980</v>
      </c>
      <c r="C2708" s="9" t="s">
        <v>980</v>
      </c>
      <c r="D2708" s="8">
        <v>46000</v>
      </c>
      <c r="E2708" s="7" t="s">
        <v>1036</v>
      </c>
      <c r="F2708" s="7">
        <v>1</v>
      </c>
      <c r="G2708" s="7" t="s">
        <v>14</v>
      </c>
      <c r="H2708" s="7" t="s">
        <v>314</v>
      </c>
      <c r="M2708" s="7" t="s">
        <v>500</v>
      </c>
      <c r="O2708" s="7" t="s">
        <v>908</v>
      </c>
      <c r="P2708" s="7">
        <f t="shared" si="219"/>
        <v>12</v>
      </c>
      <c r="Q2708" s="7">
        <f t="shared" si="220"/>
        <v>2025</v>
      </c>
    </row>
    <row r="2709" spans="1:17" x14ac:dyDescent="0.25">
      <c r="A2709" s="7">
        <v>2567</v>
      </c>
      <c r="B2709" s="9" t="s">
        <v>980</v>
      </c>
      <c r="C2709" s="9" t="s">
        <v>980</v>
      </c>
      <c r="D2709" s="8">
        <v>46000</v>
      </c>
      <c r="E2709" s="7" t="s">
        <v>1037</v>
      </c>
      <c r="F2709" s="7">
        <v>1</v>
      </c>
      <c r="G2709" s="7" t="s">
        <v>14</v>
      </c>
      <c r="H2709" s="7" t="s">
        <v>314</v>
      </c>
      <c r="M2709" s="7" t="s">
        <v>500</v>
      </c>
      <c r="O2709" s="7" t="s">
        <v>908</v>
      </c>
      <c r="P2709" s="7">
        <f t="shared" si="219"/>
        <v>12</v>
      </c>
      <c r="Q2709" s="7">
        <f t="shared" si="220"/>
        <v>2025</v>
      </c>
    </row>
    <row r="2710" spans="1:17" x14ac:dyDescent="0.25">
      <c r="A2710" s="7">
        <v>2567</v>
      </c>
      <c r="B2710" s="9" t="s">
        <v>980</v>
      </c>
      <c r="C2710" s="9" t="s">
        <v>980</v>
      </c>
      <c r="D2710" s="8">
        <v>46000</v>
      </c>
      <c r="E2710" s="7" t="s">
        <v>1038</v>
      </c>
      <c r="F2710" s="7">
        <v>1</v>
      </c>
      <c r="G2710" s="7" t="s">
        <v>14</v>
      </c>
      <c r="H2710" s="7" t="s">
        <v>314</v>
      </c>
      <c r="M2710" s="7" t="s">
        <v>500</v>
      </c>
      <c r="O2710" s="7" t="s">
        <v>908</v>
      </c>
      <c r="P2710" s="7">
        <f t="shared" ref="P2710:P2742" si="221">MONTH(D2710)</f>
        <v>12</v>
      </c>
      <c r="Q2710" s="7">
        <f t="shared" si="220"/>
        <v>2025</v>
      </c>
    </row>
    <row r="2711" spans="1:17" x14ac:dyDescent="0.25">
      <c r="A2711" s="7">
        <v>2567</v>
      </c>
      <c r="B2711" s="9" t="s">
        <v>980</v>
      </c>
      <c r="C2711" s="9" t="s">
        <v>980</v>
      </c>
      <c r="D2711" s="8">
        <v>46000</v>
      </c>
      <c r="E2711" s="7" t="s">
        <v>1039</v>
      </c>
      <c r="F2711" s="7">
        <v>1</v>
      </c>
      <c r="G2711" s="7" t="s">
        <v>14</v>
      </c>
      <c r="H2711" s="7" t="s">
        <v>314</v>
      </c>
      <c r="M2711" s="7" t="s">
        <v>500</v>
      </c>
      <c r="O2711" s="7" t="s">
        <v>908</v>
      </c>
      <c r="P2711" s="7">
        <f t="shared" si="221"/>
        <v>12</v>
      </c>
      <c r="Q2711" s="7">
        <f t="shared" si="220"/>
        <v>2025</v>
      </c>
    </row>
    <row r="2712" spans="1:17" x14ac:dyDescent="0.25">
      <c r="A2712" s="7">
        <v>2567</v>
      </c>
      <c r="B2712" s="9" t="s">
        <v>980</v>
      </c>
      <c r="C2712" s="9" t="s">
        <v>980</v>
      </c>
      <c r="D2712" s="8">
        <v>46000</v>
      </c>
      <c r="E2712" s="7" t="s">
        <v>1040</v>
      </c>
      <c r="F2712" s="7">
        <v>1</v>
      </c>
      <c r="G2712" s="7" t="s">
        <v>14</v>
      </c>
      <c r="H2712" s="7" t="s">
        <v>314</v>
      </c>
      <c r="M2712" s="7" t="s">
        <v>500</v>
      </c>
      <c r="O2712" s="7" t="s">
        <v>908</v>
      </c>
      <c r="P2712" s="7">
        <f t="shared" si="221"/>
        <v>12</v>
      </c>
      <c r="Q2712" s="7">
        <f t="shared" si="220"/>
        <v>2025</v>
      </c>
    </row>
    <row r="2713" spans="1:17" x14ac:dyDescent="0.25">
      <c r="A2713" s="7">
        <v>2567</v>
      </c>
      <c r="B2713" s="9" t="s">
        <v>980</v>
      </c>
      <c r="C2713" s="9" t="s">
        <v>980</v>
      </c>
      <c r="D2713" s="8">
        <v>46000</v>
      </c>
      <c r="E2713" s="7" t="s">
        <v>1041</v>
      </c>
      <c r="F2713" s="7">
        <v>1</v>
      </c>
      <c r="G2713" s="7" t="s">
        <v>14</v>
      </c>
      <c r="H2713" s="7" t="s">
        <v>314</v>
      </c>
      <c r="M2713" s="7" t="s">
        <v>500</v>
      </c>
      <c r="O2713" s="7" t="s">
        <v>908</v>
      </c>
      <c r="P2713" s="7">
        <f t="shared" si="221"/>
        <v>12</v>
      </c>
      <c r="Q2713" s="7">
        <f t="shared" si="220"/>
        <v>2025</v>
      </c>
    </row>
    <row r="2714" spans="1:17" x14ac:dyDescent="0.25">
      <c r="A2714" s="7">
        <v>2567</v>
      </c>
      <c r="B2714" s="9" t="s">
        <v>980</v>
      </c>
      <c r="C2714" s="9" t="s">
        <v>980</v>
      </c>
      <c r="D2714" s="8">
        <v>46000</v>
      </c>
      <c r="E2714" s="7" t="s">
        <v>1042</v>
      </c>
      <c r="F2714" s="7">
        <v>1</v>
      </c>
      <c r="G2714" s="7" t="s">
        <v>14</v>
      </c>
      <c r="H2714" s="7" t="s">
        <v>314</v>
      </c>
      <c r="M2714" s="7" t="s">
        <v>500</v>
      </c>
      <c r="O2714" s="7" t="s">
        <v>908</v>
      </c>
      <c r="P2714" s="7">
        <f t="shared" si="221"/>
        <v>12</v>
      </c>
      <c r="Q2714" s="7">
        <f t="shared" si="220"/>
        <v>2025</v>
      </c>
    </row>
    <row r="2715" spans="1:17" x14ac:dyDescent="0.25">
      <c r="A2715" s="7">
        <v>2567</v>
      </c>
      <c r="B2715" s="9" t="s">
        <v>980</v>
      </c>
      <c r="C2715" s="9" t="s">
        <v>980</v>
      </c>
      <c r="D2715" s="8">
        <v>46000</v>
      </c>
      <c r="E2715" s="7" t="s">
        <v>1043</v>
      </c>
      <c r="F2715" s="7">
        <v>1</v>
      </c>
      <c r="G2715" s="7" t="s">
        <v>14</v>
      </c>
      <c r="H2715" s="7" t="s">
        <v>314</v>
      </c>
      <c r="M2715" s="7" t="s">
        <v>500</v>
      </c>
      <c r="O2715" s="7" t="s">
        <v>908</v>
      </c>
      <c r="P2715" s="7">
        <f t="shared" si="221"/>
        <v>12</v>
      </c>
      <c r="Q2715" s="7">
        <f t="shared" si="220"/>
        <v>2025</v>
      </c>
    </row>
    <row r="2716" spans="1:17" x14ac:dyDescent="0.25">
      <c r="A2716" s="7">
        <v>2567</v>
      </c>
      <c r="B2716" s="9" t="s">
        <v>980</v>
      </c>
      <c r="C2716" s="9" t="s">
        <v>980</v>
      </c>
      <c r="D2716" s="8">
        <v>46000</v>
      </c>
      <c r="E2716" s="7" t="s">
        <v>1044</v>
      </c>
      <c r="F2716" s="7">
        <v>1</v>
      </c>
      <c r="G2716" s="7" t="s">
        <v>14</v>
      </c>
      <c r="H2716" s="7" t="s">
        <v>314</v>
      </c>
      <c r="M2716" s="7" t="s">
        <v>500</v>
      </c>
      <c r="O2716" s="7" t="s">
        <v>908</v>
      </c>
      <c r="P2716" s="7">
        <f t="shared" si="221"/>
        <v>12</v>
      </c>
      <c r="Q2716" s="7">
        <f t="shared" si="220"/>
        <v>2025</v>
      </c>
    </row>
    <row r="2717" spans="1:17" x14ac:dyDescent="0.25">
      <c r="A2717" s="7">
        <v>2567</v>
      </c>
      <c r="B2717" s="9" t="s">
        <v>980</v>
      </c>
      <c r="C2717" s="9" t="s">
        <v>980</v>
      </c>
      <c r="D2717" s="8">
        <v>46000</v>
      </c>
      <c r="E2717" s="7" t="s">
        <v>1045</v>
      </c>
      <c r="F2717" s="7">
        <v>1</v>
      </c>
      <c r="G2717" s="7" t="s">
        <v>14</v>
      </c>
      <c r="H2717" s="7" t="s">
        <v>314</v>
      </c>
      <c r="M2717" s="7" t="s">
        <v>500</v>
      </c>
      <c r="O2717" s="7" t="s">
        <v>908</v>
      </c>
      <c r="P2717" s="7">
        <f t="shared" si="221"/>
        <v>12</v>
      </c>
      <c r="Q2717" s="7">
        <f t="shared" si="220"/>
        <v>2025</v>
      </c>
    </row>
    <row r="2718" spans="1:17" x14ac:dyDescent="0.25">
      <c r="A2718" s="7">
        <v>2567</v>
      </c>
      <c r="B2718" s="9" t="s">
        <v>980</v>
      </c>
      <c r="C2718" s="9" t="s">
        <v>980</v>
      </c>
      <c r="D2718" s="8">
        <v>46000</v>
      </c>
      <c r="E2718" s="7" t="s">
        <v>1046</v>
      </c>
      <c r="F2718" s="7">
        <v>1</v>
      </c>
      <c r="G2718" s="7" t="s">
        <v>14</v>
      </c>
      <c r="H2718" s="7" t="s">
        <v>314</v>
      </c>
      <c r="M2718" s="7" t="s">
        <v>500</v>
      </c>
      <c r="O2718" s="7" t="s">
        <v>908</v>
      </c>
      <c r="P2718" s="7">
        <f t="shared" si="221"/>
        <v>12</v>
      </c>
      <c r="Q2718" s="7">
        <f t="shared" si="220"/>
        <v>2025</v>
      </c>
    </row>
    <row r="2719" spans="1:17" x14ac:dyDescent="0.25">
      <c r="A2719" s="7">
        <v>2567</v>
      </c>
      <c r="B2719" s="9" t="s">
        <v>980</v>
      </c>
      <c r="C2719" s="9" t="s">
        <v>980</v>
      </c>
      <c r="D2719" s="8">
        <v>46000</v>
      </c>
      <c r="E2719" s="7" t="s">
        <v>1047</v>
      </c>
      <c r="F2719" s="7">
        <v>1</v>
      </c>
      <c r="G2719" s="7" t="s">
        <v>14</v>
      </c>
      <c r="H2719" s="7" t="s">
        <v>314</v>
      </c>
      <c r="M2719" s="7" t="s">
        <v>500</v>
      </c>
      <c r="O2719" s="7" t="s">
        <v>908</v>
      </c>
      <c r="P2719" s="7">
        <f t="shared" si="221"/>
        <v>12</v>
      </c>
      <c r="Q2719" s="7">
        <f t="shared" si="220"/>
        <v>2025</v>
      </c>
    </row>
    <row r="2720" spans="1:17" x14ac:dyDescent="0.25">
      <c r="A2720" s="7">
        <v>2567</v>
      </c>
      <c r="B2720" s="9" t="s">
        <v>980</v>
      </c>
      <c r="C2720" s="9" t="s">
        <v>980</v>
      </c>
      <c r="D2720" s="8">
        <v>46000</v>
      </c>
      <c r="E2720" s="7" t="s">
        <v>1048</v>
      </c>
      <c r="F2720" s="7">
        <v>1</v>
      </c>
      <c r="G2720" s="7" t="s">
        <v>14</v>
      </c>
      <c r="H2720" s="7" t="s">
        <v>314</v>
      </c>
      <c r="M2720" s="7" t="s">
        <v>500</v>
      </c>
      <c r="O2720" s="7" t="s">
        <v>908</v>
      </c>
      <c r="P2720" s="7">
        <f t="shared" si="221"/>
        <v>12</v>
      </c>
      <c r="Q2720" s="7">
        <f t="shared" si="220"/>
        <v>2025</v>
      </c>
    </row>
    <row r="2721" spans="1:17" x14ac:dyDescent="0.25">
      <c r="A2721" s="7">
        <v>2567</v>
      </c>
      <c r="B2721" s="9" t="s">
        <v>980</v>
      </c>
      <c r="C2721" s="9" t="s">
        <v>980</v>
      </c>
      <c r="D2721" s="8">
        <v>46000</v>
      </c>
      <c r="E2721" s="7" t="s">
        <v>1049</v>
      </c>
      <c r="F2721" s="7">
        <v>1</v>
      </c>
      <c r="G2721" s="7" t="s">
        <v>14</v>
      </c>
      <c r="H2721" s="7" t="s">
        <v>314</v>
      </c>
      <c r="M2721" s="7" t="s">
        <v>500</v>
      </c>
      <c r="O2721" s="7" t="s">
        <v>908</v>
      </c>
      <c r="P2721" s="7">
        <f t="shared" si="221"/>
        <v>12</v>
      </c>
      <c r="Q2721" s="7">
        <f t="shared" si="220"/>
        <v>2025</v>
      </c>
    </row>
    <row r="2722" spans="1:17" x14ac:dyDescent="0.25">
      <c r="A2722" s="7">
        <v>2567</v>
      </c>
      <c r="B2722" s="9" t="s">
        <v>980</v>
      </c>
      <c r="C2722" s="9" t="s">
        <v>980</v>
      </c>
      <c r="D2722" s="8">
        <v>46000</v>
      </c>
      <c r="E2722" s="7" t="s">
        <v>1050</v>
      </c>
      <c r="F2722" s="7">
        <v>1</v>
      </c>
      <c r="G2722" s="7" t="s">
        <v>14</v>
      </c>
      <c r="H2722" s="7" t="s">
        <v>314</v>
      </c>
      <c r="M2722" s="7" t="s">
        <v>500</v>
      </c>
      <c r="O2722" s="7" t="s">
        <v>908</v>
      </c>
      <c r="P2722" s="7">
        <f t="shared" si="221"/>
        <v>12</v>
      </c>
      <c r="Q2722" s="7">
        <f t="shared" si="220"/>
        <v>2025</v>
      </c>
    </row>
    <row r="2723" spans="1:17" x14ac:dyDescent="0.25">
      <c r="A2723" s="7">
        <v>2567</v>
      </c>
      <c r="B2723" s="9" t="s">
        <v>980</v>
      </c>
      <c r="C2723" s="9" t="s">
        <v>980</v>
      </c>
      <c r="D2723" s="8">
        <v>46000</v>
      </c>
      <c r="E2723" s="7" t="s">
        <v>1051</v>
      </c>
      <c r="F2723" s="7">
        <v>1</v>
      </c>
      <c r="G2723" s="7" t="s">
        <v>14</v>
      </c>
      <c r="H2723" s="7" t="s">
        <v>314</v>
      </c>
      <c r="M2723" s="7" t="s">
        <v>500</v>
      </c>
      <c r="O2723" s="7" t="s">
        <v>908</v>
      </c>
      <c r="P2723" s="7">
        <f t="shared" si="221"/>
        <v>12</v>
      </c>
      <c r="Q2723" s="7">
        <f t="shared" si="220"/>
        <v>2025</v>
      </c>
    </row>
    <row r="2724" spans="1:17" x14ac:dyDescent="0.25">
      <c r="A2724" s="7">
        <v>2567</v>
      </c>
      <c r="B2724" s="9" t="s">
        <v>980</v>
      </c>
      <c r="C2724" s="9" t="s">
        <v>980</v>
      </c>
      <c r="D2724" s="8">
        <v>46000</v>
      </c>
      <c r="E2724" s="7" t="s">
        <v>1052</v>
      </c>
      <c r="F2724" s="7">
        <v>1</v>
      </c>
      <c r="G2724" s="7" t="s">
        <v>14</v>
      </c>
      <c r="H2724" s="7" t="s">
        <v>314</v>
      </c>
      <c r="M2724" s="7" t="s">
        <v>500</v>
      </c>
      <c r="O2724" s="7" t="s">
        <v>908</v>
      </c>
      <c r="P2724" s="7">
        <f t="shared" si="221"/>
        <v>12</v>
      </c>
      <c r="Q2724" s="7">
        <f t="shared" si="220"/>
        <v>2025</v>
      </c>
    </row>
    <row r="2725" spans="1:17" x14ac:dyDescent="0.25">
      <c r="A2725" s="7">
        <v>2567</v>
      </c>
      <c r="B2725" s="9" t="s">
        <v>980</v>
      </c>
      <c r="C2725" s="9" t="s">
        <v>980</v>
      </c>
      <c r="D2725" s="8">
        <v>46000</v>
      </c>
      <c r="E2725" s="7" t="s">
        <v>1053</v>
      </c>
      <c r="F2725" s="7">
        <v>1</v>
      </c>
      <c r="G2725" s="7" t="s">
        <v>14</v>
      </c>
      <c r="H2725" s="7" t="s">
        <v>314</v>
      </c>
      <c r="M2725" s="7" t="s">
        <v>500</v>
      </c>
      <c r="O2725" s="7" t="s">
        <v>908</v>
      </c>
      <c r="P2725" s="7">
        <f t="shared" si="221"/>
        <v>12</v>
      </c>
      <c r="Q2725" s="7">
        <f t="shared" si="220"/>
        <v>2025</v>
      </c>
    </row>
    <row r="2726" spans="1:17" x14ac:dyDescent="0.25">
      <c r="A2726" s="7">
        <v>2567</v>
      </c>
      <c r="B2726" s="9" t="s">
        <v>980</v>
      </c>
      <c r="C2726" s="9" t="s">
        <v>980</v>
      </c>
      <c r="D2726" s="8">
        <v>46000</v>
      </c>
      <c r="E2726" s="7" t="s">
        <v>1054</v>
      </c>
      <c r="F2726" s="7">
        <v>1</v>
      </c>
      <c r="G2726" s="7" t="s">
        <v>14</v>
      </c>
      <c r="H2726" s="7" t="s">
        <v>314</v>
      </c>
      <c r="M2726" s="7" t="s">
        <v>500</v>
      </c>
      <c r="O2726" s="7" t="s">
        <v>908</v>
      </c>
      <c r="P2726" s="7">
        <f t="shared" si="221"/>
        <v>12</v>
      </c>
      <c r="Q2726" s="7">
        <f t="shared" si="220"/>
        <v>2025</v>
      </c>
    </row>
    <row r="2727" spans="1:17" x14ac:dyDescent="0.25">
      <c r="A2727" s="7">
        <v>2567</v>
      </c>
      <c r="B2727" s="9" t="s">
        <v>980</v>
      </c>
      <c r="C2727" s="9" t="s">
        <v>980</v>
      </c>
      <c r="D2727" s="8">
        <v>46000</v>
      </c>
      <c r="E2727" s="7" t="s">
        <v>1055</v>
      </c>
      <c r="F2727" s="7">
        <v>1</v>
      </c>
      <c r="G2727" s="7" t="s">
        <v>14</v>
      </c>
      <c r="H2727" s="7" t="s">
        <v>314</v>
      </c>
      <c r="M2727" s="7" t="s">
        <v>500</v>
      </c>
      <c r="O2727" s="7" t="s">
        <v>908</v>
      </c>
      <c r="P2727" s="7">
        <f t="shared" si="221"/>
        <v>12</v>
      </c>
      <c r="Q2727" s="7">
        <f t="shared" si="220"/>
        <v>2025</v>
      </c>
    </row>
    <row r="2728" spans="1:17" x14ac:dyDescent="0.25">
      <c r="A2728" s="7">
        <v>2567</v>
      </c>
      <c r="B2728" s="9" t="s">
        <v>980</v>
      </c>
      <c r="C2728" s="9" t="s">
        <v>980</v>
      </c>
      <c r="D2728" s="8">
        <v>46000</v>
      </c>
      <c r="E2728" s="7" t="s">
        <v>1056</v>
      </c>
      <c r="F2728" s="7">
        <v>1</v>
      </c>
      <c r="G2728" s="7" t="s">
        <v>14</v>
      </c>
      <c r="H2728" s="7" t="s">
        <v>314</v>
      </c>
      <c r="M2728" s="7" t="s">
        <v>500</v>
      </c>
      <c r="O2728" s="7" t="s">
        <v>908</v>
      </c>
      <c r="P2728" s="7">
        <f t="shared" si="221"/>
        <v>12</v>
      </c>
      <c r="Q2728" s="7">
        <f t="shared" si="220"/>
        <v>2025</v>
      </c>
    </row>
    <row r="2729" spans="1:17" x14ac:dyDescent="0.25">
      <c r="A2729" s="7">
        <v>2567</v>
      </c>
      <c r="B2729" s="9" t="s">
        <v>980</v>
      </c>
      <c r="C2729" s="9" t="s">
        <v>980</v>
      </c>
      <c r="D2729" s="8">
        <v>46000</v>
      </c>
      <c r="E2729" s="7" t="s">
        <v>1057</v>
      </c>
      <c r="F2729" s="7">
        <v>1</v>
      </c>
      <c r="G2729" s="7" t="s">
        <v>14</v>
      </c>
      <c r="H2729" s="7" t="s">
        <v>314</v>
      </c>
      <c r="M2729" s="7" t="s">
        <v>500</v>
      </c>
      <c r="O2729" s="7" t="s">
        <v>908</v>
      </c>
      <c r="P2729" s="7">
        <f t="shared" si="221"/>
        <v>12</v>
      </c>
      <c r="Q2729" s="7">
        <f t="shared" si="220"/>
        <v>2025</v>
      </c>
    </row>
    <row r="2730" spans="1:17" x14ac:dyDescent="0.25">
      <c r="A2730" s="7">
        <v>2567</v>
      </c>
      <c r="B2730" s="9" t="s">
        <v>980</v>
      </c>
      <c r="C2730" s="9" t="s">
        <v>980</v>
      </c>
      <c r="D2730" s="8">
        <v>46000</v>
      </c>
      <c r="E2730" s="7" t="s">
        <v>1058</v>
      </c>
      <c r="F2730" s="7">
        <v>1</v>
      </c>
      <c r="G2730" s="7" t="s">
        <v>14</v>
      </c>
      <c r="H2730" s="7" t="s">
        <v>314</v>
      </c>
      <c r="M2730" s="7" t="s">
        <v>500</v>
      </c>
      <c r="O2730" s="7" t="s">
        <v>908</v>
      </c>
      <c r="P2730" s="7">
        <f t="shared" si="221"/>
        <v>12</v>
      </c>
      <c r="Q2730" s="7">
        <f t="shared" si="220"/>
        <v>2025</v>
      </c>
    </row>
    <row r="2731" spans="1:17" x14ac:dyDescent="0.25">
      <c r="A2731" s="7">
        <v>2567</v>
      </c>
      <c r="B2731" s="9" t="s">
        <v>980</v>
      </c>
      <c r="C2731" s="9" t="s">
        <v>980</v>
      </c>
      <c r="D2731" s="8">
        <v>46000</v>
      </c>
      <c r="E2731" s="7" t="s">
        <v>1059</v>
      </c>
      <c r="F2731" s="7">
        <v>1</v>
      </c>
      <c r="G2731" s="7" t="s">
        <v>14</v>
      </c>
      <c r="H2731" s="7" t="s">
        <v>314</v>
      </c>
      <c r="M2731" s="7" t="s">
        <v>500</v>
      </c>
      <c r="O2731" s="7" t="s">
        <v>908</v>
      </c>
      <c r="P2731" s="7">
        <f t="shared" si="221"/>
        <v>12</v>
      </c>
      <c r="Q2731" s="7">
        <f t="shared" si="220"/>
        <v>2025</v>
      </c>
    </row>
    <row r="2732" spans="1:17" x14ac:dyDescent="0.25">
      <c r="A2732" s="7">
        <v>2567</v>
      </c>
      <c r="B2732" s="9" t="s">
        <v>980</v>
      </c>
      <c r="C2732" s="9" t="s">
        <v>980</v>
      </c>
      <c r="D2732" s="8">
        <v>46000</v>
      </c>
      <c r="E2732" s="7" t="s">
        <v>1060</v>
      </c>
      <c r="F2732" s="7">
        <v>1</v>
      </c>
      <c r="G2732" s="7" t="s">
        <v>14</v>
      </c>
      <c r="H2732" s="7" t="s">
        <v>314</v>
      </c>
      <c r="M2732" s="7" t="s">
        <v>500</v>
      </c>
      <c r="O2732" s="7" t="s">
        <v>908</v>
      </c>
      <c r="P2732" s="7">
        <f t="shared" si="221"/>
        <v>12</v>
      </c>
      <c r="Q2732" s="7">
        <f t="shared" si="220"/>
        <v>2025</v>
      </c>
    </row>
    <row r="2733" spans="1:17" x14ac:dyDescent="0.25">
      <c r="A2733" s="7">
        <v>2567</v>
      </c>
      <c r="B2733" s="9" t="s">
        <v>980</v>
      </c>
      <c r="C2733" s="9" t="s">
        <v>980</v>
      </c>
      <c r="D2733" s="8">
        <v>46000</v>
      </c>
      <c r="E2733" s="7" t="s">
        <v>1061</v>
      </c>
      <c r="F2733" s="7">
        <v>1</v>
      </c>
      <c r="G2733" s="7" t="s">
        <v>14</v>
      </c>
      <c r="H2733" s="7" t="s">
        <v>314</v>
      </c>
      <c r="M2733" s="7" t="s">
        <v>500</v>
      </c>
      <c r="O2733" s="7" t="s">
        <v>908</v>
      </c>
      <c r="P2733" s="7">
        <f t="shared" si="221"/>
        <v>12</v>
      </c>
      <c r="Q2733" s="7">
        <f t="shared" si="220"/>
        <v>2025</v>
      </c>
    </row>
    <row r="2734" spans="1:17" x14ac:dyDescent="0.25">
      <c r="A2734" s="7">
        <v>2567</v>
      </c>
      <c r="B2734" s="9" t="s">
        <v>980</v>
      </c>
      <c r="C2734" s="9" t="s">
        <v>980</v>
      </c>
      <c r="D2734" s="8">
        <v>46000</v>
      </c>
      <c r="E2734" s="7" t="s">
        <v>1062</v>
      </c>
      <c r="F2734" s="7">
        <v>1</v>
      </c>
      <c r="G2734" s="7" t="s">
        <v>14</v>
      </c>
      <c r="H2734" s="7" t="s">
        <v>314</v>
      </c>
      <c r="M2734" s="7" t="s">
        <v>500</v>
      </c>
      <c r="O2734" s="7" t="s">
        <v>908</v>
      </c>
      <c r="P2734" s="7">
        <f t="shared" si="221"/>
        <v>12</v>
      </c>
      <c r="Q2734" s="7">
        <f t="shared" si="220"/>
        <v>2025</v>
      </c>
    </row>
    <row r="2735" spans="1:17" x14ac:dyDescent="0.25">
      <c r="A2735" s="7">
        <v>2567</v>
      </c>
      <c r="B2735" s="9" t="s">
        <v>980</v>
      </c>
      <c r="C2735" s="9" t="s">
        <v>980</v>
      </c>
      <c r="D2735" s="8">
        <v>46000</v>
      </c>
      <c r="E2735" s="7" t="s">
        <v>993</v>
      </c>
      <c r="F2735" s="7">
        <v>1</v>
      </c>
      <c r="G2735" s="7" t="s">
        <v>14</v>
      </c>
      <c r="H2735" s="7" t="s">
        <v>314</v>
      </c>
      <c r="M2735" s="7" t="s">
        <v>500</v>
      </c>
      <c r="O2735" s="7" t="s">
        <v>908</v>
      </c>
      <c r="P2735" s="7">
        <f t="shared" si="221"/>
        <v>12</v>
      </c>
      <c r="Q2735" s="7">
        <f t="shared" ref="Q2735:Q2756" si="222">YEAR(D2735)</f>
        <v>2025</v>
      </c>
    </row>
    <row r="2736" spans="1:17" x14ac:dyDescent="0.25">
      <c r="A2736" s="7">
        <v>2567</v>
      </c>
      <c r="B2736" s="9" t="s">
        <v>980</v>
      </c>
      <c r="C2736" s="9" t="s">
        <v>980</v>
      </c>
      <c r="D2736" s="8">
        <v>46000</v>
      </c>
      <c r="E2736" s="7" t="s">
        <v>1063</v>
      </c>
      <c r="F2736" s="7">
        <v>1</v>
      </c>
      <c r="G2736" s="7" t="s">
        <v>14</v>
      </c>
      <c r="H2736" s="7" t="s">
        <v>314</v>
      </c>
      <c r="M2736" s="7" t="s">
        <v>500</v>
      </c>
      <c r="O2736" s="7" t="s">
        <v>908</v>
      </c>
      <c r="P2736" s="7">
        <f t="shared" si="221"/>
        <v>12</v>
      </c>
      <c r="Q2736" s="7">
        <f t="shared" si="222"/>
        <v>2025</v>
      </c>
    </row>
    <row r="2737" spans="1:17" x14ac:dyDescent="0.25">
      <c r="A2737" s="7">
        <v>2567</v>
      </c>
      <c r="B2737" s="9" t="s">
        <v>980</v>
      </c>
      <c r="C2737" s="9" t="s">
        <v>980</v>
      </c>
      <c r="D2737" s="8">
        <v>46000</v>
      </c>
      <c r="E2737" s="7" t="s">
        <v>1064</v>
      </c>
      <c r="F2737" s="7">
        <v>1</v>
      </c>
      <c r="G2737" s="7" t="s">
        <v>14</v>
      </c>
      <c r="H2737" s="7" t="s">
        <v>314</v>
      </c>
      <c r="M2737" s="7" t="s">
        <v>500</v>
      </c>
      <c r="O2737" s="7" t="s">
        <v>908</v>
      </c>
      <c r="P2737" s="7">
        <f t="shared" si="221"/>
        <v>12</v>
      </c>
      <c r="Q2737" s="7">
        <f t="shared" si="222"/>
        <v>2025</v>
      </c>
    </row>
    <row r="2738" spans="1:17" x14ac:dyDescent="0.25">
      <c r="A2738" s="7">
        <v>2567</v>
      </c>
      <c r="B2738" s="9" t="s">
        <v>980</v>
      </c>
      <c r="C2738" s="9" t="s">
        <v>980</v>
      </c>
      <c r="D2738" s="8">
        <v>46000</v>
      </c>
      <c r="E2738" s="7" t="s">
        <v>1065</v>
      </c>
      <c r="F2738" s="7">
        <v>1</v>
      </c>
      <c r="G2738" s="7" t="s">
        <v>14</v>
      </c>
      <c r="H2738" s="7" t="s">
        <v>314</v>
      </c>
      <c r="M2738" s="7" t="s">
        <v>500</v>
      </c>
      <c r="O2738" s="7" t="s">
        <v>908</v>
      </c>
      <c r="P2738" s="7">
        <f t="shared" si="221"/>
        <v>12</v>
      </c>
      <c r="Q2738" s="7">
        <f t="shared" si="222"/>
        <v>2025</v>
      </c>
    </row>
    <row r="2739" spans="1:17" x14ac:dyDescent="0.25">
      <c r="A2739" s="7">
        <v>2567</v>
      </c>
      <c r="B2739" s="9" t="s">
        <v>980</v>
      </c>
      <c r="C2739" s="9" t="s">
        <v>980</v>
      </c>
      <c r="D2739" s="8">
        <v>46000</v>
      </c>
      <c r="E2739" s="7" t="s">
        <v>1066</v>
      </c>
      <c r="F2739" s="7">
        <v>1</v>
      </c>
      <c r="G2739" s="7" t="s">
        <v>14</v>
      </c>
      <c r="H2739" s="7" t="s">
        <v>314</v>
      </c>
      <c r="M2739" s="7" t="s">
        <v>500</v>
      </c>
      <c r="O2739" s="7" t="s">
        <v>908</v>
      </c>
      <c r="P2739" s="7">
        <f t="shared" si="221"/>
        <v>12</v>
      </c>
      <c r="Q2739" s="7">
        <f t="shared" si="222"/>
        <v>2025</v>
      </c>
    </row>
    <row r="2740" spans="1:17" x14ac:dyDescent="0.25">
      <c r="A2740" s="7">
        <v>2567</v>
      </c>
      <c r="B2740" s="9" t="s">
        <v>980</v>
      </c>
      <c r="C2740" s="9" t="s">
        <v>980</v>
      </c>
      <c r="D2740" s="8">
        <v>46000</v>
      </c>
      <c r="E2740" s="7" t="s">
        <v>1067</v>
      </c>
      <c r="F2740" s="7">
        <v>1</v>
      </c>
      <c r="G2740" s="7" t="s">
        <v>14</v>
      </c>
      <c r="H2740" s="7" t="s">
        <v>314</v>
      </c>
      <c r="M2740" s="7" t="s">
        <v>500</v>
      </c>
      <c r="O2740" s="7" t="s">
        <v>908</v>
      </c>
      <c r="P2740" s="7">
        <f t="shared" si="221"/>
        <v>12</v>
      </c>
      <c r="Q2740" s="7">
        <f t="shared" si="222"/>
        <v>2025</v>
      </c>
    </row>
    <row r="2741" spans="1:17" x14ac:dyDescent="0.25">
      <c r="A2741" s="7">
        <v>2567</v>
      </c>
      <c r="B2741" s="9" t="s">
        <v>980</v>
      </c>
      <c r="C2741" s="9" t="s">
        <v>980</v>
      </c>
      <c r="D2741" s="8">
        <v>46000</v>
      </c>
      <c r="E2741" s="7" t="s">
        <v>1068</v>
      </c>
      <c r="F2741" s="7">
        <v>1</v>
      </c>
      <c r="G2741" s="7" t="s">
        <v>14</v>
      </c>
      <c r="H2741" s="7" t="s">
        <v>314</v>
      </c>
      <c r="M2741" s="7" t="s">
        <v>500</v>
      </c>
      <c r="O2741" s="7" t="s">
        <v>908</v>
      </c>
      <c r="P2741" s="7">
        <f t="shared" si="221"/>
        <v>12</v>
      </c>
      <c r="Q2741" s="7">
        <f t="shared" si="222"/>
        <v>2025</v>
      </c>
    </row>
    <row r="2742" spans="1:17" x14ac:dyDescent="0.25">
      <c r="A2742" s="7">
        <v>2567</v>
      </c>
      <c r="B2742" s="9" t="s">
        <v>980</v>
      </c>
      <c r="C2742" s="9" t="s">
        <v>980</v>
      </c>
      <c r="D2742" s="8">
        <v>46000</v>
      </c>
      <c r="E2742" s="7" t="s">
        <v>1069</v>
      </c>
      <c r="F2742" s="7">
        <v>1</v>
      </c>
      <c r="G2742" s="7" t="s">
        <v>14</v>
      </c>
      <c r="H2742" s="7" t="s">
        <v>314</v>
      </c>
      <c r="M2742" s="7" t="s">
        <v>500</v>
      </c>
      <c r="O2742" s="7" t="s">
        <v>908</v>
      </c>
      <c r="P2742" s="7">
        <f t="shared" si="221"/>
        <v>12</v>
      </c>
      <c r="Q2742" s="7">
        <f t="shared" si="222"/>
        <v>2025</v>
      </c>
    </row>
    <row r="2743" spans="1:17" x14ac:dyDescent="0.25">
      <c r="A2743" s="7">
        <v>2568</v>
      </c>
      <c r="B2743" s="9" t="s">
        <v>9</v>
      </c>
      <c r="C2743" s="9" t="s">
        <v>316</v>
      </c>
      <c r="D2743" s="8">
        <v>46015</v>
      </c>
      <c r="E2743" s="7" t="s">
        <v>1080</v>
      </c>
      <c r="F2743" s="7">
        <v>1</v>
      </c>
      <c r="G2743" s="7" t="s">
        <v>15</v>
      </c>
      <c r="H2743" s="7" t="s">
        <v>314</v>
      </c>
      <c r="M2743" s="7" t="s">
        <v>497</v>
      </c>
      <c r="N2743" s="7" t="s">
        <v>579</v>
      </c>
      <c r="O2743" s="7" t="s">
        <v>680</v>
      </c>
      <c r="P2743" s="7">
        <f t="shared" ref="P2743:P2749" si="223">MONTH(D2743)</f>
        <v>12</v>
      </c>
      <c r="Q2743" s="7">
        <f t="shared" si="222"/>
        <v>2025</v>
      </c>
    </row>
    <row r="2744" spans="1:17" x14ac:dyDescent="0.25">
      <c r="A2744" s="7">
        <v>2568</v>
      </c>
      <c r="B2744" s="9" t="s">
        <v>9</v>
      </c>
      <c r="C2744" s="9" t="s">
        <v>316</v>
      </c>
      <c r="D2744" s="8">
        <v>46015</v>
      </c>
      <c r="E2744" s="7" t="s">
        <v>1081</v>
      </c>
      <c r="F2744" s="7">
        <v>1</v>
      </c>
      <c r="G2744" s="7" t="s">
        <v>15</v>
      </c>
      <c r="H2744" s="7" t="s">
        <v>314</v>
      </c>
      <c r="M2744" s="7" t="s">
        <v>497</v>
      </c>
      <c r="N2744" s="7" t="s">
        <v>579</v>
      </c>
      <c r="O2744" s="7" t="s">
        <v>680</v>
      </c>
      <c r="P2744" s="7">
        <f t="shared" si="223"/>
        <v>12</v>
      </c>
      <c r="Q2744" s="7">
        <f t="shared" si="222"/>
        <v>2025</v>
      </c>
    </row>
    <row r="2745" spans="1:17" x14ac:dyDescent="0.25">
      <c r="A2745" s="7">
        <v>2568</v>
      </c>
      <c r="B2745" s="9" t="s">
        <v>9</v>
      </c>
      <c r="C2745" s="9" t="s">
        <v>316</v>
      </c>
      <c r="D2745" s="8">
        <v>46015</v>
      </c>
      <c r="E2745" s="7" t="s">
        <v>1082</v>
      </c>
      <c r="F2745" s="7">
        <v>1</v>
      </c>
      <c r="G2745" s="7" t="s">
        <v>15</v>
      </c>
      <c r="H2745" s="7" t="s">
        <v>314</v>
      </c>
      <c r="M2745" s="7" t="s">
        <v>497</v>
      </c>
      <c r="N2745" s="7" t="s">
        <v>579</v>
      </c>
      <c r="O2745" s="7" t="s">
        <v>680</v>
      </c>
      <c r="P2745" s="7">
        <f t="shared" si="223"/>
        <v>12</v>
      </c>
      <c r="Q2745" s="7">
        <f t="shared" si="222"/>
        <v>2025</v>
      </c>
    </row>
    <row r="2746" spans="1:17" x14ac:dyDescent="0.25">
      <c r="A2746" s="7">
        <v>2568</v>
      </c>
      <c r="B2746" s="9" t="s">
        <v>9</v>
      </c>
      <c r="C2746" s="9" t="s">
        <v>316</v>
      </c>
      <c r="D2746" s="8">
        <v>46015</v>
      </c>
      <c r="E2746" s="7" t="s">
        <v>1083</v>
      </c>
      <c r="F2746" s="7">
        <v>1</v>
      </c>
      <c r="G2746" s="7" t="s">
        <v>15</v>
      </c>
      <c r="H2746" s="7" t="s">
        <v>314</v>
      </c>
      <c r="M2746" s="7" t="s">
        <v>497</v>
      </c>
      <c r="N2746" s="7" t="s">
        <v>579</v>
      </c>
      <c r="O2746" s="7" t="s">
        <v>680</v>
      </c>
      <c r="P2746" s="7">
        <f t="shared" si="223"/>
        <v>12</v>
      </c>
      <c r="Q2746" s="7">
        <f t="shared" si="222"/>
        <v>2025</v>
      </c>
    </row>
    <row r="2747" spans="1:17" x14ac:dyDescent="0.25">
      <c r="A2747" s="7">
        <v>2568</v>
      </c>
      <c r="B2747" s="9" t="s">
        <v>9</v>
      </c>
      <c r="C2747" s="9" t="s">
        <v>316</v>
      </c>
      <c r="D2747" s="8">
        <v>46015</v>
      </c>
      <c r="E2747" s="7" t="s">
        <v>1084</v>
      </c>
      <c r="F2747" s="7">
        <v>1</v>
      </c>
      <c r="G2747" s="7" t="s">
        <v>15</v>
      </c>
      <c r="H2747" s="7" t="s">
        <v>314</v>
      </c>
      <c r="M2747" s="7" t="s">
        <v>497</v>
      </c>
      <c r="N2747" s="7" t="s">
        <v>579</v>
      </c>
      <c r="O2747" s="7" t="s">
        <v>680</v>
      </c>
      <c r="P2747" s="7">
        <f t="shared" si="223"/>
        <v>12</v>
      </c>
      <c r="Q2747" s="7">
        <f t="shared" si="222"/>
        <v>2025</v>
      </c>
    </row>
    <row r="2748" spans="1:17" x14ac:dyDescent="0.25">
      <c r="A2748" s="7">
        <v>2568</v>
      </c>
      <c r="B2748" s="9" t="s">
        <v>9</v>
      </c>
      <c r="C2748" s="9" t="s">
        <v>316</v>
      </c>
      <c r="D2748" s="8">
        <v>46015</v>
      </c>
      <c r="E2748" s="7" t="s">
        <v>1142</v>
      </c>
      <c r="F2748" s="7">
        <v>1</v>
      </c>
      <c r="G2748" s="7" t="s">
        <v>15</v>
      </c>
      <c r="H2748" s="7" t="s">
        <v>314</v>
      </c>
      <c r="M2748" s="7" t="s">
        <v>497</v>
      </c>
      <c r="N2748" s="7" t="s">
        <v>579</v>
      </c>
      <c r="O2748" s="7" t="s">
        <v>680</v>
      </c>
      <c r="P2748" s="7">
        <f t="shared" si="223"/>
        <v>12</v>
      </c>
      <c r="Q2748" s="7">
        <f t="shared" si="222"/>
        <v>2025</v>
      </c>
    </row>
    <row r="2749" spans="1:17" x14ac:dyDescent="0.25">
      <c r="A2749" s="7">
        <v>2601</v>
      </c>
      <c r="B2749" s="9" t="s">
        <v>1085</v>
      </c>
      <c r="C2749" s="9" t="s">
        <v>1085</v>
      </c>
      <c r="D2749" s="8">
        <v>46041</v>
      </c>
      <c r="E2749" s="7" t="s">
        <v>60</v>
      </c>
      <c r="F2749" s="7">
        <v>1</v>
      </c>
      <c r="H2749" s="7" t="s">
        <v>492</v>
      </c>
      <c r="M2749" s="7" t="s">
        <v>502</v>
      </c>
      <c r="O2749" s="7" t="s">
        <v>680</v>
      </c>
      <c r="P2749" s="7">
        <f t="shared" si="223"/>
        <v>1</v>
      </c>
      <c r="Q2749" s="7">
        <f t="shared" si="222"/>
        <v>2026</v>
      </c>
    </row>
    <row r="2750" spans="1:17" x14ac:dyDescent="0.25">
      <c r="A2750" s="7">
        <v>2602</v>
      </c>
      <c r="B2750" s="9" t="s">
        <v>1086</v>
      </c>
      <c r="C2750" s="9" t="s">
        <v>1087</v>
      </c>
      <c r="D2750" s="8">
        <v>46041</v>
      </c>
      <c r="E2750" s="7" t="s">
        <v>1088</v>
      </c>
      <c r="F2750" s="7">
        <v>1</v>
      </c>
      <c r="G2750" s="7" t="s">
        <v>15</v>
      </c>
      <c r="H2750" s="7" t="s">
        <v>318</v>
      </c>
      <c r="M2750" s="7" t="s">
        <v>917</v>
      </c>
      <c r="O2750" s="7" t="s">
        <v>682</v>
      </c>
      <c r="P2750" s="7">
        <f t="shared" ref="P2750:P2756" si="224">MONTH(D2750)</f>
        <v>1</v>
      </c>
      <c r="Q2750" s="7">
        <f t="shared" si="222"/>
        <v>2026</v>
      </c>
    </row>
    <row r="2751" spans="1:17" x14ac:dyDescent="0.25">
      <c r="A2751" s="7">
        <v>2602</v>
      </c>
      <c r="B2751" s="9" t="s">
        <v>1086</v>
      </c>
      <c r="C2751" s="9" t="s">
        <v>1087</v>
      </c>
      <c r="D2751" s="8">
        <v>46041</v>
      </c>
      <c r="E2751" s="7" t="s">
        <v>1089</v>
      </c>
      <c r="F2751" s="7">
        <v>1</v>
      </c>
      <c r="G2751" s="7" t="s">
        <v>14</v>
      </c>
      <c r="H2751" s="7" t="s">
        <v>318</v>
      </c>
      <c r="M2751" s="7" t="s">
        <v>917</v>
      </c>
      <c r="O2751" s="7" t="s">
        <v>682</v>
      </c>
      <c r="P2751" s="7">
        <f t="shared" si="224"/>
        <v>1</v>
      </c>
      <c r="Q2751" s="7">
        <f t="shared" si="222"/>
        <v>2026</v>
      </c>
    </row>
    <row r="2752" spans="1:17" x14ac:dyDescent="0.25">
      <c r="A2752" s="7">
        <v>2602</v>
      </c>
      <c r="B2752" s="9" t="s">
        <v>1086</v>
      </c>
      <c r="C2752" s="9" t="s">
        <v>1087</v>
      </c>
      <c r="D2752" s="8">
        <v>46041</v>
      </c>
      <c r="E2752" s="7" t="s">
        <v>1090</v>
      </c>
      <c r="F2752" s="7">
        <v>1</v>
      </c>
      <c r="G2752" s="7" t="s">
        <v>15</v>
      </c>
      <c r="H2752" s="7" t="s">
        <v>318</v>
      </c>
      <c r="M2752" s="7" t="s">
        <v>917</v>
      </c>
      <c r="O2752" s="7" t="s">
        <v>682</v>
      </c>
      <c r="P2752" s="7">
        <f t="shared" si="224"/>
        <v>1</v>
      </c>
      <c r="Q2752" s="7">
        <f t="shared" si="222"/>
        <v>2026</v>
      </c>
    </row>
    <row r="2753" spans="1:17" x14ac:dyDescent="0.25">
      <c r="A2753" s="7">
        <v>2602</v>
      </c>
      <c r="B2753" s="9" t="s">
        <v>1086</v>
      </c>
      <c r="C2753" s="9" t="s">
        <v>1087</v>
      </c>
      <c r="D2753" s="8">
        <v>46041</v>
      </c>
      <c r="E2753" s="7" t="s">
        <v>1091</v>
      </c>
      <c r="F2753" s="7">
        <v>1</v>
      </c>
      <c r="G2753" s="7" t="s">
        <v>15</v>
      </c>
      <c r="H2753" s="7" t="s">
        <v>318</v>
      </c>
      <c r="M2753" s="7" t="s">
        <v>917</v>
      </c>
      <c r="O2753" s="7" t="s">
        <v>682</v>
      </c>
      <c r="P2753" s="7">
        <f t="shared" si="224"/>
        <v>1</v>
      </c>
      <c r="Q2753" s="7">
        <f t="shared" si="222"/>
        <v>2026</v>
      </c>
    </row>
    <row r="2754" spans="1:17" x14ac:dyDescent="0.25">
      <c r="A2754" s="7">
        <v>2602</v>
      </c>
      <c r="B2754" s="9" t="s">
        <v>1086</v>
      </c>
      <c r="C2754" s="9" t="s">
        <v>1087</v>
      </c>
      <c r="D2754" s="8">
        <v>46041</v>
      </c>
      <c r="E2754" s="7" t="s">
        <v>1092</v>
      </c>
      <c r="F2754" s="7">
        <v>1</v>
      </c>
      <c r="G2754" s="7" t="s">
        <v>14</v>
      </c>
      <c r="H2754" s="7" t="s">
        <v>318</v>
      </c>
      <c r="M2754" s="7" t="s">
        <v>917</v>
      </c>
      <c r="O2754" s="7" t="s">
        <v>682</v>
      </c>
      <c r="P2754" s="7">
        <f t="shared" si="224"/>
        <v>1</v>
      </c>
      <c r="Q2754" s="7">
        <f t="shared" si="222"/>
        <v>2026</v>
      </c>
    </row>
    <row r="2755" spans="1:17" x14ac:dyDescent="0.25">
      <c r="A2755" s="7">
        <v>2602</v>
      </c>
      <c r="B2755" s="9" t="s">
        <v>1086</v>
      </c>
      <c r="C2755" s="9" t="s">
        <v>1087</v>
      </c>
      <c r="D2755" s="8">
        <v>46041</v>
      </c>
      <c r="E2755" s="7" t="s">
        <v>1093</v>
      </c>
      <c r="F2755" s="7">
        <v>1</v>
      </c>
      <c r="G2755" s="7" t="s">
        <v>14</v>
      </c>
      <c r="H2755" s="7" t="s">
        <v>318</v>
      </c>
      <c r="M2755" s="7" t="s">
        <v>917</v>
      </c>
      <c r="O2755" s="7" t="s">
        <v>682</v>
      </c>
      <c r="P2755" s="7">
        <f t="shared" si="224"/>
        <v>1</v>
      </c>
      <c r="Q2755" s="7">
        <f t="shared" si="222"/>
        <v>2026</v>
      </c>
    </row>
    <row r="2756" spans="1:17" x14ac:dyDescent="0.25">
      <c r="A2756" s="7">
        <v>2603</v>
      </c>
      <c r="B2756" s="9" t="s">
        <v>540</v>
      </c>
      <c r="C2756" s="9" t="s">
        <v>540</v>
      </c>
      <c r="D2756" s="8">
        <v>46070</v>
      </c>
      <c r="E2756" s="7" t="s">
        <v>60</v>
      </c>
      <c r="F2756" s="7">
        <v>1</v>
      </c>
      <c r="G2756" s="7" t="s">
        <v>1095</v>
      </c>
      <c r="H2756" s="7" t="s">
        <v>492</v>
      </c>
      <c r="M2756" s="7" t="s">
        <v>1100</v>
      </c>
      <c r="O2756" s="7" t="s">
        <v>680</v>
      </c>
      <c r="P2756" s="7">
        <f t="shared" si="224"/>
        <v>2</v>
      </c>
      <c r="Q2756" s="7">
        <f t="shared" si="222"/>
        <v>2026</v>
      </c>
    </row>
    <row r="2757" spans="1:17" x14ac:dyDescent="0.25">
      <c r="A2757" s="7">
        <v>2603</v>
      </c>
      <c r="B2757" s="9" t="s">
        <v>540</v>
      </c>
      <c r="C2757" s="9" t="s">
        <v>540</v>
      </c>
      <c r="D2757" s="8">
        <v>46070</v>
      </c>
      <c r="E2757" s="7" t="s">
        <v>60</v>
      </c>
      <c r="F2757" s="7">
        <v>1</v>
      </c>
      <c r="G2757" s="7" t="s">
        <v>1095</v>
      </c>
      <c r="H2757" s="7" t="s">
        <v>492</v>
      </c>
      <c r="M2757" s="7" t="s">
        <v>1100</v>
      </c>
      <c r="O2757" s="7" t="s">
        <v>680</v>
      </c>
      <c r="P2757" s="7">
        <f t="shared" ref="P2757:P2820" si="225">MONTH(D2757)</f>
        <v>2</v>
      </c>
      <c r="Q2757" s="7">
        <f t="shared" ref="Q2757:Q2820" si="226">YEAR(D2757)</f>
        <v>2026</v>
      </c>
    </row>
    <row r="2758" spans="1:17" x14ac:dyDescent="0.25">
      <c r="A2758" s="7">
        <v>2603</v>
      </c>
      <c r="B2758" s="9" t="s">
        <v>540</v>
      </c>
      <c r="C2758" s="9" t="s">
        <v>540</v>
      </c>
      <c r="D2758" s="8">
        <v>46070</v>
      </c>
      <c r="E2758" s="7" t="s">
        <v>60</v>
      </c>
      <c r="F2758" s="7">
        <v>1</v>
      </c>
      <c r="G2758" s="7" t="s">
        <v>1095</v>
      </c>
      <c r="H2758" s="7" t="s">
        <v>492</v>
      </c>
      <c r="M2758" s="7" t="s">
        <v>1100</v>
      </c>
      <c r="O2758" s="7" t="s">
        <v>680</v>
      </c>
      <c r="P2758" s="7">
        <f t="shared" si="225"/>
        <v>2</v>
      </c>
      <c r="Q2758" s="7">
        <f t="shared" si="226"/>
        <v>2026</v>
      </c>
    </row>
    <row r="2759" spans="1:17" x14ac:dyDescent="0.25">
      <c r="A2759" s="7">
        <v>2603</v>
      </c>
      <c r="B2759" s="9" t="s">
        <v>540</v>
      </c>
      <c r="C2759" s="9" t="s">
        <v>540</v>
      </c>
      <c r="D2759" s="8">
        <v>46070</v>
      </c>
      <c r="E2759" s="7" t="s">
        <v>60</v>
      </c>
      <c r="F2759" s="7">
        <v>1</v>
      </c>
      <c r="G2759" s="7" t="s">
        <v>1095</v>
      </c>
      <c r="H2759" s="7" t="s">
        <v>492</v>
      </c>
      <c r="M2759" s="7" t="s">
        <v>1100</v>
      </c>
      <c r="O2759" s="7" t="s">
        <v>680</v>
      </c>
      <c r="P2759" s="7">
        <f t="shared" si="225"/>
        <v>2</v>
      </c>
      <c r="Q2759" s="7">
        <f t="shared" si="226"/>
        <v>2026</v>
      </c>
    </row>
    <row r="2760" spans="1:17" x14ac:dyDescent="0.25">
      <c r="A2760" s="7">
        <v>2603</v>
      </c>
      <c r="B2760" s="9" t="s">
        <v>540</v>
      </c>
      <c r="C2760" s="9" t="s">
        <v>540</v>
      </c>
      <c r="D2760" s="8">
        <v>46070</v>
      </c>
      <c r="E2760" s="7" t="s">
        <v>60</v>
      </c>
      <c r="F2760" s="7">
        <v>1</v>
      </c>
      <c r="G2760" s="7" t="s">
        <v>1095</v>
      </c>
      <c r="H2760" s="7" t="s">
        <v>492</v>
      </c>
      <c r="M2760" s="7" t="s">
        <v>1100</v>
      </c>
      <c r="O2760" s="7" t="s">
        <v>680</v>
      </c>
      <c r="P2760" s="7">
        <f t="shared" si="225"/>
        <v>2</v>
      </c>
      <c r="Q2760" s="7">
        <f t="shared" si="226"/>
        <v>2026</v>
      </c>
    </row>
    <row r="2761" spans="1:17" x14ac:dyDescent="0.25">
      <c r="A2761" s="7">
        <v>2603</v>
      </c>
      <c r="B2761" s="9" t="s">
        <v>540</v>
      </c>
      <c r="C2761" s="9" t="s">
        <v>540</v>
      </c>
      <c r="D2761" s="8">
        <v>46070</v>
      </c>
      <c r="E2761" s="7" t="s">
        <v>60</v>
      </c>
      <c r="F2761" s="7">
        <v>1</v>
      </c>
      <c r="G2761" s="7" t="s">
        <v>1095</v>
      </c>
      <c r="H2761" s="7" t="s">
        <v>492</v>
      </c>
      <c r="M2761" s="7" t="s">
        <v>1100</v>
      </c>
      <c r="O2761" s="7" t="s">
        <v>680</v>
      </c>
      <c r="P2761" s="7">
        <f t="shared" si="225"/>
        <v>2</v>
      </c>
      <c r="Q2761" s="7">
        <f t="shared" si="226"/>
        <v>2026</v>
      </c>
    </row>
    <row r="2762" spans="1:17" x14ac:dyDescent="0.25">
      <c r="A2762" s="7">
        <v>2603</v>
      </c>
      <c r="B2762" s="9" t="s">
        <v>540</v>
      </c>
      <c r="C2762" s="9" t="s">
        <v>540</v>
      </c>
      <c r="D2762" s="8">
        <v>46070</v>
      </c>
      <c r="E2762" s="7" t="s">
        <v>60</v>
      </c>
      <c r="F2762" s="7">
        <v>1</v>
      </c>
      <c r="G2762" s="7" t="s">
        <v>1095</v>
      </c>
      <c r="H2762" s="7" t="s">
        <v>492</v>
      </c>
      <c r="M2762" s="7" t="s">
        <v>1100</v>
      </c>
      <c r="O2762" s="7" t="s">
        <v>680</v>
      </c>
      <c r="P2762" s="7">
        <f t="shared" si="225"/>
        <v>2</v>
      </c>
      <c r="Q2762" s="7">
        <f t="shared" si="226"/>
        <v>2026</v>
      </c>
    </row>
    <row r="2763" spans="1:17" x14ac:dyDescent="0.25">
      <c r="A2763" s="7">
        <v>2603</v>
      </c>
      <c r="B2763" s="9" t="s">
        <v>540</v>
      </c>
      <c r="C2763" s="9" t="s">
        <v>540</v>
      </c>
      <c r="D2763" s="8">
        <v>46070</v>
      </c>
      <c r="E2763" s="7" t="s">
        <v>60</v>
      </c>
      <c r="F2763" s="7">
        <v>1</v>
      </c>
      <c r="G2763" s="7" t="s">
        <v>1095</v>
      </c>
      <c r="H2763" s="7" t="s">
        <v>492</v>
      </c>
      <c r="M2763" s="7" t="s">
        <v>1100</v>
      </c>
      <c r="O2763" s="7" t="s">
        <v>680</v>
      </c>
      <c r="P2763" s="7">
        <f t="shared" si="225"/>
        <v>2</v>
      </c>
      <c r="Q2763" s="7">
        <f t="shared" si="226"/>
        <v>2026</v>
      </c>
    </row>
    <row r="2764" spans="1:17" x14ac:dyDescent="0.25">
      <c r="A2764" s="7">
        <v>2603</v>
      </c>
      <c r="B2764" s="9" t="s">
        <v>540</v>
      </c>
      <c r="C2764" s="9" t="s">
        <v>540</v>
      </c>
      <c r="D2764" s="8">
        <v>46070</v>
      </c>
      <c r="E2764" s="7" t="s">
        <v>60</v>
      </c>
      <c r="F2764" s="7">
        <v>1</v>
      </c>
      <c r="G2764" s="7" t="s">
        <v>1095</v>
      </c>
      <c r="H2764" s="7" t="s">
        <v>492</v>
      </c>
      <c r="M2764" s="7" t="s">
        <v>1100</v>
      </c>
      <c r="O2764" s="7" t="s">
        <v>680</v>
      </c>
      <c r="P2764" s="7">
        <f t="shared" si="225"/>
        <v>2</v>
      </c>
      <c r="Q2764" s="7">
        <f t="shared" si="226"/>
        <v>2026</v>
      </c>
    </row>
    <row r="2765" spans="1:17" x14ac:dyDescent="0.25">
      <c r="A2765" s="7">
        <v>2603</v>
      </c>
      <c r="B2765" s="9" t="s">
        <v>540</v>
      </c>
      <c r="C2765" s="9" t="s">
        <v>540</v>
      </c>
      <c r="D2765" s="8">
        <v>46070</v>
      </c>
      <c r="E2765" s="7" t="s">
        <v>60</v>
      </c>
      <c r="F2765" s="7">
        <v>1</v>
      </c>
      <c r="G2765" s="7" t="s">
        <v>1095</v>
      </c>
      <c r="H2765" s="7" t="s">
        <v>492</v>
      </c>
      <c r="M2765" s="7" t="s">
        <v>1100</v>
      </c>
      <c r="O2765" s="7" t="s">
        <v>680</v>
      </c>
      <c r="P2765" s="7">
        <f t="shared" si="225"/>
        <v>2</v>
      </c>
      <c r="Q2765" s="7">
        <f t="shared" si="226"/>
        <v>2026</v>
      </c>
    </row>
    <row r="2766" spans="1:17" x14ac:dyDescent="0.25">
      <c r="A2766" s="7">
        <v>2603</v>
      </c>
      <c r="B2766" s="9" t="s">
        <v>540</v>
      </c>
      <c r="C2766" s="9" t="s">
        <v>540</v>
      </c>
      <c r="D2766" s="8">
        <v>46070</v>
      </c>
      <c r="E2766" s="7" t="s">
        <v>60</v>
      </c>
      <c r="F2766" s="7">
        <v>1</v>
      </c>
      <c r="G2766" s="7" t="s">
        <v>1095</v>
      </c>
      <c r="H2766" s="7" t="s">
        <v>492</v>
      </c>
      <c r="M2766" s="7" t="s">
        <v>1100</v>
      </c>
      <c r="O2766" s="7" t="s">
        <v>680</v>
      </c>
      <c r="P2766" s="7">
        <f t="shared" si="225"/>
        <v>2</v>
      </c>
      <c r="Q2766" s="7">
        <f t="shared" si="226"/>
        <v>2026</v>
      </c>
    </row>
    <row r="2767" spans="1:17" x14ac:dyDescent="0.25">
      <c r="A2767" s="7">
        <v>2603</v>
      </c>
      <c r="B2767" s="9" t="s">
        <v>540</v>
      </c>
      <c r="C2767" s="9" t="s">
        <v>540</v>
      </c>
      <c r="D2767" s="8">
        <v>46070</v>
      </c>
      <c r="E2767" s="7" t="s">
        <v>60</v>
      </c>
      <c r="F2767" s="7">
        <v>1</v>
      </c>
      <c r="G2767" s="7" t="s">
        <v>1095</v>
      </c>
      <c r="H2767" s="7" t="s">
        <v>492</v>
      </c>
      <c r="M2767" s="7" t="s">
        <v>1100</v>
      </c>
      <c r="O2767" s="7" t="s">
        <v>680</v>
      </c>
      <c r="P2767" s="7">
        <f t="shared" si="225"/>
        <v>2</v>
      </c>
      <c r="Q2767" s="7">
        <f t="shared" si="226"/>
        <v>2026</v>
      </c>
    </row>
    <row r="2768" spans="1:17" x14ac:dyDescent="0.25">
      <c r="A2768" s="7">
        <v>2603</v>
      </c>
      <c r="B2768" s="9" t="s">
        <v>540</v>
      </c>
      <c r="C2768" s="9" t="s">
        <v>540</v>
      </c>
      <c r="D2768" s="8">
        <v>46070</v>
      </c>
      <c r="E2768" s="7" t="s">
        <v>60</v>
      </c>
      <c r="F2768" s="7">
        <v>1</v>
      </c>
      <c r="G2768" s="7" t="s">
        <v>1095</v>
      </c>
      <c r="H2768" s="7" t="s">
        <v>492</v>
      </c>
      <c r="M2768" s="7" t="s">
        <v>1100</v>
      </c>
      <c r="O2768" s="7" t="s">
        <v>680</v>
      </c>
      <c r="P2768" s="7">
        <f t="shared" si="225"/>
        <v>2</v>
      </c>
      <c r="Q2768" s="7">
        <f t="shared" si="226"/>
        <v>2026</v>
      </c>
    </row>
    <row r="2769" spans="1:17" x14ac:dyDescent="0.25">
      <c r="A2769" s="7">
        <v>2603</v>
      </c>
      <c r="B2769" s="9" t="s">
        <v>540</v>
      </c>
      <c r="C2769" s="9" t="s">
        <v>540</v>
      </c>
      <c r="D2769" s="8">
        <v>46070</v>
      </c>
      <c r="E2769" s="7" t="s">
        <v>60</v>
      </c>
      <c r="F2769" s="7">
        <v>1</v>
      </c>
      <c r="G2769" s="7" t="s">
        <v>1095</v>
      </c>
      <c r="H2769" s="7" t="s">
        <v>492</v>
      </c>
      <c r="M2769" s="7" t="s">
        <v>1100</v>
      </c>
      <c r="O2769" s="7" t="s">
        <v>680</v>
      </c>
      <c r="P2769" s="7">
        <f t="shared" si="225"/>
        <v>2</v>
      </c>
      <c r="Q2769" s="7">
        <f t="shared" si="226"/>
        <v>2026</v>
      </c>
    </row>
    <row r="2770" spans="1:17" x14ac:dyDescent="0.25">
      <c r="A2770" s="7">
        <v>2603</v>
      </c>
      <c r="B2770" s="9" t="s">
        <v>540</v>
      </c>
      <c r="C2770" s="9" t="s">
        <v>540</v>
      </c>
      <c r="D2770" s="8">
        <v>46070</v>
      </c>
      <c r="E2770" s="7" t="s">
        <v>60</v>
      </c>
      <c r="F2770" s="7">
        <v>1</v>
      </c>
      <c r="G2770" s="7" t="s">
        <v>1095</v>
      </c>
      <c r="H2770" s="7" t="s">
        <v>492</v>
      </c>
      <c r="M2770" s="7" t="s">
        <v>1100</v>
      </c>
      <c r="O2770" s="7" t="s">
        <v>680</v>
      </c>
      <c r="P2770" s="7">
        <f t="shared" si="225"/>
        <v>2</v>
      </c>
      <c r="Q2770" s="7">
        <f t="shared" si="226"/>
        <v>2026</v>
      </c>
    </row>
    <row r="2771" spans="1:17" x14ac:dyDescent="0.25">
      <c r="A2771" s="7">
        <v>2603</v>
      </c>
      <c r="B2771" s="9" t="s">
        <v>540</v>
      </c>
      <c r="C2771" s="9" t="s">
        <v>540</v>
      </c>
      <c r="D2771" s="8">
        <v>46070</v>
      </c>
      <c r="E2771" s="7" t="s">
        <v>60</v>
      </c>
      <c r="F2771" s="7">
        <v>1</v>
      </c>
      <c r="G2771" s="7" t="s">
        <v>1095</v>
      </c>
      <c r="H2771" s="7" t="s">
        <v>492</v>
      </c>
      <c r="M2771" s="7" t="s">
        <v>1100</v>
      </c>
      <c r="O2771" s="7" t="s">
        <v>680</v>
      </c>
      <c r="P2771" s="7">
        <f t="shared" si="225"/>
        <v>2</v>
      </c>
      <c r="Q2771" s="7">
        <f t="shared" si="226"/>
        <v>2026</v>
      </c>
    </row>
    <row r="2772" spans="1:17" x14ac:dyDescent="0.25">
      <c r="A2772" s="7">
        <v>2603</v>
      </c>
      <c r="B2772" s="9" t="s">
        <v>540</v>
      </c>
      <c r="C2772" s="9" t="s">
        <v>540</v>
      </c>
      <c r="D2772" s="8">
        <v>46070</v>
      </c>
      <c r="E2772" s="7" t="s">
        <v>60</v>
      </c>
      <c r="F2772" s="7">
        <v>1</v>
      </c>
      <c r="G2772" s="7" t="s">
        <v>1095</v>
      </c>
      <c r="H2772" s="7" t="s">
        <v>492</v>
      </c>
      <c r="M2772" s="7" t="s">
        <v>1100</v>
      </c>
      <c r="O2772" s="7" t="s">
        <v>680</v>
      </c>
      <c r="P2772" s="7">
        <f t="shared" si="225"/>
        <v>2</v>
      </c>
      <c r="Q2772" s="7">
        <f t="shared" si="226"/>
        <v>2026</v>
      </c>
    </row>
    <row r="2773" spans="1:17" x14ac:dyDescent="0.25">
      <c r="A2773" s="7">
        <v>2603</v>
      </c>
      <c r="B2773" s="9" t="s">
        <v>540</v>
      </c>
      <c r="C2773" s="9" t="s">
        <v>540</v>
      </c>
      <c r="D2773" s="8">
        <v>46070</v>
      </c>
      <c r="E2773" s="7" t="s">
        <v>60</v>
      </c>
      <c r="F2773" s="7">
        <v>1</v>
      </c>
      <c r="G2773" s="7" t="s">
        <v>1095</v>
      </c>
      <c r="H2773" s="7" t="s">
        <v>492</v>
      </c>
      <c r="M2773" s="7" t="s">
        <v>1100</v>
      </c>
      <c r="O2773" s="7" t="s">
        <v>680</v>
      </c>
      <c r="P2773" s="7">
        <f t="shared" si="225"/>
        <v>2</v>
      </c>
      <c r="Q2773" s="7">
        <f t="shared" si="226"/>
        <v>2026</v>
      </c>
    </row>
    <row r="2774" spans="1:17" x14ac:dyDescent="0.25">
      <c r="A2774" s="7">
        <v>2603</v>
      </c>
      <c r="B2774" s="9" t="s">
        <v>540</v>
      </c>
      <c r="C2774" s="9" t="s">
        <v>540</v>
      </c>
      <c r="D2774" s="8">
        <v>46070</v>
      </c>
      <c r="E2774" s="7" t="s">
        <v>60</v>
      </c>
      <c r="F2774" s="7">
        <v>1</v>
      </c>
      <c r="G2774" s="7" t="s">
        <v>1095</v>
      </c>
      <c r="H2774" s="7" t="s">
        <v>492</v>
      </c>
      <c r="M2774" s="7" t="s">
        <v>1100</v>
      </c>
      <c r="O2774" s="7" t="s">
        <v>680</v>
      </c>
      <c r="P2774" s="7">
        <f t="shared" si="225"/>
        <v>2</v>
      </c>
      <c r="Q2774" s="7">
        <f t="shared" si="226"/>
        <v>2026</v>
      </c>
    </row>
    <row r="2775" spans="1:17" x14ac:dyDescent="0.25">
      <c r="A2775" s="7">
        <v>2603</v>
      </c>
      <c r="B2775" s="9" t="s">
        <v>540</v>
      </c>
      <c r="C2775" s="9" t="s">
        <v>540</v>
      </c>
      <c r="D2775" s="8">
        <v>46070</v>
      </c>
      <c r="E2775" s="7" t="s">
        <v>60</v>
      </c>
      <c r="F2775" s="7">
        <v>1</v>
      </c>
      <c r="G2775" s="7" t="s">
        <v>1095</v>
      </c>
      <c r="H2775" s="7" t="s">
        <v>492</v>
      </c>
      <c r="M2775" s="7" t="s">
        <v>1100</v>
      </c>
      <c r="O2775" s="7" t="s">
        <v>680</v>
      </c>
      <c r="P2775" s="7">
        <f t="shared" si="225"/>
        <v>2</v>
      </c>
      <c r="Q2775" s="7">
        <f t="shared" si="226"/>
        <v>2026</v>
      </c>
    </row>
    <row r="2776" spans="1:17" x14ac:dyDescent="0.25">
      <c r="A2776" s="7">
        <v>2603</v>
      </c>
      <c r="B2776" s="9" t="s">
        <v>540</v>
      </c>
      <c r="C2776" s="9" t="s">
        <v>540</v>
      </c>
      <c r="D2776" s="8">
        <v>46070</v>
      </c>
      <c r="E2776" s="7" t="s">
        <v>60</v>
      </c>
      <c r="F2776" s="7">
        <v>1</v>
      </c>
      <c r="G2776" s="7" t="s">
        <v>1095</v>
      </c>
      <c r="H2776" s="7" t="s">
        <v>492</v>
      </c>
      <c r="M2776" s="7" t="s">
        <v>1100</v>
      </c>
      <c r="O2776" s="7" t="s">
        <v>680</v>
      </c>
      <c r="P2776" s="7">
        <f t="shared" si="225"/>
        <v>2</v>
      </c>
      <c r="Q2776" s="7">
        <f t="shared" si="226"/>
        <v>2026</v>
      </c>
    </row>
    <row r="2777" spans="1:17" x14ac:dyDescent="0.25">
      <c r="A2777" s="7">
        <v>2603</v>
      </c>
      <c r="B2777" s="9" t="s">
        <v>540</v>
      </c>
      <c r="C2777" s="9" t="s">
        <v>540</v>
      </c>
      <c r="D2777" s="8">
        <v>46070</v>
      </c>
      <c r="E2777" s="7" t="s">
        <v>60</v>
      </c>
      <c r="F2777" s="7">
        <v>1</v>
      </c>
      <c r="G2777" s="7" t="s">
        <v>1095</v>
      </c>
      <c r="H2777" s="7" t="s">
        <v>492</v>
      </c>
      <c r="M2777" s="7" t="s">
        <v>1100</v>
      </c>
      <c r="O2777" s="7" t="s">
        <v>680</v>
      </c>
      <c r="P2777" s="7">
        <f t="shared" si="225"/>
        <v>2</v>
      </c>
      <c r="Q2777" s="7">
        <f t="shared" si="226"/>
        <v>2026</v>
      </c>
    </row>
    <row r="2778" spans="1:17" x14ac:dyDescent="0.25">
      <c r="A2778" s="7">
        <v>2603</v>
      </c>
      <c r="B2778" s="9" t="s">
        <v>540</v>
      </c>
      <c r="C2778" s="9" t="s">
        <v>540</v>
      </c>
      <c r="D2778" s="8">
        <v>46070</v>
      </c>
      <c r="E2778" s="7" t="s">
        <v>60</v>
      </c>
      <c r="F2778" s="7">
        <v>1</v>
      </c>
      <c r="G2778" s="7" t="s">
        <v>1095</v>
      </c>
      <c r="H2778" s="7" t="s">
        <v>492</v>
      </c>
      <c r="M2778" s="7" t="s">
        <v>1100</v>
      </c>
      <c r="O2778" s="7" t="s">
        <v>680</v>
      </c>
      <c r="P2778" s="7">
        <f t="shared" si="225"/>
        <v>2</v>
      </c>
      <c r="Q2778" s="7">
        <f t="shared" si="226"/>
        <v>2026</v>
      </c>
    </row>
    <row r="2779" spans="1:17" x14ac:dyDescent="0.25">
      <c r="A2779" s="7">
        <v>2603</v>
      </c>
      <c r="B2779" s="9" t="s">
        <v>540</v>
      </c>
      <c r="C2779" s="9" t="s">
        <v>540</v>
      </c>
      <c r="D2779" s="8">
        <v>46070</v>
      </c>
      <c r="E2779" s="7" t="s">
        <v>60</v>
      </c>
      <c r="F2779" s="7">
        <v>1</v>
      </c>
      <c r="G2779" s="7" t="s">
        <v>1095</v>
      </c>
      <c r="H2779" s="7" t="s">
        <v>492</v>
      </c>
      <c r="M2779" s="7" t="s">
        <v>1100</v>
      </c>
      <c r="O2779" s="7" t="s">
        <v>680</v>
      </c>
      <c r="P2779" s="7">
        <f t="shared" si="225"/>
        <v>2</v>
      </c>
      <c r="Q2779" s="7">
        <f t="shared" si="226"/>
        <v>2026</v>
      </c>
    </row>
    <row r="2780" spans="1:17" x14ac:dyDescent="0.25">
      <c r="A2780" s="7">
        <v>2603</v>
      </c>
      <c r="B2780" s="9" t="s">
        <v>540</v>
      </c>
      <c r="C2780" s="9" t="s">
        <v>540</v>
      </c>
      <c r="D2780" s="8">
        <v>46070</v>
      </c>
      <c r="E2780" s="7" t="s">
        <v>60</v>
      </c>
      <c r="F2780" s="7">
        <v>1</v>
      </c>
      <c r="G2780" s="7" t="s">
        <v>1095</v>
      </c>
      <c r="H2780" s="7" t="s">
        <v>492</v>
      </c>
      <c r="M2780" s="7" t="s">
        <v>1100</v>
      </c>
      <c r="O2780" s="7" t="s">
        <v>680</v>
      </c>
      <c r="P2780" s="7">
        <f t="shared" si="225"/>
        <v>2</v>
      </c>
      <c r="Q2780" s="7">
        <f t="shared" si="226"/>
        <v>2026</v>
      </c>
    </row>
    <row r="2781" spans="1:17" x14ac:dyDescent="0.25">
      <c r="A2781" s="7">
        <v>2603</v>
      </c>
      <c r="B2781" s="9" t="s">
        <v>540</v>
      </c>
      <c r="C2781" s="9" t="s">
        <v>540</v>
      </c>
      <c r="D2781" s="8">
        <v>46070</v>
      </c>
      <c r="E2781" s="7" t="s">
        <v>60</v>
      </c>
      <c r="F2781" s="7">
        <v>1</v>
      </c>
      <c r="G2781" s="7" t="s">
        <v>1095</v>
      </c>
      <c r="H2781" s="7" t="s">
        <v>492</v>
      </c>
      <c r="M2781" s="7" t="s">
        <v>1100</v>
      </c>
      <c r="O2781" s="7" t="s">
        <v>680</v>
      </c>
      <c r="P2781" s="7">
        <f t="shared" si="225"/>
        <v>2</v>
      </c>
      <c r="Q2781" s="7">
        <f t="shared" si="226"/>
        <v>2026</v>
      </c>
    </row>
    <row r="2782" spans="1:17" x14ac:dyDescent="0.25">
      <c r="A2782" s="7">
        <v>2603</v>
      </c>
      <c r="B2782" s="9" t="s">
        <v>540</v>
      </c>
      <c r="C2782" s="9" t="s">
        <v>540</v>
      </c>
      <c r="D2782" s="8">
        <v>46070</v>
      </c>
      <c r="E2782" s="7" t="s">
        <v>60</v>
      </c>
      <c r="F2782" s="7">
        <v>1</v>
      </c>
      <c r="G2782" s="7" t="s">
        <v>1095</v>
      </c>
      <c r="H2782" s="7" t="s">
        <v>492</v>
      </c>
      <c r="M2782" s="7" t="s">
        <v>1100</v>
      </c>
      <c r="O2782" s="7" t="s">
        <v>680</v>
      </c>
      <c r="P2782" s="7">
        <f t="shared" si="225"/>
        <v>2</v>
      </c>
      <c r="Q2782" s="7">
        <f t="shared" si="226"/>
        <v>2026</v>
      </c>
    </row>
    <row r="2783" spans="1:17" x14ac:dyDescent="0.25">
      <c r="A2783" s="7">
        <v>2603</v>
      </c>
      <c r="B2783" s="9" t="s">
        <v>540</v>
      </c>
      <c r="C2783" s="9" t="s">
        <v>540</v>
      </c>
      <c r="D2783" s="8">
        <v>46070</v>
      </c>
      <c r="E2783" s="7" t="s">
        <v>60</v>
      </c>
      <c r="F2783" s="7">
        <v>1</v>
      </c>
      <c r="G2783" s="7" t="s">
        <v>1095</v>
      </c>
      <c r="H2783" s="7" t="s">
        <v>492</v>
      </c>
      <c r="M2783" s="7" t="s">
        <v>1100</v>
      </c>
      <c r="O2783" s="7" t="s">
        <v>680</v>
      </c>
      <c r="P2783" s="7">
        <f t="shared" si="225"/>
        <v>2</v>
      </c>
      <c r="Q2783" s="7">
        <f t="shared" si="226"/>
        <v>2026</v>
      </c>
    </row>
    <row r="2784" spans="1:17" x14ac:dyDescent="0.25">
      <c r="A2784" s="7">
        <v>2603</v>
      </c>
      <c r="B2784" s="9" t="s">
        <v>540</v>
      </c>
      <c r="C2784" s="9" t="s">
        <v>540</v>
      </c>
      <c r="D2784" s="8">
        <v>46070</v>
      </c>
      <c r="E2784" s="7" t="s">
        <v>60</v>
      </c>
      <c r="F2784" s="7">
        <v>1</v>
      </c>
      <c r="G2784" s="7" t="s">
        <v>1095</v>
      </c>
      <c r="H2784" s="7" t="s">
        <v>492</v>
      </c>
      <c r="M2784" s="7" t="s">
        <v>1100</v>
      </c>
      <c r="O2784" s="7" t="s">
        <v>680</v>
      </c>
      <c r="P2784" s="7">
        <f t="shared" si="225"/>
        <v>2</v>
      </c>
      <c r="Q2784" s="7">
        <f t="shared" si="226"/>
        <v>2026</v>
      </c>
    </row>
    <row r="2785" spans="1:17" x14ac:dyDescent="0.25">
      <c r="A2785" s="7">
        <v>2603</v>
      </c>
      <c r="B2785" s="9" t="s">
        <v>540</v>
      </c>
      <c r="C2785" s="9" t="s">
        <v>540</v>
      </c>
      <c r="D2785" s="8">
        <v>46070</v>
      </c>
      <c r="E2785" s="7" t="s">
        <v>60</v>
      </c>
      <c r="F2785" s="7">
        <v>1</v>
      </c>
      <c r="G2785" s="7" t="s">
        <v>1095</v>
      </c>
      <c r="H2785" s="7" t="s">
        <v>492</v>
      </c>
      <c r="M2785" s="7" t="s">
        <v>1100</v>
      </c>
      <c r="O2785" s="7" t="s">
        <v>680</v>
      </c>
      <c r="P2785" s="7">
        <f t="shared" si="225"/>
        <v>2</v>
      </c>
      <c r="Q2785" s="7">
        <f t="shared" si="226"/>
        <v>2026</v>
      </c>
    </row>
    <row r="2786" spans="1:17" x14ac:dyDescent="0.25">
      <c r="A2786" s="7">
        <v>2603</v>
      </c>
      <c r="B2786" s="9" t="s">
        <v>540</v>
      </c>
      <c r="C2786" s="9" t="s">
        <v>540</v>
      </c>
      <c r="D2786" s="8">
        <v>46070</v>
      </c>
      <c r="E2786" s="7" t="s">
        <v>60</v>
      </c>
      <c r="F2786" s="7">
        <v>1</v>
      </c>
      <c r="G2786" s="7" t="s">
        <v>1095</v>
      </c>
      <c r="H2786" s="7" t="s">
        <v>492</v>
      </c>
      <c r="M2786" s="7" t="s">
        <v>1100</v>
      </c>
      <c r="O2786" s="7" t="s">
        <v>680</v>
      </c>
      <c r="P2786" s="7">
        <f t="shared" si="225"/>
        <v>2</v>
      </c>
      <c r="Q2786" s="7">
        <f t="shared" si="226"/>
        <v>2026</v>
      </c>
    </row>
    <row r="2787" spans="1:17" x14ac:dyDescent="0.25">
      <c r="A2787" s="7">
        <v>2603</v>
      </c>
      <c r="B2787" s="9" t="s">
        <v>540</v>
      </c>
      <c r="C2787" s="9" t="s">
        <v>540</v>
      </c>
      <c r="D2787" s="8">
        <v>46070</v>
      </c>
      <c r="E2787" s="7" t="s">
        <v>60</v>
      </c>
      <c r="F2787" s="7">
        <v>1</v>
      </c>
      <c r="G2787" s="7" t="s">
        <v>1095</v>
      </c>
      <c r="H2787" s="7" t="s">
        <v>492</v>
      </c>
      <c r="M2787" s="7" t="s">
        <v>1100</v>
      </c>
      <c r="O2787" s="7" t="s">
        <v>680</v>
      </c>
      <c r="P2787" s="7">
        <f t="shared" si="225"/>
        <v>2</v>
      </c>
      <c r="Q2787" s="7">
        <f t="shared" si="226"/>
        <v>2026</v>
      </c>
    </row>
    <row r="2788" spans="1:17" x14ac:dyDescent="0.25">
      <c r="A2788" s="7">
        <v>2603</v>
      </c>
      <c r="B2788" s="9" t="s">
        <v>540</v>
      </c>
      <c r="C2788" s="9" t="s">
        <v>540</v>
      </c>
      <c r="D2788" s="8">
        <v>46070</v>
      </c>
      <c r="E2788" s="7" t="s">
        <v>60</v>
      </c>
      <c r="F2788" s="7">
        <v>1</v>
      </c>
      <c r="G2788" s="7" t="s">
        <v>1095</v>
      </c>
      <c r="H2788" s="7" t="s">
        <v>492</v>
      </c>
      <c r="M2788" s="7" t="s">
        <v>1100</v>
      </c>
      <c r="O2788" s="7" t="s">
        <v>680</v>
      </c>
      <c r="P2788" s="7">
        <f t="shared" si="225"/>
        <v>2</v>
      </c>
      <c r="Q2788" s="7">
        <f t="shared" si="226"/>
        <v>2026</v>
      </c>
    </row>
    <row r="2789" spans="1:17" x14ac:dyDescent="0.25">
      <c r="A2789" s="7">
        <v>2603</v>
      </c>
      <c r="B2789" s="9" t="s">
        <v>540</v>
      </c>
      <c r="C2789" s="9" t="s">
        <v>540</v>
      </c>
      <c r="D2789" s="8">
        <v>46070</v>
      </c>
      <c r="E2789" s="7" t="s">
        <v>60</v>
      </c>
      <c r="F2789" s="7">
        <v>1</v>
      </c>
      <c r="G2789" s="7" t="s">
        <v>1095</v>
      </c>
      <c r="H2789" s="7" t="s">
        <v>492</v>
      </c>
      <c r="M2789" s="7" t="s">
        <v>1100</v>
      </c>
      <c r="O2789" s="7" t="s">
        <v>680</v>
      </c>
      <c r="P2789" s="7">
        <f t="shared" si="225"/>
        <v>2</v>
      </c>
      <c r="Q2789" s="7">
        <f t="shared" si="226"/>
        <v>2026</v>
      </c>
    </row>
    <row r="2790" spans="1:17" x14ac:dyDescent="0.25">
      <c r="A2790" s="7">
        <v>2603</v>
      </c>
      <c r="B2790" s="9" t="s">
        <v>540</v>
      </c>
      <c r="C2790" s="9" t="s">
        <v>540</v>
      </c>
      <c r="D2790" s="8">
        <v>46070</v>
      </c>
      <c r="E2790" s="7" t="s">
        <v>60</v>
      </c>
      <c r="F2790" s="7">
        <v>1</v>
      </c>
      <c r="G2790" s="7" t="s">
        <v>1095</v>
      </c>
      <c r="H2790" s="7" t="s">
        <v>492</v>
      </c>
      <c r="M2790" s="7" t="s">
        <v>1100</v>
      </c>
      <c r="O2790" s="7" t="s">
        <v>680</v>
      </c>
      <c r="P2790" s="7">
        <f t="shared" si="225"/>
        <v>2</v>
      </c>
      <c r="Q2790" s="7">
        <f t="shared" si="226"/>
        <v>2026</v>
      </c>
    </row>
    <row r="2791" spans="1:17" x14ac:dyDescent="0.25">
      <c r="A2791" s="7">
        <v>2603</v>
      </c>
      <c r="B2791" s="9" t="s">
        <v>540</v>
      </c>
      <c r="C2791" s="9" t="s">
        <v>540</v>
      </c>
      <c r="D2791" s="8">
        <v>46070</v>
      </c>
      <c r="E2791" s="7" t="s">
        <v>60</v>
      </c>
      <c r="F2791" s="7">
        <v>1</v>
      </c>
      <c r="G2791" s="7" t="s">
        <v>1095</v>
      </c>
      <c r="H2791" s="7" t="s">
        <v>492</v>
      </c>
      <c r="M2791" s="7" t="s">
        <v>1100</v>
      </c>
      <c r="O2791" s="7" t="s">
        <v>680</v>
      </c>
      <c r="P2791" s="7">
        <f t="shared" si="225"/>
        <v>2</v>
      </c>
      <c r="Q2791" s="7">
        <f t="shared" si="226"/>
        <v>2026</v>
      </c>
    </row>
    <row r="2792" spans="1:17" x14ac:dyDescent="0.25">
      <c r="A2792" s="7">
        <v>2603</v>
      </c>
      <c r="B2792" s="9" t="s">
        <v>540</v>
      </c>
      <c r="C2792" s="9" t="s">
        <v>540</v>
      </c>
      <c r="D2792" s="8">
        <v>46070</v>
      </c>
      <c r="E2792" s="7" t="s">
        <v>60</v>
      </c>
      <c r="F2792" s="7">
        <v>1</v>
      </c>
      <c r="G2792" s="7" t="s">
        <v>1095</v>
      </c>
      <c r="H2792" s="7" t="s">
        <v>492</v>
      </c>
      <c r="M2792" s="7" t="s">
        <v>1100</v>
      </c>
      <c r="O2792" s="7" t="s">
        <v>680</v>
      </c>
      <c r="P2792" s="7">
        <f t="shared" si="225"/>
        <v>2</v>
      </c>
      <c r="Q2792" s="7">
        <f t="shared" si="226"/>
        <v>2026</v>
      </c>
    </row>
    <row r="2793" spans="1:17" x14ac:dyDescent="0.25">
      <c r="A2793" s="7">
        <v>2603</v>
      </c>
      <c r="B2793" s="9" t="s">
        <v>540</v>
      </c>
      <c r="C2793" s="9" t="s">
        <v>540</v>
      </c>
      <c r="D2793" s="8">
        <v>46070</v>
      </c>
      <c r="E2793" s="7" t="s">
        <v>60</v>
      </c>
      <c r="F2793" s="7">
        <v>1</v>
      </c>
      <c r="G2793" s="7" t="s">
        <v>1095</v>
      </c>
      <c r="H2793" s="7" t="s">
        <v>492</v>
      </c>
      <c r="M2793" s="7" t="s">
        <v>1100</v>
      </c>
      <c r="O2793" s="7" t="s">
        <v>680</v>
      </c>
      <c r="P2793" s="7">
        <f t="shared" si="225"/>
        <v>2</v>
      </c>
      <c r="Q2793" s="7">
        <f t="shared" si="226"/>
        <v>2026</v>
      </c>
    </row>
    <row r="2794" spans="1:17" x14ac:dyDescent="0.25">
      <c r="A2794" s="7">
        <v>2603</v>
      </c>
      <c r="B2794" s="9" t="s">
        <v>540</v>
      </c>
      <c r="C2794" s="9" t="s">
        <v>540</v>
      </c>
      <c r="D2794" s="8">
        <v>46070</v>
      </c>
      <c r="E2794" s="7" t="s">
        <v>60</v>
      </c>
      <c r="F2794" s="7">
        <v>1</v>
      </c>
      <c r="G2794" s="7" t="s">
        <v>1095</v>
      </c>
      <c r="H2794" s="7" t="s">
        <v>492</v>
      </c>
      <c r="M2794" s="7" t="s">
        <v>1100</v>
      </c>
      <c r="O2794" s="7" t="s">
        <v>680</v>
      </c>
      <c r="P2794" s="7">
        <f t="shared" si="225"/>
        <v>2</v>
      </c>
      <c r="Q2794" s="7">
        <f t="shared" si="226"/>
        <v>2026</v>
      </c>
    </row>
    <row r="2795" spans="1:17" x14ac:dyDescent="0.25">
      <c r="A2795" s="7">
        <v>2603</v>
      </c>
      <c r="B2795" s="9" t="s">
        <v>540</v>
      </c>
      <c r="C2795" s="9" t="s">
        <v>540</v>
      </c>
      <c r="D2795" s="8">
        <v>46070</v>
      </c>
      <c r="E2795" s="7" t="s">
        <v>60</v>
      </c>
      <c r="F2795" s="7">
        <v>1</v>
      </c>
      <c r="G2795" s="7" t="s">
        <v>1095</v>
      </c>
      <c r="H2795" s="7" t="s">
        <v>492</v>
      </c>
      <c r="M2795" s="7" t="s">
        <v>1100</v>
      </c>
      <c r="O2795" s="7" t="s">
        <v>680</v>
      </c>
      <c r="P2795" s="7">
        <f t="shared" si="225"/>
        <v>2</v>
      </c>
      <c r="Q2795" s="7">
        <f t="shared" si="226"/>
        <v>2026</v>
      </c>
    </row>
    <row r="2796" spans="1:17" x14ac:dyDescent="0.25">
      <c r="A2796" s="7">
        <v>2603</v>
      </c>
      <c r="B2796" s="9" t="s">
        <v>540</v>
      </c>
      <c r="C2796" s="9" t="s">
        <v>540</v>
      </c>
      <c r="D2796" s="8">
        <v>46070</v>
      </c>
      <c r="E2796" s="7" t="s">
        <v>60</v>
      </c>
      <c r="F2796" s="7">
        <v>1</v>
      </c>
      <c r="G2796" s="7" t="s">
        <v>1095</v>
      </c>
      <c r="H2796" s="7" t="s">
        <v>492</v>
      </c>
      <c r="M2796" s="7" t="s">
        <v>1100</v>
      </c>
      <c r="O2796" s="7" t="s">
        <v>680</v>
      </c>
      <c r="P2796" s="7">
        <f t="shared" si="225"/>
        <v>2</v>
      </c>
      <c r="Q2796" s="7">
        <f t="shared" si="226"/>
        <v>2026</v>
      </c>
    </row>
    <row r="2797" spans="1:17" x14ac:dyDescent="0.25">
      <c r="A2797" s="7">
        <v>2603</v>
      </c>
      <c r="B2797" s="9" t="s">
        <v>540</v>
      </c>
      <c r="C2797" s="9" t="s">
        <v>540</v>
      </c>
      <c r="D2797" s="8">
        <v>46070</v>
      </c>
      <c r="E2797" s="7" t="s">
        <v>60</v>
      </c>
      <c r="F2797" s="7">
        <v>1</v>
      </c>
      <c r="G2797" s="7" t="s">
        <v>1095</v>
      </c>
      <c r="H2797" s="7" t="s">
        <v>492</v>
      </c>
      <c r="M2797" s="7" t="s">
        <v>1100</v>
      </c>
      <c r="O2797" s="7" t="s">
        <v>680</v>
      </c>
      <c r="P2797" s="7">
        <f t="shared" si="225"/>
        <v>2</v>
      </c>
      <c r="Q2797" s="7">
        <f t="shared" si="226"/>
        <v>2026</v>
      </c>
    </row>
    <row r="2798" spans="1:17" x14ac:dyDescent="0.25">
      <c r="A2798" s="7">
        <v>2603</v>
      </c>
      <c r="B2798" s="9" t="s">
        <v>540</v>
      </c>
      <c r="C2798" s="9" t="s">
        <v>540</v>
      </c>
      <c r="D2798" s="8">
        <v>46070</v>
      </c>
      <c r="E2798" s="7" t="s">
        <v>60</v>
      </c>
      <c r="F2798" s="7">
        <v>1</v>
      </c>
      <c r="G2798" s="7" t="s">
        <v>1095</v>
      </c>
      <c r="H2798" s="7" t="s">
        <v>492</v>
      </c>
      <c r="M2798" s="7" t="s">
        <v>1100</v>
      </c>
      <c r="O2798" s="7" t="s">
        <v>680</v>
      </c>
      <c r="P2798" s="7">
        <f t="shared" si="225"/>
        <v>2</v>
      </c>
      <c r="Q2798" s="7">
        <f t="shared" si="226"/>
        <v>2026</v>
      </c>
    </row>
    <row r="2799" spans="1:17" x14ac:dyDescent="0.25">
      <c r="A2799" s="7">
        <v>2603</v>
      </c>
      <c r="B2799" s="9" t="s">
        <v>540</v>
      </c>
      <c r="C2799" s="9" t="s">
        <v>540</v>
      </c>
      <c r="D2799" s="8">
        <v>46070</v>
      </c>
      <c r="E2799" s="7" t="s">
        <v>60</v>
      </c>
      <c r="F2799" s="7">
        <v>1</v>
      </c>
      <c r="G2799" s="7" t="s">
        <v>1095</v>
      </c>
      <c r="H2799" s="7" t="s">
        <v>492</v>
      </c>
      <c r="M2799" s="7" t="s">
        <v>1100</v>
      </c>
      <c r="O2799" s="7" t="s">
        <v>680</v>
      </c>
      <c r="P2799" s="7">
        <f t="shared" si="225"/>
        <v>2</v>
      </c>
      <c r="Q2799" s="7">
        <f t="shared" si="226"/>
        <v>2026</v>
      </c>
    </row>
    <row r="2800" spans="1:17" x14ac:dyDescent="0.25">
      <c r="A2800" s="7">
        <v>2603</v>
      </c>
      <c r="B2800" s="9" t="s">
        <v>540</v>
      </c>
      <c r="C2800" s="9" t="s">
        <v>540</v>
      </c>
      <c r="D2800" s="8">
        <v>46070</v>
      </c>
      <c r="E2800" s="7" t="s">
        <v>60</v>
      </c>
      <c r="F2800" s="7">
        <v>1</v>
      </c>
      <c r="G2800" s="7" t="s">
        <v>1095</v>
      </c>
      <c r="H2800" s="7" t="s">
        <v>492</v>
      </c>
      <c r="M2800" s="7" t="s">
        <v>1100</v>
      </c>
      <c r="O2800" s="7" t="s">
        <v>680</v>
      </c>
      <c r="P2800" s="7">
        <f t="shared" si="225"/>
        <v>2</v>
      </c>
      <c r="Q2800" s="7">
        <f t="shared" si="226"/>
        <v>2026</v>
      </c>
    </row>
    <row r="2801" spans="1:17" x14ac:dyDescent="0.25">
      <c r="A2801" s="7">
        <v>2603</v>
      </c>
      <c r="B2801" s="9" t="s">
        <v>540</v>
      </c>
      <c r="C2801" s="9" t="s">
        <v>540</v>
      </c>
      <c r="D2801" s="8">
        <v>46070</v>
      </c>
      <c r="E2801" s="7" t="s">
        <v>60</v>
      </c>
      <c r="F2801" s="7">
        <v>1</v>
      </c>
      <c r="G2801" s="7" t="s">
        <v>1095</v>
      </c>
      <c r="H2801" s="7" t="s">
        <v>492</v>
      </c>
      <c r="M2801" s="7" t="s">
        <v>1100</v>
      </c>
      <c r="O2801" s="7" t="s">
        <v>680</v>
      </c>
      <c r="P2801" s="7">
        <f t="shared" si="225"/>
        <v>2</v>
      </c>
      <c r="Q2801" s="7">
        <f t="shared" si="226"/>
        <v>2026</v>
      </c>
    </row>
    <row r="2802" spans="1:17" x14ac:dyDescent="0.25">
      <c r="A2802" s="7">
        <v>2603</v>
      </c>
      <c r="B2802" s="9" t="s">
        <v>540</v>
      </c>
      <c r="C2802" s="9" t="s">
        <v>540</v>
      </c>
      <c r="D2802" s="8">
        <v>46070</v>
      </c>
      <c r="E2802" s="7" t="s">
        <v>60</v>
      </c>
      <c r="F2802" s="7">
        <v>1</v>
      </c>
      <c r="G2802" s="7" t="s">
        <v>1095</v>
      </c>
      <c r="H2802" s="7" t="s">
        <v>492</v>
      </c>
      <c r="M2802" s="7" t="s">
        <v>1100</v>
      </c>
      <c r="O2802" s="7" t="s">
        <v>680</v>
      </c>
      <c r="P2802" s="7">
        <f t="shared" si="225"/>
        <v>2</v>
      </c>
      <c r="Q2802" s="7">
        <f t="shared" si="226"/>
        <v>2026</v>
      </c>
    </row>
    <row r="2803" spans="1:17" x14ac:dyDescent="0.25">
      <c r="A2803" s="7">
        <v>2603</v>
      </c>
      <c r="B2803" s="9" t="s">
        <v>540</v>
      </c>
      <c r="C2803" s="9" t="s">
        <v>540</v>
      </c>
      <c r="D2803" s="8">
        <v>46070</v>
      </c>
      <c r="E2803" s="7" t="s">
        <v>60</v>
      </c>
      <c r="F2803" s="7">
        <v>1</v>
      </c>
      <c r="G2803" s="7" t="s">
        <v>1095</v>
      </c>
      <c r="H2803" s="7" t="s">
        <v>492</v>
      </c>
      <c r="M2803" s="7" t="s">
        <v>1100</v>
      </c>
      <c r="O2803" s="7" t="s">
        <v>680</v>
      </c>
      <c r="P2803" s="7">
        <f t="shared" si="225"/>
        <v>2</v>
      </c>
      <c r="Q2803" s="7">
        <f t="shared" si="226"/>
        <v>2026</v>
      </c>
    </row>
    <row r="2804" spans="1:17" x14ac:dyDescent="0.25">
      <c r="A2804" s="7">
        <v>2603</v>
      </c>
      <c r="B2804" s="9" t="s">
        <v>540</v>
      </c>
      <c r="C2804" s="9" t="s">
        <v>540</v>
      </c>
      <c r="D2804" s="8">
        <v>46070</v>
      </c>
      <c r="E2804" s="7" t="s">
        <v>60</v>
      </c>
      <c r="F2804" s="7">
        <v>1</v>
      </c>
      <c r="G2804" s="7" t="s">
        <v>1095</v>
      </c>
      <c r="H2804" s="7" t="s">
        <v>492</v>
      </c>
      <c r="M2804" s="7" t="s">
        <v>1100</v>
      </c>
      <c r="O2804" s="7" t="s">
        <v>680</v>
      </c>
      <c r="P2804" s="7">
        <f t="shared" si="225"/>
        <v>2</v>
      </c>
      <c r="Q2804" s="7">
        <f t="shared" si="226"/>
        <v>2026</v>
      </c>
    </row>
    <row r="2805" spans="1:17" x14ac:dyDescent="0.25">
      <c r="A2805" s="7">
        <v>2603</v>
      </c>
      <c r="B2805" s="9" t="s">
        <v>540</v>
      </c>
      <c r="C2805" s="9" t="s">
        <v>540</v>
      </c>
      <c r="D2805" s="8">
        <v>46070</v>
      </c>
      <c r="E2805" s="7" t="s">
        <v>60</v>
      </c>
      <c r="F2805" s="7">
        <v>1</v>
      </c>
      <c r="G2805" s="7" t="s">
        <v>1095</v>
      </c>
      <c r="H2805" s="7" t="s">
        <v>492</v>
      </c>
      <c r="M2805" s="7" t="s">
        <v>1100</v>
      </c>
      <c r="O2805" s="7" t="s">
        <v>680</v>
      </c>
      <c r="P2805" s="7">
        <f t="shared" si="225"/>
        <v>2</v>
      </c>
      <c r="Q2805" s="7">
        <f t="shared" si="226"/>
        <v>2026</v>
      </c>
    </row>
    <row r="2806" spans="1:17" x14ac:dyDescent="0.25">
      <c r="A2806" s="7">
        <v>2603</v>
      </c>
      <c r="B2806" s="9" t="s">
        <v>540</v>
      </c>
      <c r="C2806" s="9" t="s">
        <v>540</v>
      </c>
      <c r="D2806" s="8">
        <v>46070</v>
      </c>
      <c r="E2806" s="7" t="s">
        <v>60</v>
      </c>
      <c r="F2806" s="7">
        <v>1</v>
      </c>
      <c r="G2806" s="7" t="s">
        <v>1095</v>
      </c>
      <c r="H2806" s="7" t="s">
        <v>492</v>
      </c>
      <c r="M2806" s="7" t="s">
        <v>1100</v>
      </c>
      <c r="O2806" s="7" t="s">
        <v>680</v>
      </c>
      <c r="P2806" s="7">
        <f t="shared" si="225"/>
        <v>2</v>
      </c>
      <c r="Q2806" s="7">
        <f t="shared" si="226"/>
        <v>2026</v>
      </c>
    </row>
    <row r="2807" spans="1:17" x14ac:dyDescent="0.25">
      <c r="A2807" s="7">
        <v>2603</v>
      </c>
      <c r="B2807" s="9" t="s">
        <v>540</v>
      </c>
      <c r="C2807" s="9" t="s">
        <v>540</v>
      </c>
      <c r="D2807" s="8">
        <v>46070</v>
      </c>
      <c r="E2807" s="7" t="s">
        <v>60</v>
      </c>
      <c r="F2807" s="7">
        <v>1</v>
      </c>
      <c r="G2807" s="7" t="s">
        <v>1095</v>
      </c>
      <c r="H2807" s="7" t="s">
        <v>492</v>
      </c>
      <c r="M2807" s="7" t="s">
        <v>1100</v>
      </c>
      <c r="O2807" s="7" t="s">
        <v>680</v>
      </c>
      <c r="P2807" s="7">
        <f t="shared" si="225"/>
        <v>2</v>
      </c>
      <c r="Q2807" s="7">
        <f t="shared" si="226"/>
        <v>2026</v>
      </c>
    </row>
    <row r="2808" spans="1:17" x14ac:dyDescent="0.25">
      <c r="A2808" s="7">
        <v>2603</v>
      </c>
      <c r="B2808" s="9" t="s">
        <v>540</v>
      </c>
      <c r="C2808" s="9" t="s">
        <v>540</v>
      </c>
      <c r="D2808" s="8">
        <v>46070</v>
      </c>
      <c r="E2808" s="7" t="s">
        <v>60</v>
      </c>
      <c r="F2808" s="7">
        <v>1</v>
      </c>
      <c r="G2808" s="7" t="s">
        <v>1095</v>
      </c>
      <c r="H2808" s="7" t="s">
        <v>492</v>
      </c>
      <c r="M2808" s="7" t="s">
        <v>1100</v>
      </c>
      <c r="O2808" s="7" t="s">
        <v>680</v>
      </c>
      <c r="P2808" s="7">
        <f t="shared" si="225"/>
        <v>2</v>
      </c>
      <c r="Q2808" s="7">
        <f t="shared" si="226"/>
        <v>2026</v>
      </c>
    </row>
    <row r="2809" spans="1:17" x14ac:dyDescent="0.25">
      <c r="A2809" s="7">
        <v>2603</v>
      </c>
      <c r="B2809" s="9" t="s">
        <v>540</v>
      </c>
      <c r="C2809" s="9" t="s">
        <v>540</v>
      </c>
      <c r="D2809" s="8">
        <v>46070</v>
      </c>
      <c r="E2809" s="7" t="s">
        <v>60</v>
      </c>
      <c r="F2809" s="7">
        <v>1</v>
      </c>
      <c r="G2809" s="7" t="s">
        <v>1095</v>
      </c>
      <c r="H2809" s="7" t="s">
        <v>492</v>
      </c>
      <c r="M2809" s="7" t="s">
        <v>1100</v>
      </c>
      <c r="O2809" s="7" t="s">
        <v>680</v>
      </c>
      <c r="P2809" s="7">
        <f t="shared" si="225"/>
        <v>2</v>
      </c>
      <c r="Q2809" s="7">
        <f t="shared" si="226"/>
        <v>2026</v>
      </c>
    </row>
    <row r="2810" spans="1:17" x14ac:dyDescent="0.25">
      <c r="A2810" s="7">
        <v>2603</v>
      </c>
      <c r="B2810" s="9" t="s">
        <v>540</v>
      </c>
      <c r="C2810" s="9" t="s">
        <v>540</v>
      </c>
      <c r="D2810" s="8">
        <v>46070</v>
      </c>
      <c r="E2810" s="7" t="s">
        <v>60</v>
      </c>
      <c r="F2810" s="7">
        <v>1</v>
      </c>
      <c r="G2810" s="7" t="s">
        <v>1095</v>
      </c>
      <c r="H2810" s="7" t="s">
        <v>492</v>
      </c>
      <c r="M2810" s="7" t="s">
        <v>1100</v>
      </c>
      <c r="O2810" s="7" t="s">
        <v>680</v>
      </c>
      <c r="P2810" s="7">
        <f t="shared" si="225"/>
        <v>2</v>
      </c>
      <c r="Q2810" s="7">
        <f t="shared" si="226"/>
        <v>2026</v>
      </c>
    </row>
    <row r="2811" spans="1:17" x14ac:dyDescent="0.25">
      <c r="A2811" s="7">
        <v>2603</v>
      </c>
      <c r="B2811" s="9" t="s">
        <v>540</v>
      </c>
      <c r="C2811" s="9" t="s">
        <v>540</v>
      </c>
      <c r="D2811" s="8">
        <v>46070</v>
      </c>
      <c r="E2811" s="7" t="s">
        <v>60</v>
      </c>
      <c r="F2811" s="7">
        <v>1</v>
      </c>
      <c r="G2811" s="7" t="s">
        <v>1095</v>
      </c>
      <c r="H2811" s="7" t="s">
        <v>492</v>
      </c>
      <c r="M2811" s="7" t="s">
        <v>1100</v>
      </c>
      <c r="O2811" s="7" t="s">
        <v>680</v>
      </c>
      <c r="P2811" s="7">
        <f t="shared" si="225"/>
        <v>2</v>
      </c>
      <c r="Q2811" s="7">
        <f t="shared" si="226"/>
        <v>2026</v>
      </c>
    </row>
    <row r="2812" spans="1:17" x14ac:dyDescent="0.25">
      <c r="A2812" s="7">
        <v>2603</v>
      </c>
      <c r="B2812" s="9" t="s">
        <v>540</v>
      </c>
      <c r="C2812" s="9" t="s">
        <v>540</v>
      </c>
      <c r="D2812" s="8">
        <v>46070</v>
      </c>
      <c r="E2812" s="7" t="s">
        <v>60</v>
      </c>
      <c r="F2812" s="7">
        <v>1</v>
      </c>
      <c r="G2812" s="7" t="s">
        <v>1095</v>
      </c>
      <c r="H2812" s="7" t="s">
        <v>492</v>
      </c>
      <c r="M2812" s="7" t="s">
        <v>1100</v>
      </c>
      <c r="O2812" s="7" t="s">
        <v>680</v>
      </c>
      <c r="P2812" s="7">
        <f t="shared" si="225"/>
        <v>2</v>
      </c>
      <c r="Q2812" s="7">
        <f t="shared" si="226"/>
        <v>2026</v>
      </c>
    </row>
    <row r="2813" spans="1:17" x14ac:dyDescent="0.25">
      <c r="A2813" s="7">
        <v>2603</v>
      </c>
      <c r="B2813" s="9" t="s">
        <v>540</v>
      </c>
      <c r="C2813" s="9" t="s">
        <v>540</v>
      </c>
      <c r="D2813" s="8">
        <v>46070</v>
      </c>
      <c r="E2813" s="7" t="s">
        <v>60</v>
      </c>
      <c r="F2813" s="7">
        <v>1</v>
      </c>
      <c r="G2813" s="7" t="s">
        <v>1095</v>
      </c>
      <c r="H2813" s="7" t="s">
        <v>492</v>
      </c>
      <c r="M2813" s="7" t="s">
        <v>1100</v>
      </c>
      <c r="O2813" s="7" t="s">
        <v>680</v>
      </c>
      <c r="P2813" s="7">
        <f t="shared" si="225"/>
        <v>2</v>
      </c>
      <c r="Q2813" s="7">
        <f t="shared" si="226"/>
        <v>2026</v>
      </c>
    </row>
    <row r="2814" spans="1:17" x14ac:dyDescent="0.25">
      <c r="A2814" s="7">
        <v>2603</v>
      </c>
      <c r="B2814" s="9" t="s">
        <v>540</v>
      </c>
      <c r="C2814" s="9" t="s">
        <v>540</v>
      </c>
      <c r="D2814" s="8">
        <v>46070</v>
      </c>
      <c r="E2814" s="7" t="s">
        <v>60</v>
      </c>
      <c r="F2814" s="7">
        <v>1</v>
      </c>
      <c r="G2814" s="7" t="s">
        <v>1095</v>
      </c>
      <c r="H2814" s="7" t="s">
        <v>492</v>
      </c>
      <c r="M2814" s="7" t="s">
        <v>1100</v>
      </c>
      <c r="O2814" s="7" t="s">
        <v>680</v>
      </c>
      <c r="P2814" s="7">
        <f t="shared" si="225"/>
        <v>2</v>
      </c>
      <c r="Q2814" s="7">
        <f t="shared" si="226"/>
        <v>2026</v>
      </c>
    </row>
    <row r="2815" spans="1:17" x14ac:dyDescent="0.25">
      <c r="A2815" s="7">
        <v>2603</v>
      </c>
      <c r="B2815" s="9" t="s">
        <v>540</v>
      </c>
      <c r="C2815" s="9" t="s">
        <v>540</v>
      </c>
      <c r="D2815" s="8">
        <v>46070</v>
      </c>
      <c r="E2815" s="7" t="s">
        <v>60</v>
      </c>
      <c r="F2815" s="7">
        <v>1</v>
      </c>
      <c r="G2815" s="7" t="s">
        <v>1095</v>
      </c>
      <c r="H2815" s="7" t="s">
        <v>492</v>
      </c>
      <c r="M2815" s="7" t="s">
        <v>1100</v>
      </c>
      <c r="O2815" s="7" t="s">
        <v>680</v>
      </c>
      <c r="P2815" s="7">
        <f t="shared" si="225"/>
        <v>2</v>
      </c>
      <c r="Q2815" s="7">
        <f t="shared" si="226"/>
        <v>2026</v>
      </c>
    </row>
    <row r="2816" spans="1:17" x14ac:dyDescent="0.25">
      <c r="A2816" s="7">
        <v>2603</v>
      </c>
      <c r="B2816" s="9" t="s">
        <v>540</v>
      </c>
      <c r="C2816" s="9" t="s">
        <v>540</v>
      </c>
      <c r="D2816" s="8">
        <v>46070</v>
      </c>
      <c r="E2816" s="7" t="s">
        <v>60</v>
      </c>
      <c r="F2816" s="7">
        <v>1</v>
      </c>
      <c r="G2816" s="7" t="s">
        <v>1095</v>
      </c>
      <c r="H2816" s="7" t="s">
        <v>492</v>
      </c>
      <c r="M2816" s="7" t="s">
        <v>1100</v>
      </c>
      <c r="O2816" s="7" t="s">
        <v>680</v>
      </c>
      <c r="P2816" s="7">
        <f t="shared" si="225"/>
        <v>2</v>
      </c>
      <c r="Q2816" s="7">
        <f t="shared" si="226"/>
        <v>2026</v>
      </c>
    </row>
    <row r="2817" spans="1:17" x14ac:dyDescent="0.25">
      <c r="A2817" s="7">
        <v>2603</v>
      </c>
      <c r="B2817" s="9" t="s">
        <v>540</v>
      </c>
      <c r="C2817" s="9" t="s">
        <v>540</v>
      </c>
      <c r="D2817" s="8">
        <v>46070</v>
      </c>
      <c r="E2817" s="7" t="s">
        <v>60</v>
      </c>
      <c r="F2817" s="7">
        <v>1</v>
      </c>
      <c r="G2817" s="7" t="s">
        <v>1095</v>
      </c>
      <c r="H2817" s="7" t="s">
        <v>492</v>
      </c>
      <c r="M2817" s="7" t="s">
        <v>1100</v>
      </c>
      <c r="O2817" s="7" t="s">
        <v>680</v>
      </c>
      <c r="P2817" s="7">
        <f t="shared" si="225"/>
        <v>2</v>
      </c>
      <c r="Q2817" s="7">
        <f t="shared" si="226"/>
        <v>2026</v>
      </c>
    </row>
    <row r="2818" spans="1:17" x14ac:dyDescent="0.25">
      <c r="A2818" s="7">
        <v>2538</v>
      </c>
      <c r="B2818" s="9" t="s">
        <v>529</v>
      </c>
      <c r="C2818" s="9" t="s">
        <v>532</v>
      </c>
      <c r="D2818" s="8">
        <v>45889</v>
      </c>
      <c r="E2818" s="75" t="s">
        <v>1121</v>
      </c>
      <c r="F2818" s="7">
        <v>1</v>
      </c>
      <c r="G2818" s="7" t="s">
        <v>14</v>
      </c>
      <c r="H2818" s="7" t="s">
        <v>311</v>
      </c>
      <c r="M2818" s="16" t="s">
        <v>497</v>
      </c>
      <c r="N2818" s="7" t="s">
        <v>579</v>
      </c>
      <c r="O2818" s="17" t="s">
        <v>680</v>
      </c>
      <c r="P2818" s="7">
        <f t="shared" si="225"/>
        <v>8</v>
      </c>
      <c r="Q2818" s="7">
        <f t="shared" si="226"/>
        <v>2025</v>
      </c>
    </row>
    <row r="2819" spans="1:17" x14ac:dyDescent="0.25">
      <c r="A2819" s="7">
        <v>2538</v>
      </c>
      <c r="B2819" s="9" t="s">
        <v>529</v>
      </c>
      <c r="C2819" s="9" t="s">
        <v>532</v>
      </c>
      <c r="D2819" s="8">
        <v>45889</v>
      </c>
      <c r="E2819" s="75" t="s">
        <v>1122</v>
      </c>
      <c r="F2819" s="7">
        <v>1</v>
      </c>
      <c r="G2819" s="7" t="s">
        <v>14</v>
      </c>
      <c r="H2819" s="7" t="s">
        <v>311</v>
      </c>
      <c r="M2819" s="16" t="s">
        <v>497</v>
      </c>
      <c r="N2819" s="7" t="s">
        <v>579</v>
      </c>
      <c r="O2819" s="17" t="s">
        <v>680</v>
      </c>
      <c r="P2819" s="7">
        <f t="shared" si="225"/>
        <v>8</v>
      </c>
      <c r="Q2819" s="7">
        <f t="shared" si="226"/>
        <v>2025</v>
      </c>
    </row>
    <row r="2820" spans="1:17" x14ac:dyDescent="0.25">
      <c r="A2820" s="7">
        <v>2538</v>
      </c>
      <c r="B2820" s="9" t="s">
        <v>529</v>
      </c>
      <c r="C2820" s="9" t="s">
        <v>532</v>
      </c>
      <c r="D2820" s="8">
        <v>45889</v>
      </c>
      <c r="E2820" s="75" t="s">
        <v>1123</v>
      </c>
      <c r="F2820" s="7">
        <v>1</v>
      </c>
      <c r="G2820" s="7" t="s">
        <v>14</v>
      </c>
      <c r="H2820" s="7" t="s">
        <v>311</v>
      </c>
      <c r="M2820" s="16" t="s">
        <v>497</v>
      </c>
      <c r="N2820" s="7" t="s">
        <v>579</v>
      </c>
      <c r="O2820" s="17" t="s">
        <v>680</v>
      </c>
      <c r="P2820" s="7">
        <f t="shared" si="225"/>
        <v>8</v>
      </c>
      <c r="Q2820" s="7">
        <f t="shared" si="226"/>
        <v>2025</v>
      </c>
    </row>
    <row r="2821" spans="1:17" x14ac:dyDescent="0.25">
      <c r="A2821" s="7">
        <v>2538</v>
      </c>
      <c r="B2821" s="9" t="s">
        <v>529</v>
      </c>
      <c r="C2821" s="9" t="s">
        <v>532</v>
      </c>
      <c r="D2821" s="8">
        <v>45889</v>
      </c>
      <c r="E2821" s="75" t="s">
        <v>1124</v>
      </c>
      <c r="F2821" s="7">
        <v>1</v>
      </c>
      <c r="G2821" s="7" t="s">
        <v>14</v>
      </c>
      <c r="H2821" s="7" t="s">
        <v>311</v>
      </c>
      <c r="I2821" s="16" t="s">
        <v>497</v>
      </c>
      <c r="J2821" s="7" t="s">
        <v>579</v>
      </c>
      <c r="K2821" s="17" t="s">
        <v>680</v>
      </c>
      <c r="M2821" s="16" t="s">
        <v>497</v>
      </c>
      <c r="N2821" s="7" t="s">
        <v>579</v>
      </c>
      <c r="O2821" s="17" t="s">
        <v>680</v>
      </c>
      <c r="P2821" s="7">
        <f t="shared" ref="P2821:P2833" si="227">MONTH(D2821)</f>
        <v>8</v>
      </c>
      <c r="Q2821" s="7">
        <f t="shared" ref="Q2821:Q2833" si="228">YEAR(D2821)</f>
        <v>2025</v>
      </c>
    </row>
    <row r="2822" spans="1:17" x14ac:dyDescent="0.25">
      <c r="A2822" s="7">
        <v>2538</v>
      </c>
      <c r="B2822" s="9" t="s">
        <v>529</v>
      </c>
      <c r="C2822" s="9" t="s">
        <v>532</v>
      </c>
      <c r="D2822" s="8">
        <v>45889</v>
      </c>
      <c r="E2822" s="75" t="s">
        <v>1125</v>
      </c>
      <c r="F2822" s="7">
        <v>1</v>
      </c>
      <c r="G2822" s="7" t="s">
        <v>14</v>
      </c>
      <c r="H2822" s="7" t="s">
        <v>311</v>
      </c>
      <c r="M2822" s="16" t="s">
        <v>497</v>
      </c>
      <c r="N2822" s="7" t="s">
        <v>579</v>
      </c>
      <c r="O2822" s="17" t="s">
        <v>680</v>
      </c>
      <c r="P2822" s="7">
        <f t="shared" si="227"/>
        <v>8</v>
      </c>
      <c r="Q2822" s="7">
        <f t="shared" si="228"/>
        <v>2025</v>
      </c>
    </row>
    <row r="2823" spans="1:17" x14ac:dyDescent="0.25">
      <c r="A2823" s="7">
        <v>2538</v>
      </c>
      <c r="B2823" s="9" t="s">
        <v>529</v>
      </c>
      <c r="C2823" s="9" t="s">
        <v>532</v>
      </c>
      <c r="D2823" s="8">
        <v>45889</v>
      </c>
      <c r="E2823" s="75" t="s">
        <v>1126</v>
      </c>
      <c r="F2823" s="7">
        <v>1</v>
      </c>
      <c r="G2823" s="7" t="s">
        <v>14</v>
      </c>
      <c r="H2823" s="7" t="s">
        <v>311</v>
      </c>
      <c r="M2823" s="16" t="s">
        <v>497</v>
      </c>
      <c r="N2823" s="7" t="s">
        <v>579</v>
      </c>
      <c r="O2823" s="17" t="s">
        <v>680</v>
      </c>
      <c r="P2823" s="7">
        <f t="shared" si="227"/>
        <v>8</v>
      </c>
      <c r="Q2823" s="7">
        <f t="shared" si="228"/>
        <v>2025</v>
      </c>
    </row>
    <row r="2824" spans="1:17" x14ac:dyDescent="0.25">
      <c r="A2824" s="7">
        <v>2538</v>
      </c>
      <c r="B2824" s="9" t="s">
        <v>529</v>
      </c>
      <c r="C2824" s="9" t="s">
        <v>532</v>
      </c>
      <c r="D2824" s="8">
        <v>45889</v>
      </c>
      <c r="E2824" s="75" t="s">
        <v>1128</v>
      </c>
      <c r="F2824" s="7">
        <v>1</v>
      </c>
      <c r="G2824" s="7" t="s">
        <v>14</v>
      </c>
      <c r="H2824" s="7" t="s">
        <v>311</v>
      </c>
      <c r="M2824" s="16" t="s">
        <v>497</v>
      </c>
      <c r="N2824" s="7" t="s">
        <v>579</v>
      </c>
      <c r="O2824" s="17" t="s">
        <v>680</v>
      </c>
      <c r="P2824" s="7">
        <f t="shared" si="227"/>
        <v>8</v>
      </c>
      <c r="Q2824" s="7">
        <f t="shared" si="228"/>
        <v>2025</v>
      </c>
    </row>
    <row r="2825" spans="1:17" x14ac:dyDescent="0.25">
      <c r="A2825" s="7">
        <v>2538</v>
      </c>
      <c r="B2825" s="9" t="s">
        <v>529</v>
      </c>
      <c r="C2825" s="9" t="s">
        <v>532</v>
      </c>
      <c r="D2825" s="8">
        <v>45889</v>
      </c>
      <c r="E2825" s="75" t="s">
        <v>1127</v>
      </c>
      <c r="F2825" s="7">
        <v>1</v>
      </c>
      <c r="G2825" s="7" t="s">
        <v>14</v>
      </c>
      <c r="H2825" s="7" t="s">
        <v>311</v>
      </c>
      <c r="M2825" s="16" t="s">
        <v>497</v>
      </c>
      <c r="N2825" s="7" t="s">
        <v>579</v>
      </c>
      <c r="O2825" s="17" t="s">
        <v>680</v>
      </c>
      <c r="P2825" s="7">
        <f t="shared" si="227"/>
        <v>8</v>
      </c>
      <c r="Q2825" s="7">
        <f t="shared" si="228"/>
        <v>2025</v>
      </c>
    </row>
    <row r="2826" spans="1:17" x14ac:dyDescent="0.25">
      <c r="A2826" s="7">
        <v>2538</v>
      </c>
      <c r="B2826" s="9" t="s">
        <v>529</v>
      </c>
      <c r="C2826" s="9" t="s">
        <v>532</v>
      </c>
      <c r="D2826" s="8">
        <v>45889</v>
      </c>
      <c r="E2826" s="75" t="s">
        <v>1129</v>
      </c>
      <c r="F2826" s="7">
        <v>1</v>
      </c>
      <c r="G2826" s="7" t="s">
        <v>14</v>
      </c>
      <c r="H2826" s="7" t="s">
        <v>311</v>
      </c>
      <c r="M2826" s="16" t="s">
        <v>497</v>
      </c>
      <c r="N2826" s="7" t="s">
        <v>579</v>
      </c>
      <c r="O2826" s="17" t="s">
        <v>680</v>
      </c>
      <c r="P2826" s="7">
        <f t="shared" si="227"/>
        <v>8</v>
      </c>
      <c r="Q2826" s="7">
        <f t="shared" si="228"/>
        <v>2025</v>
      </c>
    </row>
    <row r="2827" spans="1:17" x14ac:dyDescent="0.25">
      <c r="A2827" s="7">
        <v>2538</v>
      </c>
      <c r="B2827" s="9" t="s">
        <v>529</v>
      </c>
      <c r="C2827" s="9" t="s">
        <v>532</v>
      </c>
      <c r="D2827" s="8">
        <v>45889</v>
      </c>
      <c r="E2827" s="75" t="s">
        <v>1130</v>
      </c>
      <c r="F2827" s="7">
        <v>1</v>
      </c>
      <c r="G2827" s="7" t="s">
        <v>14</v>
      </c>
      <c r="H2827" s="7" t="s">
        <v>311</v>
      </c>
      <c r="M2827" s="16" t="s">
        <v>497</v>
      </c>
      <c r="N2827" s="7" t="s">
        <v>579</v>
      </c>
      <c r="O2827" s="17" t="s">
        <v>680</v>
      </c>
      <c r="P2827" s="7">
        <f t="shared" si="227"/>
        <v>8</v>
      </c>
      <c r="Q2827" s="7">
        <f t="shared" si="228"/>
        <v>2025</v>
      </c>
    </row>
    <row r="2828" spans="1:17" x14ac:dyDescent="0.25">
      <c r="A2828" s="7">
        <v>2556</v>
      </c>
      <c r="B2828" s="9" t="s">
        <v>885</v>
      </c>
      <c r="C2828" s="9" t="s">
        <v>886</v>
      </c>
      <c r="D2828" s="8">
        <v>45947</v>
      </c>
      <c r="E2828" s="75" t="s">
        <v>1131</v>
      </c>
      <c r="F2828" s="7">
        <v>1</v>
      </c>
      <c r="G2828" s="7" t="s">
        <v>15</v>
      </c>
      <c r="H2828" s="7" t="s">
        <v>314</v>
      </c>
      <c r="M2828" s="16" t="s">
        <v>497</v>
      </c>
      <c r="N2828" s="7" t="s">
        <v>579</v>
      </c>
      <c r="O2828" s="7" t="s">
        <v>680</v>
      </c>
      <c r="P2828" s="7">
        <f t="shared" si="227"/>
        <v>10</v>
      </c>
      <c r="Q2828" s="7">
        <f t="shared" si="228"/>
        <v>2025</v>
      </c>
    </row>
    <row r="2829" spans="1:17" x14ac:dyDescent="0.25">
      <c r="A2829" s="7">
        <v>2556</v>
      </c>
      <c r="B2829" s="9" t="s">
        <v>885</v>
      </c>
      <c r="C2829" s="9" t="s">
        <v>886</v>
      </c>
      <c r="D2829" s="8">
        <v>45947</v>
      </c>
      <c r="E2829" s="75" t="s">
        <v>1132</v>
      </c>
      <c r="F2829" s="7">
        <v>1</v>
      </c>
      <c r="G2829" s="7" t="s">
        <v>14</v>
      </c>
      <c r="H2829" s="7" t="s">
        <v>314</v>
      </c>
      <c r="M2829" s="16" t="s">
        <v>497</v>
      </c>
      <c r="N2829" s="7" t="s">
        <v>579</v>
      </c>
      <c r="O2829" s="7" t="s">
        <v>680</v>
      </c>
      <c r="P2829" s="7">
        <f t="shared" si="227"/>
        <v>10</v>
      </c>
      <c r="Q2829" s="7">
        <f t="shared" si="228"/>
        <v>2025</v>
      </c>
    </row>
    <row r="2830" spans="1:17" x14ac:dyDescent="0.25">
      <c r="A2830" s="7">
        <v>2556</v>
      </c>
      <c r="B2830" s="9" t="s">
        <v>885</v>
      </c>
      <c r="C2830" s="9" t="s">
        <v>886</v>
      </c>
      <c r="D2830" s="8">
        <v>45947</v>
      </c>
      <c r="E2830" s="75" t="s">
        <v>1133</v>
      </c>
      <c r="F2830" s="7">
        <v>1</v>
      </c>
      <c r="G2830" s="7" t="s">
        <v>14</v>
      </c>
      <c r="H2830" s="7" t="s">
        <v>314</v>
      </c>
      <c r="M2830" s="16" t="s">
        <v>497</v>
      </c>
      <c r="N2830" s="7" t="s">
        <v>579</v>
      </c>
      <c r="O2830" s="7" t="s">
        <v>680</v>
      </c>
      <c r="P2830" s="7">
        <f t="shared" si="227"/>
        <v>10</v>
      </c>
      <c r="Q2830" s="7">
        <f t="shared" si="228"/>
        <v>2025</v>
      </c>
    </row>
    <row r="2831" spans="1:17" x14ac:dyDescent="0.25">
      <c r="A2831" s="7">
        <v>2556</v>
      </c>
      <c r="B2831" s="9" t="s">
        <v>885</v>
      </c>
      <c r="C2831" s="9" t="s">
        <v>886</v>
      </c>
      <c r="D2831" s="8">
        <v>45947</v>
      </c>
      <c r="E2831" s="75" t="s">
        <v>1134</v>
      </c>
      <c r="F2831" s="7">
        <v>1</v>
      </c>
      <c r="G2831" s="7" t="s">
        <v>14</v>
      </c>
      <c r="H2831" s="7" t="s">
        <v>314</v>
      </c>
      <c r="M2831" s="16" t="s">
        <v>497</v>
      </c>
      <c r="N2831" s="7" t="s">
        <v>579</v>
      </c>
      <c r="O2831" s="7" t="s">
        <v>680</v>
      </c>
      <c r="P2831" s="7">
        <f t="shared" si="227"/>
        <v>10</v>
      </c>
      <c r="Q2831" s="7">
        <f t="shared" si="228"/>
        <v>2025</v>
      </c>
    </row>
    <row r="2832" spans="1:17" x14ac:dyDescent="0.25">
      <c r="A2832" s="7">
        <v>2556</v>
      </c>
      <c r="B2832" s="9" t="s">
        <v>885</v>
      </c>
      <c r="C2832" s="9" t="s">
        <v>886</v>
      </c>
      <c r="D2832" s="8">
        <v>45947</v>
      </c>
      <c r="E2832" s="75" t="s">
        <v>1135</v>
      </c>
      <c r="F2832" s="7">
        <v>1</v>
      </c>
      <c r="G2832" s="7" t="s">
        <v>14</v>
      </c>
      <c r="H2832" s="7" t="s">
        <v>314</v>
      </c>
      <c r="M2832" s="16" t="s">
        <v>497</v>
      </c>
      <c r="N2832" s="7" t="s">
        <v>579</v>
      </c>
      <c r="O2832" s="7" t="s">
        <v>680</v>
      </c>
      <c r="P2832" s="7">
        <f t="shared" si="227"/>
        <v>10</v>
      </c>
      <c r="Q2832" s="7">
        <f t="shared" si="228"/>
        <v>2025</v>
      </c>
    </row>
    <row r="2833" spans="1:17" x14ac:dyDescent="0.25">
      <c r="A2833" s="7">
        <v>2604</v>
      </c>
      <c r="B2833" s="9" t="s">
        <v>9</v>
      </c>
      <c r="C2833" s="9" t="s">
        <v>290</v>
      </c>
      <c r="D2833" s="8">
        <v>46092</v>
      </c>
      <c r="E2833" s="7" t="s">
        <v>1156</v>
      </c>
      <c r="F2833" s="7">
        <v>1</v>
      </c>
      <c r="G2833" s="7" t="s">
        <v>15</v>
      </c>
      <c r="H2833" s="7" t="s">
        <v>311</v>
      </c>
      <c r="M2833" s="7" t="s">
        <v>917</v>
      </c>
      <c r="O2833" s="7" t="s">
        <v>908</v>
      </c>
      <c r="P2833" s="7">
        <f t="shared" si="227"/>
        <v>3</v>
      </c>
      <c r="Q2833" s="7">
        <f t="shared" si="228"/>
        <v>2026</v>
      </c>
    </row>
    <row r="2834" spans="1:17" x14ac:dyDescent="0.25">
      <c r="A2834" s="7">
        <v>2604</v>
      </c>
      <c r="B2834" s="9" t="s">
        <v>9</v>
      </c>
      <c r="C2834" s="9" t="s">
        <v>290</v>
      </c>
      <c r="D2834" s="8">
        <v>46092</v>
      </c>
      <c r="E2834" s="7" t="s">
        <v>1157</v>
      </c>
      <c r="F2834" s="7">
        <v>1</v>
      </c>
      <c r="G2834" s="7" t="s">
        <v>15</v>
      </c>
      <c r="H2834" s="7" t="s">
        <v>311</v>
      </c>
      <c r="M2834" s="7" t="s">
        <v>917</v>
      </c>
      <c r="O2834" s="7" t="s">
        <v>908</v>
      </c>
      <c r="P2834" s="7">
        <f t="shared" ref="P2834:P2855" si="229">MONTH(D2834)</f>
        <v>3</v>
      </c>
      <c r="Q2834" s="7">
        <f t="shared" ref="Q2834:Q2855" si="230">YEAR(D2834)</f>
        <v>2026</v>
      </c>
    </row>
    <row r="2835" spans="1:17" x14ac:dyDescent="0.25">
      <c r="A2835" s="7">
        <v>2604</v>
      </c>
      <c r="B2835" s="9" t="s">
        <v>9</v>
      </c>
      <c r="C2835" s="9" t="s">
        <v>290</v>
      </c>
      <c r="D2835" s="8">
        <v>46092</v>
      </c>
      <c r="E2835" s="7" t="s">
        <v>1158</v>
      </c>
      <c r="F2835" s="7">
        <v>1</v>
      </c>
      <c r="G2835" s="7" t="s">
        <v>15</v>
      </c>
      <c r="H2835" s="7" t="s">
        <v>311</v>
      </c>
      <c r="M2835" s="7" t="s">
        <v>917</v>
      </c>
      <c r="O2835" s="7" t="s">
        <v>908</v>
      </c>
      <c r="P2835" s="7">
        <f t="shared" si="229"/>
        <v>3</v>
      </c>
      <c r="Q2835" s="7">
        <f t="shared" si="230"/>
        <v>2026</v>
      </c>
    </row>
    <row r="2836" spans="1:17" x14ac:dyDescent="0.25">
      <c r="A2836" s="7">
        <v>2604</v>
      </c>
      <c r="B2836" s="9" t="s">
        <v>9</v>
      </c>
      <c r="C2836" s="9" t="s">
        <v>290</v>
      </c>
      <c r="D2836" s="8">
        <v>46092</v>
      </c>
      <c r="E2836" s="7" t="s">
        <v>1159</v>
      </c>
      <c r="F2836" s="7">
        <v>1</v>
      </c>
      <c r="G2836" s="7" t="s">
        <v>15</v>
      </c>
      <c r="H2836" s="7" t="s">
        <v>311</v>
      </c>
      <c r="M2836" s="7" t="s">
        <v>917</v>
      </c>
      <c r="O2836" s="7" t="s">
        <v>908</v>
      </c>
      <c r="P2836" s="7">
        <f t="shared" si="229"/>
        <v>3</v>
      </c>
      <c r="Q2836" s="7">
        <f t="shared" si="230"/>
        <v>2026</v>
      </c>
    </row>
    <row r="2837" spans="1:17" x14ac:dyDescent="0.25">
      <c r="A2837" s="7">
        <v>2604</v>
      </c>
      <c r="B2837" s="9" t="s">
        <v>9</v>
      </c>
      <c r="C2837" s="9" t="s">
        <v>290</v>
      </c>
      <c r="D2837" s="8">
        <v>46092</v>
      </c>
      <c r="E2837" s="7" t="s">
        <v>1160</v>
      </c>
      <c r="F2837" s="7">
        <v>1</v>
      </c>
      <c r="G2837" s="7" t="s">
        <v>15</v>
      </c>
      <c r="H2837" s="7" t="s">
        <v>311</v>
      </c>
      <c r="M2837" s="7" t="s">
        <v>917</v>
      </c>
      <c r="O2837" s="7" t="s">
        <v>908</v>
      </c>
      <c r="P2837" s="7">
        <f t="shared" si="229"/>
        <v>3</v>
      </c>
      <c r="Q2837" s="7">
        <f t="shared" si="230"/>
        <v>2026</v>
      </c>
    </row>
    <row r="2838" spans="1:17" x14ac:dyDescent="0.25">
      <c r="A2838" s="7">
        <v>2604</v>
      </c>
      <c r="B2838" s="9" t="s">
        <v>9</v>
      </c>
      <c r="C2838" s="9" t="s">
        <v>290</v>
      </c>
      <c r="D2838" s="8">
        <v>46092</v>
      </c>
      <c r="E2838" s="7" t="s">
        <v>1161</v>
      </c>
      <c r="F2838" s="7">
        <v>1</v>
      </c>
      <c r="G2838" s="7" t="s">
        <v>15</v>
      </c>
      <c r="H2838" s="7" t="s">
        <v>311</v>
      </c>
      <c r="M2838" s="7" t="s">
        <v>917</v>
      </c>
      <c r="O2838" s="7" t="s">
        <v>908</v>
      </c>
      <c r="P2838" s="7">
        <f t="shared" si="229"/>
        <v>3</v>
      </c>
      <c r="Q2838" s="7">
        <f t="shared" si="230"/>
        <v>2026</v>
      </c>
    </row>
    <row r="2839" spans="1:17" x14ac:dyDescent="0.25">
      <c r="A2839" s="7">
        <v>2604</v>
      </c>
      <c r="B2839" s="9" t="s">
        <v>9</v>
      </c>
      <c r="C2839" s="9" t="s">
        <v>290</v>
      </c>
      <c r="D2839" s="8">
        <v>46092</v>
      </c>
      <c r="E2839" s="7" t="s">
        <v>1162</v>
      </c>
      <c r="F2839" s="7">
        <v>1</v>
      </c>
      <c r="G2839" s="7" t="s">
        <v>15</v>
      </c>
      <c r="H2839" s="7" t="s">
        <v>311</v>
      </c>
      <c r="M2839" s="7" t="s">
        <v>917</v>
      </c>
      <c r="O2839" s="7" t="s">
        <v>908</v>
      </c>
      <c r="P2839" s="7">
        <f t="shared" si="229"/>
        <v>3</v>
      </c>
      <c r="Q2839" s="7">
        <f t="shared" si="230"/>
        <v>2026</v>
      </c>
    </row>
    <row r="2840" spans="1:17" x14ac:dyDescent="0.25">
      <c r="A2840" s="7">
        <v>2604</v>
      </c>
      <c r="B2840" s="9" t="s">
        <v>9</v>
      </c>
      <c r="C2840" s="9" t="s">
        <v>290</v>
      </c>
      <c r="D2840" s="8">
        <v>46092</v>
      </c>
      <c r="E2840" s="7" t="s">
        <v>1163</v>
      </c>
      <c r="F2840" s="7">
        <v>1</v>
      </c>
      <c r="G2840" s="7" t="s">
        <v>15</v>
      </c>
      <c r="H2840" s="7" t="s">
        <v>311</v>
      </c>
      <c r="M2840" s="7" t="s">
        <v>917</v>
      </c>
      <c r="O2840" s="7" t="s">
        <v>908</v>
      </c>
      <c r="P2840" s="7">
        <f t="shared" si="229"/>
        <v>3</v>
      </c>
      <c r="Q2840" s="7">
        <f t="shared" si="230"/>
        <v>2026</v>
      </c>
    </row>
    <row r="2841" spans="1:17" x14ac:dyDescent="0.25">
      <c r="A2841" s="7">
        <v>2604</v>
      </c>
      <c r="B2841" s="9" t="s">
        <v>9</v>
      </c>
      <c r="C2841" s="9" t="s">
        <v>290</v>
      </c>
      <c r="D2841" s="8">
        <v>46092</v>
      </c>
      <c r="E2841" s="7" t="s">
        <v>1165</v>
      </c>
      <c r="F2841" s="7">
        <v>1</v>
      </c>
      <c r="G2841" s="7" t="s">
        <v>15</v>
      </c>
      <c r="H2841" s="7" t="s">
        <v>311</v>
      </c>
      <c r="M2841" s="7" t="s">
        <v>917</v>
      </c>
      <c r="O2841" s="7" t="s">
        <v>908</v>
      </c>
      <c r="P2841" s="7">
        <f t="shared" si="229"/>
        <v>3</v>
      </c>
      <c r="Q2841" s="7">
        <f t="shared" si="230"/>
        <v>2026</v>
      </c>
    </row>
    <row r="2842" spans="1:17" x14ac:dyDescent="0.25">
      <c r="A2842" s="7">
        <v>2604</v>
      </c>
      <c r="B2842" s="9" t="s">
        <v>9</v>
      </c>
      <c r="C2842" s="9" t="s">
        <v>290</v>
      </c>
      <c r="D2842" s="8">
        <v>46092</v>
      </c>
      <c r="E2842" s="7" t="s">
        <v>1166</v>
      </c>
      <c r="F2842" s="7">
        <v>1</v>
      </c>
      <c r="G2842" s="7" t="s">
        <v>15</v>
      </c>
      <c r="H2842" s="7" t="s">
        <v>311</v>
      </c>
      <c r="M2842" s="7" t="s">
        <v>917</v>
      </c>
      <c r="O2842" s="7" t="s">
        <v>908</v>
      </c>
      <c r="P2842" s="7">
        <f t="shared" si="229"/>
        <v>3</v>
      </c>
      <c r="Q2842" s="7">
        <f t="shared" si="230"/>
        <v>2026</v>
      </c>
    </row>
    <row r="2843" spans="1:17" x14ac:dyDescent="0.25">
      <c r="A2843" s="7">
        <v>2604</v>
      </c>
      <c r="B2843" s="9" t="s">
        <v>9</v>
      </c>
      <c r="C2843" s="9" t="s">
        <v>290</v>
      </c>
      <c r="D2843" s="8">
        <v>46092</v>
      </c>
      <c r="E2843" s="7" t="s">
        <v>1167</v>
      </c>
      <c r="F2843" s="7">
        <v>1</v>
      </c>
      <c r="G2843" s="7" t="s">
        <v>15</v>
      </c>
      <c r="H2843" s="7" t="s">
        <v>311</v>
      </c>
      <c r="M2843" s="7" t="s">
        <v>917</v>
      </c>
      <c r="O2843" s="7" t="s">
        <v>908</v>
      </c>
      <c r="P2843" s="7">
        <f t="shared" si="229"/>
        <v>3</v>
      </c>
      <c r="Q2843" s="7">
        <f t="shared" si="230"/>
        <v>2026</v>
      </c>
    </row>
    <row r="2844" spans="1:17" x14ac:dyDescent="0.25">
      <c r="A2844" s="7">
        <v>2604</v>
      </c>
      <c r="B2844" s="9" t="s">
        <v>9</v>
      </c>
      <c r="C2844" s="9" t="s">
        <v>290</v>
      </c>
      <c r="D2844" s="8">
        <v>46092</v>
      </c>
      <c r="E2844" s="7" t="s">
        <v>1168</v>
      </c>
      <c r="F2844" s="7">
        <v>1</v>
      </c>
      <c r="G2844" s="7" t="s">
        <v>15</v>
      </c>
      <c r="H2844" s="7" t="s">
        <v>311</v>
      </c>
      <c r="M2844" s="7" t="s">
        <v>917</v>
      </c>
      <c r="O2844" s="7" t="s">
        <v>908</v>
      </c>
      <c r="P2844" s="7">
        <f t="shared" si="229"/>
        <v>3</v>
      </c>
      <c r="Q2844" s="7">
        <f t="shared" si="230"/>
        <v>2026</v>
      </c>
    </row>
    <row r="2845" spans="1:17" x14ac:dyDescent="0.25">
      <c r="A2845" s="7">
        <v>2604</v>
      </c>
      <c r="B2845" s="9" t="s">
        <v>9</v>
      </c>
      <c r="C2845" s="9" t="s">
        <v>290</v>
      </c>
      <c r="D2845" s="8">
        <v>46092</v>
      </c>
      <c r="E2845" s="7" t="s">
        <v>1169</v>
      </c>
      <c r="F2845" s="7">
        <v>1</v>
      </c>
      <c r="G2845" s="7" t="s">
        <v>15</v>
      </c>
      <c r="H2845" s="7" t="s">
        <v>311</v>
      </c>
      <c r="M2845" s="7" t="s">
        <v>917</v>
      </c>
      <c r="O2845" s="7" t="s">
        <v>908</v>
      </c>
      <c r="P2845" s="7">
        <f t="shared" si="229"/>
        <v>3</v>
      </c>
      <c r="Q2845" s="7">
        <f t="shared" si="230"/>
        <v>2026</v>
      </c>
    </row>
    <row r="2846" spans="1:17" x14ac:dyDescent="0.25">
      <c r="A2846" s="7">
        <v>2604</v>
      </c>
      <c r="B2846" s="9" t="s">
        <v>9</v>
      </c>
      <c r="C2846" s="9" t="s">
        <v>290</v>
      </c>
      <c r="D2846" s="8">
        <v>46092</v>
      </c>
      <c r="E2846" s="7" t="s">
        <v>1170</v>
      </c>
      <c r="F2846" s="7">
        <v>1</v>
      </c>
      <c r="G2846" s="7" t="s">
        <v>15</v>
      </c>
      <c r="H2846" s="7" t="s">
        <v>311</v>
      </c>
      <c r="M2846" s="7" t="s">
        <v>917</v>
      </c>
      <c r="O2846" s="7" t="s">
        <v>908</v>
      </c>
      <c r="P2846" s="7">
        <f t="shared" si="229"/>
        <v>3</v>
      </c>
      <c r="Q2846" s="7">
        <f t="shared" si="230"/>
        <v>2026</v>
      </c>
    </row>
    <row r="2847" spans="1:17" x14ac:dyDescent="0.25">
      <c r="A2847" s="7">
        <v>2604</v>
      </c>
      <c r="B2847" s="9" t="s">
        <v>9</v>
      </c>
      <c r="C2847" s="9" t="s">
        <v>290</v>
      </c>
      <c r="D2847" s="8">
        <v>46092</v>
      </c>
      <c r="E2847" s="7" t="s">
        <v>1171</v>
      </c>
      <c r="F2847" s="7">
        <v>1</v>
      </c>
      <c r="G2847" s="7" t="s">
        <v>15</v>
      </c>
      <c r="H2847" s="7" t="s">
        <v>311</v>
      </c>
      <c r="M2847" s="7" t="s">
        <v>917</v>
      </c>
      <c r="O2847" s="7" t="s">
        <v>908</v>
      </c>
      <c r="P2847" s="7">
        <f t="shared" si="229"/>
        <v>3</v>
      </c>
      <c r="Q2847" s="7">
        <f t="shared" si="230"/>
        <v>2026</v>
      </c>
    </row>
    <row r="2848" spans="1:17" x14ac:dyDescent="0.25">
      <c r="A2848" s="7">
        <v>2604</v>
      </c>
      <c r="B2848" s="9" t="s">
        <v>9</v>
      </c>
      <c r="C2848" s="9" t="s">
        <v>290</v>
      </c>
      <c r="D2848" s="8">
        <v>46092</v>
      </c>
      <c r="E2848" s="7" t="s">
        <v>1172</v>
      </c>
      <c r="F2848" s="7">
        <v>1</v>
      </c>
      <c r="G2848" s="7" t="s">
        <v>15</v>
      </c>
      <c r="H2848" s="7" t="s">
        <v>311</v>
      </c>
      <c r="M2848" s="7" t="s">
        <v>917</v>
      </c>
      <c r="O2848" s="7" t="s">
        <v>908</v>
      </c>
      <c r="P2848" s="7">
        <f t="shared" si="229"/>
        <v>3</v>
      </c>
      <c r="Q2848" s="7">
        <f t="shared" si="230"/>
        <v>2026</v>
      </c>
    </row>
    <row r="2849" spans="1:17" x14ac:dyDescent="0.25">
      <c r="A2849" s="7">
        <v>2604</v>
      </c>
      <c r="B2849" s="9" t="s">
        <v>9</v>
      </c>
      <c r="C2849" s="9" t="s">
        <v>290</v>
      </c>
      <c r="D2849" s="8">
        <v>46092</v>
      </c>
      <c r="E2849" s="7" t="s">
        <v>1173</v>
      </c>
      <c r="F2849" s="7">
        <v>1</v>
      </c>
      <c r="G2849" s="7" t="s">
        <v>15</v>
      </c>
      <c r="H2849" s="7" t="s">
        <v>311</v>
      </c>
      <c r="M2849" s="7" t="s">
        <v>917</v>
      </c>
      <c r="O2849" s="7" t="s">
        <v>908</v>
      </c>
      <c r="P2849" s="7">
        <f t="shared" si="229"/>
        <v>3</v>
      </c>
      <c r="Q2849" s="7">
        <f t="shared" si="230"/>
        <v>2026</v>
      </c>
    </row>
    <row r="2850" spans="1:17" x14ac:dyDescent="0.25">
      <c r="A2850" s="7">
        <v>2604</v>
      </c>
      <c r="B2850" s="9" t="s">
        <v>9</v>
      </c>
      <c r="C2850" s="9" t="s">
        <v>290</v>
      </c>
      <c r="D2850" s="8">
        <v>46092</v>
      </c>
      <c r="E2850" s="7" t="s">
        <v>1174</v>
      </c>
      <c r="F2850" s="7">
        <v>1</v>
      </c>
      <c r="G2850" s="7" t="s">
        <v>15</v>
      </c>
      <c r="H2850" s="7" t="s">
        <v>311</v>
      </c>
      <c r="M2850" s="7" t="s">
        <v>917</v>
      </c>
      <c r="O2850" s="7" t="s">
        <v>908</v>
      </c>
      <c r="P2850" s="7">
        <f t="shared" si="229"/>
        <v>3</v>
      </c>
      <c r="Q2850" s="7">
        <f t="shared" si="230"/>
        <v>2026</v>
      </c>
    </row>
    <row r="2851" spans="1:17" x14ac:dyDescent="0.25">
      <c r="A2851" s="7">
        <v>2604</v>
      </c>
      <c r="B2851" s="9" t="s">
        <v>9</v>
      </c>
      <c r="C2851" s="9" t="s">
        <v>290</v>
      </c>
      <c r="D2851" s="8">
        <v>46092</v>
      </c>
      <c r="E2851" s="7" t="s">
        <v>1175</v>
      </c>
      <c r="F2851" s="7">
        <v>1</v>
      </c>
      <c r="G2851" s="7" t="s">
        <v>15</v>
      </c>
      <c r="H2851" s="7" t="s">
        <v>311</v>
      </c>
      <c r="M2851" s="7" t="s">
        <v>917</v>
      </c>
      <c r="O2851" s="7" t="s">
        <v>908</v>
      </c>
      <c r="P2851" s="7">
        <f t="shared" si="229"/>
        <v>3</v>
      </c>
      <c r="Q2851" s="7">
        <f t="shared" si="230"/>
        <v>2026</v>
      </c>
    </row>
    <row r="2852" spans="1:17" x14ac:dyDescent="0.25">
      <c r="A2852" s="7">
        <v>2604</v>
      </c>
      <c r="B2852" s="9" t="s">
        <v>9</v>
      </c>
      <c r="C2852" s="9" t="s">
        <v>290</v>
      </c>
      <c r="D2852" s="8">
        <v>46092</v>
      </c>
      <c r="E2852" s="7" t="s">
        <v>1176</v>
      </c>
      <c r="F2852" s="7">
        <v>1</v>
      </c>
      <c r="G2852" s="7" t="s">
        <v>15</v>
      </c>
      <c r="H2852" s="7" t="s">
        <v>311</v>
      </c>
      <c r="M2852" s="7" t="s">
        <v>917</v>
      </c>
      <c r="O2852" s="7" t="s">
        <v>908</v>
      </c>
      <c r="P2852" s="7">
        <f t="shared" si="229"/>
        <v>3</v>
      </c>
      <c r="Q2852" s="7">
        <f t="shared" si="230"/>
        <v>2026</v>
      </c>
    </row>
    <row r="2853" spans="1:17" x14ac:dyDescent="0.25">
      <c r="A2853" s="7">
        <v>2604</v>
      </c>
      <c r="B2853" s="9" t="s">
        <v>9</v>
      </c>
      <c r="C2853" s="9" t="s">
        <v>290</v>
      </c>
      <c r="D2853" s="8">
        <v>46092</v>
      </c>
      <c r="E2853" s="7" t="s">
        <v>1177</v>
      </c>
      <c r="F2853" s="7">
        <v>1</v>
      </c>
      <c r="G2853" s="7" t="s">
        <v>15</v>
      </c>
      <c r="H2853" s="7" t="s">
        <v>311</v>
      </c>
      <c r="M2853" s="7" t="s">
        <v>917</v>
      </c>
      <c r="O2853" s="7" t="s">
        <v>908</v>
      </c>
      <c r="P2853" s="7">
        <f t="shared" si="229"/>
        <v>3</v>
      </c>
      <c r="Q2853" s="7">
        <f t="shared" si="230"/>
        <v>2026</v>
      </c>
    </row>
    <row r="2854" spans="1:17" x14ac:dyDescent="0.25">
      <c r="A2854" s="7">
        <v>2604</v>
      </c>
      <c r="B2854" s="9" t="s">
        <v>9</v>
      </c>
      <c r="C2854" s="9" t="s">
        <v>290</v>
      </c>
      <c r="D2854" s="8">
        <v>46092</v>
      </c>
      <c r="E2854" s="7" t="s">
        <v>1178</v>
      </c>
      <c r="F2854" s="7">
        <v>1</v>
      </c>
      <c r="G2854" s="7" t="s">
        <v>15</v>
      </c>
      <c r="H2854" s="7" t="s">
        <v>311</v>
      </c>
      <c r="M2854" s="7" t="s">
        <v>917</v>
      </c>
      <c r="O2854" s="7" t="s">
        <v>908</v>
      </c>
      <c r="P2854" s="7">
        <f t="shared" si="229"/>
        <v>3</v>
      </c>
      <c r="Q2854" s="7">
        <f t="shared" si="230"/>
        <v>2026</v>
      </c>
    </row>
    <row r="2855" spans="1:17" x14ac:dyDescent="0.25">
      <c r="A2855" s="7">
        <v>2605</v>
      </c>
      <c r="B2855" s="9" t="s">
        <v>891</v>
      </c>
      <c r="C2855" s="9" t="s">
        <v>890</v>
      </c>
      <c r="D2855" s="8">
        <v>46098</v>
      </c>
      <c r="E2855" s="7" t="s">
        <v>1154</v>
      </c>
      <c r="F2855" s="7">
        <v>1</v>
      </c>
      <c r="G2855" s="7" t="s">
        <v>14</v>
      </c>
      <c r="H2855" s="7" t="s">
        <v>314</v>
      </c>
      <c r="M2855" s="16" t="s">
        <v>497</v>
      </c>
      <c r="O2855" s="7" t="s">
        <v>680</v>
      </c>
      <c r="P2855" s="7">
        <f t="shared" si="229"/>
        <v>3</v>
      </c>
      <c r="Q2855" s="7">
        <f t="shared" si="230"/>
        <v>2026</v>
      </c>
    </row>
    <row r="2856" spans="1:17" x14ac:dyDescent="0.25">
      <c r="A2856" s="7"/>
    </row>
    <row r="2857" spans="1:17" x14ac:dyDescent="0.25">
      <c r="A2857" s="7"/>
    </row>
    <row r="2858" spans="1:17" x14ac:dyDescent="0.25">
      <c r="A2858" s="7"/>
    </row>
    <row r="2859" spans="1:17" x14ac:dyDescent="0.25">
      <c r="A2859" s="7"/>
    </row>
    <row r="2860" spans="1:17" x14ac:dyDescent="0.25">
      <c r="A2860" s="7"/>
    </row>
    <row r="2861" spans="1:17" x14ac:dyDescent="0.25">
      <c r="A2861" s="7"/>
    </row>
    <row r="2862" spans="1:17" x14ac:dyDescent="0.25">
      <c r="A2862" s="7"/>
    </row>
    <row r="2863" spans="1:17" x14ac:dyDescent="0.25">
      <c r="A2863" s="7"/>
    </row>
    <row r="2864" spans="1:17" x14ac:dyDescent="0.25">
      <c r="A2864" s="7"/>
    </row>
    <row r="2865" spans="1:1" x14ac:dyDescent="0.25">
      <c r="A2865" s="7"/>
    </row>
    <row r="2866" spans="1:1" x14ac:dyDescent="0.25">
      <c r="A2866" s="7"/>
    </row>
    <row r="2867" spans="1:1" x14ac:dyDescent="0.25">
      <c r="A2867" s="7"/>
    </row>
    <row r="2868" spans="1:1" x14ac:dyDescent="0.25">
      <c r="A2868" s="7"/>
    </row>
    <row r="2869" spans="1:1" x14ac:dyDescent="0.25">
      <c r="A2869" s="7"/>
    </row>
    <row r="2870" spans="1:1" x14ac:dyDescent="0.25">
      <c r="A2870" s="7"/>
    </row>
    <row r="2871" spans="1:1" x14ac:dyDescent="0.25">
      <c r="A2871" s="7"/>
    </row>
    <row r="2872" spans="1:1" x14ac:dyDescent="0.25">
      <c r="A2872" s="7"/>
    </row>
    <row r="2873" spans="1:1" x14ac:dyDescent="0.25">
      <c r="A2873" s="7"/>
    </row>
    <row r="2874" spans="1:1" x14ac:dyDescent="0.25">
      <c r="A2874" s="7"/>
    </row>
    <row r="2875" spans="1:1" x14ac:dyDescent="0.25">
      <c r="A2875" s="7"/>
    </row>
    <row r="2876" spans="1:1" x14ac:dyDescent="0.25">
      <c r="A2876" s="7"/>
    </row>
    <row r="2877" spans="1:1" x14ac:dyDescent="0.25">
      <c r="A2877" s="7"/>
    </row>
    <row r="2878" spans="1:1" x14ac:dyDescent="0.25">
      <c r="A2878" s="7"/>
    </row>
    <row r="2879" spans="1:1" x14ac:dyDescent="0.25">
      <c r="A2879" s="7"/>
    </row>
    <row r="2880" spans="1:1" x14ac:dyDescent="0.25">
      <c r="A2880" s="7"/>
    </row>
    <row r="2881" spans="1:1" x14ac:dyDescent="0.25">
      <c r="A2881" s="7"/>
    </row>
    <row r="2882" spans="1:1" x14ac:dyDescent="0.25">
      <c r="A2882" s="7"/>
    </row>
    <row r="2883" spans="1:1" x14ac:dyDescent="0.25">
      <c r="A2883" s="7"/>
    </row>
    <row r="2884" spans="1:1" x14ac:dyDescent="0.25">
      <c r="A2884" s="7"/>
    </row>
    <row r="2885" spans="1:1" x14ac:dyDescent="0.25">
      <c r="A2885" s="7"/>
    </row>
    <row r="2886" spans="1:1" x14ac:dyDescent="0.25">
      <c r="A2886" s="7"/>
    </row>
    <row r="2887" spans="1:1" x14ac:dyDescent="0.25">
      <c r="A2887" s="7"/>
    </row>
    <row r="2888" spans="1:1" x14ac:dyDescent="0.25">
      <c r="A2888" s="7"/>
    </row>
    <row r="2889" spans="1:1" x14ac:dyDescent="0.25">
      <c r="A2889" s="7"/>
    </row>
    <row r="2890" spans="1:1" x14ac:dyDescent="0.25">
      <c r="A2890" s="7"/>
    </row>
    <row r="2891" spans="1:1" x14ac:dyDescent="0.25">
      <c r="A2891" s="7"/>
    </row>
    <row r="2892" spans="1:1" x14ac:dyDescent="0.25">
      <c r="A2892" s="7"/>
    </row>
    <row r="2893" spans="1:1" x14ac:dyDescent="0.25">
      <c r="A2893" s="7"/>
    </row>
    <row r="2894" spans="1:1" x14ac:dyDescent="0.25">
      <c r="A2894" s="7"/>
    </row>
    <row r="2895" spans="1:1" x14ac:dyDescent="0.25">
      <c r="A2895" s="7"/>
    </row>
    <row r="2896" spans="1:1" x14ac:dyDescent="0.25">
      <c r="A2896" s="7"/>
    </row>
    <row r="2897" spans="1:1" x14ac:dyDescent="0.25">
      <c r="A2897" s="7"/>
    </row>
    <row r="2898" spans="1:1" x14ac:dyDescent="0.25">
      <c r="A2898" s="7"/>
    </row>
    <row r="2899" spans="1:1" x14ac:dyDescent="0.25">
      <c r="A2899" s="7"/>
    </row>
    <row r="2900" spans="1:1" x14ac:dyDescent="0.25">
      <c r="A2900" s="7"/>
    </row>
    <row r="2901" spans="1:1" x14ac:dyDescent="0.25">
      <c r="A2901" s="7"/>
    </row>
    <row r="2902" spans="1:1" x14ac:dyDescent="0.25">
      <c r="A2902" s="7"/>
    </row>
    <row r="2903" spans="1:1" x14ac:dyDescent="0.25">
      <c r="A2903" s="7"/>
    </row>
    <row r="2904" spans="1:1" x14ac:dyDescent="0.25">
      <c r="A2904" s="7"/>
    </row>
    <row r="2905" spans="1:1" x14ac:dyDescent="0.25">
      <c r="A2905" s="7"/>
    </row>
    <row r="2906" spans="1:1" x14ac:dyDescent="0.25">
      <c r="A2906" s="7"/>
    </row>
    <row r="2907" spans="1:1" x14ac:dyDescent="0.25">
      <c r="A2907" s="7"/>
    </row>
    <row r="2908" spans="1:1" x14ac:dyDescent="0.25">
      <c r="A2908" s="7"/>
    </row>
    <row r="2909" spans="1:1" x14ac:dyDescent="0.25">
      <c r="A2909" s="7"/>
    </row>
    <row r="2910" spans="1:1" x14ac:dyDescent="0.25">
      <c r="A2910" s="7"/>
    </row>
    <row r="2911" spans="1:1" x14ac:dyDescent="0.25">
      <c r="A2911" s="7"/>
    </row>
    <row r="2912" spans="1:1" x14ac:dyDescent="0.25">
      <c r="A2912" s="7"/>
    </row>
    <row r="2913" spans="1:1" x14ac:dyDescent="0.25">
      <c r="A2913" s="7"/>
    </row>
    <row r="2914" spans="1:1" x14ac:dyDescent="0.25">
      <c r="A2914" s="7"/>
    </row>
    <row r="2915" spans="1:1" x14ac:dyDescent="0.25">
      <c r="A2915" s="7"/>
    </row>
    <row r="2916" spans="1:1" x14ac:dyDescent="0.25">
      <c r="A2916" s="7"/>
    </row>
    <row r="2917" spans="1:1" x14ac:dyDescent="0.25">
      <c r="A2917" s="7"/>
    </row>
    <row r="2918" spans="1:1" x14ac:dyDescent="0.25">
      <c r="A2918" s="7"/>
    </row>
    <row r="2919" spans="1:1" x14ac:dyDescent="0.25">
      <c r="A2919" s="7"/>
    </row>
    <row r="2920" spans="1:1" x14ac:dyDescent="0.25">
      <c r="A2920" s="7"/>
    </row>
    <row r="2921" spans="1:1" x14ac:dyDescent="0.25">
      <c r="A2921" s="7"/>
    </row>
    <row r="2922" spans="1:1" x14ac:dyDescent="0.25">
      <c r="A2922" s="7"/>
    </row>
    <row r="2923" spans="1:1" x14ac:dyDescent="0.25">
      <c r="A2923" s="7"/>
    </row>
    <row r="2924" spans="1:1" x14ac:dyDescent="0.25">
      <c r="A2924" s="7"/>
    </row>
    <row r="2925" spans="1:1" x14ac:dyDescent="0.25">
      <c r="A2925" s="7"/>
    </row>
    <row r="2926" spans="1:1" x14ac:dyDescent="0.25">
      <c r="A2926" s="7"/>
    </row>
    <row r="2927" spans="1:1" x14ac:dyDescent="0.25">
      <c r="A2927" s="7"/>
    </row>
    <row r="2928" spans="1:1" x14ac:dyDescent="0.25">
      <c r="A2928" s="7"/>
    </row>
    <row r="2929" spans="1:1" x14ac:dyDescent="0.25">
      <c r="A2929" s="7"/>
    </row>
    <row r="2930" spans="1:1" x14ac:dyDescent="0.25">
      <c r="A2930" s="7"/>
    </row>
    <row r="2931" spans="1:1" x14ac:dyDescent="0.25">
      <c r="A2931" s="7"/>
    </row>
    <row r="2932" spans="1:1" x14ac:dyDescent="0.25">
      <c r="A2932" s="7"/>
    </row>
    <row r="2933" spans="1:1" x14ac:dyDescent="0.25">
      <c r="A2933" s="7"/>
    </row>
    <row r="2934" spans="1:1" x14ac:dyDescent="0.25">
      <c r="A2934" s="7"/>
    </row>
    <row r="2935" spans="1:1" x14ac:dyDescent="0.25">
      <c r="A2935" s="7"/>
    </row>
    <row r="2936" spans="1:1" x14ac:dyDescent="0.25">
      <c r="A2936" s="7"/>
    </row>
    <row r="2937" spans="1:1" x14ac:dyDescent="0.25">
      <c r="A2937" s="7"/>
    </row>
    <row r="2938" spans="1:1" x14ac:dyDescent="0.25">
      <c r="A2938" s="7"/>
    </row>
    <row r="2939" spans="1:1" x14ac:dyDescent="0.25">
      <c r="A2939" s="7"/>
    </row>
    <row r="2940" spans="1:1" x14ac:dyDescent="0.25">
      <c r="A2940" s="7"/>
    </row>
    <row r="2941" spans="1:1" x14ac:dyDescent="0.25">
      <c r="A2941" s="7"/>
    </row>
    <row r="2942" spans="1:1" x14ac:dyDescent="0.25">
      <c r="A2942" s="7"/>
    </row>
    <row r="2943" spans="1:1" x14ac:dyDescent="0.25">
      <c r="A2943" s="7"/>
    </row>
    <row r="2944" spans="1:1" x14ac:dyDescent="0.25">
      <c r="A2944" s="7"/>
    </row>
    <row r="2945" spans="1:1" x14ac:dyDescent="0.25">
      <c r="A2945" s="7"/>
    </row>
    <row r="2946" spans="1:1" x14ac:dyDescent="0.25">
      <c r="A2946" s="7"/>
    </row>
    <row r="2947" spans="1:1" x14ac:dyDescent="0.25">
      <c r="A2947" s="7"/>
    </row>
    <row r="2948" spans="1:1" x14ac:dyDescent="0.25">
      <c r="A2948" s="7"/>
    </row>
    <row r="2949" spans="1:1" x14ac:dyDescent="0.25">
      <c r="A2949" s="7"/>
    </row>
    <row r="2950" spans="1:1" x14ac:dyDescent="0.25">
      <c r="A2950" s="7"/>
    </row>
    <row r="2951" spans="1:1" x14ac:dyDescent="0.25">
      <c r="A2951" s="7"/>
    </row>
    <row r="2952" spans="1:1" x14ac:dyDescent="0.25">
      <c r="A2952" s="7"/>
    </row>
    <row r="2953" spans="1:1" x14ac:dyDescent="0.25">
      <c r="A2953" s="7"/>
    </row>
    <row r="2954" spans="1:1" x14ac:dyDescent="0.25">
      <c r="A2954" s="7"/>
    </row>
    <row r="2955" spans="1:1" x14ac:dyDescent="0.25">
      <c r="A2955" s="7"/>
    </row>
    <row r="2956" spans="1:1" x14ac:dyDescent="0.25">
      <c r="A2956" s="7"/>
    </row>
    <row r="2957" spans="1:1" x14ac:dyDescent="0.25">
      <c r="A2957" s="7"/>
    </row>
    <row r="2958" spans="1:1" x14ac:dyDescent="0.25">
      <c r="A2958" s="7"/>
    </row>
    <row r="2959" spans="1:1" x14ac:dyDescent="0.25">
      <c r="A2959" s="7"/>
    </row>
    <row r="2960" spans="1:1" x14ac:dyDescent="0.25">
      <c r="A2960" s="7"/>
    </row>
    <row r="2961" spans="1:1" x14ac:dyDescent="0.25">
      <c r="A2961" s="7"/>
    </row>
    <row r="2962" spans="1:1" x14ac:dyDescent="0.25">
      <c r="A2962" s="7"/>
    </row>
    <row r="2963" spans="1:1" x14ac:dyDescent="0.25">
      <c r="A2963" s="7"/>
    </row>
    <row r="2964" spans="1:1" x14ac:dyDescent="0.25">
      <c r="A2964" s="7"/>
    </row>
    <row r="2965" spans="1:1" x14ac:dyDescent="0.25">
      <c r="A2965" s="7"/>
    </row>
    <row r="2966" spans="1:1" x14ac:dyDescent="0.25">
      <c r="A2966" s="7"/>
    </row>
    <row r="2967" spans="1:1" x14ac:dyDescent="0.25">
      <c r="A2967" s="7"/>
    </row>
    <row r="2968" spans="1:1" x14ac:dyDescent="0.25">
      <c r="A2968" s="7"/>
    </row>
    <row r="2969" spans="1:1" x14ac:dyDescent="0.25">
      <c r="A2969" s="7"/>
    </row>
    <row r="2970" spans="1:1" x14ac:dyDescent="0.25">
      <c r="A2970" s="7"/>
    </row>
    <row r="2971" spans="1:1" x14ac:dyDescent="0.25">
      <c r="A2971" s="7"/>
    </row>
    <row r="2972" spans="1:1" x14ac:dyDescent="0.25">
      <c r="A2972" s="7"/>
    </row>
    <row r="2973" spans="1:1" x14ac:dyDescent="0.25">
      <c r="A2973" s="7"/>
    </row>
    <row r="2974" spans="1:1" x14ac:dyDescent="0.25">
      <c r="A2974" s="7"/>
    </row>
    <row r="2975" spans="1:1" x14ac:dyDescent="0.25">
      <c r="A2975" s="7"/>
    </row>
    <row r="2976" spans="1:1" x14ac:dyDescent="0.25">
      <c r="A2976" s="7"/>
    </row>
    <row r="2977" spans="1:1" x14ac:dyDescent="0.25">
      <c r="A2977" s="7"/>
    </row>
    <row r="2978" spans="1:1" x14ac:dyDescent="0.25">
      <c r="A2978" s="7"/>
    </row>
    <row r="2979" spans="1:1" x14ac:dyDescent="0.25">
      <c r="A2979" s="7"/>
    </row>
    <row r="2980" spans="1:1" x14ac:dyDescent="0.25">
      <c r="A2980" s="7"/>
    </row>
    <row r="2981" spans="1:1" x14ac:dyDescent="0.25">
      <c r="A2981" s="7"/>
    </row>
    <row r="2982" spans="1:1" x14ac:dyDescent="0.25">
      <c r="A2982" s="7"/>
    </row>
    <row r="2983" spans="1:1" x14ac:dyDescent="0.25">
      <c r="A2983" s="7"/>
    </row>
    <row r="2984" spans="1:1" x14ac:dyDescent="0.25">
      <c r="A2984" s="7"/>
    </row>
    <row r="2985" spans="1:1" x14ac:dyDescent="0.25">
      <c r="A2985" s="7"/>
    </row>
    <row r="2986" spans="1:1" x14ac:dyDescent="0.25">
      <c r="A2986" s="7"/>
    </row>
    <row r="2987" spans="1:1" x14ac:dyDescent="0.25">
      <c r="A2987" s="7"/>
    </row>
    <row r="2988" spans="1:1" x14ac:dyDescent="0.25">
      <c r="A2988" s="7"/>
    </row>
    <row r="2989" spans="1:1" x14ac:dyDescent="0.25">
      <c r="A2989" s="7"/>
    </row>
    <row r="2990" spans="1:1" x14ac:dyDescent="0.25">
      <c r="A2990" s="7"/>
    </row>
    <row r="2991" spans="1:1" x14ac:dyDescent="0.25">
      <c r="A2991" s="7"/>
    </row>
    <row r="2992" spans="1:1" x14ac:dyDescent="0.25">
      <c r="A2992" s="7"/>
    </row>
    <row r="2993" spans="1:1" x14ac:dyDescent="0.25">
      <c r="A2993" s="7"/>
    </row>
    <row r="2994" spans="1:1" x14ac:dyDescent="0.25">
      <c r="A2994" s="7"/>
    </row>
    <row r="2995" spans="1:1" x14ac:dyDescent="0.25">
      <c r="A2995" s="7"/>
    </row>
    <row r="2996" spans="1:1" x14ac:dyDescent="0.25">
      <c r="A2996" s="7"/>
    </row>
    <row r="2997" spans="1:1" x14ac:dyDescent="0.25">
      <c r="A2997" s="7"/>
    </row>
    <row r="2998" spans="1:1" x14ac:dyDescent="0.25">
      <c r="A2998" s="7"/>
    </row>
    <row r="2999" spans="1:1" x14ac:dyDescent="0.25">
      <c r="A2999" s="7"/>
    </row>
    <row r="3000" spans="1:1" x14ac:dyDescent="0.25">
      <c r="A3000" s="7"/>
    </row>
    <row r="3001" spans="1:1" x14ac:dyDescent="0.25">
      <c r="A3001" s="7"/>
    </row>
    <row r="3002" spans="1:1" x14ac:dyDescent="0.25">
      <c r="A3002" s="7"/>
    </row>
    <row r="3003" spans="1:1" x14ac:dyDescent="0.25">
      <c r="A3003" s="7"/>
    </row>
    <row r="3004" spans="1:1" x14ac:dyDescent="0.25">
      <c r="A3004" s="7"/>
    </row>
    <row r="3005" spans="1:1" x14ac:dyDescent="0.25">
      <c r="A3005" s="7"/>
    </row>
    <row r="3006" spans="1:1" x14ac:dyDescent="0.25">
      <c r="A3006" s="7"/>
    </row>
    <row r="3007" spans="1:1" x14ac:dyDescent="0.25">
      <c r="A3007" s="7"/>
    </row>
    <row r="3008" spans="1:1" x14ac:dyDescent="0.25">
      <c r="A3008" s="7"/>
    </row>
    <row r="3009" spans="1:1" x14ac:dyDescent="0.25">
      <c r="A3009" s="7"/>
    </row>
    <row r="3010" spans="1:1" x14ac:dyDescent="0.25">
      <c r="A3010" s="7"/>
    </row>
    <row r="3011" spans="1:1" x14ac:dyDescent="0.25">
      <c r="A3011" s="7"/>
    </row>
    <row r="3012" spans="1:1" x14ac:dyDescent="0.25">
      <c r="A3012" s="7"/>
    </row>
    <row r="3013" spans="1:1" x14ac:dyDescent="0.25">
      <c r="A3013" s="7"/>
    </row>
    <row r="3014" spans="1:1" x14ac:dyDescent="0.25">
      <c r="A3014" s="7"/>
    </row>
    <row r="3015" spans="1:1" x14ac:dyDescent="0.25">
      <c r="A3015" s="7"/>
    </row>
    <row r="3016" spans="1:1" x14ac:dyDescent="0.25">
      <c r="A3016" s="7"/>
    </row>
    <row r="3017" spans="1:1" x14ac:dyDescent="0.25">
      <c r="A3017" s="7"/>
    </row>
    <row r="3018" spans="1:1" x14ac:dyDescent="0.25">
      <c r="A3018" s="7"/>
    </row>
    <row r="3019" spans="1:1" x14ac:dyDescent="0.25">
      <c r="A3019" s="7"/>
    </row>
    <row r="3020" spans="1:1" x14ac:dyDescent="0.25">
      <c r="A3020" s="7"/>
    </row>
    <row r="3021" spans="1:1" x14ac:dyDescent="0.25">
      <c r="A3021" s="7"/>
    </row>
    <row r="3022" spans="1:1" x14ac:dyDescent="0.25">
      <c r="A3022" s="7"/>
    </row>
    <row r="3023" spans="1:1" x14ac:dyDescent="0.25">
      <c r="A3023" s="7"/>
    </row>
    <row r="3024" spans="1:1" x14ac:dyDescent="0.25">
      <c r="A3024" s="7"/>
    </row>
    <row r="3025" spans="1:1" x14ac:dyDescent="0.25">
      <c r="A3025" s="7"/>
    </row>
    <row r="3026" spans="1:1" x14ac:dyDescent="0.25">
      <c r="A3026" s="7"/>
    </row>
    <row r="3027" spans="1:1" x14ac:dyDescent="0.25">
      <c r="A3027" s="7"/>
    </row>
    <row r="3028" spans="1:1" x14ac:dyDescent="0.25">
      <c r="A3028" s="7"/>
    </row>
    <row r="3029" spans="1:1" x14ac:dyDescent="0.25">
      <c r="A3029" s="7"/>
    </row>
    <row r="3030" spans="1:1" x14ac:dyDescent="0.25">
      <c r="A3030" s="7"/>
    </row>
    <row r="3031" spans="1:1" x14ac:dyDescent="0.25">
      <c r="A3031" s="7"/>
    </row>
    <row r="3032" spans="1:1" x14ac:dyDescent="0.25">
      <c r="A3032" s="7"/>
    </row>
    <row r="3033" spans="1:1" x14ac:dyDescent="0.25">
      <c r="A3033" s="7"/>
    </row>
    <row r="3034" spans="1:1" x14ac:dyDescent="0.25">
      <c r="A3034" s="7"/>
    </row>
    <row r="3035" spans="1:1" x14ac:dyDescent="0.25">
      <c r="A3035" s="7"/>
    </row>
    <row r="3036" spans="1:1" x14ac:dyDescent="0.25">
      <c r="A3036" s="7"/>
    </row>
    <row r="3037" spans="1:1" x14ac:dyDescent="0.25">
      <c r="A3037" s="7"/>
    </row>
    <row r="3038" spans="1:1" x14ac:dyDescent="0.25">
      <c r="A3038" s="7"/>
    </row>
    <row r="3039" spans="1:1" x14ac:dyDescent="0.25">
      <c r="A3039" s="7"/>
    </row>
    <row r="3040" spans="1:1" x14ac:dyDescent="0.25">
      <c r="A3040" s="7"/>
    </row>
    <row r="3041" spans="1:1" x14ac:dyDescent="0.25">
      <c r="A3041" s="7"/>
    </row>
    <row r="3042" spans="1:1" x14ac:dyDescent="0.25">
      <c r="A3042" s="7"/>
    </row>
    <row r="3043" spans="1:1" x14ac:dyDescent="0.25">
      <c r="A3043" s="7"/>
    </row>
    <row r="3044" spans="1:1" x14ac:dyDescent="0.25">
      <c r="A3044" s="7"/>
    </row>
    <row r="3045" spans="1:1" x14ac:dyDescent="0.25">
      <c r="A3045" s="7"/>
    </row>
    <row r="3046" spans="1:1" x14ac:dyDescent="0.25">
      <c r="A3046" s="7"/>
    </row>
    <row r="3047" spans="1:1" x14ac:dyDescent="0.25">
      <c r="A3047" s="7"/>
    </row>
    <row r="3048" spans="1:1" x14ac:dyDescent="0.25">
      <c r="A3048" s="7"/>
    </row>
    <row r="3049" spans="1:1" x14ac:dyDescent="0.25">
      <c r="A3049" s="7"/>
    </row>
    <row r="3050" spans="1:1" x14ac:dyDescent="0.25">
      <c r="A3050" s="7"/>
    </row>
    <row r="3051" spans="1:1" x14ac:dyDescent="0.25">
      <c r="A3051" s="7"/>
    </row>
    <row r="3052" spans="1:1" x14ac:dyDescent="0.25">
      <c r="A3052" s="7"/>
    </row>
    <row r="3053" spans="1:1" x14ac:dyDescent="0.25">
      <c r="A3053" s="7"/>
    </row>
    <row r="3054" spans="1:1" x14ac:dyDescent="0.25">
      <c r="A3054" s="7"/>
    </row>
    <row r="3055" spans="1:1" x14ac:dyDescent="0.25">
      <c r="A3055" s="7"/>
    </row>
    <row r="3056" spans="1:1" x14ac:dyDescent="0.25">
      <c r="A3056" s="7"/>
    </row>
    <row r="3057" spans="1:1" x14ac:dyDescent="0.25">
      <c r="A3057" s="7"/>
    </row>
    <row r="3058" spans="1:1" x14ac:dyDescent="0.25">
      <c r="A3058" s="7"/>
    </row>
    <row r="3059" spans="1:1" x14ac:dyDescent="0.25">
      <c r="A3059" s="7"/>
    </row>
    <row r="3060" spans="1:1" x14ac:dyDescent="0.25">
      <c r="A3060" s="7"/>
    </row>
    <row r="3061" spans="1:1" x14ac:dyDescent="0.25">
      <c r="A3061" s="7"/>
    </row>
    <row r="3062" spans="1:1" x14ac:dyDescent="0.25">
      <c r="A3062" s="7"/>
    </row>
    <row r="3063" spans="1:1" x14ac:dyDescent="0.25">
      <c r="A3063" s="7"/>
    </row>
    <row r="3064" spans="1:1" x14ac:dyDescent="0.25">
      <c r="A3064" s="7"/>
    </row>
    <row r="3065" spans="1:1" x14ac:dyDescent="0.25">
      <c r="A3065" s="7"/>
    </row>
    <row r="3066" spans="1:1" x14ac:dyDescent="0.25">
      <c r="A3066" s="7"/>
    </row>
    <row r="3067" spans="1:1" x14ac:dyDescent="0.25">
      <c r="A3067" s="7"/>
    </row>
    <row r="3068" spans="1:1" x14ac:dyDescent="0.25">
      <c r="A3068" s="7"/>
    </row>
    <row r="3069" spans="1:1" x14ac:dyDescent="0.25">
      <c r="A3069" s="7"/>
    </row>
    <row r="3070" spans="1:1" x14ac:dyDescent="0.25">
      <c r="A3070" s="7"/>
    </row>
    <row r="3071" spans="1:1" x14ac:dyDescent="0.25">
      <c r="A3071" s="7"/>
    </row>
    <row r="3072" spans="1:1" x14ac:dyDescent="0.25">
      <c r="A3072" s="7"/>
    </row>
    <row r="3073" spans="1:1" x14ac:dyDescent="0.25">
      <c r="A3073" s="7"/>
    </row>
    <row r="3074" spans="1:1" x14ac:dyDescent="0.25">
      <c r="A3074" s="7"/>
    </row>
    <row r="3075" spans="1:1" x14ac:dyDescent="0.25">
      <c r="A3075" s="7"/>
    </row>
    <row r="3076" spans="1:1" x14ac:dyDescent="0.25">
      <c r="A3076" s="7"/>
    </row>
    <row r="3077" spans="1:1" x14ac:dyDescent="0.25">
      <c r="A3077" s="7"/>
    </row>
    <row r="3078" spans="1:1" x14ac:dyDescent="0.25">
      <c r="A3078" s="7"/>
    </row>
    <row r="3079" spans="1:1" x14ac:dyDescent="0.25">
      <c r="A3079" s="7"/>
    </row>
    <row r="3080" spans="1:1" x14ac:dyDescent="0.25">
      <c r="A3080" s="7"/>
    </row>
    <row r="3081" spans="1:1" x14ac:dyDescent="0.25">
      <c r="A3081" s="7"/>
    </row>
    <row r="3082" spans="1:1" x14ac:dyDescent="0.25">
      <c r="A3082" s="7"/>
    </row>
    <row r="3083" spans="1:1" x14ac:dyDescent="0.25">
      <c r="A3083" s="7"/>
    </row>
    <row r="3084" spans="1:1" x14ac:dyDescent="0.25">
      <c r="A3084" s="7"/>
    </row>
    <row r="3085" spans="1:1" x14ac:dyDescent="0.25">
      <c r="A3085" s="7"/>
    </row>
    <row r="3086" spans="1:1" x14ac:dyDescent="0.25">
      <c r="A3086" s="7"/>
    </row>
    <row r="3087" spans="1:1" x14ac:dyDescent="0.25">
      <c r="A3087" s="7"/>
    </row>
    <row r="3088" spans="1:1" x14ac:dyDescent="0.25">
      <c r="A3088" s="7"/>
    </row>
    <row r="3089" spans="1:1" x14ac:dyDescent="0.25">
      <c r="A3089" s="7"/>
    </row>
    <row r="3090" spans="1:1" x14ac:dyDescent="0.25">
      <c r="A3090" s="7"/>
    </row>
    <row r="3091" spans="1:1" x14ac:dyDescent="0.25">
      <c r="A3091" s="7"/>
    </row>
    <row r="3092" spans="1:1" x14ac:dyDescent="0.25">
      <c r="A3092" s="7"/>
    </row>
    <row r="3093" spans="1:1" x14ac:dyDescent="0.25">
      <c r="A3093" s="7"/>
    </row>
    <row r="3094" spans="1:1" x14ac:dyDescent="0.25">
      <c r="A3094" s="7"/>
    </row>
    <row r="3095" spans="1:1" x14ac:dyDescent="0.25">
      <c r="A3095" s="7"/>
    </row>
    <row r="3096" spans="1:1" x14ac:dyDescent="0.25">
      <c r="A3096" s="7"/>
    </row>
    <row r="3097" spans="1:1" x14ac:dyDescent="0.25">
      <c r="A3097" s="7"/>
    </row>
    <row r="3098" spans="1:1" x14ac:dyDescent="0.25">
      <c r="A3098" s="7"/>
    </row>
    <row r="3099" spans="1:1" x14ac:dyDescent="0.25">
      <c r="A3099" s="7"/>
    </row>
    <row r="3100" spans="1:1" x14ac:dyDescent="0.25">
      <c r="A3100" s="7"/>
    </row>
    <row r="3101" spans="1:1" x14ac:dyDescent="0.25">
      <c r="A3101" s="7"/>
    </row>
    <row r="3102" spans="1:1" x14ac:dyDescent="0.25">
      <c r="A3102" s="7"/>
    </row>
    <row r="3103" spans="1:1" x14ac:dyDescent="0.25">
      <c r="A3103" s="7"/>
    </row>
    <row r="3104" spans="1:1" x14ac:dyDescent="0.25">
      <c r="A3104" s="7"/>
    </row>
    <row r="3105" spans="1:1" x14ac:dyDescent="0.25">
      <c r="A3105" s="7"/>
    </row>
    <row r="3106" spans="1:1" x14ac:dyDescent="0.25">
      <c r="A3106" s="7"/>
    </row>
    <row r="3107" spans="1:1" x14ac:dyDescent="0.25">
      <c r="A3107" s="7"/>
    </row>
    <row r="3108" spans="1:1" x14ac:dyDescent="0.25">
      <c r="A3108" s="7"/>
    </row>
    <row r="3109" spans="1:1" x14ac:dyDescent="0.25">
      <c r="A3109" s="7"/>
    </row>
    <row r="3110" spans="1:1" x14ac:dyDescent="0.25">
      <c r="A3110" s="7"/>
    </row>
    <row r="3111" spans="1:1" x14ac:dyDescent="0.25">
      <c r="A3111" s="7"/>
    </row>
    <row r="3112" spans="1:1" x14ac:dyDescent="0.25">
      <c r="A3112" s="7"/>
    </row>
    <row r="3113" spans="1:1" x14ac:dyDescent="0.25">
      <c r="A3113" s="7"/>
    </row>
    <row r="3114" spans="1:1" x14ac:dyDescent="0.25">
      <c r="A3114" s="7"/>
    </row>
    <row r="3115" spans="1:1" x14ac:dyDescent="0.25">
      <c r="A3115" s="7"/>
    </row>
    <row r="3116" spans="1:1" x14ac:dyDescent="0.25">
      <c r="A3116" s="7"/>
    </row>
    <row r="3117" spans="1:1" x14ac:dyDescent="0.25">
      <c r="A3117" s="7"/>
    </row>
    <row r="3118" spans="1:1" x14ac:dyDescent="0.25">
      <c r="A3118" s="7"/>
    </row>
    <row r="3119" spans="1:1" x14ac:dyDescent="0.25">
      <c r="A3119" s="7"/>
    </row>
    <row r="3120" spans="1:1" x14ac:dyDescent="0.25">
      <c r="A3120" s="7"/>
    </row>
    <row r="3121" spans="1:1" x14ac:dyDescent="0.25">
      <c r="A3121" s="7"/>
    </row>
    <row r="3122" spans="1:1" x14ac:dyDescent="0.25">
      <c r="A3122" s="7"/>
    </row>
    <row r="3123" spans="1:1" x14ac:dyDescent="0.25">
      <c r="A3123" s="7"/>
    </row>
    <row r="3124" spans="1:1" x14ac:dyDescent="0.25">
      <c r="A3124" s="7"/>
    </row>
    <row r="3125" spans="1:1" x14ac:dyDescent="0.25">
      <c r="A3125" s="7"/>
    </row>
    <row r="3126" spans="1:1" x14ac:dyDescent="0.25">
      <c r="A3126" s="7"/>
    </row>
    <row r="3127" spans="1:1" x14ac:dyDescent="0.25">
      <c r="A3127" s="7"/>
    </row>
    <row r="3128" spans="1:1" x14ac:dyDescent="0.25">
      <c r="A3128" s="7"/>
    </row>
    <row r="3129" spans="1:1" x14ac:dyDescent="0.25">
      <c r="A3129" s="7"/>
    </row>
    <row r="3130" spans="1:1" x14ac:dyDescent="0.25">
      <c r="A3130" s="7"/>
    </row>
    <row r="3131" spans="1:1" x14ac:dyDescent="0.25">
      <c r="A3131" s="7"/>
    </row>
    <row r="3132" spans="1:1" x14ac:dyDescent="0.25">
      <c r="A3132" s="7"/>
    </row>
    <row r="3133" spans="1:1" x14ac:dyDescent="0.25">
      <c r="A3133" s="7"/>
    </row>
    <row r="3134" spans="1:1" x14ac:dyDescent="0.25">
      <c r="A3134" s="7"/>
    </row>
    <row r="3135" spans="1:1" x14ac:dyDescent="0.25">
      <c r="A3135" s="7"/>
    </row>
    <row r="3136" spans="1:1" x14ac:dyDescent="0.25">
      <c r="A3136" s="7"/>
    </row>
    <row r="3137" spans="1:1" x14ac:dyDescent="0.25">
      <c r="A3137" s="7"/>
    </row>
    <row r="3138" spans="1:1" x14ac:dyDescent="0.25">
      <c r="A3138" s="7"/>
    </row>
    <row r="3139" spans="1:1" x14ac:dyDescent="0.25">
      <c r="A3139" s="7"/>
    </row>
    <row r="3140" spans="1:1" x14ac:dyDescent="0.25">
      <c r="A3140" s="7"/>
    </row>
    <row r="3141" spans="1:1" x14ac:dyDescent="0.25">
      <c r="A3141" s="7"/>
    </row>
    <row r="3142" spans="1:1" x14ac:dyDescent="0.25">
      <c r="A3142" s="7"/>
    </row>
    <row r="3143" spans="1:1" x14ac:dyDescent="0.25">
      <c r="A3143" s="7"/>
    </row>
    <row r="3144" spans="1:1" x14ac:dyDescent="0.25">
      <c r="A3144" s="7"/>
    </row>
    <row r="3145" spans="1:1" x14ac:dyDescent="0.25">
      <c r="A3145" s="7"/>
    </row>
    <row r="3146" spans="1:1" x14ac:dyDescent="0.25">
      <c r="A3146" s="7"/>
    </row>
    <row r="3147" spans="1:1" x14ac:dyDescent="0.25">
      <c r="A3147" s="7"/>
    </row>
    <row r="3148" spans="1:1" x14ac:dyDescent="0.25">
      <c r="A3148" s="7"/>
    </row>
    <row r="3149" spans="1:1" x14ac:dyDescent="0.25">
      <c r="A3149" s="7"/>
    </row>
    <row r="3150" spans="1:1" x14ac:dyDescent="0.25">
      <c r="A3150" s="7"/>
    </row>
    <row r="3151" spans="1:1" x14ac:dyDescent="0.25">
      <c r="A3151" s="7"/>
    </row>
    <row r="3152" spans="1:1" x14ac:dyDescent="0.25">
      <c r="A3152" s="7"/>
    </row>
    <row r="3153" spans="1:1" x14ac:dyDescent="0.25">
      <c r="A3153" s="7"/>
    </row>
    <row r="3154" spans="1:1" x14ac:dyDescent="0.25">
      <c r="A3154" s="7"/>
    </row>
    <row r="3155" spans="1:1" x14ac:dyDescent="0.25">
      <c r="A3155" s="7"/>
    </row>
    <row r="3156" spans="1:1" x14ac:dyDescent="0.25">
      <c r="A3156" s="7"/>
    </row>
    <row r="3157" spans="1:1" x14ac:dyDescent="0.25">
      <c r="A3157" s="7"/>
    </row>
    <row r="3158" spans="1:1" x14ac:dyDescent="0.25">
      <c r="A3158" s="7"/>
    </row>
    <row r="3159" spans="1:1" x14ac:dyDescent="0.25">
      <c r="A3159" s="7"/>
    </row>
    <row r="3160" spans="1:1" x14ac:dyDescent="0.25">
      <c r="A3160" s="7"/>
    </row>
    <row r="3161" spans="1:1" x14ac:dyDescent="0.25">
      <c r="A3161" s="7"/>
    </row>
    <row r="3162" spans="1:1" x14ac:dyDescent="0.25">
      <c r="A3162" s="7"/>
    </row>
    <row r="3163" spans="1:1" x14ac:dyDescent="0.25">
      <c r="A3163" s="7"/>
    </row>
    <row r="3164" spans="1:1" x14ac:dyDescent="0.25">
      <c r="A3164" s="7"/>
    </row>
    <row r="3165" spans="1:1" x14ac:dyDescent="0.25">
      <c r="A3165" s="7"/>
    </row>
    <row r="3166" spans="1:1" x14ac:dyDescent="0.25">
      <c r="A3166" s="7"/>
    </row>
    <row r="3167" spans="1:1" x14ac:dyDescent="0.25">
      <c r="A3167" s="7"/>
    </row>
    <row r="3168" spans="1:1" x14ac:dyDescent="0.25">
      <c r="A3168" s="7"/>
    </row>
    <row r="3169" spans="1:1" x14ac:dyDescent="0.25">
      <c r="A3169" s="7"/>
    </row>
    <row r="3170" spans="1:1" x14ac:dyDescent="0.25">
      <c r="A3170" s="7"/>
    </row>
    <row r="3171" spans="1:1" x14ac:dyDescent="0.25">
      <c r="A3171" s="7"/>
    </row>
    <row r="3172" spans="1:1" x14ac:dyDescent="0.25">
      <c r="A3172" s="7"/>
    </row>
    <row r="3173" spans="1:1" x14ac:dyDescent="0.25">
      <c r="A3173" s="7"/>
    </row>
    <row r="3174" spans="1:1" x14ac:dyDescent="0.25">
      <c r="A3174" s="7"/>
    </row>
    <row r="3175" spans="1:1" x14ac:dyDescent="0.25">
      <c r="A3175" s="7"/>
    </row>
    <row r="3176" spans="1:1" x14ac:dyDescent="0.25">
      <c r="A3176" s="7"/>
    </row>
    <row r="3177" spans="1:1" x14ac:dyDescent="0.25">
      <c r="A3177" s="7"/>
    </row>
    <row r="3178" spans="1:1" x14ac:dyDescent="0.25">
      <c r="A3178" s="7"/>
    </row>
    <row r="3179" spans="1:1" x14ac:dyDescent="0.25">
      <c r="A3179" s="7"/>
    </row>
    <row r="3180" spans="1:1" x14ac:dyDescent="0.25">
      <c r="A3180" s="7"/>
    </row>
    <row r="3181" spans="1:1" x14ac:dyDescent="0.25">
      <c r="A3181" s="7"/>
    </row>
    <row r="3182" spans="1:1" x14ac:dyDescent="0.25">
      <c r="A3182" s="7"/>
    </row>
    <row r="3183" spans="1:1" x14ac:dyDescent="0.25">
      <c r="A3183" s="7"/>
    </row>
    <row r="3184" spans="1:1" x14ac:dyDescent="0.25">
      <c r="A3184" s="7"/>
    </row>
    <row r="3185" spans="1:1" x14ac:dyDescent="0.25">
      <c r="A3185" s="7"/>
    </row>
    <row r="3186" spans="1:1" x14ac:dyDescent="0.25">
      <c r="A3186" s="7"/>
    </row>
    <row r="3187" spans="1:1" x14ac:dyDescent="0.25">
      <c r="A3187" s="7"/>
    </row>
    <row r="3188" spans="1:1" x14ac:dyDescent="0.25">
      <c r="A3188" s="7"/>
    </row>
    <row r="3189" spans="1:1" x14ac:dyDescent="0.25">
      <c r="A3189" s="7"/>
    </row>
    <row r="3190" spans="1:1" x14ac:dyDescent="0.25">
      <c r="A3190" s="7"/>
    </row>
    <row r="3191" spans="1:1" x14ac:dyDescent="0.25">
      <c r="A3191" s="7"/>
    </row>
    <row r="3192" spans="1:1" x14ac:dyDescent="0.25">
      <c r="A3192" s="7"/>
    </row>
    <row r="3193" spans="1:1" x14ac:dyDescent="0.25">
      <c r="A3193" s="7"/>
    </row>
    <row r="3194" spans="1:1" x14ac:dyDescent="0.25">
      <c r="A3194" s="7"/>
    </row>
    <row r="3195" spans="1:1" x14ac:dyDescent="0.25">
      <c r="A3195" s="7"/>
    </row>
    <row r="3196" spans="1:1" x14ac:dyDescent="0.25">
      <c r="A3196" s="7"/>
    </row>
    <row r="3197" spans="1:1" x14ac:dyDescent="0.25">
      <c r="A3197" s="7"/>
    </row>
    <row r="3198" spans="1:1" x14ac:dyDescent="0.25">
      <c r="A3198" s="7"/>
    </row>
    <row r="3199" spans="1:1" x14ac:dyDescent="0.25">
      <c r="A3199" s="7"/>
    </row>
    <row r="3200" spans="1:1" x14ac:dyDescent="0.25">
      <c r="A3200" s="7"/>
    </row>
    <row r="3201" spans="1:1" x14ac:dyDescent="0.25">
      <c r="A3201" s="7"/>
    </row>
    <row r="3202" spans="1:1" x14ac:dyDescent="0.25">
      <c r="A3202" s="7"/>
    </row>
    <row r="3203" spans="1:1" x14ac:dyDescent="0.25">
      <c r="A3203" s="7"/>
    </row>
    <row r="3204" spans="1:1" x14ac:dyDescent="0.25">
      <c r="A3204" s="7"/>
    </row>
    <row r="3205" spans="1:1" x14ac:dyDescent="0.25">
      <c r="A3205" s="7"/>
    </row>
    <row r="3206" spans="1:1" x14ac:dyDescent="0.25">
      <c r="A3206" s="7"/>
    </row>
    <row r="3207" spans="1:1" x14ac:dyDescent="0.25">
      <c r="A3207" s="7"/>
    </row>
    <row r="3208" spans="1:1" x14ac:dyDescent="0.25">
      <c r="A3208" s="7"/>
    </row>
    <row r="3209" spans="1:1" x14ac:dyDescent="0.25">
      <c r="A3209" s="7"/>
    </row>
    <row r="3210" spans="1:1" x14ac:dyDescent="0.25">
      <c r="A3210" s="7"/>
    </row>
    <row r="3211" spans="1:1" x14ac:dyDescent="0.25">
      <c r="A3211" s="7"/>
    </row>
    <row r="3212" spans="1:1" x14ac:dyDescent="0.25">
      <c r="A3212" s="7"/>
    </row>
    <row r="3213" spans="1:1" x14ac:dyDescent="0.25">
      <c r="A3213" s="7"/>
    </row>
    <row r="3214" spans="1:1" x14ac:dyDescent="0.25">
      <c r="A3214" s="7"/>
    </row>
    <row r="3215" spans="1:1" x14ac:dyDescent="0.25">
      <c r="A3215" s="7"/>
    </row>
    <row r="3216" spans="1:1" x14ac:dyDescent="0.25">
      <c r="A3216" s="7"/>
    </row>
    <row r="3217" spans="1:1" x14ac:dyDescent="0.25">
      <c r="A3217" s="7"/>
    </row>
    <row r="3218" spans="1:1" x14ac:dyDescent="0.25">
      <c r="A3218" s="7"/>
    </row>
    <row r="3219" spans="1:1" x14ac:dyDescent="0.25">
      <c r="A3219" s="7"/>
    </row>
    <row r="3220" spans="1:1" x14ac:dyDescent="0.25">
      <c r="A3220" s="7"/>
    </row>
    <row r="3221" spans="1:1" x14ac:dyDescent="0.25">
      <c r="A3221" s="7"/>
    </row>
    <row r="3222" spans="1:1" x14ac:dyDescent="0.25">
      <c r="A3222" s="7"/>
    </row>
    <row r="3223" spans="1:1" x14ac:dyDescent="0.25">
      <c r="A3223" s="7"/>
    </row>
    <row r="3224" spans="1:1" x14ac:dyDescent="0.25">
      <c r="A3224" s="7"/>
    </row>
    <row r="3225" spans="1:1" x14ac:dyDescent="0.25">
      <c r="A3225" s="7"/>
    </row>
    <row r="3226" spans="1:1" x14ac:dyDescent="0.25">
      <c r="A3226" s="7"/>
    </row>
    <row r="3227" spans="1:1" x14ac:dyDescent="0.25">
      <c r="A3227" s="7"/>
    </row>
    <row r="3228" spans="1:1" x14ac:dyDescent="0.25">
      <c r="A3228" s="7"/>
    </row>
    <row r="3229" spans="1:1" x14ac:dyDescent="0.25">
      <c r="A3229" s="7"/>
    </row>
    <row r="3230" spans="1:1" x14ac:dyDescent="0.25">
      <c r="A3230" s="7"/>
    </row>
    <row r="3231" spans="1:1" x14ac:dyDescent="0.25">
      <c r="A3231" s="7"/>
    </row>
    <row r="3232" spans="1:1" x14ac:dyDescent="0.25">
      <c r="A3232" s="7"/>
    </row>
    <row r="3233" spans="1:1" x14ac:dyDescent="0.25">
      <c r="A3233" s="7"/>
    </row>
    <row r="3234" spans="1:1" x14ac:dyDescent="0.25">
      <c r="A3234" s="7"/>
    </row>
    <row r="3235" spans="1:1" x14ac:dyDescent="0.25">
      <c r="A3235" s="7"/>
    </row>
    <row r="3236" spans="1:1" x14ac:dyDescent="0.25">
      <c r="A3236" s="7"/>
    </row>
    <row r="3237" spans="1:1" x14ac:dyDescent="0.25">
      <c r="A3237" s="7"/>
    </row>
    <row r="3238" spans="1:1" x14ac:dyDescent="0.25">
      <c r="A3238" s="7"/>
    </row>
    <row r="3239" spans="1:1" x14ac:dyDescent="0.25">
      <c r="A3239" s="7"/>
    </row>
    <row r="3240" spans="1:1" x14ac:dyDescent="0.25">
      <c r="A3240" s="7"/>
    </row>
    <row r="3241" spans="1:1" x14ac:dyDescent="0.25">
      <c r="A3241" s="7"/>
    </row>
    <row r="3242" spans="1:1" x14ac:dyDescent="0.25">
      <c r="A3242" s="7"/>
    </row>
    <row r="3243" spans="1:1" x14ac:dyDescent="0.25">
      <c r="A3243" s="7"/>
    </row>
    <row r="3244" spans="1:1" x14ac:dyDescent="0.25">
      <c r="A3244" s="7"/>
    </row>
    <row r="3245" spans="1:1" x14ac:dyDescent="0.25">
      <c r="A3245" s="7"/>
    </row>
    <row r="3246" spans="1:1" x14ac:dyDescent="0.25">
      <c r="A3246" s="7"/>
    </row>
    <row r="3247" spans="1:1" x14ac:dyDescent="0.25">
      <c r="A3247" s="7"/>
    </row>
    <row r="3248" spans="1:1" x14ac:dyDescent="0.25">
      <c r="A3248" s="7"/>
    </row>
    <row r="3249" spans="1:1" x14ac:dyDescent="0.25">
      <c r="A3249" s="7"/>
    </row>
    <row r="3250" spans="1:1" x14ac:dyDescent="0.25">
      <c r="A3250" s="7"/>
    </row>
    <row r="3251" spans="1:1" x14ac:dyDescent="0.25">
      <c r="A3251" s="7"/>
    </row>
    <row r="3252" spans="1:1" x14ac:dyDescent="0.25">
      <c r="A3252" s="7"/>
    </row>
    <row r="3253" spans="1:1" x14ac:dyDescent="0.25">
      <c r="A3253" s="7"/>
    </row>
    <row r="3254" spans="1:1" x14ac:dyDescent="0.25">
      <c r="A3254" s="7"/>
    </row>
    <row r="3255" spans="1:1" x14ac:dyDescent="0.25">
      <c r="A3255" s="7"/>
    </row>
    <row r="3256" spans="1:1" x14ac:dyDescent="0.25">
      <c r="A3256" s="7"/>
    </row>
    <row r="3257" spans="1:1" x14ac:dyDescent="0.25">
      <c r="A3257" s="7"/>
    </row>
    <row r="3258" spans="1:1" x14ac:dyDescent="0.25">
      <c r="A3258" s="7"/>
    </row>
    <row r="3259" spans="1:1" x14ac:dyDescent="0.25">
      <c r="A3259" s="7"/>
    </row>
    <row r="3260" spans="1:1" x14ac:dyDescent="0.25">
      <c r="A3260" s="7"/>
    </row>
    <row r="3261" spans="1:1" x14ac:dyDescent="0.25">
      <c r="A3261" s="7"/>
    </row>
    <row r="3262" spans="1:1" x14ac:dyDescent="0.25">
      <c r="A3262" s="7"/>
    </row>
    <row r="3263" spans="1:1" x14ac:dyDescent="0.25">
      <c r="A3263" s="7"/>
    </row>
    <row r="3264" spans="1:1" x14ac:dyDescent="0.25">
      <c r="A3264" s="7"/>
    </row>
    <row r="3265" spans="1:1" x14ac:dyDescent="0.25">
      <c r="A3265" s="7"/>
    </row>
    <row r="3266" spans="1:1" x14ac:dyDescent="0.25">
      <c r="A3266" s="7"/>
    </row>
    <row r="3267" spans="1:1" x14ac:dyDescent="0.25">
      <c r="A3267" s="7"/>
    </row>
    <row r="3268" spans="1:1" x14ac:dyDescent="0.25">
      <c r="A3268" s="7"/>
    </row>
    <row r="3269" spans="1:1" x14ac:dyDescent="0.25">
      <c r="A3269" s="7"/>
    </row>
    <row r="3270" spans="1:1" x14ac:dyDescent="0.25">
      <c r="A3270" s="7"/>
    </row>
    <row r="3271" spans="1:1" x14ac:dyDescent="0.25">
      <c r="A3271" s="7"/>
    </row>
    <row r="3272" spans="1:1" x14ac:dyDescent="0.25">
      <c r="A3272" s="7"/>
    </row>
    <row r="3273" spans="1:1" x14ac:dyDescent="0.25">
      <c r="A3273" s="7"/>
    </row>
    <row r="3274" spans="1:1" x14ac:dyDescent="0.25">
      <c r="A3274" s="7"/>
    </row>
    <row r="3275" spans="1:1" x14ac:dyDescent="0.25">
      <c r="A3275" s="7"/>
    </row>
    <row r="3276" spans="1:1" x14ac:dyDescent="0.25">
      <c r="A3276" s="7"/>
    </row>
    <row r="3277" spans="1:1" x14ac:dyDescent="0.25">
      <c r="A3277" s="7"/>
    </row>
    <row r="3278" spans="1:1" x14ac:dyDescent="0.25">
      <c r="A3278" s="7"/>
    </row>
    <row r="3279" spans="1:1" x14ac:dyDescent="0.25">
      <c r="A3279" s="7"/>
    </row>
    <row r="3280" spans="1:1" x14ac:dyDescent="0.25">
      <c r="A3280" s="7"/>
    </row>
    <row r="3281" spans="1:1" x14ac:dyDescent="0.25">
      <c r="A3281" s="7"/>
    </row>
    <row r="3282" spans="1:1" x14ac:dyDescent="0.25">
      <c r="A3282" s="7"/>
    </row>
    <row r="3283" spans="1:1" x14ac:dyDescent="0.25">
      <c r="A3283" s="7"/>
    </row>
    <row r="3284" spans="1:1" x14ac:dyDescent="0.25">
      <c r="A3284" s="7"/>
    </row>
    <row r="3285" spans="1:1" x14ac:dyDescent="0.25">
      <c r="A3285" s="7"/>
    </row>
    <row r="3286" spans="1:1" x14ac:dyDescent="0.25">
      <c r="A3286" s="7"/>
    </row>
    <row r="3287" spans="1:1" x14ac:dyDescent="0.25">
      <c r="A3287" s="7"/>
    </row>
    <row r="3288" spans="1:1" x14ac:dyDescent="0.25">
      <c r="A3288" s="7"/>
    </row>
    <row r="3289" spans="1:1" x14ac:dyDescent="0.25">
      <c r="A3289" s="7"/>
    </row>
    <row r="3290" spans="1:1" x14ac:dyDescent="0.25">
      <c r="A3290" s="7"/>
    </row>
    <row r="3291" spans="1:1" x14ac:dyDescent="0.25">
      <c r="A3291" s="7"/>
    </row>
    <row r="3292" spans="1:1" x14ac:dyDescent="0.25">
      <c r="A3292" s="7"/>
    </row>
    <row r="3293" spans="1:1" x14ac:dyDescent="0.25">
      <c r="A3293" s="7"/>
    </row>
    <row r="3294" spans="1:1" x14ac:dyDescent="0.25">
      <c r="A3294" s="7"/>
    </row>
    <row r="3295" spans="1:1" x14ac:dyDescent="0.25">
      <c r="A3295" s="7"/>
    </row>
    <row r="3296" spans="1:1" x14ac:dyDescent="0.25">
      <c r="A3296" s="7"/>
    </row>
    <row r="3297" spans="1:1" x14ac:dyDescent="0.25">
      <c r="A3297" s="7"/>
    </row>
    <row r="3298" spans="1:1" x14ac:dyDescent="0.25">
      <c r="A3298" s="7"/>
    </row>
    <row r="3299" spans="1:1" x14ac:dyDescent="0.25">
      <c r="A3299" s="7"/>
    </row>
    <row r="3300" spans="1:1" x14ac:dyDescent="0.25">
      <c r="A3300" s="7"/>
    </row>
    <row r="3301" spans="1:1" x14ac:dyDescent="0.25">
      <c r="A3301" s="7"/>
    </row>
    <row r="3302" spans="1:1" x14ac:dyDescent="0.25">
      <c r="A3302" s="7"/>
    </row>
    <row r="3303" spans="1:1" x14ac:dyDescent="0.25">
      <c r="A3303" s="7"/>
    </row>
    <row r="3304" spans="1:1" x14ac:dyDescent="0.25">
      <c r="A3304" s="7"/>
    </row>
    <row r="3305" spans="1:1" x14ac:dyDescent="0.25">
      <c r="A3305" s="7"/>
    </row>
    <row r="3306" spans="1:1" x14ac:dyDescent="0.25">
      <c r="A3306" s="7"/>
    </row>
    <row r="3307" spans="1:1" x14ac:dyDescent="0.25">
      <c r="A3307" s="7"/>
    </row>
    <row r="3308" spans="1:1" x14ac:dyDescent="0.25">
      <c r="A3308" s="7"/>
    </row>
    <row r="3309" spans="1:1" x14ac:dyDescent="0.25">
      <c r="A3309" s="7"/>
    </row>
    <row r="3310" spans="1:1" x14ac:dyDescent="0.25">
      <c r="A3310" s="7"/>
    </row>
    <row r="3311" spans="1:1" x14ac:dyDescent="0.25">
      <c r="A3311" s="7"/>
    </row>
    <row r="3312" spans="1:1" x14ac:dyDescent="0.25">
      <c r="A3312" s="7"/>
    </row>
    <row r="3313" spans="1:1" x14ac:dyDescent="0.25">
      <c r="A3313" s="7"/>
    </row>
    <row r="3314" spans="1:1" x14ac:dyDescent="0.25">
      <c r="A3314" s="7"/>
    </row>
    <row r="3315" spans="1:1" x14ac:dyDescent="0.25">
      <c r="A3315" s="7"/>
    </row>
    <row r="3316" spans="1:1" x14ac:dyDescent="0.25">
      <c r="A3316" s="7"/>
    </row>
    <row r="3317" spans="1:1" x14ac:dyDescent="0.25">
      <c r="A3317" s="7"/>
    </row>
    <row r="3318" spans="1:1" x14ac:dyDescent="0.25">
      <c r="A3318" s="7"/>
    </row>
    <row r="3319" spans="1:1" x14ac:dyDescent="0.25">
      <c r="A3319" s="7"/>
    </row>
    <row r="3320" spans="1:1" x14ac:dyDescent="0.25">
      <c r="A3320" s="7"/>
    </row>
    <row r="3321" spans="1:1" x14ac:dyDescent="0.25">
      <c r="A3321" s="7"/>
    </row>
    <row r="3322" spans="1:1" x14ac:dyDescent="0.25">
      <c r="A3322" s="7"/>
    </row>
    <row r="3323" spans="1:1" x14ac:dyDescent="0.25">
      <c r="A3323" s="7"/>
    </row>
    <row r="3324" spans="1:1" x14ac:dyDescent="0.25">
      <c r="A3324" s="7"/>
    </row>
    <row r="3325" spans="1:1" x14ac:dyDescent="0.25">
      <c r="A3325" s="7"/>
    </row>
    <row r="3326" spans="1:1" x14ac:dyDescent="0.25">
      <c r="A3326" s="7"/>
    </row>
    <row r="3327" spans="1:1" x14ac:dyDescent="0.25">
      <c r="A3327" s="7"/>
    </row>
    <row r="3328" spans="1:1" x14ac:dyDescent="0.25">
      <c r="A3328" s="7"/>
    </row>
    <row r="3329" spans="1:1" x14ac:dyDescent="0.25">
      <c r="A3329" s="7"/>
    </row>
    <row r="3330" spans="1:1" x14ac:dyDescent="0.25">
      <c r="A3330" s="7"/>
    </row>
    <row r="3331" spans="1:1" x14ac:dyDescent="0.25">
      <c r="A3331" s="7"/>
    </row>
    <row r="3332" spans="1:1" x14ac:dyDescent="0.25">
      <c r="A3332" s="7"/>
    </row>
    <row r="3333" spans="1:1" x14ac:dyDescent="0.25">
      <c r="A3333" s="7"/>
    </row>
    <row r="3334" spans="1:1" x14ac:dyDescent="0.25">
      <c r="A3334" s="7"/>
    </row>
    <row r="3335" spans="1:1" x14ac:dyDescent="0.25">
      <c r="A3335" s="7"/>
    </row>
    <row r="3336" spans="1:1" x14ac:dyDescent="0.25">
      <c r="A3336" s="7"/>
    </row>
    <row r="3337" spans="1:1" x14ac:dyDescent="0.25">
      <c r="A3337" s="7"/>
    </row>
    <row r="3338" spans="1:1" x14ac:dyDescent="0.25">
      <c r="A3338" s="7"/>
    </row>
    <row r="3339" spans="1:1" x14ac:dyDescent="0.25">
      <c r="A3339" s="7"/>
    </row>
    <row r="3340" spans="1:1" x14ac:dyDescent="0.25">
      <c r="A3340" s="7"/>
    </row>
    <row r="3341" spans="1:1" x14ac:dyDescent="0.25">
      <c r="A3341" s="7"/>
    </row>
    <row r="3342" spans="1:1" x14ac:dyDescent="0.25">
      <c r="A3342" s="7"/>
    </row>
    <row r="3343" spans="1:1" x14ac:dyDescent="0.25">
      <c r="A3343" s="7"/>
    </row>
    <row r="3344" spans="1:1" x14ac:dyDescent="0.25">
      <c r="A3344" s="7"/>
    </row>
    <row r="3345" spans="1:1" x14ac:dyDescent="0.25">
      <c r="A3345" s="7"/>
    </row>
    <row r="3346" spans="1:1" x14ac:dyDescent="0.25">
      <c r="A3346" s="7"/>
    </row>
    <row r="3347" spans="1:1" x14ac:dyDescent="0.25">
      <c r="A3347" s="7"/>
    </row>
    <row r="3348" spans="1:1" x14ac:dyDescent="0.25">
      <c r="A3348" s="7"/>
    </row>
    <row r="3349" spans="1:1" x14ac:dyDescent="0.25">
      <c r="A3349" s="7"/>
    </row>
    <row r="3350" spans="1:1" x14ac:dyDescent="0.25">
      <c r="A3350" s="7"/>
    </row>
    <row r="3351" spans="1:1" x14ac:dyDescent="0.25">
      <c r="A3351" s="7"/>
    </row>
    <row r="3352" spans="1:1" x14ac:dyDescent="0.25">
      <c r="A3352" s="7"/>
    </row>
    <row r="3353" spans="1:1" x14ac:dyDescent="0.25">
      <c r="A3353" s="7"/>
    </row>
    <row r="3354" spans="1:1" x14ac:dyDescent="0.25">
      <c r="A3354" s="7"/>
    </row>
    <row r="3355" spans="1:1" x14ac:dyDescent="0.25">
      <c r="A3355" s="7"/>
    </row>
    <row r="3356" spans="1:1" x14ac:dyDescent="0.25">
      <c r="A3356" s="7"/>
    </row>
    <row r="3357" spans="1:1" x14ac:dyDescent="0.25">
      <c r="A3357" s="7"/>
    </row>
    <row r="3358" spans="1:1" x14ac:dyDescent="0.25">
      <c r="A3358" s="7"/>
    </row>
    <row r="3359" spans="1:1" x14ac:dyDescent="0.25">
      <c r="A3359" s="7"/>
    </row>
    <row r="3360" spans="1:1" x14ac:dyDescent="0.25">
      <c r="A3360" s="7"/>
    </row>
    <row r="3361" spans="1:1" x14ac:dyDescent="0.25">
      <c r="A3361" s="7"/>
    </row>
    <row r="3362" spans="1:1" x14ac:dyDescent="0.25">
      <c r="A3362" s="7"/>
    </row>
    <row r="3363" spans="1:1" x14ac:dyDescent="0.25">
      <c r="A3363" s="7"/>
    </row>
    <row r="3364" spans="1:1" x14ac:dyDescent="0.25">
      <c r="A3364" s="7"/>
    </row>
    <row r="3365" spans="1:1" x14ac:dyDescent="0.25">
      <c r="A3365" s="7"/>
    </row>
    <row r="3366" spans="1:1" x14ac:dyDescent="0.25">
      <c r="A3366" s="7"/>
    </row>
    <row r="3367" spans="1:1" x14ac:dyDescent="0.25">
      <c r="A3367" s="7"/>
    </row>
    <row r="3368" spans="1:1" x14ac:dyDescent="0.25">
      <c r="A3368" s="7"/>
    </row>
    <row r="3369" spans="1:1" x14ac:dyDescent="0.25">
      <c r="A3369" s="7"/>
    </row>
    <row r="3370" spans="1:1" x14ac:dyDescent="0.25">
      <c r="A3370" s="7"/>
    </row>
    <row r="3371" spans="1:1" x14ac:dyDescent="0.25">
      <c r="A3371" s="7"/>
    </row>
    <row r="3372" spans="1:1" x14ac:dyDescent="0.25">
      <c r="A3372" s="7"/>
    </row>
    <row r="3373" spans="1:1" x14ac:dyDescent="0.25">
      <c r="A3373" s="7"/>
    </row>
    <row r="3374" spans="1:1" x14ac:dyDescent="0.25">
      <c r="A3374" s="7"/>
    </row>
    <row r="3375" spans="1:1" x14ac:dyDescent="0.25">
      <c r="A3375" s="7"/>
    </row>
    <row r="3376" spans="1:1" x14ac:dyDescent="0.25">
      <c r="A3376" s="7"/>
    </row>
    <row r="3377" spans="1:1" x14ac:dyDescent="0.25">
      <c r="A3377" s="7"/>
    </row>
    <row r="3378" spans="1:1" x14ac:dyDescent="0.25">
      <c r="A3378" s="7"/>
    </row>
    <row r="3379" spans="1:1" x14ac:dyDescent="0.25">
      <c r="A3379" s="7"/>
    </row>
    <row r="3380" spans="1:1" x14ac:dyDescent="0.25">
      <c r="A3380" s="7"/>
    </row>
    <row r="3381" spans="1:1" x14ac:dyDescent="0.25">
      <c r="A3381" s="7"/>
    </row>
    <row r="3382" spans="1:1" x14ac:dyDescent="0.25">
      <c r="A3382" s="7"/>
    </row>
    <row r="3383" spans="1:1" x14ac:dyDescent="0.25">
      <c r="A3383" s="7"/>
    </row>
    <row r="3384" spans="1:1" x14ac:dyDescent="0.25">
      <c r="A3384" s="7"/>
    </row>
    <row r="3385" spans="1:1" x14ac:dyDescent="0.25">
      <c r="A3385" s="7"/>
    </row>
    <row r="3386" spans="1:1" x14ac:dyDescent="0.25">
      <c r="A3386" s="7"/>
    </row>
    <row r="3387" spans="1:1" x14ac:dyDescent="0.25">
      <c r="A3387" s="7"/>
    </row>
    <row r="3388" spans="1:1" x14ac:dyDescent="0.25">
      <c r="A3388" s="7"/>
    </row>
    <row r="3389" spans="1:1" x14ac:dyDescent="0.25">
      <c r="A3389" s="7"/>
    </row>
    <row r="3390" spans="1:1" x14ac:dyDescent="0.25">
      <c r="A3390" s="7"/>
    </row>
    <row r="3391" spans="1:1" x14ac:dyDescent="0.25">
      <c r="A3391" s="7"/>
    </row>
    <row r="3392" spans="1:1" x14ac:dyDescent="0.25">
      <c r="A3392" s="7"/>
    </row>
    <row r="3393" spans="1:1" x14ac:dyDescent="0.25">
      <c r="A3393" s="7"/>
    </row>
    <row r="3394" spans="1:1" x14ac:dyDescent="0.25">
      <c r="A3394" s="7"/>
    </row>
    <row r="3395" spans="1:1" x14ac:dyDescent="0.25">
      <c r="A3395" s="7"/>
    </row>
    <row r="3396" spans="1:1" x14ac:dyDescent="0.25">
      <c r="A3396" s="7"/>
    </row>
    <row r="3397" spans="1:1" x14ac:dyDescent="0.25">
      <c r="A3397" s="7"/>
    </row>
    <row r="3398" spans="1:1" x14ac:dyDescent="0.25">
      <c r="A3398" s="7"/>
    </row>
    <row r="3399" spans="1:1" x14ac:dyDescent="0.25">
      <c r="A3399" s="7"/>
    </row>
    <row r="3400" spans="1:1" x14ac:dyDescent="0.25">
      <c r="A3400" s="7"/>
    </row>
    <row r="3401" spans="1:1" x14ac:dyDescent="0.25">
      <c r="A3401" s="7"/>
    </row>
    <row r="3402" spans="1:1" x14ac:dyDescent="0.25">
      <c r="A3402" s="7"/>
    </row>
    <row r="3403" spans="1:1" x14ac:dyDescent="0.25">
      <c r="A3403" s="7"/>
    </row>
    <row r="3404" spans="1:1" x14ac:dyDescent="0.25">
      <c r="A3404" s="7"/>
    </row>
    <row r="3405" spans="1:1" x14ac:dyDescent="0.25">
      <c r="A3405" s="7"/>
    </row>
    <row r="3406" spans="1:1" x14ac:dyDescent="0.25">
      <c r="A3406" s="7"/>
    </row>
    <row r="3407" spans="1:1" x14ac:dyDescent="0.25">
      <c r="A3407" s="7"/>
    </row>
    <row r="3408" spans="1:1" x14ac:dyDescent="0.25">
      <c r="A3408" s="7"/>
    </row>
    <row r="3409" spans="1:1" x14ac:dyDescent="0.25">
      <c r="A3409" s="7"/>
    </row>
    <row r="3410" spans="1:1" x14ac:dyDescent="0.25">
      <c r="A3410" s="7"/>
    </row>
    <row r="3411" spans="1:1" x14ac:dyDescent="0.25">
      <c r="A3411" s="7"/>
    </row>
    <row r="3412" spans="1:1" x14ac:dyDescent="0.25">
      <c r="A3412" s="7"/>
    </row>
    <row r="3413" spans="1:1" x14ac:dyDescent="0.25">
      <c r="A3413" s="7"/>
    </row>
    <row r="3414" spans="1:1" x14ac:dyDescent="0.25">
      <c r="A3414" s="7"/>
    </row>
    <row r="3415" spans="1:1" x14ac:dyDescent="0.25">
      <c r="A3415" s="7"/>
    </row>
    <row r="3416" spans="1:1" x14ac:dyDescent="0.25">
      <c r="A3416" s="7"/>
    </row>
    <row r="3417" spans="1:1" x14ac:dyDescent="0.25">
      <c r="A3417" s="7"/>
    </row>
    <row r="3418" spans="1:1" x14ac:dyDescent="0.25">
      <c r="A3418" s="7"/>
    </row>
    <row r="3419" spans="1:1" x14ac:dyDescent="0.25">
      <c r="A3419" s="7"/>
    </row>
    <row r="3420" spans="1:1" x14ac:dyDescent="0.25">
      <c r="A3420" s="7"/>
    </row>
    <row r="3421" spans="1:1" x14ac:dyDescent="0.25">
      <c r="A3421" s="7"/>
    </row>
    <row r="3422" spans="1:1" x14ac:dyDescent="0.25">
      <c r="A3422" s="7"/>
    </row>
    <row r="3423" spans="1:1" x14ac:dyDescent="0.25">
      <c r="A3423" s="7"/>
    </row>
    <row r="3424" spans="1:1" x14ac:dyDescent="0.25">
      <c r="A3424" s="7"/>
    </row>
    <row r="3425" spans="1:1" x14ac:dyDescent="0.25">
      <c r="A3425" s="7"/>
    </row>
    <row r="3426" spans="1:1" x14ac:dyDescent="0.25">
      <c r="A3426" s="7"/>
    </row>
    <row r="3427" spans="1:1" x14ac:dyDescent="0.25">
      <c r="A3427" s="7"/>
    </row>
    <row r="3428" spans="1:1" x14ac:dyDescent="0.25">
      <c r="A3428" s="7"/>
    </row>
    <row r="3429" spans="1:1" x14ac:dyDescent="0.25">
      <c r="A3429" s="7"/>
    </row>
    <row r="3430" spans="1:1" x14ac:dyDescent="0.25">
      <c r="A3430" s="7"/>
    </row>
    <row r="3431" spans="1:1" x14ac:dyDescent="0.25">
      <c r="A3431" s="7"/>
    </row>
    <row r="3432" spans="1:1" x14ac:dyDescent="0.25">
      <c r="A3432" s="7"/>
    </row>
    <row r="3433" spans="1:1" x14ac:dyDescent="0.25">
      <c r="A3433" s="7"/>
    </row>
    <row r="3434" spans="1:1" x14ac:dyDescent="0.25">
      <c r="A3434" s="7"/>
    </row>
    <row r="3435" spans="1:1" x14ac:dyDescent="0.25">
      <c r="A3435" s="7"/>
    </row>
    <row r="3436" spans="1:1" x14ac:dyDescent="0.25">
      <c r="A3436" s="7"/>
    </row>
    <row r="3437" spans="1:1" x14ac:dyDescent="0.25">
      <c r="A3437" s="7"/>
    </row>
    <row r="3438" spans="1:1" x14ac:dyDescent="0.25">
      <c r="A3438" s="7"/>
    </row>
    <row r="3439" spans="1:1" x14ac:dyDescent="0.25">
      <c r="A3439" s="7"/>
    </row>
    <row r="3440" spans="1:1" x14ac:dyDescent="0.25">
      <c r="A3440" s="7"/>
    </row>
    <row r="3441" spans="1:1" x14ac:dyDescent="0.25">
      <c r="A3441" s="7"/>
    </row>
    <row r="3442" spans="1:1" x14ac:dyDescent="0.25">
      <c r="A3442" s="7"/>
    </row>
    <row r="3443" spans="1:1" x14ac:dyDescent="0.25">
      <c r="A3443" s="7"/>
    </row>
    <row r="3444" spans="1:1" x14ac:dyDescent="0.25">
      <c r="A3444" s="7"/>
    </row>
    <row r="3445" spans="1:1" x14ac:dyDescent="0.25">
      <c r="A3445" s="7"/>
    </row>
    <row r="3446" spans="1:1" x14ac:dyDescent="0.25">
      <c r="A3446" s="7"/>
    </row>
    <row r="3447" spans="1:1" x14ac:dyDescent="0.25">
      <c r="A3447" s="7"/>
    </row>
    <row r="3448" spans="1:1" x14ac:dyDescent="0.25">
      <c r="A3448" s="7"/>
    </row>
    <row r="3449" spans="1:1" x14ac:dyDescent="0.25">
      <c r="A3449" s="7"/>
    </row>
    <row r="3450" spans="1:1" x14ac:dyDescent="0.25">
      <c r="A3450" s="7"/>
    </row>
    <row r="3451" spans="1:1" x14ac:dyDescent="0.25">
      <c r="A3451" s="7"/>
    </row>
    <row r="3452" spans="1:1" x14ac:dyDescent="0.25">
      <c r="A3452" s="7"/>
    </row>
    <row r="3453" spans="1:1" x14ac:dyDescent="0.25">
      <c r="A3453" s="7"/>
    </row>
    <row r="3454" spans="1:1" x14ac:dyDescent="0.25">
      <c r="A3454" s="7"/>
    </row>
    <row r="3455" spans="1:1" x14ac:dyDescent="0.25">
      <c r="A3455" s="7"/>
    </row>
    <row r="3456" spans="1:1" x14ac:dyDescent="0.25">
      <c r="A3456" s="7"/>
    </row>
    <row r="3457" spans="1:1" x14ac:dyDescent="0.25">
      <c r="A3457" s="7"/>
    </row>
    <row r="3458" spans="1:1" x14ac:dyDescent="0.25">
      <c r="A3458" s="7"/>
    </row>
    <row r="3459" spans="1:1" x14ac:dyDescent="0.25">
      <c r="A3459" s="7"/>
    </row>
    <row r="3460" spans="1:1" x14ac:dyDescent="0.25">
      <c r="A3460" s="7"/>
    </row>
    <row r="3461" spans="1:1" x14ac:dyDescent="0.25">
      <c r="A3461" s="7"/>
    </row>
    <row r="3462" spans="1:1" x14ac:dyDescent="0.25">
      <c r="A3462" s="7"/>
    </row>
    <row r="3463" spans="1:1" x14ac:dyDescent="0.25">
      <c r="A3463" s="7"/>
    </row>
    <row r="3464" spans="1:1" x14ac:dyDescent="0.25">
      <c r="A3464" s="7"/>
    </row>
    <row r="3465" spans="1:1" x14ac:dyDescent="0.25">
      <c r="A3465" s="7"/>
    </row>
    <row r="3466" spans="1:1" x14ac:dyDescent="0.25">
      <c r="A3466" s="7"/>
    </row>
    <row r="3467" spans="1:1" x14ac:dyDescent="0.25">
      <c r="A3467" s="7"/>
    </row>
    <row r="3468" spans="1:1" x14ac:dyDescent="0.25">
      <c r="A3468" s="7"/>
    </row>
    <row r="3469" spans="1:1" x14ac:dyDescent="0.25">
      <c r="A3469" s="7"/>
    </row>
    <row r="3470" spans="1:1" x14ac:dyDescent="0.25">
      <c r="A3470" s="7"/>
    </row>
    <row r="3471" spans="1:1" x14ac:dyDescent="0.25">
      <c r="A3471" s="7"/>
    </row>
    <row r="3472" spans="1:1" x14ac:dyDescent="0.25">
      <c r="A3472" s="7"/>
    </row>
    <row r="3473" spans="1:1" x14ac:dyDescent="0.25">
      <c r="A3473" s="7"/>
    </row>
    <row r="3474" spans="1:1" x14ac:dyDescent="0.25">
      <c r="A3474" s="7"/>
    </row>
    <row r="3475" spans="1:1" x14ac:dyDescent="0.25">
      <c r="A3475" s="7"/>
    </row>
    <row r="3476" spans="1:1" x14ac:dyDescent="0.25">
      <c r="A3476" s="7"/>
    </row>
    <row r="3477" spans="1:1" x14ac:dyDescent="0.25">
      <c r="A3477" s="7"/>
    </row>
    <row r="3478" spans="1:1" x14ac:dyDescent="0.25">
      <c r="A3478" s="7"/>
    </row>
    <row r="3479" spans="1:1" x14ac:dyDescent="0.25">
      <c r="A3479" s="7"/>
    </row>
    <row r="3480" spans="1:1" x14ac:dyDescent="0.25">
      <c r="A3480" s="7"/>
    </row>
    <row r="3481" spans="1:1" x14ac:dyDescent="0.25">
      <c r="A3481" s="7"/>
    </row>
    <row r="3482" spans="1:1" x14ac:dyDescent="0.25">
      <c r="A3482" s="7"/>
    </row>
    <row r="3483" spans="1:1" x14ac:dyDescent="0.25">
      <c r="A3483" s="7"/>
    </row>
    <row r="3484" spans="1:1" x14ac:dyDescent="0.25">
      <c r="A3484" s="7"/>
    </row>
    <row r="3485" spans="1:1" x14ac:dyDescent="0.25">
      <c r="A3485" s="7"/>
    </row>
    <row r="3486" spans="1:1" x14ac:dyDescent="0.25">
      <c r="A3486" s="7"/>
    </row>
    <row r="3487" spans="1:1" x14ac:dyDescent="0.25">
      <c r="A3487" s="7"/>
    </row>
    <row r="3488" spans="1:1" x14ac:dyDescent="0.25">
      <c r="A3488" s="7"/>
    </row>
    <row r="3489" spans="1:1" x14ac:dyDescent="0.25">
      <c r="A3489" s="7"/>
    </row>
    <row r="3490" spans="1:1" x14ac:dyDescent="0.25">
      <c r="A3490" s="7"/>
    </row>
    <row r="3491" spans="1:1" x14ac:dyDescent="0.25">
      <c r="A3491" s="7"/>
    </row>
    <row r="3492" spans="1:1" x14ac:dyDescent="0.25">
      <c r="A3492" s="7"/>
    </row>
    <row r="3493" spans="1:1" x14ac:dyDescent="0.25">
      <c r="A3493" s="7"/>
    </row>
    <row r="3494" spans="1:1" x14ac:dyDescent="0.25">
      <c r="A3494" s="7"/>
    </row>
    <row r="3495" spans="1:1" x14ac:dyDescent="0.25">
      <c r="A3495" s="7"/>
    </row>
    <row r="3496" spans="1:1" x14ac:dyDescent="0.25">
      <c r="A3496" s="7"/>
    </row>
    <row r="3497" spans="1:1" x14ac:dyDescent="0.25">
      <c r="A3497" s="7"/>
    </row>
    <row r="3498" spans="1:1" x14ac:dyDescent="0.25">
      <c r="A3498" s="7"/>
    </row>
    <row r="3499" spans="1:1" x14ac:dyDescent="0.25">
      <c r="A3499" s="7"/>
    </row>
    <row r="3500" spans="1:1" x14ac:dyDescent="0.25">
      <c r="A3500" s="7"/>
    </row>
    <row r="3501" spans="1:1" x14ac:dyDescent="0.25">
      <c r="A3501" s="7"/>
    </row>
    <row r="3502" spans="1:1" x14ac:dyDescent="0.25">
      <c r="A3502" s="7"/>
    </row>
    <row r="3503" spans="1:1" x14ac:dyDescent="0.25">
      <c r="A3503" s="7"/>
    </row>
    <row r="3504" spans="1:1" x14ac:dyDescent="0.25">
      <c r="A3504" s="7"/>
    </row>
    <row r="3505" spans="1:1" x14ac:dyDescent="0.25">
      <c r="A3505" s="7"/>
    </row>
    <row r="3506" spans="1:1" x14ac:dyDescent="0.25">
      <c r="A3506" s="7"/>
    </row>
    <row r="3507" spans="1:1" x14ac:dyDescent="0.25">
      <c r="A3507" s="7"/>
    </row>
    <row r="3508" spans="1:1" x14ac:dyDescent="0.25">
      <c r="A3508" s="7"/>
    </row>
    <row r="3509" spans="1:1" x14ac:dyDescent="0.25">
      <c r="A3509" s="7"/>
    </row>
    <row r="3510" spans="1:1" x14ac:dyDescent="0.25">
      <c r="A3510" s="7"/>
    </row>
    <row r="3511" spans="1:1" x14ac:dyDescent="0.25">
      <c r="A3511" s="7"/>
    </row>
    <row r="3512" spans="1:1" x14ac:dyDescent="0.25">
      <c r="A3512" s="7"/>
    </row>
    <row r="3513" spans="1:1" x14ac:dyDescent="0.25">
      <c r="A3513" s="7"/>
    </row>
    <row r="3514" spans="1:1" x14ac:dyDescent="0.25">
      <c r="A3514" s="7"/>
    </row>
    <row r="3515" spans="1:1" x14ac:dyDescent="0.25">
      <c r="A3515" s="7"/>
    </row>
    <row r="3516" spans="1:1" x14ac:dyDescent="0.25">
      <c r="A3516" s="7"/>
    </row>
    <row r="3517" spans="1:1" x14ac:dyDescent="0.25">
      <c r="A3517" s="7"/>
    </row>
    <row r="3518" spans="1:1" x14ac:dyDescent="0.25">
      <c r="A3518" s="7"/>
    </row>
    <row r="3519" spans="1:1" x14ac:dyDescent="0.25">
      <c r="A3519" s="7"/>
    </row>
    <row r="3520" spans="1:1" x14ac:dyDescent="0.25">
      <c r="A3520" s="7"/>
    </row>
    <row r="3521" spans="1:1" x14ac:dyDescent="0.25">
      <c r="A3521" s="7"/>
    </row>
    <row r="3522" spans="1:1" x14ac:dyDescent="0.25">
      <c r="A3522" s="7"/>
    </row>
    <row r="3523" spans="1:1" x14ac:dyDescent="0.25">
      <c r="A3523" s="7"/>
    </row>
    <row r="3524" spans="1:1" x14ac:dyDescent="0.25">
      <c r="A3524" s="7"/>
    </row>
    <row r="3525" spans="1:1" x14ac:dyDescent="0.25">
      <c r="A3525" s="7"/>
    </row>
    <row r="3526" spans="1:1" x14ac:dyDescent="0.25">
      <c r="A3526" s="7"/>
    </row>
    <row r="3527" spans="1:1" x14ac:dyDescent="0.25">
      <c r="A3527" s="7"/>
    </row>
    <row r="3528" spans="1:1" x14ac:dyDescent="0.25">
      <c r="A3528" s="7"/>
    </row>
    <row r="3529" spans="1:1" x14ac:dyDescent="0.25">
      <c r="A3529" s="7"/>
    </row>
    <row r="3530" spans="1:1" x14ac:dyDescent="0.25">
      <c r="A3530" s="7"/>
    </row>
    <row r="3531" spans="1:1" x14ac:dyDescent="0.25">
      <c r="A3531" s="7"/>
    </row>
    <row r="3532" spans="1:1" x14ac:dyDescent="0.25">
      <c r="A3532" s="7"/>
    </row>
    <row r="3533" spans="1:1" x14ac:dyDescent="0.25">
      <c r="A3533" s="7"/>
    </row>
    <row r="3534" spans="1:1" x14ac:dyDescent="0.25">
      <c r="A3534" s="7"/>
    </row>
    <row r="3535" spans="1:1" x14ac:dyDescent="0.25">
      <c r="A3535" s="7"/>
    </row>
    <row r="3536" spans="1:1" x14ac:dyDescent="0.25">
      <c r="A3536" s="7"/>
    </row>
    <row r="3537" spans="1:1" x14ac:dyDescent="0.25">
      <c r="A3537" s="7"/>
    </row>
    <row r="3538" spans="1:1" x14ac:dyDescent="0.25">
      <c r="A3538" s="7"/>
    </row>
    <row r="3539" spans="1:1" x14ac:dyDescent="0.25">
      <c r="A3539" s="7"/>
    </row>
    <row r="3540" spans="1:1" x14ac:dyDescent="0.25">
      <c r="A3540" s="7"/>
    </row>
    <row r="3541" spans="1:1" x14ac:dyDescent="0.25">
      <c r="A3541" s="7"/>
    </row>
    <row r="3542" spans="1:1" x14ac:dyDescent="0.25">
      <c r="A3542" s="7"/>
    </row>
    <row r="3543" spans="1:1" x14ac:dyDescent="0.25">
      <c r="A3543" s="7"/>
    </row>
    <row r="3544" spans="1:1" x14ac:dyDescent="0.25">
      <c r="A3544" s="7"/>
    </row>
    <row r="3545" spans="1:1" x14ac:dyDescent="0.25">
      <c r="A3545" s="7"/>
    </row>
    <row r="3546" spans="1:1" x14ac:dyDescent="0.25">
      <c r="A3546" s="7"/>
    </row>
    <row r="3547" spans="1:1" x14ac:dyDescent="0.25">
      <c r="A3547" s="7"/>
    </row>
    <row r="3548" spans="1:1" x14ac:dyDescent="0.25">
      <c r="A3548" s="7"/>
    </row>
    <row r="3549" spans="1:1" x14ac:dyDescent="0.25">
      <c r="A3549" s="7"/>
    </row>
    <row r="3550" spans="1:1" x14ac:dyDescent="0.25">
      <c r="A3550" s="7"/>
    </row>
    <row r="3551" spans="1:1" x14ac:dyDescent="0.25">
      <c r="A3551" s="7"/>
    </row>
    <row r="3552" spans="1:1" x14ac:dyDescent="0.25">
      <c r="A3552" s="7"/>
    </row>
    <row r="3553" spans="1:1" x14ac:dyDescent="0.25">
      <c r="A3553" s="7"/>
    </row>
    <row r="3554" spans="1:1" x14ac:dyDescent="0.25">
      <c r="A3554" s="7"/>
    </row>
    <row r="3555" spans="1:1" x14ac:dyDescent="0.25">
      <c r="A3555" s="7"/>
    </row>
    <row r="3556" spans="1:1" x14ac:dyDescent="0.25">
      <c r="A3556" s="7"/>
    </row>
    <row r="3557" spans="1:1" x14ac:dyDescent="0.25">
      <c r="A3557" s="7"/>
    </row>
    <row r="3558" spans="1:1" x14ac:dyDescent="0.25">
      <c r="A3558" s="7"/>
    </row>
    <row r="3559" spans="1:1" x14ac:dyDescent="0.25">
      <c r="A3559" s="7"/>
    </row>
    <row r="3560" spans="1:1" x14ac:dyDescent="0.25">
      <c r="A3560" s="7"/>
    </row>
    <row r="3561" spans="1:1" x14ac:dyDescent="0.25">
      <c r="A3561" s="7"/>
    </row>
    <row r="3562" spans="1:1" x14ac:dyDescent="0.25">
      <c r="A3562" s="7"/>
    </row>
    <row r="3563" spans="1:1" x14ac:dyDescent="0.25">
      <c r="A3563" s="7"/>
    </row>
    <row r="3564" spans="1:1" x14ac:dyDescent="0.25">
      <c r="A3564" s="7"/>
    </row>
    <row r="3565" spans="1:1" x14ac:dyDescent="0.25">
      <c r="A3565" s="7"/>
    </row>
    <row r="3566" spans="1:1" x14ac:dyDescent="0.25">
      <c r="A3566" s="7"/>
    </row>
    <row r="3567" spans="1:1" x14ac:dyDescent="0.25">
      <c r="A3567" s="7"/>
    </row>
    <row r="3568" spans="1:1" x14ac:dyDescent="0.25">
      <c r="A3568" s="7"/>
    </row>
    <row r="3569" spans="1:1" x14ac:dyDescent="0.25">
      <c r="A3569" s="7"/>
    </row>
    <row r="3570" spans="1:1" x14ac:dyDescent="0.25">
      <c r="A3570" s="7"/>
    </row>
    <row r="3571" spans="1:1" x14ac:dyDescent="0.25">
      <c r="A3571" s="7"/>
    </row>
    <row r="3572" spans="1:1" x14ac:dyDescent="0.25">
      <c r="A3572" s="7"/>
    </row>
    <row r="3573" spans="1:1" x14ac:dyDescent="0.25">
      <c r="A3573" s="7"/>
    </row>
    <row r="3574" spans="1:1" x14ac:dyDescent="0.25">
      <c r="A3574" s="7"/>
    </row>
    <row r="3575" spans="1:1" x14ac:dyDescent="0.25">
      <c r="A3575" s="7"/>
    </row>
    <row r="3576" spans="1:1" x14ac:dyDescent="0.25">
      <c r="A3576" s="7"/>
    </row>
    <row r="3577" spans="1:1" x14ac:dyDescent="0.25">
      <c r="A3577" s="7"/>
    </row>
    <row r="3578" spans="1:1" x14ac:dyDescent="0.25">
      <c r="A3578" s="7"/>
    </row>
    <row r="3579" spans="1:1" x14ac:dyDescent="0.25">
      <c r="A3579" s="7"/>
    </row>
    <row r="3580" spans="1:1" x14ac:dyDescent="0.25">
      <c r="A3580" s="7"/>
    </row>
    <row r="3581" spans="1:1" x14ac:dyDescent="0.25">
      <c r="A3581" s="7"/>
    </row>
    <row r="3582" spans="1:1" x14ac:dyDescent="0.25">
      <c r="A3582" s="7"/>
    </row>
    <row r="3583" spans="1:1" x14ac:dyDescent="0.25">
      <c r="A3583" s="7"/>
    </row>
    <row r="3584" spans="1:1" x14ac:dyDescent="0.25">
      <c r="A3584" s="7"/>
    </row>
    <row r="3585" spans="1:1" x14ac:dyDescent="0.25">
      <c r="A3585" s="7"/>
    </row>
    <row r="3586" spans="1:1" x14ac:dyDescent="0.25">
      <c r="A3586" s="7"/>
    </row>
    <row r="3587" spans="1:1" x14ac:dyDescent="0.25">
      <c r="A3587" s="7"/>
    </row>
    <row r="3588" spans="1:1" x14ac:dyDescent="0.25">
      <c r="A3588" s="7"/>
    </row>
    <row r="3589" spans="1:1" x14ac:dyDescent="0.25">
      <c r="A3589" s="7"/>
    </row>
    <row r="3590" spans="1:1" x14ac:dyDescent="0.25">
      <c r="A3590" s="7"/>
    </row>
    <row r="3591" spans="1:1" x14ac:dyDescent="0.25">
      <c r="A3591" s="7"/>
    </row>
    <row r="3592" spans="1:1" x14ac:dyDescent="0.25">
      <c r="A3592" s="7"/>
    </row>
    <row r="3593" spans="1:1" x14ac:dyDescent="0.25">
      <c r="A3593" s="7"/>
    </row>
    <row r="3594" spans="1:1" x14ac:dyDescent="0.25">
      <c r="A3594" s="7"/>
    </row>
    <row r="3595" spans="1:1" x14ac:dyDescent="0.25">
      <c r="A3595" s="7"/>
    </row>
    <row r="3596" spans="1:1" x14ac:dyDescent="0.25">
      <c r="A3596" s="7"/>
    </row>
    <row r="3597" spans="1:1" x14ac:dyDescent="0.25">
      <c r="A3597" s="7"/>
    </row>
    <row r="3598" spans="1:1" x14ac:dyDescent="0.25">
      <c r="A3598" s="7"/>
    </row>
    <row r="3599" spans="1:1" x14ac:dyDescent="0.25">
      <c r="A3599" s="7"/>
    </row>
    <row r="3600" spans="1:1" x14ac:dyDescent="0.25">
      <c r="A3600" s="7"/>
    </row>
    <row r="3601" spans="1:1" x14ac:dyDescent="0.25">
      <c r="A3601" s="7"/>
    </row>
    <row r="3602" spans="1:1" x14ac:dyDescent="0.25">
      <c r="A3602" s="7"/>
    </row>
    <row r="3603" spans="1:1" x14ac:dyDescent="0.25">
      <c r="A3603" s="7"/>
    </row>
    <row r="3604" spans="1:1" x14ac:dyDescent="0.25">
      <c r="A3604" s="7"/>
    </row>
    <row r="3605" spans="1:1" x14ac:dyDescent="0.25">
      <c r="A3605" s="7"/>
    </row>
    <row r="3606" spans="1:1" x14ac:dyDescent="0.25">
      <c r="A3606" s="7"/>
    </row>
    <row r="3607" spans="1:1" x14ac:dyDescent="0.25">
      <c r="A3607" s="7"/>
    </row>
    <row r="3608" spans="1:1" x14ac:dyDescent="0.25">
      <c r="A3608" s="7"/>
    </row>
    <row r="3609" spans="1:1" x14ac:dyDescent="0.25">
      <c r="A3609" s="7"/>
    </row>
    <row r="3610" spans="1:1" x14ac:dyDescent="0.25">
      <c r="A3610" s="7"/>
    </row>
    <row r="3611" spans="1:1" x14ac:dyDescent="0.25">
      <c r="A3611" s="7"/>
    </row>
    <row r="3612" spans="1:1" x14ac:dyDescent="0.25">
      <c r="A3612" s="7"/>
    </row>
    <row r="3613" spans="1:1" x14ac:dyDescent="0.25">
      <c r="A3613" s="7"/>
    </row>
    <row r="3614" spans="1:1" x14ac:dyDescent="0.25">
      <c r="A3614" s="7"/>
    </row>
    <row r="3615" spans="1:1" x14ac:dyDescent="0.25">
      <c r="A3615" s="7"/>
    </row>
    <row r="3616" spans="1:1" x14ac:dyDescent="0.25">
      <c r="A3616" s="7"/>
    </row>
    <row r="3617" spans="1:1" x14ac:dyDescent="0.25">
      <c r="A3617" s="7"/>
    </row>
    <row r="3618" spans="1:1" x14ac:dyDescent="0.25">
      <c r="A3618" s="7"/>
    </row>
    <row r="3619" spans="1:1" x14ac:dyDescent="0.25">
      <c r="A3619" s="7"/>
    </row>
    <row r="3620" spans="1:1" x14ac:dyDescent="0.25">
      <c r="A3620" s="7"/>
    </row>
    <row r="3621" spans="1:1" x14ac:dyDescent="0.25">
      <c r="A3621" s="7"/>
    </row>
    <row r="3622" spans="1:1" x14ac:dyDescent="0.25">
      <c r="A3622" s="7"/>
    </row>
    <row r="3623" spans="1:1" x14ac:dyDescent="0.25">
      <c r="A3623" s="7"/>
    </row>
    <row r="3624" spans="1:1" x14ac:dyDescent="0.25">
      <c r="A3624" s="7"/>
    </row>
    <row r="3625" spans="1:1" x14ac:dyDescent="0.25">
      <c r="A3625" s="7"/>
    </row>
    <row r="3626" spans="1:1" x14ac:dyDescent="0.25">
      <c r="A3626" s="7"/>
    </row>
    <row r="3627" spans="1:1" x14ac:dyDescent="0.25">
      <c r="A3627" s="7"/>
    </row>
    <row r="3628" spans="1:1" x14ac:dyDescent="0.25">
      <c r="A3628" s="7"/>
    </row>
    <row r="3629" spans="1:1" x14ac:dyDescent="0.25">
      <c r="A3629" s="7"/>
    </row>
    <row r="3630" spans="1:1" x14ac:dyDescent="0.25">
      <c r="A3630" s="7"/>
    </row>
    <row r="3631" spans="1:1" x14ac:dyDescent="0.25">
      <c r="A3631" s="7"/>
    </row>
    <row r="3632" spans="1:1" x14ac:dyDescent="0.25">
      <c r="A3632" s="7"/>
    </row>
    <row r="3633" spans="1:1" x14ac:dyDescent="0.25">
      <c r="A3633" s="7"/>
    </row>
    <row r="3634" spans="1:1" x14ac:dyDescent="0.25">
      <c r="A3634" s="7"/>
    </row>
    <row r="3635" spans="1:1" x14ac:dyDescent="0.25">
      <c r="A3635" s="7"/>
    </row>
    <row r="3636" spans="1:1" x14ac:dyDescent="0.25">
      <c r="A3636" s="7"/>
    </row>
    <row r="3637" spans="1:1" x14ac:dyDescent="0.25">
      <c r="A3637" s="7"/>
    </row>
    <row r="3638" spans="1:1" x14ac:dyDescent="0.25">
      <c r="A3638" s="7"/>
    </row>
    <row r="3639" spans="1:1" x14ac:dyDescent="0.25">
      <c r="A3639" s="7"/>
    </row>
    <row r="3640" spans="1:1" x14ac:dyDescent="0.25">
      <c r="A3640" s="7"/>
    </row>
    <row r="3641" spans="1:1" x14ac:dyDescent="0.25">
      <c r="A3641" s="7"/>
    </row>
    <row r="3642" spans="1:1" x14ac:dyDescent="0.25">
      <c r="A3642" s="7"/>
    </row>
    <row r="3643" spans="1:1" x14ac:dyDescent="0.25">
      <c r="A3643" s="7"/>
    </row>
    <row r="3644" spans="1:1" x14ac:dyDescent="0.25">
      <c r="A3644" s="7"/>
    </row>
    <row r="3645" spans="1:1" x14ac:dyDescent="0.25">
      <c r="A3645" s="7"/>
    </row>
    <row r="3646" spans="1:1" x14ac:dyDescent="0.25">
      <c r="A3646" s="7"/>
    </row>
    <row r="3647" spans="1:1" x14ac:dyDescent="0.25">
      <c r="A3647" s="7"/>
    </row>
    <row r="3648" spans="1:1" x14ac:dyDescent="0.25">
      <c r="A3648" s="7"/>
    </row>
    <row r="3649" spans="1:1" x14ac:dyDescent="0.25">
      <c r="A3649" s="7"/>
    </row>
    <row r="3650" spans="1:1" x14ac:dyDescent="0.25">
      <c r="A3650" s="7"/>
    </row>
    <row r="3651" spans="1:1" x14ac:dyDescent="0.25">
      <c r="A3651" s="7"/>
    </row>
    <row r="3652" spans="1:1" x14ac:dyDescent="0.25">
      <c r="A3652" s="7"/>
    </row>
    <row r="3653" spans="1:1" x14ac:dyDescent="0.25">
      <c r="A3653" s="7"/>
    </row>
    <row r="3654" spans="1:1" x14ac:dyDescent="0.25">
      <c r="A3654" s="7"/>
    </row>
    <row r="3655" spans="1:1" x14ac:dyDescent="0.25">
      <c r="A3655" s="7"/>
    </row>
    <row r="3656" spans="1:1" x14ac:dyDescent="0.25">
      <c r="A3656" s="7"/>
    </row>
    <row r="3657" spans="1:1" x14ac:dyDescent="0.25">
      <c r="A3657" s="7"/>
    </row>
    <row r="3658" spans="1:1" x14ac:dyDescent="0.25">
      <c r="A3658" s="7"/>
    </row>
    <row r="3659" spans="1:1" x14ac:dyDescent="0.25">
      <c r="A3659" s="7"/>
    </row>
    <row r="3660" spans="1:1" x14ac:dyDescent="0.25">
      <c r="A3660" s="7"/>
    </row>
    <row r="3661" spans="1:1" x14ac:dyDescent="0.25">
      <c r="A3661" s="7"/>
    </row>
    <row r="3662" spans="1:1" x14ac:dyDescent="0.25">
      <c r="A3662" s="7"/>
    </row>
    <row r="3663" spans="1:1" x14ac:dyDescent="0.25">
      <c r="A3663" s="7"/>
    </row>
    <row r="3664" spans="1:1" x14ac:dyDescent="0.25">
      <c r="A3664" s="7"/>
    </row>
    <row r="3665" spans="1:1" x14ac:dyDescent="0.25">
      <c r="A3665" s="7"/>
    </row>
    <row r="3666" spans="1:1" x14ac:dyDescent="0.25">
      <c r="A3666" s="7"/>
    </row>
    <row r="3667" spans="1:1" x14ac:dyDescent="0.25">
      <c r="A3667" s="7"/>
    </row>
    <row r="3668" spans="1:1" x14ac:dyDescent="0.25">
      <c r="A3668" s="7"/>
    </row>
    <row r="3669" spans="1:1" x14ac:dyDescent="0.25">
      <c r="A3669" s="7"/>
    </row>
    <row r="3670" spans="1:1" x14ac:dyDescent="0.25">
      <c r="A3670" s="7"/>
    </row>
    <row r="3671" spans="1:1" x14ac:dyDescent="0.25">
      <c r="A3671" s="7"/>
    </row>
    <row r="3672" spans="1:1" x14ac:dyDescent="0.25">
      <c r="A3672" s="7"/>
    </row>
    <row r="3673" spans="1:1" x14ac:dyDescent="0.25">
      <c r="A3673" s="7"/>
    </row>
    <row r="3674" spans="1:1" x14ac:dyDescent="0.25">
      <c r="A3674" s="7"/>
    </row>
    <row r="3675" spans="1:1" x14ac:dyDescent="0.25">
      <c r="A3675" s="7"/>
    </row>
    <row r="3676" spans="1:1" x14ac:dyDescent="0.25">
      <c r="A3676" s="7"/>
    </row>
    <row r="3677" spans="1:1" x14ac:dyDescent="0.25">
      <c r="A3677" s="7"/>
    </row>
    <row r="3678" spans="1:1" x14ac:dyDescent="0.25">
      <c r="A3678" s="7"/>
    </row>
    <row r="3679" spans="1:1" x14ac:dyDescent="0.25">
      <c r="A3679" s="7"/>
    </row>
    <row r="3680" spans="1:1" x14ac:dyDescent="0.25">
      <c r="A3680" s="7"/>
    </row>
    <row r="3681" spans="1:1" x14ac:dyDescent="0.25">
      <c r="A3681" s="7"/>
    </row>
    <row r="3682" spans="1:1" x14ac:dyDescent="0.25">
      <c r="A3682" s="7"/>
    </row>
    <row r="3683" spans="1:1" x14ac:dyDescent="0.25">
      <c r="A3683" s="7"/>
    </row>
    <row r="3684" spans="1:1" x14ac:dyDescent="0.25">
      <c r="A3684" s="7"/>
    </row>
    <row r="3685" spans="1:1" x14ac:dyDescent="0.25">
      <c r="A3685" s="7"/>
    </row>
    <row r="3686" spans="1:1" x14ac:dyDescent="0.25">
      <c r="A3686" s="7"/>
    </row>
    <row r="3687" spans="1:1" x14ac:dyDescent="0.25">
      <c r="A3687" s="7"/>
    </row>
    <row r="3688" spans="1:1" x14ac:dyDescent="0.25">
      <c r="A3688" s="7"/>
    </row>
    <row r="3689" spans="1:1" x14ac:dyDescent="0.25">
      <c r="A3689" s="7"/>
    </row>
    <row r="3690" spans="1:1" x14ac:dyDescent="0.25">
      <c r="A3690" s="7"/>
    </row>
    <row r="3691" spans="1:1" x14ac:dyDescent="0.25">
      <c r="A3691" s="7"/>
    </row>
    <row r="3692" spans="1:1" x14ac:dyDescent="0.25">
      <c r="A3692" s="7"/>
    </row>
    <row r="3693" spans="1:1" x14ac:dyDescent="0.25">
      <c r="A3693" s="7"/>
    </row>
    <row r="3694" spans="1:1" x14ac:dyDescent="0.25">
      <c r="A3694" s="7"/>
    </row>
    <row r="3695" spans="1:1" x14ac:dyDescent="0.25">
      <c r="A3695" s="7"/>
    </row>
    <row r="3696" spans="1:1" x14ac:dyDescent="0.25">
      <c r="A3696" s="7"/>
    </row>
    <row r="3697" spans="1:1" x14ac:dyDescent="0.25">
      <c r="A3697" s="7"/>
    </row>
    <row r="3698" spans="1:1" x14ac:dyDescent="0.25">
      <c r="A3698" s="7"/>
    </row>
    <row r="3699" spans="1:1" x14ac:dyDescent="0.25">
      <c r="A3699" s="7"/>
    </row>
    <row r="3700" spans="1:1" x14ac:dyDescent="0.25">
      <c r="A3700" s="7"/>
    </row>
    <row r="3701" spans="1:1" x14ac:dyDescent="0.25">
      <c r="A3701" s="7"/>
    </row>
    <row r="3702" spans="1:1" x14ac:dyDescent="0.25">
      <c r="A3702" s="7"/>
    </row>
    <row r="3703" spans="1:1" x14ac:dyDescent="0.25">
      <c r="A3703" s="7"/>
    </row>
    <row r="3704" spans="1:1" x14ac:dyDescent="0.25">
      <c r="A3704" s="7"/>
    </row>
    <row r="3705" spans="1:1" x14ac:dyDescent="0.25">
      <c r="A3705" s="7"/>
    </row>
    <row r="3706" spans="1:1" x14ac:dyDescent="0.25">
      <c r="A3706" s="7"/>
    </row>
    <row r="3707" spans="1:1" x14ac:dyDescent="0.25">
      <c r="A3707" s="7"/>
    </row>
    <row r="3708" spans="1:1" x14ac:dyDescent="0.25">
      <c r="A3708" s="7"/>
    </row>
    <row r="3709" spans="1:1" x14ac:dyDescent="0.25">
      <c r="A3709" s="7"/>
    </row>
    <row r="3710" spans="1:1" x14ac:dyDescent="0.25">
      <c r="A3710" s="7"/>
    </row>
    <row r="3711" spans="1:1" x14ac:dyDescent="0.25">
      <c r="A3711" s="7"/>
    </row>
    <row r="3712" spans="1:1" x14ac:dyDescent="0.25">
      <c r="A3712" s="7"/>
    </row>
    <row r="3713" spans="1:1" x14ac:dyDescent="0.25">
      <c r="A3713" s="7"/>
    </row>
    <row r="3714" spans="1:1" x14ac:dyDescent="0.25">
      <c r="A3714" s="7"/>
    </row>
    <row r="3715" spans="1:1" x14ac:dyDescent="0.25">
      <c r="A3715" s="7"/>
    </row>
    <row r="3716" spans="1:1" x14ac:dyDescent="0.25">
      <c r="A3716" s="7"/>
    </row>
    <row r="3717" spans="1:1" x14ac:dyDescent="0.25">
      <c r="A3717" s="7"/>
    </row>
    <row r="3718" spans="1:1" x14ac:dyDescent="0.25">
      <c r="A3718" s="7"/>
    </row>
    <row r="3719" spans="1:1" x14ac:dyDescent="0.25">
      <c r="A3719" s="7"/>
    </row>
    <row r="3720" spans="1:1" x14ac:dyDescent="0.25">
      <c r="A3720" s="7"/>
    </row>
    <row r="3721" spans="1:1" x14ac:dyDescent="0.25">
      <c r="A3721" s="7"/>
    </row>
    <row r="3722" spans="1:1" x14ac:dyDescent="0.25">
      <c r="A3722" s="7"/>
    </row>
    <row r="3723" spans="1:1" x14ac:dyDescent="0.25">
      <c r="A3723" s="7"/>
    </row>
    <row r="3724" spans="1:1" x14ac:dyDescent="0.25">
      <c r="A3724" s="7"/>
    </row>
    <row r="3725" spans="1:1" x14ac:dyDescent="0.25">
      <c r="A3725" s="7"/>
    </row>
    <row r="3726" spans="1:1" x14ac:dyDescent="0.25">
      <c r="A3726" s="7"/>
    </row>
    <row r="3727" spans="1:1" x14ac:dyDescent="0.25">
      <c r="A3727" s="7"/>
    </row>
    <row r="3728" spans="1:1" x14ac:dyDescent="0.25">
      <c r="A3728" s="7"/>
    </row>
    <row r="3729" spans="1:1" x14ac:dyDescent="0.25">
      <c r="A3729" s="7"/>
    </row>
    <row r="3730" spans="1:1" x14ac:dyDescent="0.25">
      <c r="A3730" s="7"/>
    </row>
    <row r="3731" spans="1:1" x14ac:dyDescent="0.25">
      <c r="A3731" s="7"/>
    </row>
    <row r="3732" spans="1:1" x14ac:dyDescent="0.25">
      <c r="A3732" s="7"/>
    </row>
    <row r="3733" spans="1:1" x14ac:dyDescent="0.25">
      <c r="A3733" s="7"/>
    </row>
    <row r="3734" spans="1:1" x14ac:dyDescent="0.25">
      <c r="A3734" s="7"/>
    </row>
    <row r="3735" spans="1:1" x14ac:dyDescent="0.25">
      <c r="A3735" s="7"/>
    </row>
    <row r="3736" spans="1:1" x14ac:dyDescent="0.25">
      <c r="A3736" s="7"/>
    </row>
    <row r="3737" spans="1:1" x14ac:dyDescent="0.25">
      <c r="A3737" s="7"/>
    </row>
    <row r="3738" spans="1:1" x14ac:dyDescent="0.25">
      <c r="A3738" s="7"/>
    </row>
    <row r="3739" spans="1:1" x14ac:dyDescent="0.25">
      <c r="A3739" s="7"/>
    </row>
    <row r="3740" spans="1:1" x14ac:dyDescent="0.25">
      <c r="A3740" s="7"/>
    </row>
    <row r="3741" spans="1:1" x14ac:dyDescent="0.25">
      <c r="A3741" s="7"/>
    </row>
    <row r="3742" spans="1:1" x14ac:dyDescent="0.25">
      <c r="A3742" s="7"/>
    </row>
    <row r="3743" spans="1:1" x14ac:dyDescent="0.25">
      <c r="A3743" s="7"/>
    </row>
    <row r="3744" spans="1:1" x14ac:dyDescent="0.25">
      <c r="A3744" s="7"/>
    </row>
    <row r="3745" spans="1:1" x14ac:dyDescent="0.25">
      <c r="A3745" s="7"/>
    </row>
    <row r="3746" spans="1:1" x14ac:dyDescent="0.25">
      <c r="A3746" s="7"/>
    </row>
    <row r="3747" spans="1:1" x14ac:dyDescent="0.25">
      <c r="A3747" s="7"/>
    </row>
    <row r="3748" spans="1:1" x14ac:dyDescent="0.25">
      <c r="A3748" s="7"/>
    </row>
    <row r="3749" spans="1:1" x14ac:dyDescent="0.25">
      <c r="A3749" s="7"/>
    </row>
    <row r="3750" spans="1:1" x14ac:dyDescent="0.25">
      <c r="A3750" s="7"/>
    </row>
    <row r="3751" spans="1:1" x14ac:dyDescent="0.25">
      <c r="A3751" s="7"/>
    </row>
    <row r="3752" spans="1:1" x14ac:dyDescent="0.25">
      <c r="A3752" s="7"/>
    </row>
    <row r="3753" spans="1:1" x14ac:dyDescent="0.25">
      <c r="A3753" s="7"/>
    </row>
    <row r="3754" spans="1:1" x14ac:dyDescent="0.25">
      <c r="A3754" s="7"/>
    </row>
    <row r="3755" spans="1:1" x14ac:dyDescent="0.25">
      <c r="A3755" s="7"/>
    </row>
    <row r="3756" spans="1:1" x14ac:dyDescent="0.25">
      <c r="A3756" s="7"/>
    </row>
    <row r="3757" spans="1:1" x14ac:dyDescent="0.25">
      <c r="A3757" s="7"/>
    </row>
    <row r="3758" spans="1:1" x14ac:dyDescent="0.25">
      <c r="A3758" s="7"/>
    </row>
    <row r="3759" spans="1:1" x14ac:dyDescent="0.25">
      <c r="A3759" s="7"/>
    </row>
    <row r="3760" spans="1:1" x14ac:dyDescent="0.25">
      <c r="A3760" s="7"/>
    </row>
    <row r="3761" spans="1:1" x14ac:dyDescent="0.25">
      <c r="A3761" s="7"/>
    </row>
    <row r="3762" spans="1:1" x14ac:dyDescent="0.25">
      <c r="A3762" s="7"/>
    </row>
    <row r="3763" spans="1:1" x14ac:dyDescent="0.25">
      <c r="A3763" s="7"/>
    </row>
    <row r="3764" spans="1:1" x14ac:dyDescent="0.25">
      <c r="A3764" s="7"/>
    </row>
    <row r="3765" spans="1:1" x14ac:dyDescent="0.25">
      <c r="A3765" s="7"/>
    </row>
    <row r="3766" spans="1:1" x14ac:dyDescent="0.25">
      <c r="A3766" s="7"/>
    </row>
    <row r="3767" spans="1:1" x14ac:dyDescent="0.25">
      <c r="A3767" s="7"/>
    </row>
    <row r="3768" spans="1:1" x14ac:dyDescent="0.25">
      <c r="A3768" s="7"/>
    </row>
    <row r="3769" spans="1:1" x14ac:dyDescent="0.25">
      <c r="A3769" s="7"/>
    </row>
    <row r="3770" spans="1:1" x14ac:dyDescent="0.25">
      <c r="A3770" s="7"/>
    </row>
    <row r="3771" spans="1:1" x14ac:dyDescent="0.25">
      <c r="A3771" s="7"/>
    </row>
    <row r="3772" spans="1:1" x14ac:dyDescent="0.25">
      <c r="A3772" s="7"/>
    </row>
    <row r="3773" spans="1:1" x14ac:dyDescent="0.25">
      <c r="A3773" s="7"/>
    </row>
    <row r="3774" spans="1:1" x14ac:dyDescent="0.25">
      <c r="A3774" s="7"/>
    </row>
    <row r="3775" spans="1:1" x14ac:dyDescent="0.25">
      <c r="A3775" s="7"/>
    </row>
    <row r="3776" spans="1:1" x14ac:dyDescent="0.25">
      <c r="A3776" s="7"/>
    </row>
    <row r="3777" spans="1:1" x14ac:dyDescent="0.25">
      <c r="A3777" s="7"/>
    </row>
    <row r="3778" spans="1:1" x14ac:dyDescent="0.25">
      <c r="A3778" s="7"/>
    </row>
    <row r="3779" spans="1:1" x14ac:dyDescent="0.25">
      <c r="A3779" s="7"/>
    </row>
    <row r="3780" spans="1:1" x14ac:dyDescent="0.25">
      <c r="A3780" s="7"/>
    </row>
    <row r="3781" spans="1:1" x14ac:dyDescent="0.25">
      <c r="A3781" s="7"/>
    </row>
    <row r="3782" spans="1:1" x14ac:dyDescent="0.25">
      <c r="A3782" s="7"/>
    </row>
    <row r="3783" spans="1:1" x14ac:dyDescent="0.25">
      <c r="A3783" s="7"/>
    </row>
    <row r="3784" spans="1:1" x14ac:dyDescent="0.25">
      <c r="A3784" s="7"/>
    </row>
    <row r="3785" spans="1:1" x14ac:dyDescent="0.25">
      <c r="A3785" s="7"/>
    </row>
    <row r="3786" spans="1:1" x14ac:dyDescent="0.25">
      <c r="A3786" s="7"/>
    </row>
    <row r="3787" spans="1:1" x14ac:dyDescent="0.25">
      <c r="A3787" s="7"/>
    </row>
    <row r="3788" spans="1:1" x14ac:dyDescent="0.25">
      <c r="A3788" s="7"/>
    </row>
    <row r="3789" spans="1:1" x14ac:dyDescent="0.25">
      <c r="A3789" s="7"/>
    </row>
    <row r="3790" spans="1:1" x14ac:dyDescent="0.25">
      <c r="A3790" s="7"/>
    </row>
    <row r="3791" spans="1:1" x14ac:dyDescent="0.25">
      <c r="A3791" s="7"/>
    </row>
    <row r="3792" spans="1:1" x14ac:dyDescent="0.25">
      <c r="A3792" s="7"/>
    </row>
    <row r="3793" spans="1:1" x14ac:dyDescent="0.25">
      <c r="A3793" s="7"/>
    </row>
    <row r="3794" spans="1:1" x14ac:dyDescent="0.25">
      <c r="A3794" s="7"/>
    </row>
    <row r="3795" spans="1:1" x14ac:dyDescent="0.25">
      <c r="A3795" s="7"/>
    </row>
    <row r="3796" spans="1:1" x14ac:dyDescent="0.25">
      <c r="A3796" s="7"/>
    </row>
    <row r="3797" spans="1:1" x14ac:dyDescent="0.25">
      <c r="A3797" s="7"/>
    </row>
    <row r="3798" spans="1:1" x14ac:dyDescent="0.25">
      <c r="A3798" s="7"/>
    </row>
    <row r="3799" spans="1:1" x14ac:dyDescent="0.25">
      <c r="A3799" s="7"/>
    </row>
    <row r="3800" spans="1:1" x14ac:dyDescent="0.25">
      <c r="A3800" s="7"/>
    </row>
    <row r="3801" spans="1:1" x14ac:dyDescent="0.25">
      <c r="A3801" s="7"/>
    </row>
    <row r="3802" spans="1:1" x14ac:dyDescent="0.25">
      <c r="A3802" s="7"/>
    </row>
    <row r="3803" spans="1:1" x14ac:dyDescent="0.25">
      <c r="A3803" s="7"/>
    </row>
    <row r="3804" spans="1:1" x14ac:dyDescent="0.25">
      <c r="A3804" s="7"/>
    </row>
    <row r="3805" spans="1:1" x14ac:dyDescent="0.25">
      <c r="A3805" s="7"/>
    </row>
    <row r="3806" spans="1:1" x14ac:dyDescent="0.25">
      <c r="A3806" s="7"/>
    </row>
    <row r="3807" spans="1:1" x14ac:dyDescent="0.25">
      <c r="A3807" s="7"/>
    </row>
    <row r="3808" spans="1:1" x14ac:dyDescent="0.25">
      <c r="A3808" s="7"/>
    </row>
    <row r="3809" spans="1:1" x14ac:dyDescent="0.25">
      <c r="A3809" s="7"/>
    </row>
    <row r="3810" spans="1:1" x14ac:dyDescent="0.25">
      <c r="A3810" s="7"/>
    </row>
    <row r="3811" spans="1:1" x14ac:dyDescent="0.25">
      <c r="A3811" s="7"/>
    </row>
    <row r="3812" spans="1:1" x14ac:dyDescent="0.25">
      <c r="A3812" s="7"/>
    </row>
    <row r="3813" spans="1:1" x14ac:dyDescent="0.25">
      <c r="A3813" s="7"/>
    </row>
    <row r="3814" spans="1:1" x14ac:dyDescent="0.25">
      <c r="A3814" s="7"/>
    </row>
    <row r="3815" spans="1:1" x14ac:dyDescent="0.25">
      <c r="A3815" s="7"/>
    </row>
    <row r="3816" spans="1:1" x14ac:dyDescent="0.25">
      <c r="A3816" s="7"/>
    </row>
    <row r="3817" spans="1:1" x14ac:dyDescent="0.25">
      <c r="A3817" s="7"/>
    </row>
    <row r="3818" spans="1:1" x14ac:dyDescent="0.25">
      <c r="A3818" s="7"/>
    </row>
    <row r="3819" spans="1:1" x14ac:dyDescent="0.25">
      <c r="A3819" s="7"/>
    </row>
    <row r="3820" spans="1:1" x14ac:dyDescent="0.25">
      <c r="A3820" s="7"/>
    </row>
    <row r="3821" spans="1:1" x14ac:dyDescent="0.25">
      <c r="A3821" s="7"/>
    </row>
    <row r="3822" spans="1:1" x14ac:dyDescent="0.25">
      <c r="A3822" s="7"/>
    </row>
    <row r="3823" spans="1:1" x14ac:dyDescent="0.25">
      <c r="A3823" s="7"/>
    </row>
    <row r="3824" spans="1:1" x14ac:dyDescent="0.25">
      <c r="A3824" s="7"/>
    </row>
    <row r="3825" spans="1:1" x14ac:dyDescent="0.25">
      <c r="A3825" s="7"/>
    </row>
    <row r="3826" spans="1:1" x14ac:dyDescent="0.25">
      <c r="A3826" s="7"/>
    </row>
    <row r="3827" spans="1:1" x14ac:dyDescent="0.25">
      <c r="A3827" s="7"/>
    </row>
    <row r="3828" spans="1:1" x14ac:dyDescent="0.25">
      <c r="A3828" s="7"/>
    </row>
    <row r="3829" spans="1:1" x14ac:dyDescent="0.25">
      <c r="A3829" s="7"/>
    </row>
    <row r="3830" spans="1:1" x14ac:dyDescent="0.25">
      <c r="A3830" s="7"/>
    </row>
    <row r="3831" spans="1:1" x14ac:dyDescent="0.25">
      <c r="A3831" s="7"/>
    </row>
    <row r="3832" spans="1:1" x14ac:dyDescent="0.25">
      <c r="A3832" s="7"/>
    </row>
    <row r="3833" spans="1:1" x14ac:dyDescent="0.25">
      <c r="A3833" s="7"/>
    </row>
    <row r="3834" spans="1:1" x14ac:dyDescent="0.25">
      <c r="A3834" s="7"/>
    </row>
    <row r="3835" spans="1:1" x14ac:dyDescent="0.25">
      <c r="A3835" s="7"/>
    </row>
    <row r="3836" spans="1:1" x14ac:dyDescent="0.25">
      <c r="A3836" s="7"/>
    </row>
    <row r="3837" spans="1:1" x14ac:dyDescent="0.25">
      <c r="A3837" s="7"/>
    </row>
    <row r="3838" spans="1:1" x14ac:dyDescent="0.25">
      <c r="A3838" s="7"/>
    </row>
    <row r="3839" spans="1:1" x14ac:dyDescent="0.25">
      <c r="A3839" s="7"/>
    </row>
    <row r="3840" spans="1:1" x14ac:dyDescent="0.25">
      <c r="A3840" s="7"/>
    </row>
    <row r="3841" spans="1:1" x14ac:dyDescent="0.25">
      <c r="A3841" s="7"/>
    </row>
    <row r="3842" spans="1:1" x14ac:dyDescent="0.25">
      <c r="A3842" s="7"/>
    </row>
    <row r="3843" spans="1:1" x14ac:dyDescent="0.25">
      <c r="A3843" s="7"/>
    </row>
    <row r="3844" spans="1:1" x14ac:dyDescent="0.25">
      <c r="A3844" s="7"/>
    </row>
    <row r="3845" spans="1:1" x14ac:dyDescent="0.25">
      <c r="A3845" s="7"/>
    </row>
    <row r="3846" spans="1:1" x14ac:dyDescent="0.25">
      <c r="A3846" s="7"/>
    </row>
    <row r="3847" spans="1:1" x14ac:dyDescent="0.25">
      <c r="A3847" s="7"/>
    </row>
    <row r="3848" spans="1:1" x14ac:dyDescent="0.25">
      <c r="A3848" s="7"/>
    </row>
    <row r="3849" spans="1:1" x14ac:dyDescent="0.25">
      <c r="A3849" s="7"/>
    </row>
    <row r="3850" spans="1:1" x14ac:dyDescent="0.25">
      <c r="A3850" s="7"/>
    </row>
    <row r="3851" spans="1:1" x14ac:dyDescent="0.25">
      <c r="A3851" s="7"/>
    </row>
    <row r="3852" spans="1:1" x14ac:dyDescent="0.25">
      <c r="A3852" s="7"/>
    </row>
    <row r="3853" spans="1:1" x14ac:dyDescent="0.25">
      <c r="A3853" s="7"/>
    </row>
    <row r="3854" spans="1:1" x14ac:dyDescent="0.25">
      <c r="A3854" s="7"/>
    </row>
    <row r="3855" spans="1:1" x14ac:dyDescent="0.25">
      <c r="A3855" s="7"/>
    </row>
    <row r="3856" spans="1:1" x14ac:dyDescent="0.25">
      <c r="A3856" s="7"/>
    </row>
    <row r="3857" spans="1:1" x14ac:dyDescent="0.25">
      <c r="A3857" s="7"/>
    </row>
    <row r="3858" spans="1:1" x14ac:dyDescent="0.25">
      <c r="A3858" s="7"/>
    </row>
    <row r="3859" spans="1:1" x14ac:dyDescent="0.25">
      <c r="A3859" s="7"/>
    </row>
    <row r="3860" spans="1:1" x14ac:dyDescent="0.25">
      <c r="A3860" s="7"/>
    </row>
    <row r="3861" spans="1:1" x14ac:dyDescent="0.25">
      <c r="A3861" s="7"/>
    </row>
    <row r="3862" spans="1:1" x14ac:dyDescent="0.25">
      <c r="A3862" s="7"/>
    </row>
    <row r="3863" spans="1:1" x14ac:dyDescent="0.25">
      <c r="A3863" s="7"/>
    </row>
    <row r="3864" spans="1:1" x14ac:dyDescent="0.25">
      <c r="A3864" s="7"/>
    </row>
    <row r="3865" spans="1:1" x14ac:dyDescent="0.25">
      <c r="A3865" s="7"/>
    </row>
    <row r="3866" spans="1:1" x14ac:dyDescent="0.25">
      <c r="A3866" s="7"/>
    </row>
    <row r="3867" spans="1:1" x14ac:dyDescent="0.25">
      <c r="A3867" s="7"/>
    </row>
    <row r="3868" spans="1:1" x14ac:dyDescent="0.25">
      <c r="A3868" s="7"/>
    </row>
    <row r="3869" spans="1:1" x14ac:dyDescent="0.25">
      <c r="A3869" s="7"/>
    </row>
    <row r="3870" spans="1:1" x14ac:dyDescent="0.25">
      <c r="A3870" s="7"/>
    </row>
    <row r="3871" spans="1:1" x14ac:dyDescent="0.25">
      <c r="A3871" s="7"/>
    </row>
    <row r="3872" spans="1:1" x14ac:dyDescent="0.25">
      <c r="A3872" s="7"/>
    </row>
    <row r="3873" spans="1:1" x14ac:dyDescent="0.25">
      <c r="A3873" s="7"/>
    </row>
    <row r="3874" spans="1:1" x14ac:dyDescent="0.25">
      <c r="A3874" s="7"/>
    </row>
    <row r="3875" spans="1:1" x14ac:dyDescent="0.25">
      <c r="A3875" s="7"/>
    </row>
    <row r="3876" spans="1:1" x14ac:dyDescent="0.25">
      <c r="A3876" s="7"/>
    </row>
    <row r="3877" spans="1:1" x14ac:dyDescent="0.25">
      <c r="A3877" s="7"/>
    </row>
    <row r="3878" spans="1:1" x14ac:dyDescent="0.25">
      <c r="A3878" s="7"/>
    </row>
    <row r="3879" spans="1:1" x14ac:dyDescent="0.25">
      <c r="A3879" s="7"/>
    </row>
    <row r="3880" spans="1:1" x14ac:dyDescent="0.25">
      <c r="A3880" s="7"/>
    </row>
    <row r="3881" spans="1:1" x14ac:dyDescent="0.25">
      <c r="A3881" s="7"/>
    </row>
    <row r="3882" spans="1:1" x14ac:dyDescent="0.25">
      <c r="A3882" s="7"/>
    </row>
    <row r="3883" spans="1:1" x14ac:dyDescent="0.25">
      <c r="A3883" s="7"/>
    </row>
    <row r="3884" spans="1:1" x14ac:dyDescent="0.25">
      <c r="A3884" s="7"/>
    </row>
    <row r="3885" spans="1:1" x14ac:dyDescent="0.25">
      <c r="A3885" s="7"/>
    </row>
    <row r="3886" spans="1:1" x14ac:dyDescent="0.25">
      <c r="A3886" s="7"/>
    </row>
    <row r="3887" spans="1:1" x14ac:dyDescent="0.25">
      <c r="A3887" s="7"/>
    </row>
    <row r="3888" spans="1:1" x14ac:dyDescent="0.25">
      <c r="A3888" s="7"/>
    </row>
    <row r="3889" spans="1:1" x14ac:dyDescent="0.25">
      <c r="A3889" s="7"/>
    </row>
    <row r="3890" spans="1:1" x14ac:dyDescent="0.25">
      <c r="A3890" s="7"/>
    </row>
    <row r="3891" spans="1:1" x14ac:dyDescent="0.25">
      <c r="A3891" s="7"/>
    </row>
    <row r="3892" spans="1:1" x14ac:dyDescent="0.25">
      <c r="A3892" s="7"/>
    </row>
    <row r="3893" spans="1:1" x14ac:dyDescent="0.25">
      <c r="A3893" s="7"/>
    </row>
    <row r="3894" spans="1:1" x14ac:dyDescent="0.25">
      <c r="A3894" s="7"/>
    </row>
    <row r="3895" spans="1:1" x14ac:dyDescent="0.25">
      <c r="A3895" s="7"/>
    </row>
    <row r="3896" spans="1:1" x14ac:dyDescent="0.25">
      <c r="A3896" s="7"/>
    </row>
    <row r="3897" spans="1:1" x14ac:dyDescent="0.25">
      <c r="A3897" s="7"/>
    </row>
    <row r="3898" spans="1:1" x14ac:dyDescent="0.25">
      <c r="A3898" s="7"/>
    </row>
    <row r="3899" spans="1:1" x14ac:dyDescent="0.25">
      <c r="A3899" s="7"/>
    </row>
    <row r="3900" spans="1:1" x14ac:dyDescent="0.25">
      <c r="A3900" s="7"/>
    </row>
    <row r="3901" spans="1:1" x14ac:dyDescent="0.25">
      <c r="A3901" s="7"/>
    </row>
    <row r="3902" spans="1:1" x14ac:dyDescent="0.25">
      <c r="A3902" s="7"/>
    </row>
    <row r="3903" spans="1:1" x14ac:dyDescent="0.25">
      <c r="A3903" s="7"/>
    </row>
    <row r="3904" spans="1:1" x14ac:dyDescent="0.25">
      <c r="A3904" s="7"/>
    </row>
    <row r="3905" spans="1:1" x14ac:dyDescent="0.25">
      <c r="A3905" s="7"/>
    </row>
    <row r="3906" spans="1:1" x14ac:dyDescent="0.25">
      <c r="A3906" s="7"/>
    </row>
    <row r="3907" spans="1:1" x14ac:dyDescent="0.25">
      <c r="A3907" s="7"/>
    </row>
    <row r="3908" spans="1:1" x14ac:dyDescent="0.25">
      <c r="A3908" s="7"/>
    </row>
    <row r="3909" spans="1:1" x14ac:dyDescent="0.25">
      <c r="A3909" s="7"/>
    </row>
    <row r="3910" spans="1:1" x14ac:dyDescent="0.25">
      <c r="A3910" s="7"/>
    </row>
    <row r="3911" spans="1:1" x14ac:dyDescent="0.25">
      <c r="A3911" s="7"/>
    </row>
    <row r="3912" spans="1:1" x14ac:dyDescent="0.25">
      <c r="A3912" s="7"/>
    </row>
    <row r="3913" spans="1:1" x14ac:dyDescent="0.25">
      <c r="A3913" s="7"/>
    </row>
    <row r="3914" spans="1:1" x14ac:dyDescent="0.25">
      <c r="A3914" s="7"/>
    </row>
    <row r="3915" spans="1:1" x14ac:dyDescent="0.25">
      <c r="A3915" s="7"/>
    </row>
    <row r="3916" spans="1:1" x14ac:dyDescent="0.25">
      <c r="A3916" s="7"/>
    </row>
    <row r="3917" spans="1:1" x14ac:dyDescent="0.25">
      <c r="A3917" s="7"/>
    </row>
    <row r="3918" spans="1:1" x14ac:dyDescent="0.25">
      <c r="A3918" s="7"/>
    </row>
    <row r="3919" spans="1:1" x14ac:dyDescent="0.25">
      <c r="A3919" s="7"/>
    </row>
    <row r="3920" spans="1:1" x14ac:dyDescent="0.25">
      <c r="A3920" s="7"/>
    </row>
    <row r="3921" spans="1:1" x14ac:dyDescent="0.25">
      <c r="A3921" s="7"/>
    </row>
    <row r="3922" spans="1:1" x14ac:dyDescent="0.25">
      <c r="A3922" s="7"/>
    </row>
    <row r="3923" spans="1:1" x14ac:dyDescent="0.25">
      <c r="A3923" s="7"/>
    </row>
    <row r="3924" spans="1:1" x14ac:dyDescent="0.25">
      <c r="A3924" s="7"/>
    </row>
    <row r="3925" spans="1:1" x14ac:dyDescent="0.25">
      <c r="A3925" s="7"/>
    </row>
    <row r="3926" spans="1:1" x14ac:dyDescent="0.25">
      <c r="A3926" s="7"/>
    </row>
    <row r="3927" spans="1:1" x14ac:dyDescent="0.25">
      <c r="A3927" s="7"/>
    </row>
    <row r="3928" spans="1:1" x14ac:dyDescent="0.25">
      <c r="A3928" s="7"/>
    </row>
    <row r="3929" spans="1:1" x14ac:dyDescent="0.25">
      <c r="A3929" s="7"/>
    </row>
    <row r="3930" spans="1:1" x14ac:dyDescent="0.25">
      <c r="A3930" s="7"/>
    </row>
    <row r="3931" spans="1:1" x14ac:dyDescent="0.25">
      <c r="A3931" s="7"/>
    </row>
    <row r="3932" spans="1:1" x14ac:dyDescent="0.25">
      <c r="A3932" s="7"/>
    </row>
    <row r="3933" spans="1:1" x14ac:dyDescent="0.25">
      <c r="A3933" s="7"/>
    </row>
    <row r="3934" spans="1:1" x14ac:dyDescent="0.25">
      <c r="A3934" s="7"/>
    </row>
    <row r="3935" spans="1:1" x14ac:dyDescent="0.25">
      <c r="A3935" s="7"/>
    </row>
    <row r="3936" spans="1:1" x14ac:dyDescent="0.25">
      <c r="A3936" s="7"/>
    </row>
    <row r="3937" spans="1:1" x14ac:dyDescent="0.25">
      <c r="A3937" s="7"/>
    </row>
    <row r="3938" spans="1:1" x14ac:dyDescent="0.25">
      <c r="A3938" s="7"/>
    </row>
    <row r="3939" spans="1:1" x14ac:dyDescent="0.25">
      <c r="A3939" s="7"/>
    </row>
    <row r="3940" spans="1:1" x14ac:dyDescent="0.25">
      <c r="A3940" s="7"/>
    </row>
    <row r="3941" spans="1:1" x14ac:dyDescent="0.25">
      <c r="A3941" s="7"/>
    </row>
    <row r="3942" spans="1:1" x14ac:dyDescent="0.25">
      <c r="A3942" s="7"/>
    </row>
    <row r="3943" spans="1:1" x14ac:dyDescent="0.25">
      <c r="A3943" s="7"/>
    </row>
    <row r="3944" spans="1:1" x14ac:dyDescent="0.25">
      <c r="A3944" s="7"/>
    </row>
    <row r="3945" spans="1:1" x14ac:dyDescent="0.25">
      <c r="A3945" s="7"/>
    </row>
    <row r="3946" spans="1:1" x14ac:dyDescent="0.25">
      <c r="A3946" s="7"/>
    </row>
    <row r="3947" spans="1:1" x14ac:dyDescent="0.25">
      <c r="A3947" s="7"/>
    </row>
    <row r="3948" spans="1:1" x14ac:dyDescent="0.25">
      <c r="A3948" s="7"/>
    </row>
    <row r="3949" spans="1:1" x14ac:dyDescent="0.25">
      <c r="A3949" s="7"/>
    </row>
    <row r="3950" spans="1:1" x14ac:dyDescent="0.25">
      <c r="A3950" s="7"/>
    </row>
    <row r="3951" spans="1:1" x14ac:dyDescent="0.25">
      <c r="A3951" s="7"/>
    </row>
    <row r="3952" spans="1:1" x14ac:dyDescent="0.25">
      <c r="A3952" s="7"/>
    </row>
    <row r="3953" spans="1:1" x14ac:dyDescent="0.25">
      <c r="A3953" s="7"/>
    </row>
    <row r="3954" spans="1:1" x14ac:dyDescent="0.25">
      <c r="A3954" s="7"/>
    </row>
    <row r="3955" spans="1:1" x14ac:dyDescent="0.25">
      <c r="A3955" s="7"/>
    </row>
    <row r="3956" spans="1:1" x14ac:dyDescent="0.25">
      <c r="A3956" s="7"/>
    </row>
    <row r="3957" spans="1:1" x14ac:dyDescent="0.25">
      <c r="A3957" s="7"/>
    </row>
    <row r="3958" spans="1:1" x14ac:dyDescent="0.25">
      <c r="A3958" s="7"/>
    </row>
    <row r="3959" spans="1:1" x14ac:dyDescent="0.25">
      <c r="A3959" s="7"/>
    </row>
    <row r="3960" spans="1:1" x14ac:dyDescent="0.25">
      <c r="A3960" s="7"/>
    </row>
    <row r="3961" spans="1:1" x14ac:dyDescent="0.25">
      <c r="A3961" s="7"/>
    </row>
    <row r="3962" spans="1:1" x14ac:dyDescent="0.25">
      <c r="A3962" s="7"/>
    </row>
    <row r="3963" spans="1:1" x14ac:dyDescent="0.25">
      <c r="A3963" s="7"/>
    </row>
    <row r="3964" spans="1:1" x14ac:dyDescent="0.25">
      <c r="A3964" s="7"/>
    </row>
    <row r="3965" spans="1:1" x14ac:dyDescent="0.25">
      <c r="A3965" s="7"/>
    </row>
    <row r="3966" spans="1:1" x14ac:dyDescent="0.25">
      <c r="A3966" s="7"/>
    </row>
    <row r="3967" spans="1:1" x14ac:dyDescent="0.25">
      <c r="A3967" s="7"/>
    </row>
    <row r="3968" spans="1:1" x14ac:dyDescent="0.25">
      <c r="A3968" s="7"/>
    </row>
    <row r="3969" spans="1:1" x14ac:dyDescent="0.25">
      <c r="A3969" s="7"/>
    </row>
    <row r="3970" spans="1:1" x14ac:dyDescent="0.25">
      <c r="A3970" s="7"/>
    </row>
    <row r="3971" spans="1:1" x14ac:dyDescent="0.25">
      <c r="A3971" s="7"/>
    </row>
    <row r="3972" spans="1:1" x14ac:dyDescent="0.25">
      <c r="A3972" s="7"/>
    </row>
    <row r="3973" spans="1:1" x14ac:dyDescent="0.25">
      <c r="A3973" s="7"/>
    </row>
    <row r="3974" spans="1:1" x14ac:dyDescent="0.25">
      <c r="A3974" s="7"/>
    </row>
    <row r="3975" spans="1:1" x14ac:dyDescent="0.25">
      <c r="A3975" s="7"/>
    </row>
    <row r="3976" spans="1:1" x14ac:dyDescent="0.25">
      <c r="A3976" s="7"/>
    </row>
    <row r="3977" spans="1:1" x14ac:dyDescent="0.25">
      <c r="A3977" s="7"/>
    </row>
    <row r="3978" spans="1:1" x14ac:dyDescent="0.25">
      <c r="A3978" s="7"/>
    </row>
    <row r="3979" spans="1:1" x14ac:dyDescent="0.25">
      <c r="A3979" s="7"/>
    </row>
    <row r="3980" spans="1:1" x14ac:dyDescent="0.25">
      <c r="A3980" s="7"/>
    </row>
    <row r="3981" spans="1:1" x14ac:dyDescent="0.25">
      <c r="A3981" s="7"/>
    </row>
    <row r="3982" spans="1:1" x14ac:dyDescent="0.25">
      <c r="A3982" s="7"/>
    </row>
    <row r="3983" spans="1:1" x14ac:dyDescent="0.25">
      <c r="A3983" s="7"/>
    </row>
    <row r="3984" spans="1:1" x14ac:dyDescent="0.25">
      <c r="A3984" s="7"/>
    </row>
    <row r="3985" spans="1:1" x14ac:dyDescent="0.25">
      <c r="A3985" s="7"/>
    </row>
    <row r="3986" spans="1:1" x14ac:dyDescent="0.25">
      <c r="A3986" s="7"/>
    </row>
    <row r="3987" spans="1:1" x14ac:dyDescent="0.25">
      <c r="A3987" s="7"/>
    </row>
    <row r="3988" spans="1:1" x14ac:dyDescent="0.25">
      <c r="A3988" s="7"/>
    </row>
    <row r="3989" spans="1:1" x14ac:dyDescent="0.25">
      <c r="A3989" s="7"/>
    </row>
    <row r="3990" spans="1:1" x14ac:dyDescent="0.25">
      <c r="A3990" s="7"/>
    </row>
    <row r="3991" spans="1:1" x14ac:dyDescent="0.25">
      <c r="A3991" s="7"/>
    </row>
    <row r="3992" spans="1:1" x14ac:dyDescent="0.25">
      <c r="A3992" s="7"/>
    </row>
    <row r="3993" spans="1:1" x14ac:dyDescent="0.25">
      <c r="A3993" s="7"/>
    </row>
    <row r="3994" spans="1:1" x14ac:dyDescent="0.25">
      <c r="A3994" s="7"/>
    </row>
    <row r="3995" spans="1:1" x14ac:dyDescent="0.25">
      <c r="A3995" s="7"/>
    </row>
    <row r="3996" spans="1:1" x14ac:dyDescent="0.25">
      <c r="A3996" s="7"/>
    </row>
    <row r="3997" spans="1:1" x14ac:dyDescent="0.25">
      <c r="A3997" s="7"/>
    </row>
    <row r="3998" spans="1:1" x14ac:dyDescent="0.25">
      <c r="A3998" s="7"/>
    </row>
    <row r="3999" spans="1:1" x14ac:dyDescent="0.25">
      <c r="A3999" s="7"/>
    </row>
    <row r="4000" spans="1:1" x14ac:dyDescent="0.25">
      <c r="A4000" s="7"/>
    </row>
    <row r="4001" spans="1:1" x14ac:dyDescent="0.25">
      <c r="A4001" s="7"/>
    </row>
    <row r="4002" spans="1:1" x14ac:dyDescent="0.25">
      <c r="A4002" s="7"/>
    </row>
    <row r="4003" spans="1:1" x14ac:dyDescent="0.25">
      <c r="A4003" s="7"/>
    </row>
    <row r="4004" spans="1:1" x14ac:dyDescent="0.25">
      <c r="A4004" s="7"/>
    </row>
    <row r="4005" spans="1:1" x14ac:dyDescent="0.25">
      <c r="A4005" s="7"/>
    </row>
    <row r="4006" spans="1:1" x14ac:dyDescent="0.25">
      <c r="A4006" s="7"/>
    </row>
    <row r="4007" spans="1:1" x14ac:dyDescent="0.25">
      <c r="A4007" s="7"/>
    </row>
    <row r="4008" spans="1:1" x14ac:dyDescent="0.25">
      <c r="A4008" s="7"/>
    </row>
    <row r="4009" spans="1:1" x14ac:dyDescent="0.25">
      <c r="A4009" s="7"/>
    </row>
    <row r="4010" spans="1:1" x14ac:dyDescent="0.25">
      <c r="A4010" s="7"/>
    </row>
    <row r="4011" spans="1:1" x14ac:dyDescent="0.25">
      <c r="A4011" s="7"/>
    </row>
    <row r="4012" spans="1:1" x14ac:dyDescent="0.25">
      <c r="A4012" s="7"/>
    </row>
    <row r="4013" spans="1:1" x14ac:dyDescent="0.25">
      <c r="A4013" s="7"/>
    </row>
    <row r="4014" spans="1:1" x14ac:dyDescent="0.25">
      <c r="A4014" s="7"/>
    </row>
    <row r="4015" spans="1:1" x14ac:dyDescent="0.25">
      <c r="A4015" s="7"/>
    </row>
    <row r="4016" spans="1:1" x14ac:dyDescent="0.25">
      <c r="A4016" s="7"/>
    </row>
    <row r="4017" spans="1:1" x14ac:dyDescent="0.25">
      <c r="A4017" s="7"/>
    </row>
    <row r="4018" spans="1:1" x14ac:dyDescent="0.25">
      <c r="A4018" s="7"/>
    </row>
    <row r="4019" spans="1:1" x14ac:dyDescent="0.25">
      <c r="A4019" s="7"/>
    </row>
    <row r="4020" spans="1:1" x14ac:dyDescent="0.25">
      <c r="A4020" s="7"/>
    </row>
    <row r="4021" spans="1:1" x14ac:dyDescent="0.25">
      <c r="A4021" s="7"/>
    </row>
    <row r="4022" spans="1:1" x14ac:dyDescent="0.25">
      <c r="A4022" s="7"/>
    </row>
    <row r="4023" spans="1:1" x14ac:dyDescent="0.25">
      <c r="A4023" s="7"/>
    </row>
    <row r="4024" spans="1:1" x14ac:dyDescent="0.25">
      <c r="A4024" s="7"/>
    </row>
    <row r="4025" spans="1:1" x14ac:dyDescent="0.25">
      <c r="A4025" s="7"/>
    </row>
    <row r="4026" spans="1:1" x14ac:dyDescent="0.25">
      <c r="A4026" s="7"/>
    </row>
    <row r="4027" spans="1:1" x14ac:dyDescent="0.25">
      <c r="A4027" s="7"/>
    </row>
    <row r="4028" spans="1:1" x14ac:dyDescent="0.25">
      <c r="A4028" s="7"/>
    </row>
    <row r="4029" spans="1:1" x14ac:dyDescent="0.25">
      <c r="A4029" s="7"/>
    </row>
    <row r="4030" spans="1:1" x14ac:dyDescent="0.25">
      <c r="A4030" s="7"/>
    </row>
    <row r="4031" spans="1:1" x14ac:dyDescent="0.25">
      <c r="A4031" s="7"/>
    </row>
    <row r="4032" spans="1:1" x14ac:dyDescent="0.25">
      <c r="A4032" s="7"/>
    </row>
    <row r="4033" spans="1:1" x14ac:dyDescent="0.25">
      <c r="A4033" s="7"/>
    </row>
    <row r="4034" spans="1:1" x14ac:dyDescent="0.25">
      <c r="A4034" s="7"/>
    </row>
    <row r="4035" spans="1:1" x14ac:dyDescent="0.25">
      <c r="A4035" s="7"/>
    </row>
    <row r="4036" spans="1:1" x14ac:dyDescent="0.25">
      <c r="A4036" s="7"/>
    </row>
    <row r="4037" spans="1:1" x14ac:dyDescent="0.25">
      <c r="A4037" s="7"/>
    </row>
    <row r="4038" spans="1:1" x14ac:dyDescent="0.25">
      <c r="A4038" s="7"/>
    </row>
    <row r="4039" spans="1:1" x14ac:dyDescent="0.25">
      <c r="A4039" s="7"/>
    </row>
    <row r="4040" spans="1:1" x14ac:dyDescent="0.25">
      <c r="A4040" s="7"/>
    </row>
    <row r="4041" spans="1:1" x14ac:dyDescent="0.25">
      <c r="A4041" s="7"/>
    </row>
    <row r="4042" spans="1:1" x14ac:dyDescent="0.25">
      <c r="A4042" s="7"/>
    </row>
    <row r="4043" spans="1:1" x14ac:dyDescent="0.25">
      <c r="A4043" s="7"/>
    </row>
    <row r="4044" spans="1:1" x14ac:dyDescent="0.25">
      <c r="A4044" s="7"/>
    </row>
    <row r="4045" spans="1:1" x14ac:dyDescent="0.25">
      <c r="A4045" s="7"/>
    </row>
    <row r="4046" spans="1:1" x14ac:dyDescent="0.25">
      <c r="A4046" s="7"/>
    </row>
    <row r="4047" spans="1:1" x14ac:dyDescent="0.25">
      <c r="A4047" s="7"/>
    </row>
    <row r="4048" spans="1:1" x14ac:dyDescent="0.25">
      <c r="A4048" s="7"/>
    </row>
    <row r="4049" spans="1:1" x14ac:dyDescent="0.25">
      <c r="A4049" s="7"/>
    </row>
    <row r="4050" spans="1:1" x14ac:dyDescent="0.25">
      <c r="A4050" s="7"/>
    </row>
    <row r="4051" spans="1:1" x14ac:dyDescent="0.25">
      <c r="A4051" s="7"/>
    </row>
    <row r="4052" spans="1:1" x14ac:dyDescent="0.25">
      <c r="A4052" s="7"/>
    </row>
    <row r="4053" spans="1:1" x14ac:dyDescent="0.25">
      <c r="A4053" s="7"/>
    </row>
    <row r="4054" spans="1:1" x14ac:dyDescent="0.25">
      <c r="A4054" s="7"/>
    </row>
    <row r="4055" spans="1:1" x14ac:dyDescent="0.25">
      <c r="A4055" s="7"/>
    </row>
    <row r="4056" spans="1:1" x14ac:dyDescent="0.25">
      <c r="A4056" s="7"/>
    </row>
    <row r="4057" spans="1:1" x14ac:dyDescent="0.25">
      <c r="A4057" s="7"/>
    </row>
    <row r="4058" spans="1:1" x14ac:dyDescent="0.25">
      <c r="A4058" s="7"/>
    </row>
    <row r="4059" spans="1:1" x14ac:dyDescent="0.25">
      <c r="A4059" s="7"/>
    </row>
    <row r="4060" spans="1:1" x14ac:dyDescent="0.25">
      <c r="A4060" s="7"/>
    </row>
    <row r="4061" spans="1:1" x14ac:dyDescent="0.25">
      <c r="A4061" s="7"/>
    </row>
    <row r="4062" spans="1:1" x14ac:dyDescent="0.25">
      <c r="A4062" s="7"/>
    </row>
    <row r="4063" spans="1:1" x14ac:dyDescent="0.25">
      <c r="A4063" s="7"/>
    </row>
    <row r="4064" spans="1:1" x14ac:dyDescent="0.25">
      <c r="A4064" s="7"/>
    </row>
    <row r="4065" spans="1:1" x14ac:dyDescent="0.25">
      <c r="A4065" s="7"/>
    </row>
    <row r="4066" spans="1:1" x14ac:dyDescent="0.25">
      <c r="A4066" s="7"/>
    </row>
    <row r="4067" spans="1:1" x14ac:dyDescent="0.25">
      <c r="A4067" s="7"/>
    </row>
    <row r="4068" spans="1:1" x14ac:dyDescent="0.25">
      <c r="A4068" s="7"/>
    </row>
    <row r="4069" spans="1:1" x14ac:dyDescent="0.25">
      <c r="A4069" s="7"/>
    </row>
    <row r="4070" spans="1:1" x14ac:dyDescent="0.25">
      <c r="A4070" s="7"/>
    </row>
    <row r="4071" spans="1:1" x14ac:dyDescent="0.25">
      <c r="A4071" s="7"/>
    </row>
    <row r="4072" spans="1:1" x14ac:dyDescent="0.25">
      <c r="A4072" s="7"/>
    </row>
    <row r="4073" spans="1:1" x14ac:dyDescent="0.25">
      <c r="A4073" s="7"/>
    </row>
    <row r="4074" spans="1:1" x14ac:dyDescent="0.25">
      <c r="A4074" s="7"/>
    </row>
    <row r="4075" spans="1:1" x14ac:dyDescent="0.25">
      <c r="A4075" s="7"/>
    </row>
    <row r="4076" spans="1:1" x14ac:dyDescent="0.25">
      <c r="A4076" s="7"/>
    </row>
    <row r="4077" spans="1:1" x14ac:dyDescent="0.25">
      <c r="A4077" s="7"/>
    </row>
    <row r="4078" spans="1:1" x14ac:dyDescent="0.25">
      <c r="A4078" s="7"/>
    </row>
    <row r="4079" spans="1:1" x14ac:dyDescent="0.25">
      <c r="A4079" s="7"/>
    </row>
    <row r="4080" spans="1:1" x14ac:dyDescent="0.25">
      <c r="A4080" s="7"/>
    </row>
    <row r="4081" spans="1:1" x14ac:dyDescent="0.25">
      <c r="A4081" s="7"/>
    </row>
    <row r="4082" spans="1:1" x14ac:dyDescent="0.25">
      <c r="A4082" s="7"/>
    </row>
    <row r="4083" spans="1:1" x14ac:dyDescent="0.25">
      <c r="A4083" s="7"/>
    </row>
    <row r="4084" spans="1:1" x14ac:dyDescent="0.25">
      <c r="A4084" s="7"/>
    </row>
    <row r="4085" spans="1:1" x14ac:dyDescent="0.25">
      <c r="A4085" s="7"/>
    </row>
    <row r="4086" spans="1:1" x14ac:dyDescent="0.25">
      <c r="A4086" s="7"/>
    </row>
    <row r="4087" spans="1:1" x14ac:dyDescent="0.25">
      <c r="A4087" s="7"/>
    </row>
    <row r="4088" spans="1:1" x14ac:dyDescent="0.25">
      <c r="A4088" s="7"/>
    </row>
    <row r="4089" spans="1:1" x14ac:dyDescent="0.25">
      <c r="A4089" s="7"/>
    </row>
    <row r="4090" spans="1:1" x14ac:dyDescent="0.25">
      <c r="A4090" s="7"/>
    </row>
    <row r="4091" spans="1:1" x14ac:dyDescent="0.25">
      <c r="A4091" s="7"/>
    </row>
    <row r="4092" spans="1:1" x14ac:dyDescent="0.25">
      <c r="A4092" s="7"/>
    </row>
    <row r="4093" spans="1:1" x14ac:dyDescent="0.25">
      <c r="A4093" s="7"/>
    </row>
    <row r="4094" spans="1:1" x14ac:dyDescent="0.25">
      <c r="A4094" s="7"/>
    </row>
    <row r="4095" spans="1:1" x14ac:dyDescent="0.25">
      <c r="A4095" s="7"/>
    </row>
    <row r="4096" spans="1:1" x14ac:dyDescent="0.25">
      <c r="A4096" s="7"/>
    </row>
    <row r="4097" spans="1:1" x14ac:dyDescent="0.25">
      <c r="A4097" s="7"/>
    </row>
    <row r="4098" spans="1:1" x14ac:dyDescent="0.25">
      <c r="A4098" s="7"/>
    </row>
    <row r="4099" spans="1:1" x14ac:dyDescent="0.25">
      <c r="A4099" s="7"/>
    </row>
    <row r="4100" spans="1:1" x14ac:dyDescent="0.25">
      <c r="A4100" s="7"/>
    </row>
    <row r="4101" spans="1:1" x14ac:dyDescent="0.25">
      <c r="A4101" s="7"/>
    </row>
    <row r="4102" spans="1:1" x14ac:dyDescent="0.25">
      <c r="A4102" s="7"/>
    </row>
    <row r="4103" spans="1:1" x14ac:dyDescent="0.25">
      <c r="A4103" s="7"/>
    </row>
    <row r="4104" spans="1:1" x14ac:dyDescent="0.25">
      <c r="A4104" s="7"/>
    </row>
    <row r="4105" spans="1:1" x14ac:dyDescent="0.25">
      <c r="A4105" s="7"/>
    </row>
    <row r="4106" spans="1:1" x14ac:dyDescent="0.25">
      <c r="A4106" s="7"/>
    </row>
    <row r="4107" spans="1:1" x14ac:dyDescent="0.25">
      <c r="A4107" s="7"/>
    </row>
    <row r="4108" spans="1:1" x14ac:dyDescent="0.25">
      <c r="A4108" s="7"/>
    </row>
    <row r="4109" spans="1:1" x14ac:dyDescent="0.25">
      <c r="A4109" s="7"/>
    </row>
    <row r="4110" spans="1:1" x14ac:dyDescent="0.25">
      <c r="A4110" s="7"/>
    </row>
    <row r="4111" spans="1:1" x14ac:dyDescent="0.25">
      <c r="A4111" s="7"/>
    </row>
    <row r="4112" spans="1:1" x14ac:dyDescent="0.25">
      <c r="A4112" s="7"/>
    </row>
    <row r="4113" spans="1:1" x14ac:dyDescent="0.25">
      <c r="A4113" s="7"/>
    </row>
    <row r="4114" spans="1:1" x14ac:dyDescent="0.25">
      <c r="A4114" s="7"/>
    </row>
    <row r="4115" spans="1:1" x14ac:dyDescent="0.25">
      <c r="A4115" s="7"/>
    </row>
    <row r="4116" spans="1:1" x14ac:dyDescent="0.25">
      <c r="A4116" s="7"/>
    </row>
    <row r="4117" spans="1:1" x14ac:dyDescent="0.25">
      <c r="A4117" s="7"/>
    </row>
    <row r="4118" spans="1:1" x14ac:dyDescent="0.25">
      <c r="A4118" s="7"/>
    </row>
    <row r="4119" spans="1:1" x14ac:dyDescent="0.25">
      <c r="A4119" s="7"/>
    </row>
    <row r="4120" spans="1:1" x14ac:dyDescent="0.25">
      <c r="A4120" s="7"/>
    </row>
    <row r="4121" spans="1:1" x14ac:dyDescent="0.25">
      <c r="A4121" s="7"/>
    </row>
    <row r="4122" spans="1:1" x14ac:dyDescent="0.25">
      <c r="A4122" s="7"/>
    </row>
    <row r="4123" spans="1:1" x14ac:dyDescent="0.25">
      <c r="A4123" s="7"/>
    </row>
    <row r="4124" spans="1:1" x14ac:dyDescent="0.25">
      <c r="A4124" s="7"/>
    </row>
    <row r="4125" spans="1:1" x14ac:dyDescent="0.25">
      <c r="A4125" s="7"/>
    </row>
    <row r="4126" spans="1:1" x14ac:dyDescent="0.25">
      <c r="A4126" s="7"/>
    </row>
    <row r="4127" spans="1:1" x14ac:dyDescent="0.25">
      <c r="A4127" s="7"/>
    </row>
    <row r="4128" spans="1:1" x14ac:dyDescent="0.25">
      <c r="A4128" s="7"/>
    </row>
    <row r="4129" spans="1:1" x14ac:dyDescent="0.25">
      <c r="A4129" s="7"/>
    </row>
    <row r="4130" spans="1:1" x14ac:dyDescent="0.25">
      <c r="A4130" s="7"/>
    </row>
    <row r="4131" spans="1:1" x14ac:dyDescent="0.25">
      <c r="A4131" s="7"/>
    </row>
    <row r="4132" spans="1:1" x14ac:dyDescent="0.25">
      <c r="A4132" s="7"/>
    </row>
    <row r="4133" spans="1:1" x14ac:dyDescent="0.25">
      <c r="A4133" s="7"/>
    </row>
    <row r="4134" spans="1:1" x14ac:dyDescent="0.25">
      <c r="A4134" s="7"/>
    </row>
    <row r="4135" spans="1:1" x14ac:dyDescent="0.25">
      <c r="A4135" s="7"/>
    </row>
    <row r="4136" spans="1:1" x14ac:dyDescent="0.25">
      <c r="A4136" s="7"/>
    </row>
    <row r="4137" spans="1:1" x14ac:dyDescent="0.25">
      <c r="A4137" s="7"/>
    </row>
    <row r="4138" spans="1:1" x14ac:dyDescent="0.25">
      <c r="A4138" s="7"/>
    </row>
    <row r="4139" spans="1:1" x14ac:dyDescent="0.25">
      <c r="A4139" s="7"/>
    </row>
    <row r="4140" spans="1:1" x14ac:dyDescent="0.25">
      <c r="A4140" s="7"/>
    </row>
    <row r="4141" spans="1:1" x14ac:dyDescent="0.25">
      <c r="A4141" s="7"/>
    </row>
    <row r="4142" spans="1:1" x14ac:dyDescent="0.25">
      <c r="A4142" s="7"/>
    </row>
    <row r="4143" spans="1:1" x14ac:dyDescent="0.25">
      <c r="A4143" s="7"/>
    </row>
    <row r="4144" spans="1:1" x14ac:dyDescent="0.25">
      <c r="A4144" s="7"/>
    </row>
    <row r="4145" spans="1:1" x14ac:dyDescent="0.25">
      <c r="A4145" s="7"/>
    </row>
    <row r="4146" spans="1:1" x14ac:dyDescent="0.25">
      <c r="A4146" s="7"/>
    </row>
    <row r="4147" spans="1:1" x14ac:dyDescent="0.25">
      <c r="A4147" s="7"/>
    </row>
    <row r="4148" spans="1:1" x14ac:dyDescent="0.25">
      <c r="A4148" s="7"/>
    </row>
    <row r="4149" spans="1:1" x14ac:dyDescent="0.25">
      <c r="A4149" s="7"/>
    </row>
    <row r="4150" spans="1:1" x14ac:dyDescent="0.25">
      <c r="A4150" s="7"/>
    </row>
    <row r="4151" spans="1:1" x14ac:dyDescent="0.25">
      <c r="A4151" s="7"/>
    </row>
    <row r="4152" spans="1:1" x14ac:dyDescent="0.25">
      <c r="A4152" s="7"/>
    </row>
    <row r="4153" spans="1:1" x14ac:dyDescent="0.25">
      <c r="A4153" s="7"/>
    </row>
    <row r="4154" spans="1:1" x14ac:dyDescent="0.25">
      <c r="A4154" s="7"/>
    </row>
    <row r="4155" spans="1:1" x14ac:dyDescent="0.25">
      <c r="A4155" s="7"/>
    </row>
    <row r="4156" spans="1:1" x14ac:dyDescent="0.25">
      <c r="A4156" s="7"/>
    </row>
    <row r="4157" spans="1:1" x14ac:dyDescent="0.25">
      <c r="A4157" s="7"/>
    </row>
    <row r="4158" spans="1:1" x14ac:dyDescent="0.25">
      <c r="A4158" s="7"/>
    </row>
    <row r="4159" spans="1:1" x14ac:dyDescent="0.25">
      <c r="A4159" s="7"/>
    </row>
    <row r="4160" spans="1:1" x14ac:dyDescent="0.25">
      <c r="A4160" s="7"/>
    </row>
    <row r="4161" spans="1:1" x14ac:dyDescent="0.25">
      <c r="A4161" s="7"/>
    </row>
    <row r="4162" spans="1:1" x14ac:dyDescent="0.25">
      <c r="A4162" s="7"/>
    </row>
    <row r="4163" spans="1:1" x14ac:dyDescent="0.25">
      <c r="A4163" s="7"/>
    </row>
    <row r="4164" spans="1:1" x14ac:dyDescent="0.25">
      <c r="A4164" s="7"/>
    </row>
    <row r="4165" spans="1:1" x14ac:dyDescent="0.25">
      <c r="A4165" s="7"/>
    </row>
    <row r="4166" spans="1:1" x14ac:dyDescent="0.25">
      <c r="A4166" s="7"/>
    </row>
    <row r="4167" spans="1:1" x14ac:dyDescent="0.25">
      <c r="A4167" s="7"/>
    </row>
    <row r="4168" spans="1:1" x14ac:dyDescent="0.25">
      <c r="A4168" s="7"/>
    </row>
    <row r="4169" spans="1:1" x14ac:dyDescent="0.25">
      <c r="A4169" s="7"/>
    </row>
    <row r="4170" spans="1:1" x14ac:dyDescent="0.25">
      <c r="A4170" s="7"/>
    </row>
    <row r="4171" spans="1:1" x14ac:dyDescent="0.25">
      <c r="A4171" s="7"/>
    </row>
    <row r="4172" spans="1:1" x14ac:dyDescent="0.25">
      <c r="A4172" s="7"/>
    </row>
    <row r="4173" spans="1:1" x14ac:dyDescent="0.25">
      <c r="A4173" s="7"/>
    </row>
    <row r="4174" spans="1:1" x14ac:dyDescent="0.25">
      <c r="A4174" s="7"/>
    </row>
    <row r="4175" spans="1:1" x14ac:dyDescent="0.25">
      <c r="A4175" s="7"/>
    </row>
    <row r="4176" spans="1:1" x14ac:dyDescent="0.25">
      <c r="A4176" s="7"/>
    </row>
    <row r="4177" spans="1:1" x14ac:dyDescent="0.25">
      <c r="A4177" s="7"/>
    </row>
    <row r="4178" spans="1:1" x14ac:dyDescent="0.25">
      <c r="A4178" s="7"/>
    </row>
    <row r="4179" spans="1:1" x14ac:dyDescent="0.25">
      <c r="A4179" s="7"/>
    </row>
    <row r="4180" spans="1:1" x14ac:dyDescent="0.25">
      <c r="A4180" s="7"/>
    </row>
    <row r="4181" spans="1:1" x14ac:dyDescent="0.25">
      <c r="A4181" s="7"/>
    </row>
    <row r="4182" spans="1:1" x14ac:dyDescent="0.25">
      <c r="A4182" s="7"/>
    </row>
    <row r="4183" spans="1:1" x14ac:dyDescent="0.25">
      <c r="A4183" s="7"/>
    </row>
    <row r="4184" spans="1:1" x14ac:dyDescent="0.25">
      <c r="A4184" s="7"/>
    </row>
    <row r="4185" spans="1:1" x14ac:dyDescent="0.25">
      <c r="A4185" s="7"/>
    </row>
    <row r="4186" spans="1:1" x14ac:dyDescent="0.25">
      <c r="A4186" s="7"/>
    </row>
    <row r="4187" spans="1:1" x14ac:dyDescent="0.25">
      <c r="A4187" s="7"/>
    </row>
    <row r="4188" spans="1:1" x14ac:dyDescent="0.25">
      <c r="A4188" s="7"/>
    </row>
    <row r="4189" spans="1:1" x14ac:dyDescent="0.25">
      <c r="A4189" s="7"/>
    </row>
    <row r="4190" spans="1:1" x14ac:dyDescent="0.25">
      <c r="A4190" s="7"/>
    </row>
    <row r="4191" spans="1:1" x14ac:dyDescent="0.25">
      <c r="A4191" s="7"/>
    </row>
    <row r="4192" spans="1:1" x14ac:dyDescent="0.25">
      <c r="A4192" s="7"/>
    </row>
    <row r="4193" spans="1:1" x14ac:dyDescent="0.25">
      <c r="A4193" s="7"/>
    </row>
    <row r="4194" spans="1:1" x14ac:dyDescent="0.25">
      <c r="A4194" s="7"/>
    </row>
    <row r="4195" spans="1:1" x14ac:dyDescent="0.25">
      <c r="A4195" s="7"/>
    </row>
    <row r="4196" spans="1:1" x14ac:dyDescent="0.25">
      <c r="A4196" s="7"/>
    </row>
    <row r="4197" spans="1:1" x14ac:dyDescent="0.25">
      <c r="A4197" s="7"/>
    </row>
    <row r="4198" spans="1:1" x14ac:dyDescent="0.25">
      <c r="A4198" s="7"/>
    </row>
    <row r="4199" spans="1:1" x14ac:dyDescent="0.25">
      <c r="A4199" s="7"/>
    </row>
    <row r="4200" spans="1:1" x14ac:dyDescent="0.25">
      <c r="A4200" s="7"/>
    </row>
    <row r="4201" spans="1:1" x14ac:dyDescent="0.25">
      <c r="A4201" s="7"/>
    </row>
    <row r="4202" spans="1:1" x14ac:dyDescent="0.25">
      <c r="A4202" s="7"/>
    </row>
    <row r="4203" spans="1:1" x14ac:dyDescent="0.25">
      <c r="A4203" s="7"/>
    </row>
    <row r="4204" spans="1:1" x14ac:dyDescent="0.25">
      <c r="A4204" s="7"/>
    </row>
    <row r="4205" spans="1:1" x14ac:dyDescent="0.25">
      <c r="A4205" s="7"/>
    </row>
    <row r="4206" spans="1:1" x14ac:dyDescent="0.25">
      <c r="A4206" s="7"/>
    </row>
    <row r="4207" spans="1:1" x14ac:dyDescent="0.25">
      <c r="A4207" s="7"/>
    </row>
    <row r="4208" spans="1:1" x14ac:dyDescent="0.25">
      <c r="A4208" s="7"/>
    </row>
    <row r="4209" spans="1:1" x14ac:dyDescent="0.25">
      <c r="A4209" s="7"/>
    </row>
    <row r="4210" spans="1:1" x14ac:dyDescent="0.25">
      <c r="A4210" s="7"/>
    </row>
    <row r="4211" spans="1:1" x14ac:dyDescent="0.25">
      <c r="A4211" s="7"/>
    </row>
    <row r="4212" spans="1:1" x14ac:dyDescent="0.25">
      <c r="A4212" s="7"/>
    </row>
    <row r="4213" spans="1:1" x14ac:dyDescent="0.25">
      <c r="A4213" s="7"/>
    </row>
    <row r="4214" spans="1:1" x14ac:dyDescent="0.25">
      <c r="A4214" s="7"/>
    </row>
    <row r="4215" spans="1:1" x14ac:dyDescent="0.25">
      <c r="A4215" s="7"/>
    </row>
    <row r="4216" spans="1:1" x14ac:dyDescent="0.25">
      <c r="A4216" s="7"/>
    </row>
    <row r="4217" spans="1:1" x14ac:dyDescent="0.25">
      <c r="A4217" s="7"/>
    </row>
    <row r="4218" spans="1:1" x14ac:dyDescent="0.25">
      <c r="A4218" s="7"/>
    </row>
    <row r="4219" spans="1:1" x14ac:dyDescent="0.25">
      <c r="A4219" s="7"/>
    </row>
    <row r="4220" spans="1:1" x14ac:dyDescent="0.25">
      <c r="A4220" s="7"/>
    </row>
    <row r="4221" spans="1:1" x14ac:dyDescent="0.25">
      <c r="A4221" s="7"/>
    </row>
    <row r="4222" spans="1:1" x14ac:dyDescent="0.25">
      <c r="A4222" s="7"/>
    </row>
    <row r="4223" spans="1:1" x14ac:dyDescent="0.25">
      <c r="A4223" s="7"/>
    </row>
    <row r="4224" spans="1:1" x14ac:dyDescent="0.25">
      <c r="A4224" s="7"/>
    </row>
    <row r="4225" spans="1:1" x14ac:dyDescent="0.25">
      <c r="A4225" s="7"/>
    </row>
    <row r="4226" spans="1:1" x14ac:dyDescent="0.25">
      <c r="A4226" s="7"/>
    </row>
    <row r="4227" spans="1:1" x14ac:dyDescent="0.25">
      <c r="A4227" s="7"/>
    </row>
    <row r="4228" spans="1:1" x14ac:dyDescent="0.25">
      <c r="A4228" s="7"/>
    </row>
    <row r="4229" spans="1:1" x14ac:dyDescent="0.25">
      <c r="A4229" s="7"/>
    </row>
    <row r="4230" spans="1:1" x14ac:dyDescent="0.25">
      <c r="A4230" s="7"/>
    </row>
    <row r="4231" spans="1:1" x14ac:dyDescent="0.25">
      <c r="A4231" s="7"/>
    </row>
    <row r="4232" spans="1:1" x14ac:dyDescent="0.25">
      <c r="A4232" s="7"/>
    </row>
    <row r="4233" spans="1:1" x14ac:dyDescent="0.25">
      <c r="A4233" s="7"/>
    </row>
    <row r="4234" spans="1:1" x14ac:dyDescent="0.25">
      <c r="A4234" s="7"/>
    </row>
    <row r="4235" spans="1:1" x14ac:dyDescent="0.25">
      <c r="A4235" s="7"/>
    </row>
    <row r="4236" spans="1:1" x14ac:dyDescent="0.25">
      <c r="A4236" s="7"/>
    </row>
    <row r="4237" spans="1:1" x14ac:dyDescent="0.25">
      <c r="A4237" s="7"/>
    </row>
    <row r="4238" spans="1:1" x14ac:dyDescent="0.25">
      <c r="A4238" s="7"/>
    </row>
    <row r="4239" spans="1:1" x14ac:dyDescent="0.25">
      <c r="A4239" s="7"/>
    </row>
    <row r="4240" spans="1:1" x14ac:dyDescent="0.25">
      <c r="A4240" s="7"/>
    </row>
    <row r="4241" spans="1:1" x14ac:dyDescent="0.25">
      <c r="A4241" s="7"/>
    </row>
    <row r="4242" spans="1:1" x14ac:dyDescent="0.25">
      <c r="A4242" s="7"/>
    </row>
    <row r="4243" spans="1:1" x14ac:dyDescent="0.25">
      <c r="A4243" s="7"/>
    </row>
    <row r="4244" spans="1:1" x14ac:dyDescent="0.25">
      <c r="A4244" s="7"/>
    </row>
    <row r="4245" spans="1:1" x14ac:dyDescent="0.25">
      <c r="A4245" s="7"/>
    </row>
    <row r="4246" spans="1:1" x14ac:dyDescent="0.25">
      <c r="A4246" s="7"/>
    </row>
    <row r="4247" spans="1:1" x14ac:dyDescent="0.25">
      <c r="A4247" s="7"/>
    </row>
    <row r="4248" spans="1:1" x14ac:dyDescent="0.25">
      <c r="A4248" s="7"/>
    </row>
    <row r="4249" spans="1:1" x14ac:dyDescent="0.25">
      <c r="A4249" s="7"/>
    </row>
    <row r="4250" spans="1:1" x14ac:dyDescent="0.25">
      <c r="A4250" s="7"/>
    </row>
    <row r="4251" spans="1:1" x14ac:dyDescent="0.25">
      <c r="A4251" s="7"/>
    </row>
    <row r="4252" spans="1:1" x14ac:dyDescent="0.25">
      <c r="A4252" s="7"/>
    </row>
    <row r="4253" spans="1:1" x14ac:dyDescent="0.25">
      <c r="A4253" s="7"/>
    </row>
    <row r="4254" spans="1:1" x14ac:dyDescent="0.25">
      <c r="A4254" s="7"/>
    </row>
    <row r="4255" spans="1:1" x14ac:dyDescent="0.25">
      <c r="A4255" s="7"/>
    </row>
    <row r="4256" spans="1:1" x14ac:dyDescent="0.25">
      <c r="A4256" s="7"/>
    </row>
    <row r="4257" spans="1:1" x14ac:dyDescent="0.25">
      <c r="A4257" s="7"/>
    </row>
    <row r="4258" spans="1:1" x14ac:dyDescent="0.25">
      <c r="A4258" s="7"/>
    </row>
    <row r="4259" spans="1:1" x14ac:dyDescent="0.25">
      <c r="A4259" s="7"/>
    </row>
    <row r="4260" spans="1:1" x14ac:dyDescent="0.25">
      <c r="A4260" s="7"/>
    </row>
    <row r="4261" spans="1:1" x14ac:dyDescent="0.25">
      <c r="A4261" s="7"/>
    </row>
    <row r="4262" spans="1:1" x14ac:dyDescent="0.25">
      <c r="A4262" s="7"/>
    </row>
    <row r="4263" spans="1:1" x14ac:dyDescent="0.25">
      <c r="A4263" s="7"/>
    </row>
    <row r="4264" spans="1:1" x14ac:dyDescent="0.25">
      <c r="A4264" s="7"/>
    </row>
    <row r="4265" spans="1:1" x14ac:dyDescent="0.25">
      <c r="A4265" s="7"/>
    </row>
    <row r="4266" spans="1:1" x14ac:dyDescent="0.25">
      <c r="A4266" s="7"/>
    </row>
    <row r="4267" spans="1:1" x14ac:dyDescent="0.25">
      <c r="A4267" s="7"/>
    </row>
    <row r="4268" spans="1:1" x14ac:dyDescent="0.25">
      <c r="A4268" s="7"/>
    </row>
    <row r="4269" spans="1:1" x14ac:dyDescent="0.25">
      <c r="A4269" s="7"/>
    </row>
    <row r="4270" spans="1:1" x14ac:dyDescent="0.25">
      <c r="A4270" s="7"/>
    </row>
    <row r="4271" spans="1:1" x14ac:dyDescent="0.25">
      <c r="A4271" s="7"/>
    </row>
    <row r="4272" spans="1:1" x14ac:dyDescent="0.25">
      <c r="A4272" s="7"/>
    </row>
    <row r="4273" spans="1:1" x14ac:dyDescent="0.25">
      <c r="A4273" s="7"/>
    </row>
    <row r="4274" spans="1:1" x14ac:dyDescent="0.25">
      <c r="A4274" s="7"/>
    </row>
    <row r="4275" spans="1:1" x14ac:dyDescent="0.25">
      <c r="A4275" s="7"/>
    </row>
    <row r="4276" spans="1:1" x14ac:dyDescent="0.25">
      <c r="A4276" s="7"/>
    </row>
    <row r="4277" spans="1:1" x14ac:dyDescent="0.25">
      <c r="A4277" s="7"/>
    </row>
    <row r="4278" spans="1:1" x14ac:dyDescent="0.25">
      <c r="A4278" s="7"/>
    </row>
    <row r="4279" spans="1:1" x14ac:dyDescent="0.25">
      <c r="A4279" s="7"/>
    </row>
    <row r="4280" spans="1:1" x14ac:dyDescent="0.25">
      <c r="A4280" s="7"/>
    </row>
    <row r="4281" spans="1:1" x14ac:dyDescent="0.25">
      <c r="A4281" s="7"/>
    </row>
    <row r="4282" spans="1:1" x14ac:dyDescent="0.25">
      <c r="A4282" s="7"/>
    </row>
    <row r="4283" spans="1:1" x14ac:dyDescent="0.25">
      <c r="A4283" s="7"/>
    </row>
    <row r="4284" spans="1:1" x14ac:dyDescent="0.25">
      <c r="A4284" s="7"/>
    </row>
    <row r="4285" spans="1:1" x14ac:dyDescent="0.25">
      <c r="A4285" s="7"/>
    </row>
    <row r="4286" spans="1:1" x14ac:dyDescent="0.25">
      <c r="A4286" s="7"/>
    </row>
    <row r="4287" spans="1:1" x14ac:dyDescent="0.25">
      <c r="A4287" s="7"/>
    </row>
    <row r="4288" spans="1:1" x14ac:dyDescent="0.25">
      <c r="A4288" s="7"/>
    </row>
    <row r="4289" spans="1:1" x14ac:dyDescent="0.25">
      <c r="A4289" s="7"/>
    </row>
    <row r="4290" spans="1:1" x14ac:dyDescent="0.25">
      <c r="A4290" s="7"/>
    </row>
    <row r="4291" spans="1:1" x14ac:dyDescent="0.25">
      <c r="A4291" s="7"/>
    </row>
    <row r="4292" spans="1:1" x14ac:dyDescent="0.25">
      <c r="A4292" s="7"/>
    </row>
    <row r="4293" spans="1:1" x14ac:dyDescent="0.25">
      <c r="A4293" s="7"/>
    </row>
    <row r="4294" spans="1:1" x14ac:dyDescent="0.25">
      <c r="A4294" s="7"/>
    </row>
    <row r="4295" spans="1:1" x14ac:dyDescent="0.25">
      <c r="A4295" s="7"/>
    </row>
    <row r="4296" spans="1:1" x14ac:dyDescent="0.25">
      <c r="A4296" s="7"/>
    </row>
    <row r="4297" spans="1:1" x14ac:dyDescent="0.25">
      <c r="A4297" s="7"/>
    </row>
    <row r="4298" spans="1:1" x14ac:dyDescent="0.25">
      <c r="A4298" s="7"/>
    </row>
    <row r="4299" spans="1:1" x14ac:dyDescent="0.25">
      <c r="A4299" s="7"/>
    </row>
    <row r="4300" spans="1:1" x14ac:dyDescent="0.25">
      <c r="A4300" s="7"/>
    </row>
    <row r="4301" spans="1:1" x14ac:dyDescent="0.25">
      <c r="A4301" s="7"/>
    </row>
    <row r="4302" spans="1:1" x14ac:dyDescent="0.25">
      <c r="A4302" s="7"/>
    </row>
    <row r="4303" spans="1:1" x14ac:dyDescent="0.25">
      <c r="A4303" s="7"/>
    </row>
    <row r="4304" spans="1:1" x14ac:dyDescent="0.25">
      <c r="A4304" s="7"/>
    </row>
    <row r="4305" spans="1:1" x14ac:dyDescent="0.25">
      <c r="A4305" s="7"/>
    </row>
    <row r="4306" spans="1:1" x14ac:dyDescent="0.25">
      <c r="A4306" s="7"/>
    </row>
    <row r="4307" spans="1:1" x14ac:dyDescent="0.25">
      <c r="A4307" s="7"/>
    </row>
    <row r="4308" spans="1:1" x14ac:dyDescent="0.25">
      <c r="A4308" s="7"/>
    </row>
    <row r="4309" spans="1:1" x14ac:dyDescent="0.25">
      <c r="A4309" s="7"/>
    </row>
    <row r="4310" spans="1:1" x14ac:dyDescent="0.25">
      <c r="A4310" s="7"/>
    </row>
    <row r="4311" spans="1:1" x14ac:dyDescent="0.25">
      <c r="A4311" s="7"/>
    </row>
    <row r="4312" spans="1:1" x14ac:dyDescent="0.25">
      <c r="A4312" s="7"/>
    </row>
    <row r="4313" spans="1:1" x14ac:dyDescent="0.25">
      <c r="A4313" s="7"/>
    </row>
    <row r="4314" spans="1:1" x14ac:dyDescent="0.25">
      <c r="A4314" s="7"/>
    </row>
    <row r="4315" spans="1:1" x14ac:dyDescent="0.25">
      <c r="A4315" s="7"/>
    </row>
    <row r="4316" spans="1:1" x14ac:dyDescent="0.25">
      <c r="A4316" s="7"/>
    </row>
    <row r="4317" spans="1:1" x14ac:dyDescent="0.25">
      <c r="A4317" s="7"/>
    </row>
    <row r="4318" spans="1:1" x14ac:dyDescent="0.25">
      <c r="A4318" s="7"/>
    </row>
    <row r="4319" spans="1:1" x14ac:dyDescent="0.25">
      <c r="A4319" s="7"/>
    </row>
    <row r="4320" spans="1:1" x14ac:dyDescent="0.25">
      <c r="A4320" s="7"/>
    </row>
    <row r="4321" spans="1:1" x14ac:dyDescent="0.25">
      <c r="A4321" s="7"/>
    </row>
    <row r="4322" spans="1:1" x14ac:dyDescent="0.25">
      <c r="A4322" s="7"/>
    </row>
    <row r="4323" spans="1:1" x14ac:dyDescent="0.25">
      <c r="A4323" s="7"/>
    </row>
    <row r="4324" spans="1:1" x14ac:dyDescent="0.25">
      <c r="A4324" s="7"/>
    </row>
    <row r="4325" spans="1:1" x14ac:dyDescent="0.25">
      <c r="A4325" s="7"/>
    </row>
    <row r="4326" spans="1:1" x14ac:dyDescent="0.25">
      <c r="A4326" s="7"/>
    </row>
    <row r="4327" spans="1:1" x14ac:dyDescent="0.25">
      <c r="A4327" s="7"/>
    </row>
    <row r="4328" spans="1:1" x14ac:dyDescent="0.25">
      <c r="A4328" s="7"/>
    </row>
    <row r="4329" spans="1:1" x14ac:dyDescent="0.25">
      <c r="A4329" s="7"/>
    </row>
    <row r="4330" spans="1:1" x14ac:dyDescent="0.25">
      <c r="A4330" s="7"/>
    </row>
    <row r="4331" spans="1:1" x14ac:dyDescent="0.25">
      <c r="A4331" s="7"/>
    </row>
    <row r="4332" spans="1:1" x14ac:dyDescent="0.25">
      <c r="A4332" s="7"/>
    </row>
    <row r="4333" spans="1:1" x14ac:dyDescent="0.25">
      <c r="A4333" s="7"/>
    </row>
    <row r="4334" spans="1:1" x14ac:dyDescent="0.25">
      <c r="A4334" s="7"/>
    </row>
    <row r="4335" spans="1:1" x14ac:dyDescent="0.25">
      <c r="A4335" s="7"/>
    </row>
    <row r="4336" spans="1:1" x14ac:dyDescent="0.25">
      <c r="A4336" s="7"/>
    </row>
    <row r="4337" spans="1:1" x14ac:dyDescent="0.25">
      <c r="A4337" s="7"/>
    </row>
    <row r="4338" spans="1:1" x14ac:dyDescent="0.25">
      <c r="A4338" s="7"/>
    </row>
    <row r="4339" spans="1:1" x14ac:dyDescent="0.25">
      <c r="A4339" s="7"/>
    </row>
    <row r="4340" spans="1:1" x14ac:dyDescent="0.25">
      <c r="A4340" s="7"/>
    </row>
    <row r="4341" spans="1:1" x14ac:dyDescent="0.25">
      <c r="A4341" s="7"/>
    </row>
    <row r="4342" spans="1:1" x14ac:dyDescent="0.25">
      <c r="A4342" s="7"/>
    </row>
    <row r="4343" spans="1:1" x14ac:dyDescent="0.25">
      <c r="A4343" s="7"/>
    </row>
    <row r="4344" spans="1:1" x14ac:dyDescent="0.25">
      <c r="A4344" s="7"/>
    </row>
    <row r="4345" spans="1:1" x14ac:dyDescent="0.25">
      <c r="A4345" s="7"/>
    </row>
    <row r="4346" spans="1:1" x14ac:dyDescent="0.25">
      <c r="A4346" s="7"/>
    </row>
    <row r="4347" spans="1:1" x14ac:dyDescent="0.25">
      <c r="A4347" s="7"/>
    </row>
    <row r="4348" spans="1:1" x14ac:dyDescent="0.25">
      <c r="A4348" s="7"/>
    </row>
    <row r="4349" spans="1:1" x14ac:dyDescent="0.25">
      <c r="A4349" s="7"/>
    </row>
    <row r="4350" spans="1:1" x14ac:dyDescent="0.25">
      <c r="A4350" s="7"/>
    </row>
    <row r="4351" spans="1:1" x14ac:dyDescent="0.25">
      <c r="A4351" s="7"/>
    </row>
    <row r="4352" spans="1:1" x14ac:dyDescent="0.25">
      <c r="A4352" s="7"/>
    </row>
    <row r="4353" spans="1:1" x14ac:dyDescent="0.25">
      <c r="A4353" s="7"/>
    </row>
    <row r="4354" spans="1:1" x14ac:dyDescent="0.25">
      <c r="A4354" s="7"/>
    </row>
    <row r="4355" spans="1:1" x14ac:dyDescent="0.25">
      <c r="A4355" s="7"/>
    </row>
    <row r="4356" spans="1:1" x14ac:dyDescent="0.25">
      <c r="A4356" s="7"/>
    </row>
    <row r="4357" spans="1:1" x14ac:dyDescent="0.25">
      <c r="A4357" s="7"/>
    </row>
    <row r="4358" spans="1:1" x14ac:dyDescent="0.25">
      <c r="A4358" s="7"/>
    </row>
    <row r="4359" spans="1:1" x14ac:dyDescent="0.25">
      <c r="A4359" s="7"/>
    </row>
    <row r="4360" spans="1:1" x14ac:dyDescent="0.25">
      <c r="A4360" s="7"/>
    </row>
    <row r="4361" spans="1:1" x14ac:dyDescent="0.25">
      <c r="A4361" s="7"/>
    </row>
    <row r="4362" spans="1:1" x14ac:dyDescent="0.25">
      <c r="A4362" s="7"/>
    </row>
    <row r="4363" spans="1:1" x14ac:dyDescent="0.25">
      <c r="A4363" s="7"/>
    </row>
    <row r="4364" spans="1:1" x14ac:dyDescent="0.25">
      <c r="A4364" s="7"/>
    </row>
    <row r="4365" spans="1:1" x14ac:dyDescent="0.25">
      <c r="A4365" s="7"/>
    </row>
    <row r="4366" spans="1:1" x14ac:dyDescent="0.25">
      <c r="A4366" s="7"/>
    </row>
    <row r="4367" spans="1:1" x14ac:dyDescent="0.25">
      <c r="A4367" s="7"/>
    </row>
    <row r="4368" spans="1:1" x14ac:dyDescent="0.25">
      <c r="A4368" s="7"/>
    </row>
    <row r="4369" spans="1:1" x14ac:dyDescent="0.25">
      <c r="A4369" s="7"/>
    </row>
    <row r="4370" spans="1:1" x14ac:dyDescent="0.25">
      <c r="A4370" s="7"/>
    </row>
    <row r="4371" spans="1:1" x14ac:dyDescent="0.25">
      <c r="A4371" s="7"/>
    </row>
    <row r="4372" spans="1:1" x14ac:dyDescent="0.25">
      <c r="A4372" s="7"/>
    </row>
    <row r="4373" spans="1:1" x14ac:dyDescent="0.25">
      <c r="A4373" s="7"/>
    </row>
    <row r="4374" spans="1:1" x14ac:dyDescent="0.25">
      <c r="A4374" s="7"/>
    </row>
    <row r="4375" spans="1:1" x14ac:dyDescent="0.25">
      <c r="A4375" s="7"/>
    </row>
    <row r="4376" spans="1:1" x14ac:dyDescent="0.25">
      <c r="A4376" s="7"/>
    </row>
    <row r="4377" spans="1:1" x14ac:dyDescent="0.25">
      <c r="A4377" s="7"/>
    </row>
    <row r="4378" spans="1:1" x14ac:dyDescent="0.25">
      <c r="A4378" s="7"/>
    </row>
    <row r="4379" spans="1:1" x14ac:dyDescent="0.25">
      <c r="A4379" s="7"/>
    </row>
    <row r="4380" spans="1:1" x14ac:dyDescent="0.25">
      <c r="A4380" s="7"/>
    </row>
    <row r="4381" spans="1:1" x14ac:dyDescent="0.25">
      <c r="A4381" s="7"/>
    </row>
    <row r="4382" spans="1:1" x14ac:dyDescent="0.25">
      <c r="A4382" s="7"/>
    </row>
    <row r="4383" spans="1:1" x14ac:dyDescent="0.25">
      <c r="A4383" s="7"/>
    </row>
    <row r="4384" spans="1:1" x14ac:dyDescent="0.25">
      <c r="A4384" s="7"/>
    </row>
    <row r="4385" spans="1:1" x14ac:dyDescent="0.25">
      <c r="A4385" s="7"/>
    </row>
    <row r="4386" spans="1:1" x14ac:dyDescent="0.25">
      <c r="A4386" s="7"/>
    </row>
    <row r="4387" spans="1:1" x14ac:dyDescent="0.25">
      <c r="A4387" s="7"/>
    </row>
    <row r="4388" spans="1:1" x14ac:dyDescent="0.25">
      <c r="A4388" s="7"/>
    </row>
    <row r="4389" spans="1:1" x14ac:dyDescent="0.25">
      <c r="A4389" s="7"/>
    </row>
    <row r="4390" spans="1:1" x14ac:dyDescent="0.25">
      <c r="A4390" s="7"/>
    </row>
    <row r="4391" spans="1:1" x14ac:dyDescent="0.25">
      <c r="A4391" s="7"/>
    </row>
    <row r="4392" spans="1:1" x14ac:dyDescent="0.25">
      <c r="A4392" s="7"/>
    </row>
    <row r="4393" spans="1:1" x14ac:dyDescent="0.25">
      <c r="A4393" s="7"/>
    </row>
    <row r="4394" spans="1:1" x14ac:dyDescent="0.25">
      <c r="A4394" s="7"/>
    </row>
    <row r="4395" spans="1:1" x14ac:dyDescent="0.25">
      <c r="A4395" s="7"/>
    </row>
    <row r="4396" spans="1:1" x14ac:dyDescent="0.25">
      <c r="A4396" s="7"/>
    </row>
    <row r="4397" spans="1:1" x14ac:dyDescent="0.25">
      <c r="A4397" s="7"/>
    </row>
    <row r="4398" spans="1:1" x14ac:dyDescent="0.25">
      <c r="A4398" s="7"/>
    </row>
    <row r="4399" spans="1:1" x14ac:dyDescent="0.25">
      <c r="A4399" s="7"/>
    </row>
    <row r="4400" spans="1:1" x14ac:dyDescent="0.25">
      <c r="A4400" s="7"/>
    </row>
    <row r="4401" spans="1:1" x14ac:dyDescent="0.25">
      <c r="A4401" s="7"/>
    </row>
    <row r="4402" spans="1:1" x14ac:dyDescent="0.25">
      <c r="A4402" s="7"/>
    </row>
    <row r="4403" spans="1:1" x14ac:dyDescent="0.25">
      <c r="A4403" s="7"/>
    </row>
    <row r="4404" spans="1:1" x14ac:dyDescent="0.25">
      <c r="A4404" s="7"/>
    </row>
    <row r="4405" spans="1:1" x14ac:dyDescent="0.25">
      <c r="A4405" s="7"/>
    </row>
    <row r="4406" spans="1:1" x14ac:dyDescent="0.25">
      <c r="A4406" s="7"/>
    </row>
    <row r="4407" spans="1:1" x14ac:dyDescent="0.25">
      <c r="A4407" s="7"/>
    </row>
    <row r="4408" spans="1:1" x14ac:dyDescent="0.25">
      <c r="A4408" s="7"/>
    </row>
    <row r="4409" spans="1:1" x14ac:dyDescent="0.25">
      <c r="A4409" s="7"/>
    </row>
    <row r="4410" spans="1:1" x14ac:dyDescent="0.25">
      <c r="A4410" s="7"/>
    </row>
    <row r="4411" spans="1:1" x14ac:dyDescent="0.25">
      <c r="A4411" s="7"/>
    </row>
    <row r="4412" spans="1:1" x14ac:dyDescent="0.25">
      <c r="A4412" s="7"/>
    </row>
    <row r="4413" spans="1:1" x14ac:dyDescent="0.25">
      <c r="A4413" s="7"/>
    </row>
    <row r="4414" spans="1:1" x14ac:dyDescent="0.25">
      <c r="A4414" s="7"/>
    </row>
    <row r="4415" spans="1:1" x14ac:dyDescent="0.25">
      <c r="A4415" s="7"/>
    </row>
    <row r="4416" spans="1:1" x14ac:dyDescent="0.25">
      <c r="A4416" s="7"/>
    </row>
    <row r="4417" spans="1:1" x14ac:dyDescent="0.25">
      <c r="A4417" s="7"/>
    </row>
    <row r="4418" spans="1:1" x14ac:dyDescent="0.25">
      <c r="A4418" s="7"/>
    </row>
    <row r="4419" spans="1:1" x14ac:dyDescent="0.25">
      <c r="A4419" s="7"/>
    </row>
    <row r="4420" spans="1:1" x14ac:dyDescent="0.25">
      <c r="A4420" s="7"/>
    </row>
    <row r="4421" spans="1:1" x14ac:dyDescent="0.25">
      <c r="A4421" s="7"/>
    </row>
    <row r="4422" spans="1:1" x14ac:dyDescent="0.25">
      <c r="A4422" s="7"/>
    </row>
    <row r="4423" spans="1:1" x14ac:dyDescent="0.25">
      <c r="A4423" s="7"/>
    </row>
    <row r="4424" spans="1:1" x14ac:dyDescent="0.25">
      <c r="A4424" s="7"/>
    </row>
    <row r="4425" spans="1:1" x14ac:dyDescent="0.25">
      <c r="A4425" s="7"/>
    </row>
    <row r="4426" spans="1:1" x14ac:dyDescent="0.25">
      <c r="A4426" s="7"/>
    </row>
    <row r="4427" spans="1:1" x14ac:dyDescent="0.25">
      <c r="A4427" s="7"/>
    </row>
    <row r="4428" spans="1:1" x14ac:dyDescent="0.25">
      <c r="A4428" s="7"/>
    </row>
    <row r="4429" spans="1:1" x14ac:dyDescent="0.25">
      <c r="A4429" s="7"/>
    </row>
    <row r="4430" spans="1:1" x14ac:dyDescent="0.25">
      <c r="A4430" s="7"/>
    </row>
    <row r="4431" spans="1:1" x14ac:dyDescent="0.25">
      <c r="A4431" s="7"/>
    </row>
    <row r="4432" spans="1:1" x14ac:dyDescent="0.25">
      <c r="A4432" s="7"/>
    </row>
    <row r="4433" spans="1:1" x14ac:dyDescent="0.25">
      <c r="A4433" s="7"/>
    </row>
    <row r="4434" spans="1:1" x14ac:dyDescent="0.25">
      <c r="A4434" s="7"/>
    </row>
    <row r="4435" spans="1:1" x14ac:dyDescent="0.25">
      <c r="A4435" s="7"/>
    </row>
    <row r="4436" spans="1:1" x14ac:dyDescent="0.25">
      <c r="A4436" s="7"/>
    </row>
    <row r="4437" spans="1:1" x14ac:dyDescent="0.25">
      <c r="A4437" s="7"/>
    </row>
    <row r="4438" spans="1:1" x14ac:dyDescent="0.25">
      <c r="A4438" s="7"/>
    </row>
    <row r="4439" spans="1:1" x14ac:dyDescent="0.25">
      <c r="A4439" s="7"/>
    </row>
    <row r="4440" spans="1:1" x14ac:dyDescent="0.25">
      <c r="A4440" s="7"/>
    </row>
    <row r="4441" spans="1:1" x14ac:dyDescent="0.25">
      <c r="A4441" s="7"/>
    </row>
    <row r="4442" spans="1:1" x14ac:dyDescent="0.25">
      <c r="A4442" s="7"/>
    </row>
    <row r="4443" spans="1:1" x14ac:dyDescent="0.25">
      <c r="A4443" s="7"/>
    </row>
    <row r="4444" spans="1:1" x14ac:dyDescent="0.25">
      <c r="A4444" s="7"/>
    </row>
    <row r="4445" spans="1:1" x14ac:dyDescent="0.25">
      <c r="A4445" s="7"/>
    </row>
    <row r="4446" spans="1:1" x14ac:dyDescent="0.25">
      <c r="A4446" s="7"/>
    </row>
    <row r="4447" spans="1:1" x14ac:dyDescent="0.25">
      <c r="A4447" s="7"/>
    </row>
    <row r="4448" spans="1:1" x14ac:dyDescent="0.25">
      <c r="A4448" s="7"/>
    </row>
    <row r="4449" spans="1:1" x14ac:dyDescent="0.25">
      <c r="A4449" s="7"/>
    </row>
    <row r="4450" spans="1:1" x14ac:dyDescent="0.25">
      <c r="A4450" s="7"/>
    </row>
    <row r="4451" spans="1:1" x14ac:dyDescent="0.25">
      <c r="A4451" s="7"/>
    </row>
    <row r="4452" spans="1:1" x14ac:dyDescent="0.25">
      <c r="A4452" s="7"/>
    </row>
    <row r="4453" spans="1:1" x14ac:dyDescent="0.25">
      <c r="A4453" s="7"/>
    </row>
    <row r="4454" spans="1:1" x14ac:dyDescent="0.25">
      <c r="A4454" s="7"/>
    </row>
    <row r="4455" spans="1:1" x14ac:dyDescent="0.25">
      <c r="A4455" s="7"/>
    </row>
    <row r="4456" spans="1:1" x14ac:dyDescent="0.25">
      <c r="A4456" s="7"/>
    </row>
    <row r="4457" spans="1:1" x14ac:dyDescent="0.25">
      <c r="A4457" s="7"/>
    </row>
    <row r="4458" spans="1:1" x14ac:dyDescent="0.25">
      <c r="A4458" s="7"/>
    </row>
    <row r="4459" spans="1:1" x14ac:dyDescent="0.25">
      <c r="A4459" s="7"/>
    </row>
    <row r="4460" spans="1:1" x14ac:dyDescent="0.25">
      <c r="A4460" s="7"/>
    </row>
    <row r="4461" spans="1:1" x14ac:dyDescent="0.25">
      <c r="A4461" s="7"/>
    </row>
    <row r="4462" spans="1:1" x14ac:dyDescent="0.25">
      <c r="A4462" s="7"/>
    </row>
    <row r="4463" spans="1:1" x14ac:dyDescent="0.25">
      <c r="A4463" s="7"/>
    </row>
    <row r="4464" spans="1:1" x14ac:dyDescent="0.25">
      <c r="A4464" s="7"/>
    </row>
    <row r="4465" spans="1:1" x14ac:dyDescent="0.25">
      <c r="A4465" s="7"/>
    </row>
    <row r="4466" spans="1:1" x14ac:dyDescent="0.25">
      <c r="A4466" s="7"/>
    </row>
    <row r="4467" spans="1:1" x14ac:dyDescent="0.25">
      <c r="A4467" s="7"/>
    </row>
    <row r="4468" spans="1:1" x14ac:dyDescent="0.25">
      <c r="A4468" s="7"/>
    </row>
    <row r="4469" spans="1:1" x14ac:dyDescent="0.25">
      <c r="A4469" s="7"/>
    </row>
    <row r="4470" spans="1:1" x14ac:dyDescent="0.25">
      <c r="A4470" s="7"/>
    </row>
    <row r="4471" spans="1:1" x14ac:dyDescent="0.25">
      <c r="A4471" s="7"/>
    </row>
    <row r="4472" spans="1:1" x14ac:dyDescent="0.25">
      <c r="A4472" s="7"/>
    </row>
    <row r="4473" spans="1:1" x14ac:dyDescent="0.25">
      <c r="A4473" s="7"/>
    </row>
    <row r="4474" spans="1:1" x14ac:dyDescent="0.25">
      <c r="A4474" s="7"/>
    </row>
    <row r="4475" spans="1:1" x14ac:dyDescent="0.25">
      <c r="A4475" s="7"/>
    </row>
    <row r="4476" spans="1:1" x14ac:dyDescent="0.25">
      <c r="A4476" s="7"/>
    </row>
    <row r="4477" spans="1:1" x14ac:dyDescent="0.25">
      <c r="A4477" s="7"/>
    </row>
    <row r="4478" spans="1:1" x14ac:dyDescent="0.25">
      <c r="A4478" s="7"/>
    </row>
    <row r="4479" spans="1:1" x14ac:dyDescent="0.25">
      <c r="A4479" s="7"/>
    </row>
    <row r="4480" spans="1:1" x14ac:dyDescent="0.25">
      <c r="A4480" s="7"/>
    </row>
    <row r="4481" spans="1:1" x14ac:dyDescent="0.25">
      <c r="A4481" s="7"/>
    </row>
    <row r="4482" spans="1:1" x14ac:dyDescent="0.25">
      <c r="A4482" s="7"/>
    </row>
    <row r="4483" spans="1:1" x14ac:dyDescent="0.25">
      <c r="A4483" s="7"/>
    </row>
    <row r="4484" spans="1:1" x14ac:dyDescent="0.25">
      <c r="A4484" s="7"/>
    </row>
    <row r="4485" spans="1:1" x14ac:dyDescent="0.25">
      <c r="A4485" s="7"/>
    </row>
    <row r="4486" spans="1:1" x14ac:dyDescent="0.25">
      <c r="A4486" s="7"/>
    </row>
    <row r="4487" spans="1:1" x14ac:dyDescent="0.25">
      <c r="A4487" s="7"/>
    </row>
    <row r="4488" spans="1:1" x14ac:dyDescent="0.25">
      <c r="A4488" s="7"/>
    </row>
    <row r="4489" spans="1:1" x14ac:dyDescent="0.25">
      <c r="A4489" s="7"/>
    </row>
    <row r="4490" spans="1:1" x14ac:dyDescent="0.25">
      <c r="A4490" s="7"/>
    </row>
    <row r="4491" spans="1:1" x14ac:dyDescent="0.25">
      <c r="A4491" s="7"/>
    </row>
    <row r="4492" spans="1:1" x14ac:dyDescent="0.25">
      <c r="A4492" s="7"/>
    </row>
    <row r="4493" spans="1:1" x14ac:dyDescent="0.25">
      <c r="A4493" s="7"/>
    </row>
    <row r="4494" spans="1:1" x14ac:dyDescent="0.25">
      <c r="A4494" s="7"/>
    </row>
    <row r="4495" spans="1:1" x14ac:dyDescent="0.25">
      <c r="A4495" s="7"/>
    </row>
    <row r="4496" spans="1:1" x14ac:dyDescent="0.25">
      <c r="A4496" s="7"/>
    </row>
    <row r="4497" spans="1:1" x14ac:dyDescent="0.25">
      <c r="A4497" s="7"/>
    </row>
    <row r="4498" spans="1:1" x14ac:dyDescent="0.25">
      <c r="A4498" s="7"/>
    </row>
    <row r="4499" spans="1:1" x14ac:dyDescent="0.25">
      <c r="A4499" s="7"/>
    </row>
    <row r="4500" spans="1:1" x14ac:dyDescent="0.25">
      <c r="A4500" s="7"/>
    </row>
    <row r="4501" spans="1:1" x14ac:dyDescent="0.25">
      <c r="A4501" s="7"/>
    </row>
    <row r="4502" spans="1:1" x14ac:dyDescent="0.25">
      <c r="A4502" s="7"/>
    </row>
    <row r="4503" spans="1:1" x14ac:dyDescent="0.25">
      <c r="A4503" s="7"/>
    </row>
    <row r="4504" spans="1:1" x14ac:dyDescent="0.25">
      <c r="A4504" s="7"/>
    </row>
    <row r="4505" spans="1:1" x14ac:dyDescent="0.25">
      <c r="A4505" s="7"/>
    </row>
    <row r="4506" spans="1:1" x14ac:dyDescent="0.25">
      <c r="A4506" s="7"/>
    </row>
    <row r="4507" spans="1:1" x14ac:dyDescent="0.25">
      <c r="A4507" s="7"/>
    </row>
    <row r="4508" spans="1:1" x14ac:dyDescent="0.25">
      <c r="A4508" s="7"/>
    </row>
    <row r="4509" spans="1:1" x14ac:dyDescent="0.25">
      <c r="A4509" s="7"/>
    </row>
    <row r="4510" spans="1:1" x14ac:dyDescent="0.25">
      <c r="A4510" s="7"/>
    </row>
    <row r="4511" spans="1:1" x14ac:dyDescent="0.25">
      <c r="A4511" s="7"/>
    </row>
    <row r="4512" spans="1:1" x14ac:dyDescent="0.25">
      <c r="A4512" s="7"/>
    </row>
    <row r="4513" spans="1:1" x14ac:dyDescent="0.25">
      <c r="A4513" s="7"/>
    </row>
    <row r="4514" spans="1:1" x14ac:dyDescent="0.25">
      <c r="A4514" s="7"/>
    </row>
    <row r="4515" spans="1:1" x14ac:dyDescent="0.25">
      <c r="A4515" s="7"/>
    </row>
    <row r="4516" spans="1:1" x14ac:dyDescent="0.25">
      <c r="A4516" s="7"/>
    </row>
    <row r="4517" spans="1:1" x14ac:dyDescent="0.25">
      <c r="A4517" s="7"/>
    </row>
    <row r="4518" spans="1:1" x14ac:dyDescent="0.25">
      <c r="A4518" s="7"/>
    </row>
    <row r="4519" spans="1:1" x14ac:dyDescent="0.25">
      <c r="A4519" s="7"/>
    </row>
    <row r="4520" spans="1:1" x14ac:dyDescent="0.25">
      <c r="A4520" s="7"/>
    </row>
    <row r="4521" spans="1:1" x14ac:dyDescent="0.25">
      <c r="A4521" s="7"/>
    </row>
    <row r="4522" spans="1:1" x14ac:dyDescent="0.25">
      <c r="A4522" s="7"/>
    </row>
    <row r="4523" spans="1:1" x14ac:dyDescent="0.25">
      <c r="A4523" s="7"/>
    </row>
    <row r="4524" spans="1:1" x14ac:dyDescent="0.25">
      <c r="A4524" s="7"/>
    </row>
    <row r="4525" spans="1:1" x14ac:dyDescent="0.25">
      <c r="A4525" s="7"/>
    </row>
    <row r="4526" spans="1:1" x14ac:dyDescent="0.25">
      <c r="A4526" s="7"/>
    </row>
    <row r="4527" spans="1:1" x14ac:dyDescent="0.25">
      <c r="A4527" s="7"/>
    </row>
    <row r="4528" spans="1:1" x14ac:dyDescent="0.25">
      <c r="A4528" s="7"/>
    </row>
    <row r="4529" spans="1:1" x14ac:dyDescent="0.25">
      <c r="A4529" s="7"/>
    </row>
    <row r="4530" spans="1:1" x14ac:dyDescent="0.25">
      <c r="A4530" s="7"/>
    </row>
    <row r="4531" spans="1:1" x14ac:dyDescent="0.25">
      <c r="A4531" s="7"/>
    </row>
    <row r="4532" spans="1:1" x14ac:dyDescent="0.25">
      <c r="A4532" s="7"/>
    </row>
    <row r="4533" spans="1:1" x14ac:dyDescent="0.25">
      <c r="A4533" s="7"/>
    </row>
    <row r="4534" spans="1:1" x14ac:dyDescent="0.25">
      <c r="A4534" s="7"/>
    </row>
    <row r="4535" spans="1:1" x14ac:dyDescent="0.25">
      <c r="A4535" s="7"/>
    </row>
    <row r="4536" spans="1:1" x14ac:dyDescent="0.25">
      <c r="A4536" s="7"/>
    </row>
    <row r="4537" spans="1:1" x14ac:dyDescent="0.25">
      <c r="A4537" s="7"/>
    </row>
    <row r="4538" spans="1:1" x14ac:dyDescent="0.25">
      <c r="A4538" s="7"/>
    </row>
    <row r="4539" spans="1:1" x14ac:dyDescent="0.25">
      <c r="A4539" s="7"/>
    </row>
    <row r="4540" spans="1:1" x14ac:dyDescent="0.25">
      <c r="A4540" s="7"/>
    </row>
    <row r="4541" spans="1:1" x14ac:dyDescent="0.25">
      <c r="A4541" s="7"/>
    </row>
    <row r="4542" spans="1:1" x14ac:dyDescent="0.25">
      <c r="A4542" s="7"/>
    </row>
    <row r="4543" spans="1:1" x14ac:dyDescent="0.25">
      <c r="A4543" s="7"/>
    </row>
    <row r="4544" spans="1:1" x14ac:dyDescent="0.25">
      <c r="A4544" s="7"/>
    </row>
    <row r="4545" spans="1:1" x14ac:dyDescent="0.25">
      <c r="A4545" s="7"/>
    </row>
    <row r="4546" spans="1:1" x14ac:dyDescent="0.25">
      <c r="A4546" s="7"/>
    </row>
    <row r="4547" spans="1:1" x14ac:dyDescent="0.25">
      <c r="A4547" s="7"/>
    </row>
    <row r="4548" spans="1:1" x14ac:dyDescent="0.25">
      <c r="A4548" s="7"/>
    </row>
    <row r="4549" spans="1:1" x14ac:dyDescent="0.25">
      <c r="A4549" s="7"/>
    </row>
    <row r="4550" spans="1:1" x14ac:dyDescent="0.25">
      <c r="A4550" s="7"/>
    </row>
    <row r="4551" spans="1:1" x14ac:dyDescent="0.25">
      <c r="A4551" s="7"/>
    </row>
    <row r="4552" spans="1:1" x14ac:dyDescent="0.25">
      <c r="A4552" s="7"/>
    </row>
    <row r="4553" spans="1:1" x14ac:dyDescent="0.25">
      <c r="A4553" s="7"/>
    </row>
    <row r="4554" spans="1:1" x14ac:dyDescent="0.25">
      <c r="A4554" s="7"/>
    </row>
    <row r="4555" spans="1:1" x14ac:dyDescent="0.25">
      <c r="A4555" s="7"/>
    </row>
    <row r="4556" spans="1:1" x14ac:dyDescent="0.25">
      <c r="A4556" s="7"/>
    </row>
    <row r="4557" spans="1:1" x14ac:dyDescent="0.25">
      <c r="A4557" s="7"/>
    </row>
    <row r="4558" spans="1:1" x14ac:dyDescent="0.25">
      <c r="A4558" s="7"/>
    </row>
    <row r="4559" spans="1:1" x14ac:dyDescent="0.25">
      <c r="A4559" s="7"/>
    </row>
    <row r="4560" spans="1:1" x14ac:dyDescent="0.25">
      <c r="A4560" s="7"/>
    </row>
    <row r="4561" spans="1:1" x14ac:dyDescent="0.25">
      <c r="A4561" s="7"/>
    </row>
    <row r="4562" spans="1:1" x14ac:dyDescent="0.25">
      <c r="A4562" s="7"/>
    </row>
    <row r="4563" spans="1:1" x14ac:dyDescent="0.25">
      <c r="A4563" s="7"/>
    </row>
    <row r="4564" spans="1:1" x14ac:dyDescent="0.25">
      <c r="A4564" s="7"/>
    </row>
    <row r="4565" spans="1:1" x14ac:dyDescent="0.25">
      <c r="A4565" s="7"/>
    </row>
    <row r="4566" spans="1:1" x14ac:dyDescent="0.25">
      <c r="A4566" s="7"/>
    </row>
    <row r="4567" spans="1:1" x14ac:dyDescent="0.25">
      <c r="A4567" s="7"/>
    </row>
    <row r="4568" spans="1:1" x14ac:dyDescent="0.25">
      <c r="A4568" s="7"/>
    </row>
    <row r="4569" spans="1:1" x14ac:dyDescent="0.25">
      <c r="A4569" s="7"/>
    </row>
    <row r="4570" spans="1:1" x14ac:dyDescent="0.25">
      <c r="A4570" s="7"/>
    </row>
    <row r="4571" spans="1:1" x14ac:dyDescent="0.25">
      <c r="A4571" s="7"/>
    </row>
    <row r="4572" spans="1:1" x14ac:dyDescent="0.25">
      <c r="A4572" s="7"/>
    </row>
    <row r="4573" spans="1:1" x14ac:dyDescent="0.25">
      <c r="A4573" s="7"/>
    </row>
    <row r="4574" spans="1:1" x14ac:dyDescent="0.25">
      <c r="A4574" s="7"/>
    </row>
    <row r="4575" spans="1:1" x14ac:dyDescent="0.25">
      <c r="A4575" s="7"/>
    </row>
    <row r="4576" spans="1:1" x14ac:dyDescent="0.25">
      <c r="A4576" s="7"/>
    </row>
    <row r="4577" spans="1:1" x14ac:dyDescent="0.25">
      <c r="A4577" s="7"/>
    </row>
    <row r="4578" spans="1:1" x14ac:dyDescent="0.25">
      <c r="A4578" s="7"/>
    </row>
    <row r="4579" spans="1:1" x14ac:dyDescent="0.25">
      <c r="A4579" s="7"/>
    </row>
    <row r="4580" spans="1:1" x14ac:dyDescent="0.25">
      <c r="A4580" s="7"/>
    </row>
    <row r="4581" spans="1:1" x14ac:dyDescent="0.25">
      <c r="A4581" s="7"/>
    </row>
    <row r="4582" spans="1:1" x14ac:dyDescent="0.25">
      <c r="A4582" s="7"/>
    </row>
    <row r="4583" spans="1:1" x14ac:dyDescent="0.25">
      <c r="A4583" s="7"/>
    </row>
    <row r="4584" spans="1:1" x14ac:dyDescent="0.25">
      <c r="A4584" s="7"/>
    </row>
    <row r="4585" spans="1:1" x14ac:dyDescent="0.25">
      <c r="A4585" s="7"/>
    </row>
    <row r="4586" spans="1:1" x14ac:dyDescent="0.25">
      <c r="A4586" s="7"/>
    </row>
    <row r="4587" spans="1:1" x14ac:dyDescent="0.25">
      <c r="A4587" s="7"/>
    </row>
    <row r="4588" spans="1:1" x14ac:dyDescent="0.25">
      <c r="A4588" s="7"/>
    </row>
    <row r="4589" spans="1:1" x14ac:dyDescent="0.25">
      <c r="A4589" s="7"/>
    </row>
    <row r="4590" spans="1:1" x14ac:dyDescent="0.25">
      <c r="A4590" s="7"/>
    </row>
    <row r="4591" spans="1:1" x14ac:dyDescent="0.25">
      <c r="A4591" s="7"/>
    </row>
    <row r="4592" spans="1:1" x14ac:dyDescent="0.25">
      <c r="A4592" s="7"/>
    </row>
    <row r="4593" spans="1:1" x14ac:dyDescent="0.25">
      <c r="A4593" s="7"/>
    </row>
    <row r="4594" spans="1:1" x14ac:dyDescent="0.25">
      <c r="A4594" s="7"/>
    </row>
    <row r="4595" spans="1:1" x14ac:dyDescent="0.25">
      <c r="A4595" s="7"/>
    </row>
    <row r="4596" spans="1:1" x14ac:dyDescent="0.25">
      <c r="A4596" s="7"/>
    </row>
    <row r="4597" spans="1:1" x14ac:dyDescent="0.25">
      <c r="A4597" s="7"/>
    </row>
    <row r="4598" spans="1:1" x14ac:dyDescent="0.25">
      <c r="A4598" s="7"/>
    </row>
    <row r="4599" spans="1:1" x14ac:dyDescent="0.25">
      <c r="A4599" s="7"/>
    </row>
    <row r="4600" spans="1:1" x14ac:dyDescent="0.25">
      <c r="A4600" s="7"/>
    </row>
    <row r="4601" spans="1:1" x14ac:dyDescent="0.25">
      <c r="A4601" s="7"/>
    </row>
    <row r="4602" spans="1:1" x14ac:dyDescent="0.25">
      <c r="A4602" s="7"/>
    </row>
    <row r="4603" spans="1:1" x14ac:dyDescent="0.25">
      <c r="A4603" s="7"/>
    </row>
    <row r="4604" spans="1:1" x14ac:dyDescent="0.25">
      <c r="A4604" s="7"/>
    </row>
    <row r="4605" spans="1:1" x14ac:dyDescent="0.25">
      <c r="A4605" s="7"/>
    </row>
    <row r="4606" spans="1:1" x14ac:dyDescent="0.25">
      <c r="A4606" s="7"/>
    </row>
    <row r="4607" spans="1:1" x14ac:dyDescent="0.25">
      <c r="A4607" s="7"/>
    </row>
    <row r="4608" spans="1:1" x14ac:dyDescent="0.25">
      <c r="A4608" s="7"/>
    </row>
    <row r="4609" spans="1:1" x14ac:dyDescent="0.25">
      <c r="A4609" s="7"/>
    </row>
    <row r="4610" spans="1:1" x14ac:dyDescent="0.25">
      <c r="A4610" s="7"/>
    </row>
    <row r="4611" spans="1:1" x14ac:dyDescent="0.25">
      <c r="A4611" s="7"/>
    </row>
    <row r="4612" spans="1:1" x14ac:dyDescent="0.25">
      <c r="A4612" s="7"/>
    </row>
    <row r="4613" spans="1:1" x14ac:dyDescent="0.25">
      <c r="A4613" s="7"/>
    </row>
    <row r="4614" spans="1:1" x14ac:dyDescent="0.25">
      <c r="A4614" s="7"/>
    </row>
    <row r="4615" spans="1:1" x14ac:dyDescent="0.25">
      <c r="A4615" s="7"/>
    </row>
    <row r="4616" spans="1:1" x14ac:dyDescent="0.25">
      <c r="A4616" s="7"/>
    </row>
    <row r="4617" spans="1:1" x14ac:dyDescent="0.25">
      <c r="A4617" s="7"/>
    </row>
    <row r="4618" spans="1:1" x14ac:dyDescent="0.25">
      <c r="A4618" s="7"/>
    </row>
    <row r="4619" spans="1:1" x14ac:dyDescent="0.25">
      <c r="A4619" s="7"/>
    </row>
    <row r="4620" spans="1:1" x14ac:dyDescent="0.25">
      <c r="A4620" s="7"/>
    </row>
    <row r="4621" spans="1:1" x14ac:dyDescent="0.25">
      <c r="A4621" s="7"/>
    </row>
    <row r="4622" spans="1:1" x14ac:dyDescent="0.25">
      <c r="A4622" s="7"/>
    </row>
    <row r="4623" spans="1:1" x14ac:dyDescent="0.25">
      <c r="A4623" s="7"/>
    </row>
    <row r="4624" spans="1:1" x14ac:dyDescent="0.25">
      <c r="A4624" s="7"/>
    </row>
    <row r="4625" spans="1:1" x14ac:dyDescent="0.25">
      <c r="A4625" s="7"/>
    </row>
    <row r="4626" spans="1:1" x14ac:dyDescent="0.25">
      <c r="A4626" s="7"/>
    </row>
    <row r="4627" spans="1:1" x14ac:dyDescent="0.25">
      <c r="A4627" s="7"/>
    </row>
    <row r="4628" spans="1:1" x14ac:dyDescent="0.25">
      <c r="A4628" s="7"/>
    </row>
    <row r="4629" spans="1:1" x14ac:dyDescent="0.25">
      <c r="A4629" s="7"/>
    </row>
    <row r="4630" spans="1:1" x14ac:dyDescent="0.25">
      <c r="A4630" s="7"/>
    </row>
    <row r="4631" spans="1:1" x14ac:dyDescent="0.25">
      <c r="A4631" s="7"/>
    </row>
    <row r="4632" spans="1:1" x14ac:dyDescent="0.25">
      <c r="A4632" s="7"/>
    </row>
    <row r="4633" spans="1:1" x14ac:dyDescent="0.25">
      <c r="A4633" s="7"/>
    </row>
    <row r="4634" spans="1:1" x14ac:dyDescent="0.25">
      <c r="A4634" s="7"/>
    </row>
    <row r="4635" spans="1:1" x14ac:dyDescent="0.25">
      <c r="A4635" s="7"/>
    </row>
    <row r="4636" spans="1:1" x14ac:dyDescent="0.25">
      <c r="A4636" s="7"/>
    </row>
    <row r="4637" spans="1:1" x14ac:dyDescent="0.25">
      <c r="A4637" s="7"/>
    </row>
    <row r="4638" spans="1:1" x14ac:dyDescent="0.25">
      <c r="A4638" s="7"/>
    </row>
    <row r="4639" spans="1:1" x14ac:dyDescent="0.25">
      <c r="A4639" s="7"/>
    </row>
    <row r="4640" spans="1:1" x14ac:dyDescent="0.25">
      <c r="A4640" s="7"/>
    </row>
    <row r="4641" spans="1:1" x14ac:dyDescent="0.25">
      <c r="A4641" s="7"/>
    </row>
    <row r="4642" spans="1:1" x14ac:dyDescent="0.25">
      <c r="A4642" s="7"/>
    </row>
    <row r="4643" spans="1:1" x14ac:dyDescent="0.25">
      <c r="A4643" s="7"/>
    </row>
    <row r="4644" spans="1:1" x14ac:dyDescent="0.25">
      <c r="A4644" s="7"/>
    </row>
    <row r="4645" spans="1:1" x14ac:dyDescent="0.25">
      <c r="A4645" s="7"/>
    </row>
    <row r="4646" spans="1:1" x14ac:dyDescent="0.25">
      <c r="A4646" s="7"/>
    </row>
    <row r="4647" spans="1:1" x14ac:dyDescent="0.25">
      <c r="A4647" s="7"/>
    </row>
    <row r="4648" spans="1:1" x14ac:dyDescent="0.25">
      <c r="A4648" s="7"/>
    </row>
    <row r="4649" spans="1:1" x14ac:dyDescent="0.25">
      <c r="A4649" s="7"/>
    </row>
    <row r="4650" spans="1:1" x14ac:dyDescent="0.25">
      <c r="A4650" s="7"/>
    </row>
    <row r="4651" spans="1:1" x14ac:dyDescent="0.25">
      <c r="A4651" s="7"/>
    </row>
    <row r="4652" spans="1:1" x14ac:dyDescent="0.25">
      <c r="A4652" s="7"/>
    </row>
    <row r="4653" spans="1:1" x14ac:dyDescent="0.25">
      <c r="A4653" s="7"/>
    </row>
    <row r="4654" spans="1:1" x14ac:dyDescent="0.25">
      <c r="A4654" s="7"/>
    </row>
    <row r="4655" spans="1:1" x14ac:dyDescent="0.25">
      <c r="A4655" s="7"/>
    </row>
    <row r="4656" spans="1:1" x14ac:dyDescent="0.25">
      <c r="A4656" s="7"/>
    </row>
    <row r="4657" spans="1:1" x14ac:dyDescent="0.25">
      <c r="A4657" s="7"/>
    </row>
    <row r="4658" spans="1:1" x14ac:dyDescent="0.25">
      <c r="A4658" s="7"/>
    </row>
    <row r="4659" spans="1:1" x14ac:dyDescent="0.25">
      <c r="A4659" s="7"/>
    </row>
    <row r="4660" spans="1:1" x14ac:dyDescent="0.25">
      <c r="A4660" s="7"/>
    </row>
    <row r="4661" spans="1:1" x14ac:dyDescent="0.25">
      <c r="A4661" s="7"/>
    </row>
    <row r="4662" spans="1:1" x14ac:dyDescent="0.25">
      <c r="A4662" s="7"/>
    </row>
    <row r="4663" spans="1:1" x14ac:dyDescent="0.25">
      <c r="A4663" s="7"/>
    </row>
    <row r="4664" spans="1:1" x14ac:dyDescent="0.25">
      <c r="A4664" s="7"/>
    </row>
    <row r="4665" spans="1:1" x14ac:dyDescent="0.25">
      <c r="A4665" s="7"/>
    </row>
    <row r="4666" spans="1:1" x14ac:dyDescent="0.25">
      <c r="A4666" s="7"/>
    </row>
    <row r="4667" spans="1:1" x14ac:dyDescent="0.25">
      <c r="A4667" s="7"/>
    </row>
    <row r="4668" spans="1:1" x14ac:dyDescent="0.25">
      <c r="A4668" s="7"/>
    </row>
    <row r="4669" spans="1:1" x14ac:dyDescent="0.25">
      <c r="A4669" s="7"/>
    </row>
    <row r="4670" spans="1:1" x14ac:dyDescent="0.25">
      <c r="A4670" s="7"/>
    </row>
    <row r="4671" spans="1:1" x14ac:dyDescent="0.25">
      <c r="A4671" s="7"/>
    </row>
    <row r="4672" spans="1:1" x14ac:dyDescent="0.25">
      <c r="A4672" s="7"/>
    </row>
    <row r="4673" spans="1:1" x14ac:dyDescent="0.25">
      <c r="A4673" s="7"/>
    </row>
    <row r="4674" spans="1:1" x14ac:dyDescent="0.25">
      <c r="A4674" s="7"/>
    </row>
    <row r="4675" spans="1:1" x14ac:dyDescent="0.25">
      <c r="A4675" s="7"/>
    </row>
    <row r="4676" spans="1:1" x14ac:dyDescent="0.25">
      <c r="A4676" s="7"/>
    </row>
    <row r="4677" spans="1:1" x14ac:dyDescent="0.25">
      <c r="A4677" s="7"/>
    </row>
    <row r="4678" spans="1:1" x14ac:dyDescent="0.25">
      <c r="A4678" s="7"/>
    </row>
    <row r="4679" spans="1:1" x14ac:dyDescent="0.25">
      <c r="A4679" s="7"/>
    </row>
    <row r="4680" spans="1:1" x14ac:dyDescent="0.25">
      <c r="A4680" s="7"/>
    </row>
    <row r="4681" spans="1:1" x14ac:dyDescent="0.25">
      <c r="A4681" s="7"/>
    </row>
    <row r="4682" spans="1:1" x14ac:dyDescent="0.25">
      <c r="A4682" s="7"/>
    </row>
    <row r="4683" spans="1:1" x14ac:dyDescent="0.25">
      <c r="A4683" s="7"/>
    </row>
    <row r="4684" spans="1:1" x14ac:dyDescent="0.25">
      <c r="A4684" s="7"/>
    </row>
    <row r="4685" spans="1:1" x14ac:dyDescent="0.25">
      <c r="A4685" s="7"/>
    </row>
    <row r="4686" spans="1:1" x14ac:dyDescent="0.25">
      <c r="A4686" s="7"/>
    </row>
    <row r="4687" spans="1:1" x14ac:dyDescent="0.25">
      <c r="A4687" s="7"/>
    </row>
    <row r="4688" spans="1:1" x14ac:dyDescent="0.25">
      <c r="A4688" s="7"/>
    </row>
    <row r="4689" spans="1:1" x14ac:dyDescent="0.25">
      <c r="A4689" s="7"/>
    </row>
    <row r="4690" spans="1:1" x14ac:dyDescent="0.25">
      <c r="A4690" s="7"/>
    </row>
    <row r="4691" spans="1:1" x14ac:dyDescent="0.25">
      <c r="A4691" s="7"/>
    </row>
    <row r="4692" spans="1:1" x14ac:dyDescent="0.25">
      <c r="A4692" s="7"/>
    </row>
    <row r="4693" spans="1:1" x14ac:dyDescent="0.25">
      <c r="A4693" s="7"/>
    </row>
    <row r="4694" spans="1:1" x14ac:dyDescent="0.25">
      <c r="A4694" s="7"/>
    </row>
    <row r="4695" spans="1:1" x14ac:dyDescent="0.25">
      <c r="A4695" s="7"/>
    </row>
    <row r="4696" spans="1:1" x14ac:dyDescent="0.25">
      <c r="A4696" s="7"/>
    </row>
    <row r="4697" spans="1:1" x14ac:dyDescent="0.25">
      <c r="A4697" s="7"/>
    </row>
    <row r="4698" spans="1:1" x14ac:dyDescent="0.25">
      <c r="A4698" s="7"/>
    </row>
    <row r="4699" spans="1:1" x14ac:dyDescent="0.25">
      <c r="A4699" s="7"/>
    </row>
    <row r="4700" spans="1:1" x14ac:dyDescent="0.25">
      <c r="A4700" s="7"/>
    </row>
    <row r="4701" spans="1:1" x14ac:dyDescent="0.25">
      <c r="A4701" s="7"/>
    </row>
    <row r="4702" spans="1:1" x14ac:dyDescent="0.25">
      <c r="A4702" s="7"/>
    </row>
    <row r="4703" spans="1:1" x14ac:dyDescent="0.25">
      <c r="A4703" s="7"/>
    </row>
    <row r="4704" spans="1:1" x14ac:dyDescent="0.25">
      <c r="A4704" s="7"/>
    </row>
    <row r="4705" spans="1:1" x14ac:dyDescent="0.25">
      <c r="A4705" s="7"/>
    </row>
    <row r="4706" spans="1:1" x14ac:dyDescent="0.25">
      <c r="A4706" s="7"/>
    </row>
    <row r="4707" spans="1:1" x14ac:dyDescent="0.25">
      <c r="A4707" s="7"/>
    </row>
    <row r="4708" spans="1:1" x14ac:dyDescent="0.25">
      <c r="A4708" s="7"/>
    </row>
    <row r="4709" spans="1:1" x14ac:dyDescent="0.25">
      <c r="A4709" s="7"/>
    </row>
    <row r="4710" spans="1:1" x14ac:dyDescent="0.25">
      <c r="A4710" s="7"/>
    </row>
    <row r="4711" spans="1:1" x14ac:dyDescent="0.25">
      <c r="A4711" s="7"/>
    </row>
    <row r="4712" spans="1:1" x14ac:dyDescent="0.25">
      <c r="A4712" s="7"/>
    </row>
    <row r="4713" spans="1:1" x14ac:dyDescent="0.25">
      <c r="A4713" s="7"/>
    </row>
    <row r="4714" spans="1:1" x14ac:dyDescent="0.25">
      <c r="A4714" s="7"/>
    </row>
    <row r="4715" spans="1:1" x14ac:dyDescent="0.25">
      <c r="A4715" s="7"/>
    </row>
    <row r="4716" spans="1:1" x14ac:dyDescent="0.25">
      <c r="A4716" s="7"/>
    </row>
    <row r="4717" spans="1:1" x14ac:dyDescent="0.25">
      <c r="A4717" s="7"/>
    </row>
    <row r="4718" spans="1:1" x14ac:dyDescent="0.25">
      <c r="A4718" s="7"/>
    </row>
    <row r="4719" spans="1:1" x14ac:dyDescent="0.25">
      <c r="A4719" s="7"/>
    </row>
    <row r="4720" spans="1:1" x14ac:dyDescent="0.25">
      <c r="A4720" s="7"/>
    </row>
    <row r="4721" spans="1:1" x14ac:dyDescent="0.25">
      <c r="A4721" s="7"/>
    </row>
    <row r="4722" spans="1:1" x14ac:dyDescent="0.25">
      <c r="A4722" s="7"/>
    </row>
    <row r="4723" spans="1:1" x14ac:dyDescent="0.25">
      <c r="A4723" s="7"/>
    </row>
    <row r="4724" spans="1:1" x14ac:dyDescent="0.25">
      <c r="A4724" s="7"/>
    </row>
    <row r="4725" spans="1:1" x14ac:dyDescent="0.25">
      <c r="A4725" s="7"/>
    </row>
    <row r="4726" spans="1:1" x14ac:dyDescent="0.25">
      <c r="A4726" s="7"/>
    </row>
    <row r="4727" spans="1:1" x14ac:dyDescent="0.25">
      <c r="A4727" s="7"/>
    </row>
    <row r="4728" spans="1:1" x14ac:dyDescent="0.25">
      <c r="A4728" s="7"/>
    </row>
    <row r="4729" spans="1:1" x14ac:dyDescent="0.25">
      <c r="A4729" s="7"/>
    </row>
    <row r="4730" spans="1:1" x14ac:dyDescent="0.25">
      <c r="A4730" s="7"/>
    </row>
    <row r="4731" spans="1:1" x14ac:dyDescent="0.25">
      <c r="A4731" s="7"/>
    </row>
    <row r="4732" spans="1:1" x14ac:dyDescent="0.25">
      <c r="A4732" s="7"/>
    </row>
    <row r="4733" spans="1:1" x14ac:dyDescent="0.25">
      <c r="A4733" s="7"/>
    </row>
    <row r="4734" spans="1:1" x14ac:dyDescent="0.25">
      <c r="A4734" s="7"/>
    </row>
    <row r="4735" spans="1:1" x14ac:dyDescent="0.25">
      <c r="A4735" s="7"/>
    </row>
    <row r="4736" spans="1:1" x14ac:dyDescent="0.25">
      <c r="A4736" s="7"/>
    </row>
    <row r="4737" spans="1:1" x14ac:dyDescent="0.25">
      <c r="A4737" s="7"/>
    </row>
    <row r="4738" spans="1:1" x14ac:dyDescent="0.25">
      <c r="A4738" s="7"/>
    </row>
    <row r="4739" spans="1:1" x14ac:dyDescent="0.25">
      <c r="A4739" s="7"/>
    </row>
    <row r="4740" spans="1:1" x14ac:dyDescent="0.25">
      <c r="A4740" s="7"/>
    </row>
    <row r="4741" spans="1:1" x14ac:dyDescent="0.25">
      <c r="A4741" s="7"/>
    </row>
    <row r="4742" spans="1:1" x14ac:dyDescent="0.25">
      <c r="A4742" s="7"/>
    </row>
    <row r="4743" spans="1:1" x14ac:dyDescent="0.25">
      <c r="A4743" s="7"/>
    </row>
    <row r="4744" spans="1:1" x14ac:dyDescent="0.25">
      <c r="A4744" s="7"/>
    </row>
    <row r="4745" spans="1:1" x14ac:dyDescent="0.25">
      <c r="A4745" s="7"/>
    </row>
    <row r="4746" spans="1:1" x14ac:dyDescent="0.25">
      <c r="A4746" s="7"/>
    </row>
    <row r="4747" spans="1:1" x14ac:dyDescent="0.25">
      <c r="A4747" s="7"/>
    </row>
    <row r="4748" spans="1:1" x14ac:dyDescent="0.25">
      <c r="A4748" s="7"/>
    </row>
    <row r="4749" spans="1:1" x14ac:dyDescent="0.25">
      <c r="A4749" s="7"/>
    </row>
    <row r="4750" spans="1:1" x14ac:dyDescent="0.25">
      <c r="A4750" s="7"/>
    </row>
    <row r="4751" spans="1:1" x14ac:dyDescent="0.25">
      <c r="A4751" s="7"/>
    </row>
    <row r="4752" spans="1:1" x14ac:dyDescent="0.25">
      <c r="A4752" s="7"/>
    </row>
    <row r="4753" spans="1:1" x14ac:dyDescent="0.25">
      <c r="A4753" s="7"/>
    </row>
    <row r="4754" spans="1:1" x14ac:dyDescent="0.25">
      <c r="A4754" s="7"/>
    </row>
    <row r="4755" spans="1:1" x14ac:dyDescent="0.25">
      <c r="A4755" s="7"/>
    </row>
    <row r="4756" spans="1:1" x14ac:dyDescent="0.25">
      <c r="A4756" s="7"/>
    </row>
    <row r="4757" spans="1:1" x14ac:dyDescent="0.25">
      <c r="A4757" s="7"/>
    </row>
    <row r="4758" spans="1:1" x14ac:dyDescent="0.25">
      <c r="A4758" s="7"/>
    </row>
    <row r="4759" spans="1:1" x14ac:dyDescent="0.25">
      <c r="A4759" s="7"/>
    </row>
    <row r="4760" spans="1:1" x14ac:dyDescent="0.25">
      <c r="A4760" s="7"/>
    </row>
    <row r="4761" spans="1:1" x14ac:dyDescent="0.25">
      <c r="A4761" s="7"/>
    </row>
    <row r="4762" spans="1:1" x14ac:dyDescent="0.25">
      <c r="A4762" s="7"/>
    </row>
    <row r="4763" spans="1:1" x14ac:dyDescent="0.25">
      <c r="A4763" s="7"/>
    </row>
    <row r="4764" spans="1:1" x14ac:dyDescent="0.25">
      <c r="A4764" s="7"/>
    </row>
    <row r="4765" spans="1:1" x14ac:dyDescent="0.25">
      <c r="A4765" s="7"/>
    </row>
    <row r="4766" spans="1:1" x14ac:dyDescent="0.25">
      <c r="A4766" s="7"/>
    </row>
    <row r="4767" spans="1:1" x14ac:dyDescent="0.25">
      <c r="A4767" s="7"/>
    </row>
    <row r="4768" spans="1:1" x14ac:dyDescent="0.25">
      <c r="A4768" s="7"/>
    </row>
    <row r="4769" spans="1:1" x14ac:dyDescent="0.25">
      <c r="A4769" s="7"/>
    </row>
    <row r="4770" spans="1:1" x14ac:dyDescent="0.25">
      <c r="A4770" s="7"/>
    </row>
    <row r="4771" spans="1:1" x14ac:dyDescent="0.25">
      <c r="A4771" s="7"/>
    </row>
    <row r="4772" spans="1:1" x14ac:dyDescent="0.25">
      <c r="A4772" s="7"/>
    </row>
    <row r="4773" spans="1:1" x14ac:dyDescent="0.25">
      <c r="A4773" s="7"/>
    </row>
    <row r="4774" spans="1:1" x14ac:dyDescent="0.25">
      <c r="A4774" s="7"/>
    </row>
    <row r="4775" spans="1:1" x14ac:dyDescent="0.25">
      <c r="A4775" s="7"/>
    </row>
    <row r="4776" spans="1:1" x14ac:dyDescent="0.25">
      <c r="A4776" s="7"/>
    </row>
    <row r="4777" spans="1:1" x14ac:dyDescent="0.25">
      <c r="A4777" s="7"/>
    </row>
    <row r="4778" spans="1:1" x14ac:dyDescent="0.25">
      <c r="A4778" s="7"/>
    </row>
    <row r="4779" spans="1:1" x14ac:dyDescent="0.25">
      <c r="A4779" s="7"/>
    </row>
    <row r="4780" spans="1:1" x14ac:dyDescent="0.25">
      <c r="A4780" s="7"/>
    </row>
    <row r="4781" spans="1:1" x14ac:dyDescent="0.25">
      <c r="A4781" s="7"/>
    </row>
    <row r="4782" spans="1:1" x14ac:dyDescent="0.25">
      <c r="A4782" s="7"/>
    </row>
    <row r="4783" spans="1:1" x14ac:dyDescent="0.25">
      <c r="A4783" s="7"/>
    </row>
    <row r="4784" spans="1:1" x14ac:dyDescent="0.25">
      <c r="A4784" s="7"/>
    </row>
    <row r="4785" spans="1:1" x14ac:dyDescent="0.25">
      <c r="A4785" s="7"/>
    </row>
    <row r="4786" spans="1:1" x14ac:dyDescent="0.25">
      <c r="A4786" s="7"/>
    </row>
    <row r="4787" spans="1:1" x14ac:dyDescent="0.25">
      <c r="A4787" s="7"/>
    </row>
    <row r="4788" spans="1:1" x14ac:dyDescent="0.25">
      <c r="A4788" s="7"/>
    </row>
    <row r="4789" spans="1:1" x14ac:dyDescent="0.25">
      <c r="A4789" s="7"/>
    </row>
    <row r="4790" spans="1:1" x14ac:dyDescent="0.25">
      <c r="A4790" s="7"/>
    </row>
    <row r="4791" spans="1:1" x14ac:dyDescent="0.25">
      <c r="A4791" s="7"/>
    </row>
    <row r="4792" spans="1:1" x14ac:dyDescent="0.25">
      <c r="A4792" s="7"/>
    </row>
    <row r="4793" spans="1:1" x14ac:dyDescent="0.25">
      <c r="A4793" s="7"/>
    </row>
    <row r="4794" spans="1:1" x14ac:dyDescent="0.25">
      <c r="A4794" s="7"/>
    </row>
    <row r="4795" spans="1:1" x14ac:dyDescent="0.25">
      <c r="A4795" s="7"/>
    </row>
    <row r="4796" spans="1:1" x14ac:dyDescent="0.25">
      <c r="A4796" s="7"/>
    </row>
    <row r="4797" spans="1:1" x14ac:dyDescent="0.25">
      <c r="A4797" s="7"/>
    </row>
    <row r="4798" spans="1:1" x14ac:dyDescent="0.25">
      <c r="A4798" s="7"/>
    </row>
    <row r="4799" spans="1:1" x14ac:dyDescent="0.25">
      <c r="A4799" s="7"/>
    </row>
    <row r="4800" spans="1:1" x14ac:dyDescent="0.25">
      <c r="A4800" s="7"/>
    </row>
    <row r="4801" spans="1:1" x14ac:dyDescent="0.25">
      <c r="A4801" s="7"/>
    </row>
    <row r="4802" spans="1:1" x14ac:dyDescent="0.25">
      <c r="A4802" s="7"/>
    </row>
    <row r="4803" spans="1:1" x14ac:dyDescent="0.25">
      <c r="A4803" s="7"/>
    </row>
    <row r="4804" spans="1:1" x14ac:dyDescent="0.25">
      <c r="A4804" s="7"/>
    </row>
    <row r="4805" spans="1:1" x14ac:dyDescent="0.25">
      <c r="A4805" s="7"/>
    </row>
    <row r="4806" spans="1:1" x14ac:dyDescent="0.25">
      <c r="A4806" s="7"/>
    </row>
    <row r="4807" spans="1:1" x14ac:dyDescent="0.25">
      <c r="A4807" s="7"/>
    </row>
    <row r="4808" spans="1:1" x14ac:dyDescent="0.25">
      <c r="A4808" s="7"/>
    </row>
    <row r="4809" spans="1:1" x14ac:dyDescent="0.25">
      <c r="A4809" s="7"/>
    </row>
    <row r="4810" spans="1:1" x14ac:dyDescent="0.25">
      <c r="A4810" s="7"/>
    </row>
    <row r="4811" spans="1:1" x14ac:dyDescent="0.25">
      <c r="A4811" s="7"/>
    </row>
    <row r="4812" spans="1:1" x14ac:dyDescent="0.25">
      <c r="A4812" s="7"/>
    </row>
    <row r="4813" spans="1:1" x14ac:dyDescent="0.25">
      <c r="A4813" s="7"/>
    </row>
    <row r="4814" spans="1:1" x14ac:dyDescent="0.25">
      <c r="A4814" s="7"/>
    </row>
    <row r="4815" spans="1:1" x14ac:dyDescent="0.25">
      <c r="A4815" s="7"/>
    </row>
    <row r="4816" spans="1:1" x14ac:dyDescent="0.25">
      <c r="A4816" s="7"/>
    </row>
    <row r="4817" spans="1:1" x14ac:dyDescent="0.25">
      <c r="A4817" s="7"/>
    </row>
    <row r="4818" spans="1:1" x14ac:dyDescent="0.25">
      <c r="A4818" s="7"/>
    </row>
    <row r="4819" spans="1:1" x14ac:dyDescent="0.25">
      <c r="A4819" s="7"/>
    </row>
    <row r="4820" spans="1:1" x14ac:dyDescent="0.25">
      <c r="A4820" s="7"/>
    </row>
    <row r="4821" spans="1:1" x14ac:dyDescent="0.25">
      <c r="A4821" s="7"/>
    </row>
    <row r="4822" spans="1:1" x14ac:dyDescent="0.25">
      <c r="A4822" s="7"/>
    </row>
    <row r="4823" spans="1:1" x14ac:dyDescent="0.25">
      <c r="A4823" s="7"/>
    </row>
    <row r="4824" spans="1:1" x14ac:dyDescent="0.25">
      <c r="A4824" s="7"/>
    </row>
    <row r="4825" spans="1:1" x14ac:dyDescent="0.25">
      <c r="A4825" s="7"/>
    </row>
    <row r="4826" spans="1:1" x14ac:dyDescent="0.25">
      <c r="A4826" s="7"/>
    </row>
    <row r="4827" spans="1:1" x14ac:dyDescent="0.25">
      <c r="A4827" s="7"/>
    </row>
    <row r="4828" spans="1:1" x14ac:dyDescent="0.25">
      <c r="A4828" s="7"/>
    </row>
    <row r="4829" spans="1:1" x14ac:dyDescent="0.25">
      <c r="A4829" s="7"/>
    </row>
    <row r="4830" spans="1:1" x14ac:dyDescent="0.25">
      <c r="A4830" s="7"/>
    </row>
    <row r="4831" spans="1:1" x14ac:dyDescent="0.25">
      <c r="A4831" s="7"/>
    </row>
    <row r="4832" spans="1:1" x14ac:dyDescent="0.25">
      <c r="A4832" s="7"/>
    </row>
    <row r="4833" spans="1:1" x14ac:dyDescent="0.25">
      <c r="A4833" s="7"/>
    </row>
    <row r="4834" spans="1:1" x14ac:dyDescent="0.25">
      <c r="A4834" s="7"/>
    </row>
    <row r="4835" spans="1:1" x14ac:dyDescent="0.25">
      <c r="A4835" s="7"/>
    </row>
    <row r="4836" spans="1:1" x14ac:dyDescent="0.25">
      <c r="A4836" s="7"/>
    </row>
    <row r="4837" spans="1:1" x14ac:dyDescent="0.25">
      <c r="A4837" s="7"/>
    </row>
    <row r="4838" spans="1:1" x14ac:dyDescent="0.25">
      <c r="A4838" s="7"/>
    </row>
    <row r="4839" spans="1:1" x14ac:dyDescent="0.25">
      <c r="A4839" s="7"/>
    </row>
    <row r="4840" spans="1:1" x14ac:dyDescent="0.25">
      <c r="A4840" s="7"/>
    </row>
    <row r="4841" spans="1:1" x14ac:dyDescent="0.25">
      <c r="A4841" s="7"/>
    </row>
    <row r="4842" spans="1:1" x14ac:dyDescent="0.25">
      <c r="A4842" s="7"/>
    </row>
    <row r="4843" spans="1:1" x14ac:dyDescent="0.25">
      <c r="A4843" s="7"/>
    </row>
    <row r="4844" spans="1:1" x14ac:dyDescent="0.25">
      <c r="A4844" s="7"/>
    </row>
    <row r="4845" spans="1:1" x14ac:dyDescent="0.25">
      <c r="A4845" s="7"/>
    </row>
    <row r="4846" spans="1:1" x14ac:dyDescent="0.25">
      <c r="A4846" s="7"/>
    </row>
    <row r="4847" spans="1:1" x14ac:dyDescent="0.25">
      <c r="A4847" s="7"/>
    </row>
    <row r="4848" spans="1:1" x14ac:dyDescent="0.25">
      <c r="A4848" s="7"/>
    </row>
    <row r="4849" spans="1:1" x14ac:dyDescent="0.25">
      <c r="A4849" s="7"/>
    </row>
    <row r="4850" spans="1:1" x14ac:dyDescent="0.25">
      <c r="A4850" s="7"/>
    </row>
    <row r="4851" spans="1:1" x14ac:dyDescent="0.25">
      <c r="A4851" s="7"/>
    </row>
    <row r="4852" spans="1:1" x14ac:dyDescent="0.25">
      <c r="A4852" s="7"/>
    </row>
    <row r="4853" spans="1:1" x14ac:dyDescent="0.25">
      <c r="A4853" s="7"/>
    </row>
    <row r="4854" spans="1:1" x14ac:dyDescent="0.25">
      <c r="A4854" s="7"/>
    </row>
    <row r="4855" spans="1:1" x14ac:dyDescent="0.25">
      <c r="A4855" s="7"/>
    </row>
    <row r="4856" spans="1:1" x14ac:dyDescent="0.25">
      <c r="A4856" s="7"/>
    </row>
    <row r="4857" spans="1:1" x14ac:dyDescent="0.25">
      <c r="A4857" s="7"/>
    </row>
    <row r="4858" spans="1:1" x14ac:dyDescent="0.25">
      <c r="A4858" s="7"/>
    </row>
    <row r="4859" spans="1:1" x14ac:dyDescent="0.25">
      <c r="A4859" s="7"/>
    </row>
    <row r="4860" spans="1:1" x14ac:dyDescent="0.25">
      <c r="A4860" s="7"/>
    </row>
    <row r="4861" spans="1:1" x14ac:dyDescent="0.25">
      <c r="A4861" s="7"/>
    </row>
    <row r="4862" spans="1:1" x14ac:dyDescent="0.25">
      <c r="A4862" s="7"/>
    </row>
    <row r="4863" spans="1:1" x14ac:dyDescent="0.25">
      <c r="A4863" s="7"/>
    </row>
    <row r="4864" spans="1:1" x14ac:dyDescent="0.25">
      <c r="A4864" s="7"/>
    </row>
    <row r="4865" spans="1:1" x14ac:dyDescent="0.25">
      <c r="A4865" s="7"/>
    </row>
    <row r="4866" spans="1:1" x14ac:dyDescent="0.25">
      <c r="A4866" s="7"/>
    </row>
    <row r="4867" spans="1:1" x14ac:dyDescent="0.25">
      <c r="A4867" s="7"/>
    </row>
    <row r="4868" spans="1:1" x14ac:dyDescent="0.25">
      <c r="A4868" s="7"/>
    </row>
    <row r="4869" spans="1:1" x14ac:dyDescent="0.25">
      <c r="A4869" s="7"/>
    </row>
    <row r="4870" spans="1:1" x14ac:dyDescent="0.25">
      <c r="A4870" s="7"/>
    </row>
    <row r="4871" spans="1:1" x14ac:dyDescent="0.25">
      <c r="A4871" s="7"/>
    </row>
    <row r="4872" spans="1:1" x14ac:dyDescent="0.25">
      <c r="A4872" s="7"/>
    </row>
    <row r="4873" spans="1:1" x14ac:dyDescent="0.25">
      <c r="A4873" s="7"/>
    </row>
    <row r="4874" spans="1:1" x14ac:dyDescent="0.25">
      <c r="A4874" s="7"/>
    </row>
    <row r="4875" spans="1:1" x14ac:dyDescent="0.25">
      <c r="A4875" s="7"/>
    </row>
    <row r="4876" spans="1:1" x14ac:dyDescent="0.25">
      <c r="A4876" s="7"/>
    </row>
    <row r="4877" spans="1:1" x14ac:dyDescent="0.25">
      <c r="A4877" s="7"/>
    </row>
    <row r="4878" spans="1:1" x14ac:dyDescent="0.25">
      <c r="A4878" s="7"/>
    </row>
    <row r="4879" spans="1:1" x14ac:dyDescent="0.25">
      <c r="A4879" s="7"/>
    </row>
    <row r="4880" spans="1:1" x14ac:dyDescent="0.25">
      <c r="A4880" s="7"/>
    </row>
    <row r="4881" spans="1:1" x14ac:dyDescent="0.25">
      <c r="A4881" s="7"/>
    </row>
    <row r="4882" spans="1:1" x14ac:dyDescent="0.25">
      <c r="A4882" s="7"/>
    </row>
    <row r="4883" spans="1:1" x14ac:dyDescent="0.25">
      <c r="A4883" s="7"/>
    </row>
    <row r="4884" spans="1:1" x14ac:dyDescent="0.25">
      <c r="A4884" s="7"/>
    </row>
    <row r="4885" spans="1:1" x14ac:dyDescent="0.25">
      <c r="A4885" s="7"/>
    </row>
    <row r="4886" spans="1:1" x14ac:dyDescent="0.25">
      <c r="A4886" s="7"/>
    </row>
    <row r="4887" spans="1:1" x14ac:dyDescent="0.25">
      <c r="A4887" s="7"/>
    </row>
    <row r="4888" spans="1:1" x14ac:dyDescent="0.25">
      <c r="A4888" s="7"/>
    </row>
    <row r="4889" spans="1:1" x14ac:dyDescent="0.25">
      <c r="A4889" s="7"/>
    </row>
    <row r="4890" spans="1:1" x14ac:dyDescent="0.25">
      <c r="A4890" s="7"/>
    </row>
    <row r="4891" spans="1:1" x14ac:dyDescent="0.25">
      <c r="A4891" s="7"/>
    </row>
    <row r="4892" spans="1:1" x14ac:dyDescent="0.25">
      <c r="A4892" s="7"/>
    </row>
    <row r="4893" spans="1:1" x14ac:dyDescent="0.25">
      <c r="A4893" s="7"/>
    </row>
    <row r="4894" spans="1:1" x14ac:dyDescent="0.25">
      <c r="A4894" s="7"/>
    </row>
    <row r="4895" spans="1:1" x14ac:dyDescent="0.25">
      <c r="A4895" s="7"/>
    </row>
    <row r="4896" spans="1:1" x14ac:dyDescent="0.25">
      <c r="A4896" s="7"/>
    </row>
    <row r="4897" spans="1:1" x14ac:dyDescent="0.25">
      <c r="A4897" s="7"/>
    </row>
    <row r="4898" spans="1:1" x14ac:dyDescent="0.25">
      <c r="A4898" s="7"/>
    </row>
    <row r="4899" spans="1:1" x14ac:dyDescent="0.25">
      <c r="A4899" s="7"/>
    </row>
    <row r="4900" spans="1:1" x14ac:dyDescent="0.25">
      <c r="A4900" s="7"/>
    </row>
    <row r="4901" spans="1:1" x14ac:dyDescent="0.25">
      <c r="A4901" s="7"/>
    </row>
    <row r="4902" spans="1:1" x14ac:dyDescent="0.25">
      <c r="A4902" s="7"/>
    </row>
    <row r="4903" spans="1:1" x14ac:dyDescent="0.25">
      <c r="A4903" s="7"/>
    </row>
    <row r="4904" spans="1:1" x14ac:dyDescent="0.25">
      <c r="A4904" s="7"/>
    </row>
    <row r="4905" spans="1:1" x14ac:dyDescent="0.25">
      <c r="A4905" s="7"/>
    </row>
    <row r="4906" spans="1:1" x14ac:dyDescent="0.25">
      <c r="A4906" s="7"/>
    </row>
    <row r="4907" spans="1:1" x14ac:dyDescent="0.25">
      <c r="A4907" s="7"/>
    </row>
    <row r="4908" spans="1:1" x14ac:dyDescent="0.25">
      <c r="A4908" s="7"/>
    </row>
    <row r="4909" spans="1:1" x14ac:dyDescent="0.25">
      <c r="A4909" s="7"/>
    </row>
    <row r="4910" spans="1:1" x14ac:dyDescent="0.25">
      <c r="A4910" s="7"/>
    </row>
    <row r="4911" spans="1:1" x14ac:dyDescent="0.25">
      <c r="A4911" s="7"/>
    </row>
    <row r="4912" spans="1:1" x14ac:dyDescent="0.25">
      <c r="A4912" s="7"/>
    </row>
    <row r="4913" spans="1:1" x14ac:dyDescent="0.25">
      <c r="A4913" s="7"/>
    </row>
    <row r="4914" spans="1:1" x14ac:dyDescent="0.25">
      <c r="A4914" s="7"/>
    </row>
    <row r="4915" spans="1:1" x14ac:dyDescent="0.25">
      <c r="A4915" s="7"/>
    </row>
    <row r="4916" spans="1:1" x14ac:dyDescent="0.25">
      <c r="A4916" s="7"/>
    </row>
    <row r="4917" spans="1:1" x14ac:dyDescent="0.25">
      <c r="A4917" s="7"/>
    </row>
    <row r="4918" spans="1:1" x14ac:dyDescent="0.25">
      <c r="A4918" s="7"/>
    </row>
    <row r="4919" spans="1:1" x14ac:dyDescent="0.25">
      <c r="A4919" s="7"/>
    </row>
    <row r="4920" spans="1:1" x14ac:dyDescent="0.25">
      <c r="A4920" s="7"/>
    </row>
    <row r="4921" spans="1:1" x14ac:dyDescent="0.25">
      <c r="A4921" s="7"/>
    </row>
    <row r="4922" spans="1:1" x14ac:dyDescent="0.25">
      <c r="A4922" s="7"/>
    </row>
    <row r="4923" spans="1:1" x14ac:dyDescent="0.25">
      <c r="A4923" s="7"/>
    </row>
    <row r="4924" spans="1:1" x14ac:dyDescent="0.25">
      <c r="A4924" s="7"/>
    </row>
    <row r="4925" spans="1:1" x14ac:dyDescent="0.25">
      <c r="A4925" s="7"/>
    </row>
    <row r="4926" spans="1:1" x14ac:dyDescent="0.25">
      <c r="A4926" s="7"/>
    </row>
    <row r="4927" spans="1:1" x14ac:dyDescent="0.25">
      <c r="A4927" s="7"/>
    </row>
    <row r="4928" spans="1:1" x14ac:dyDescent="0.25">
      <c r="A4928" s="7"/>
    </row>
    <row r="4929" spans="1:1" x14ac:dyDescent="0.25">
      <c r="A4929" s="7"/>
    </row>
    <row r="4930" spans="1:1" x14ac:dyDescent="0.25">
      <c r="A4930" s="7"/>
    </row>
    <row r="4931" spans="1:1" x14ac:dyDescent="0.25">
      <c r="A4931" s="7"/>
    </row>
    <row r="4932" spans="1:1" x14ac:dyDescent="0.25">
      <c r="A4932" s="7"/>
    </row>
    <row r="4933" spans="1:1" x14ac:dyDescent="0.25">
      <c r="A4933" s="7"/>
    </row>
    <row r="4934" spans="1:1" x14ac:dyDescent="0.25">
      <c r="A4934" s="7"/>
    </row>
    <row r="4935" spans="1:1" x14ac:dyDescent="0.25">
      <c r="A4935" s="7"/>
    </row>
    <row r="4936" spans="1:1" x14ac:dyDescent="0.25">
      <c r="A4936" s="7"/>
    </row>
    <row r="4937" spans="1:1" x14ac:dyDescent="0.25">
      <c r="A4937" s="7"/>
    </row>
    <row r="4938" spans="1:1" x14ac:dyDescent="0.25">
      <c r="A4938" s="7"/>
    </row>
    <row r="4939" spans="1:1" x14ac:dyDescent="0.25">
      <c r="A4939" s="7"/>
    </row>
    <row r="4940" spans="1:1" x14ac:dyDescent="0.25">
      <c r="A4940" s="7"/>
    </row>
    <row r="4941" spans="1:1" x14ac:dyDescent="0.25">
      <c r="A4941" s="7"/>
    </row>
    <row r="4942" spans="1:1" x14ac:dyDescent="0.25">
      <c r="A4942" s="7"/>
    </row>
    <row r="4943" spans="1:1" x14ac:dyDescent="0.25">
      <c r="A4943" s="7"/>
    </row>
    <row r="4944" spans="1:1" x14ac:dyDescent="0.25">
      <c r="A4944" s="7"/>
    </row>
    <row r="4945" spans="1:1" x14ac:dyDescent="0.25">
      <c r="A4945" s="7"/>
    </row>
    <row r="4946" spans="1:1" x14ac:dyDescent="0.25">
      <c r="A4946" s="7"/>
    </row>
    <row r="4947" spans="1:1" x14ac:dyDescent="0.25">
      <c r="A4947" s="7"/>
    </row>
    <row r="4948" spans="1:1" x14ac:dyDescent="0.25">
      <c r="A4948" s="7"/>
    </row>
    <row r="4949" spans="1:1" x14ac:dyDescent="0.25">
      <c r="A4949" s="7"/>
    </row>
    <row r="4950" spans="1:1" x14ac:dyDescent="0.25">
      <c r="A4950" s="7"/>
    </row>
    <row r="4951" spans="1:1" x14ac:dyDescent="0.25">
      <c r="A4951" s="7"/>
    </row>
    <row r="4952" spans="1:1" x14ac:dyDescent="0.25">
      <c r="A4952" s="7"/>
    </row>
    <row r="4953" spans="1:1" x14ac:dyDescent="0.25">
      <c r="A4953" s="7"/>
    </row>
    <row r="4954" spans="1:1" x14ac:dyDescent="0.25">
      <c r="A4954" s="7"/>
    </row>
    <row r="4955" spans="1:1" x14ac:dyDescent="0.25">
      <c r="A4955" s="7"/>
    </row>
    <row r="4956" spans="1:1" x14ac:dyDescent="0.25">
      <c r="A4956" s="7"/>
    </row>
    <row r="4957" spans="1:1" x14ac:dyDescent="0.25">
      <c r="A4957" s="7"/>
    </row>
    <row r="4958" spans="1:1" x14ac:dyDescent="0.25">
      <c r="A4958" s="7"/>
    </row>
    <row r="4959" spans="1:1" x14ac:dyDescent="0.25">
      <c r="A4959" s="7"/>
    </row>
    <row r="4960" spans="1:1" x14ac:dyDescent="0.25">
      <c r="A4960" s="7"/>
    </row>
    <row r="4961" spans="1:1" x14ac:dyDescent="0.25">
      <c r="A4961" s="7"/>
    </row>
    <row r="4962" spans="1:1" x14ac:dyDescent="0.25">
      <c r="A4962" s="7"/>
    </row>
    <row r="4963" spans="1:1" x14ac:dyDescent="0.25">
      <c r="A4963" s="7"/>
    </row>
    <row r="4964" spans="1:1" x14ac:dyDescent="0.25">
      <c r="A4964" s="7"/>
    </row>
    <row r="4965" spans="1:1" x14ac:dyDescent="0.25">
      <c r="A4965" s="7"/>
    </row>
    <row r="4966" spans="1:1" x14ac:dyDescent="0.25">
      <c r="A4966" s="7"/>
    </row>
    <row r="4967" spans="1:1" x14ac:dyDescent="0.25">
      <c r="A4967" s="7"/>
    </row>
    <row r="4968" spans="1:1" x14ac:dyDescent="0.25">
      <c r="A4968" s="7"/>
    </row>
    <row r="4969" spans="1:1" x14ac:dyDescent="0.25">
      <c r="A4969" s="7"/>
    </row>
    <row r="4970" spans="1:1" x14ac:dyDescent="0.25">
      <c r="A4970" s="7"/>
    </row>
    <row r="4971" spans="1:1" x14ac:dyDescent="0.25">
      <c r="A4971" s="7"/>
    </row>
    <row r="4972" spans="1:1" x14ac:dyDescent="0.25">
      <c r="A4972" s="7"/>
    </row>
    <row r="4973" spans="1:1" x14ac:dyDescent="0.25">
      <c r="A4973" s="7"/>
    </row>
    <row r="4974" spans="1:1" x14ac:dyDescent="0.25">
      <c r="A4974" s="7"/>
    </row>
    <row r="4975" spans="1:1" x14ac:dyDescent="0.25">
      <c r="A4975" s="7"/>
    </row>
    <row r="4976" spans="1:1" x14ac:dyDescent="0.25">
      <c r="A4976" s="7"/>
    </row>
    <row r="4977" spans="1:1" x14ac:dyDescent="0.25">
      <c r="A4977" s="7"/>
    </row>
    <row r="4978" spans="1:1" x14ac:dyDescent="0.25">
      <c r="A4978" s="7"/>
    </row>
    <row r="4979" spans="1:1" x14ac:dyDescent="0.25">
      <c r="A4979" s="7"/>
    </row>
    <row r="4980" spans="1:1" x14ac:dyDescent="0.25">
      <c r="A4980" s="7"/>
    </row>
    <row r="4981" spans="1:1" x14ac:dyDescent="0.25">
      <c r="A4981" s="7"/>
    </row>
    <row r="4982" spans="1:1" x14ac:dyDescent="0.25">
      <c r="A4982" s="7"/>
    </row>
    <row r="4983" spans="1:1" x14ac:dyDescent="0.25">
      <c r="A4983" s="7"/>
    </row>
    <row r="4984" spans="1:1" x14ac:dyDescent="0.25">
      <c r="A4984" s="7"/>
    </row>
    <row r="4985" spans="1:1" x14ac:dyDescent="0.25">
      <c r="A4985" s="7"/>
    </row>
    <row r="4986" spans="1:1" x14ac:dyDescent="0.25">
      <c r="A4986" s="7"/>
    </row>
    <row r="4987" spans="1:1" x14ac:dyDescent="0.25">
      <c r="A4987" s="7"/>
    </row>
    <row r="4988" spans="1:1" x14ac:dyDescent="0.25">
      <c r="A4988" s="7"/>
    </row>
    <row r="4989" spans="1:1" x14ac:dyDescent="0.25">
      <c r="A4989" s="7"/>
    </row>
    <row r="4990" spans="1:1" x14ac:dyDescent="0.25">
      <c r="A4990" s="7"/>
    </row>
    <row r="4991" spans="1:1" x14ac:dyDescent="0.25">
      <c r="A4991" s="7"/>
    </row>
    <row r="4992" spans="1:1" x14ac:dyDescent="0.25">
      <c r="A4992" s="7"/>
    </row>
    <row r="4993" spans="1:1" x14ac:dyDescent="0.25">
      <c r="A4993" s="7"/>
    </row>
    <row r="4994" spans="1:1" x14ac:dyDescent="0.25">
      <c r="A4994" s="7"/>
    </row>
    <row r="4995" spans="1:1" x14ac:dyDescent="0.25">
      <c r="A4995" s="7"/>
    </row>
    <row r="4996" spans="1:1" x14ac:dyDescent="0.25">
      <c r="A4996" s="7"/>
    </row>
    <row r="4997" spans="1:1" x14ac:dyDescent="0.25">
      <c r="A4997" s="7"/>
    </row>
    <row r="4998" spans="1:1" x14ac:dyDescent="0.25">
      <c r="A4998" s="7"/>
    </row>
    <row r="4999" spans="1:1" x14ac:dyDescent="0.25">
      <c r="A4999" s="7"/>
    </row>
    <row r="5000" spans="1:1" x14ac:dyDescent="0.25">
      <c r="A5000" s="7"/>
    </row>
    <row r="5001" spans="1:1" x14ac:dyDescent="0.25">
      <c r="A5001" s="7"/>
    </row>
    <row r="5002" spans="1:1" x14ac:dyDescent="0.25">
      <c r="A5002" s="7"/>
    </row>
    <row r="5003" spans="1:1" x14ac:dyDescent="0.25">
      <c r="A5003" s="7"/>
    </row>
    <row r="5004" spans="1:1" x14ac:dyDescent="0.25">
      <c r="A5004" s="7"/>
    </row>
    <row r="5005" spans="1:1" x14ac:dyDescent="0.25">
      <c r="A5005" s="7"/>
    </row>
    <row r="5006" spans="1:1" x14ac:dyDescent="0.25">
      <c r="A5006" s="7"/>
    </row>
    <row r="5007" spans="1:1" x14ac:dyDescent="0.25">
      <c r="A5007" s="7"/>
    </row>
    <row r="5008" spans="1:1" x14ac:dyDescent="0.25">
      <c r="A5008" s="7"/>
    </row>
    <row r="5009" spans="1:1" x14ac:dyDescent="0.25">
      <c r="A5009" s="7"/>
    </row>
    <row r="5010" spans="1:1" x14ac:dyDescent="0.25">
      <c r="A5010" s="7"/>
    </row>
    <row r="5011" spans="1:1" x14ac:dyDescent="0.25">
      <c r="A5011" s="7"/>
    </row>
    <row r="5012" spans="1:1" x14ac:dyDescent="0.25">
      <c r="A5012" s="7"/>
    </row>
    <row r="5013" spans="1:1" x14ac:dyDescent="0.25">
      <c r="A5013" s="7"/>
    </row>
    <row r="5014" spans="1:1" x14ac:dyDescent="0.25">
      <c r="A5014" s="7"/>
    </row>
    <row r="5015" spans="1:1" x14ac:dyDescent="0.25">
      <c r="A5015" s="7"/>
    </row>
    <row r="5016" spans="1:1" x14ac:dyDescent="0.25">
      <c r="A5016" s="7"/>
    </row>
    <row r="5017" spans="1:1" x14ac:dyDescent="0.25">
      <c r="A5017" s="7"/>
    </row>
    <row r="5018" spans="1:1" x14ac:dyDescent="0.25">
      <c r="A5018" s="7"/>
    </row>
    <row r="5019" spans="1:1" x14ac:dyDescent="0.25">
      <c r="A5019" s="7"/>
    </row>
    <row r="5020" spans="1:1" x14ac:dyDescent="0.25">
      <c r="A5020" s="7"/>
    </row>
    <row r="5021" spans="1:1" x14ac:dyDescent="0.25">
      <c r="A5021" s="7"/>
    </row>
    <row r="5022" spans="1:1" x14ac:dyDescent="0.25">
      <c r="A5022" s="7"/>
    </row>
    <row r="5023" spans="1:1" x14ac:dyDescent="0.25">
      <c r="A5023" s="7"/>
    </row>
    <row r="5024" spans="1:1" x14ac:dyDescent="0.25">
      <c r="A5024" s="7"/>
    </row>
    <row r="5025" spans="1:1" x14ac:dyDescent="0.25">
      <c r="A5025" s="7"/>
    </row>
    <row r="5026" spans="1:1" x14ac:dyDescent="0.25">
      <c r="A5026" s="7"/>
    </row>
    <row r="5027" spans="1:1" x14ac:dyDescent="0.25">
      <c r="A5027" s="7"/>
    </row>
    <row r="5028" spans="1:1" x14ac:dyDescent="0.25">
      <c r="A5028" s="7"/>
    </row>
    <row r="5029" spans="1:1" x14ac:dyDescent="0.25">
      <c r="A5029" s="7"/>
    </row>
    <row r="5030" spans="1:1" x14ac:dyDescent="0.25">
      <c r="A5030" s="7"/>
    </row>
    <row r="5031" spans="1:1" x14ac:dyDescent="0.25">
      <c r="A5031" s="7"/>
    </row>
    <row r="5032" spans="1:1" x14ac:dyDescent="0.25">
      <c r="A5032" s="7"/>
    </row>
    <row r="5033" spans="1:1" x14ac:dyDescent="0.25">
      <c r="A5033" s="7"/>
    </row>
    <row r="5034" spans="1:1" x14ac:dyDescent="0.25">
      <c r="A5034" s="7"/>
    </row>
    <row r="5035" spans="1:1" x14ac:dyDescent="0.25">
      <c r="A5035" s="7"/>
    </row>
    <row r="5036" spans="1:1" x14ac:dyDescent="0.25">
      <c r="A5036" s="7"/>
    </row>
    <row r="5037" spans="1:1" x14ac:dyDescent="0.25">
      <c r="A5037" s="7"/>
    </row>
    <row r="5038" spans="1:1" x14ac:dyDescent="0.25">
      <c r="A5038" s="7"/>
    </row>
    <row r="5039" spans="1:1" x14ac:dyDescent="0.25">
      <c r="A5039" s="7"/>
    </row>
    <row r="5040" spans="1:1" x14ac:dyDescent="0.25">
      <c r="A5040" s="7"/>
    </row>
    <row r="5041" spans="1:1" x14ac:dyDescent="0.25">
      <c r="A5041" s="7"/>
    </row>
    <row r="5042" spans="1:1" x14ac:dyDescent="0.25">
      <c r="A5042" s="7"/>
    </row>
    <row r="5043" spans="1:1" x14ac:dyDescent="0.25">
      <c r="A5043" s="7"/>
    </row>
    <row r="5044" spans="1:1" x14ac:dyDescent="0.25">
      <c r="A5044" s="7"/>
    </row>
    <row r="5045" spans="1:1" x14ac:dyDescent="0.25">
      <c r="A5045" s="7"/>
    </row>
    <row r="5046" spans="1:1" x14ac:dyDescent="0.25">
      <c r="A5046" s="7"/>
    </row>
    <row r="5047" spans="1:1" x14ac:dyDescent="0.25">
      <c r="A5047" s="7"/>
    </row>
    <row r="5048" spans="1:1" x14ac:dyDescent="0.25">
      <c r="A5048" s="7"/>
    </row>
    <row r="5049" spans="1:1" x14ac:dyDescent="0.25">
      <c r="A5049" s="7"/>
    </row>
    <row r="5050" spans="1:1" x14ac:dyDescent="0.25">
      <c r="A5050" s="7"/>
    </row>
    <row r="5051" spans="1:1" x14ac:dyDescent="0.25">
      <c r="A5051" s="7"/>
    </row>
    <row r="5052" spans="1:1" x14ac:dyDescent="0.25">
      <c r="A5052" s="7"/>
    </row>
    <row r="5053" spans="1:1" x14ac:dyDescent="0.25">
      <c r="A5053" s="7"/>
    </row>
    <row r="5054" spans="1:1" x14ac:dyDescent="0.25">
      <c r="A5054" s="7"/>
    </row>
    <row r="5055" spans="1:1" x14ac:dyDescent="0.25">
      <c r="A5055" s="7"/>
    </row>
    <row r="5056" spans="1:1" x14ac:dyDescent="0.25">
      <c r="A5056" s="7"/>
    </row>
    <row r="5057" spans="1:1" x14ac:dyDescent="0.25">
      <c r="A5057" s="7"/>
    </row>
    <row r="5058" spans="1:1" x14ac:dyDescent="0.25">
      <c r="A5058" s="7"/>
    </row>
    <row r="5059" spans="1:1" x14ac:dyDescent="0.25">
      <c r="A5059" s="7"/>
    </row>
    <row r="5060" spans="1:1" x14ac:dyDescent="0.25">
      <c r="A5060" s="7"/>
    </row>
    <row r="5061" spans="1:1" x14ac:dyDescent="0.25">
      <c r="A5061" s="7"/>
    </row>
    <row r="5062" spans="1:1" x14ac:dyDescent="0.25">
      <c r="A5062" s="7"/>
    </row>
    <row r="5063" spans="1:1" x14ac:dyDescent="0.25">
      <c r="A5063" s="7"/>
    </row>
    <row r="5064" spans="1:1" x14ac:dyDescent="0.25">
      <c r="A5064" s="7"/>
    </row>
    <row r="5065" spans="1:1" x14ac:dyDescent="0.25">
      <c r="A5065" s="7"/>
    </row>
    <row r="5066" spans="1:1" x14ac:dyDescent="0.25">
      <c r="A5066" s="7"/>
    </row>
    <row r="5067" spans="1:1" x14ac:dyDescent="0.25">
      <c r="A5067" s="7"/>
    </row>
    <row r="5068" spans="1:1" x14ac:dyDescent="0.25">
      <c r="A5068" s="7"/>
    </row>
    <row r="5069" spans="1:1" x14ac:dyDescent="0.25">
      <c r="A5069" s="7"/>
    </row>
    <row r="5070" spans="1:1" x14ac:dyDescent="0.25">
      <c r="A5070" s="7"/>
    </row>
    <row r="5071" spans="1:1" x14ac:dyDescent="0.25">
      <c r="A5071" s="7"/>
    </row>
    <row r="5072" spans="1:1" x14ac:dyDescent="0.25">
      <c r="A5072" s="7"/>
    </row>
    <row r="5073" spans="1:1" x14ac:dyDescent="0.25">
      <c r="A5073" s="7"/>
    </row>
    <row r="5074" spans="1:1" x14ac:dyDescent="0.25">
      <c r="A5074" s="7"/>
    </row>
    <row r="5075" spans="1:1" x14ac:dyDescent="0.25">
      <c r="A5075" s="7"/>
    </row>
    <row r="5076" spans="1:1" x14ac:dyDescent="0.25">
      <c r="A5076" s="7"/>
    </row>
    <row r="5077" spans="1:1" x14ac:dyDescent="0.25">
      <c r="A5077" s="7"/>
    </row>
    <row r="5078" spans="1:1" x14ac:dyDescent="0.25">
      <c r="A5078" s="7"/>
    </row>
    <row r="5079" spans="1:1" x14ac:dyDescent="0.25">
      <c r="A5079" s="7"/>
    </row>
    <row r="5080" spans="1:1" x14ac:dyDescent="0.25">
      <c r="A5080" s="7"/>
    </row>
    <row r="5081" spans="1:1" x14ac:dyDescent="0.25">
      <c r="A5081" s="7"/>
    </row>
    <row r="5082" spans="1:1" x14ac:dyDescent="0.25">
      <c r="A5082" s="7"/>
    </row>
    <row r="5083" spans="1:1" x14ac:dyDescent="0.25">
      <c r="A5083" s="7"/>
    </row>
    <row r="5084" spans="1:1" x14ac:dyDescent="0.25">
      <c r="A5084" s="7"/>
    </row>
    <row r="5085" spans="1:1" x14ac:dyDescent="0.25">
      <c r="A5085" s="7"/>
    </row>
    <row r="5086" spans="1:1" x14ac:dyDescent="0.25">
      <c r="A5086" s="7"/>
    </row>
    <row r="5087" spans="1:1" x14ac:dyDescent="0.25">
      <c r="A5087" s="7"/>
    </row>
    <row r="5088" spans="1:1" x14ac:dyDescent="0.25">
      <c r="A5088" s="7"/>
    </row>
    <row r="5089" spans="1:1" x14ac:dyDescent="0.25">
      <c r="A5089" s="7"/>
    </row>
    <row r="5090" spans="1:1" x14ac:dyDescent="0.25">
      <c r="A5090" s="7"/>
    </row>
    <row r="5091" spans="1:1" x14ac:dyDescent="0.25">
      <c r="A5091" s="7"/>
    </row>
    <row r="5092" spans="1:1" x14ac:dyDescent="0.25">
      <c r="A5092" s="7"/>
    </row>
    <row r="5093" spans="1:1" x14ac:dyDescent="0.25">
      <c r="A5093" s="7"/>
    </row>
    <row r="5094" spans="1:1" x14ac:dyDescent="0.25">
      <c r="A5094" s="7"/>
    </row>
    <row r="5095" spans="1:1" x14ac:dyDescent="0.25">
      <c r="A5095" s="7"/>
    </row>
    <row r="5096" spans="1:1" x14ac:dyDescent="0.25">
      <c r="A5096" s="7"/>
    </row>
    <row r="5097" spans="1:1" x14ac:dyDescent="0.25">
      <c r="A5097" s="7"/>
    </row>
    <row r="5098" spans="1:1" x14ac:dyDescent="0.25">
      <c r="A5098" s="7"/>
    </row>
    <row r="5099" spans="1:1" x14ac:dyDescent="0.25">
      <c r="A5099" s="7"/>
    </row>
    <row r="5100" spans="1:1" x14ac:dyDescent="0.25">
      <c r="A5100" s="7"/>
    </row>
    <row r="5101" spans="1:1" x14ac:dyDescent="0.25">
      <c r="A5101" s="7"/>
    </row>
    <row r="5102" spans="1:1" x14ac:dyDescent="0.25">
      <c r="A5102" s="7"/>
    </row>
    <row r="5103" spans="1:1" x14ac:dyDescent="0.25">
      <c r="A5103" s="7"/>
    </row>
    <row r="5104" spans="1:1" x14ac:dyDescent="0.25">
      <c r="A5104" s="7"/>
    </row>
    <row r="5105" spans="1:1" x14ac:dyDescent="0.25">
      <c r="A5105" s="7"/>
    </row>
    <row r="5106" spans="1:1" x14ac:dyDescent="0.25">
      <c r="A5106" s="7"/>
    </row>
    <row r="5107" spans="1:1" x14ac:dyDescent="0.25">
      <c r="A5107" s="7"/>
    </row>
    <row r="5108" spans="1:1" x14ac:dyDescent="0.25">
      <c r="A5108" s="7"/>
    </row>
    <row r="5109" spans="1:1" x14ac:dyDescent="0.25">
      <c r="A5109" s="7"/>
    </row>
    <row r="5110" spans="1:1" x14ac:dyDescent="0.25">
      <c r="A5110" s="7"/>
    </row>
    <row r="5111" spans="1:1" x14ac:dyDescent="0.25">
      <c r="A5111" s="7"/>
    </row>
    <row r="5112" spans="1:1" x14ac:dyDescent="0.25">
      <c r="A5112" s="7"/>
    </row>
    <row r="5113" spans="1:1" x14ac:dyDescent="0.25">
      <c r="A5113" s="7"/>
    </row>
    <row r="5114" spans="1:1" x14ac:dyDescent="0.25">
      <c r="A5114" s="7"/>
    </row>
    <row r="5115" spans="1:1" x14ac:dyDescent="0.25">
      <c r="A5115" s="7"/>
    </row>
    <row r="5116" spans="1:1" x14ac:dyDescent="0.25">
      <c r="A5116" s="7"/>
    </row>
    <row r="5117" spans="1:1" x14ac:dyDescent="0.25">
      <c r="A5117" s="7"/>
    </row>
    <row r="5118" spans="1:1" x14ac:dyDescent="0.25">
      <c r="A5118" s="7"/>
    </row>
    <row r="5119" spans="1:1" x14ac:dyDescent="0.25">
      <c r="A5119" s="7"/>
    </row>
    <row r="5120" spans="1:1" x14ac:dyDescent="0.25">
      <c r="A5120" s="7"/>
    </row>
    <row r="5121" spans="1:1" x14ac:dyDescent="0.25">
      <c r="A5121" s="7"/>
    </row>
    <row r="5122" spans="1:1" x14ac:dyDescent="0.25">
      <c r="A5122" s="7"/>
    </row>
    <row r="5123" spans="1:1" x14ac:dyDescent="0.25">
      <c r="A5123" s="7"/>
    </row>
    <row r="5124" spans="1:1" x14ac:dyDescent="0.25">
      <c r="A5124" s="7"/>
    </row>
    <row r="5125" spans="1:1" x14ac:dyDescent="0.25">
      <c r="A5125" s="7"/>
    </row>
    <row r="5126" spans="1:1" x14ac:dyDescent="0.25">
      <c r="A5126" s="7"/>
    </row>
    <row r="5127" spans="1:1" x14ac:dyDescent="0.25">
      <c r="A5127" s="7"/>
    </row>
    <row r="5128" spans="1:1" x14ac:dyDescent="0.25">
      <c r="A5128" s="7"/>
    </row>
    <row r="5129" spans="1:1" x14ac:dyDescent="0.25">
      <c r="A5129" s="7"/>
    </row>
    <row r="5130" spans="1:1" x14ac:dyDescent="0.25">
      <c r="A5130" s="7"/>
    </row>
    <row r="5131" spans="1:1" x14ac:dyDescent="0.25">
      <c r="A5131" s="7"/>
    </row>
    <row r="5132" spans="1:1" x14ac:dyDescent="0.25">
      <c r="A5132" s="7"/>
    </row>
    <row r="5133" spans="1:1" x14ac:dyDescent="0.25">
      <c r="A5133" s="7"/>
    </row>
    <row r="5134" spans="1:1" x14ac:dyDescent="0.25">
      <c r="A5134" s="7"/>
    </row>
    <row r="5135" spans="1:1" x14ac:dyDescent="0.25">
      <c r="A5135" s="7"/>
    </row>
    <row r="5136" spans="1:1" x14ac:dyDescent="0.25">
      <c r="A5136" s="7"/>
    </row>
    <row r="5137" spans="1:1" x14ac:dyDescent="0.25">
      <c r="A5137" s="7"/>
    </row>
    <row r="5138" spans="1:1" x14ac:dyDescent="0.25">
      <c r="A5138" s="7"/>
    </row>
    <row r="5139" spans="1:1" x14ac:dyDescent="0.25">
      <c r="A5139" s="7"/>
    </row>
    <row r="5140" spans="1:1" x14ac:dyDescent="0.25">
      <c r="A5140" s="7"/>
    </row>
    <row r="5141" spans="1:1" x14ac:dyDescent="0.25">
      <c r="A5141" s="7"/>
    </row>
    <row r="5142" spans="1:1" x14ac:dyDescent="0.25">
      <c r="A5142" s="7"/>
    </row>
    <row r="5143" spans="1:1" x14ac:dyDescent="0.25">
      <c r="A5143" s="7"/>
    </row>
    <row r="5144" spans="1:1" x14ac:dyDescent="0.25">
      <c r="A5144" s="7"/>
    </row>
    <row r="5145" spans="1:1" x14ac:dyDescent="0.25">
      <c r="A5145" s="7"/>
    </row>
    <row r="5146" spans="1:1" x14ac:dyDescent="0.25">
      <c r="A5146" s="7"/>
    </row>
    <row r="5147" spans="1:1" x14ac:dyDescent="0.25">
      <c r="A5147" s="7"/>
    </row>
    <row r="5148" spans="1:1" x14ac:dyDescent="0.25">
      <c r="A5148" s="7"/>
    </row>
    <row r="5149" spans="1:1" x14ac:dyDescent="0.25">
      <c r="A5149" s="7"/>
    </row>
    <row r="5150" spans="1:1" x14ac:dyDescent="0.25">
      <c r="A5150" s="7"/>
    </row>
    <row r="5151" spans="1:1" x14ac:dyDescent="0.25">
      <c r="A5151" s="7"/>
    </row>
    <row r="5152" spans="1:1" x14ac:dyDescent="0.25">
      <c r="A5152" s="7"/>
    </row>
    <row r="5153" spans="1:1" x14ac:dyDescent="0.25">
      <c r="A5153" s="7"/>
    </row>
    <row r="5154" spans="1:1" x14ac:dyDescent="0.25">
      <c r="A5154" s="7"/>
    </row>
    <row r="5155" spans="1:1" x14ac:dyDescent="0.25">
      <c r="A5155" s="7"/>
    </row>
    <row r="5156" spans="1:1" x14ac:dyDescent="0.25">
      <c r="A5156" s="7"/>
    </row>
    <row r="5157" spans="1:1" x14ac:dyDescent="0.25">
      <c r="A5157" s="7"/>
    </row>
    <row r="5158" spans="1:1" x14ac:dyDescent="0.25">
      <c r="A5158" s="7"/>
    </row>
    <row r="5159" spans="1:1" x14ac:dyDescent="0.25">
      <c r="A5159" s="7"/>
    </row>
    <row r="5160" spans="1:1" x14ac:dyDescent="0.25">
      <c r="A5160" s="7"/>
    </row>
    <row r="5161" spans="1:1" x14ac:dyDescent="0.25">
      <c r="A5161" s="7"/>
    </row>
    <row r="5162" spans="1:1" x14ac:dyDescent="0.25">
      <c r="A5162" s="7"/>
    </row>
    <row r="5163" spans="1:1" x14ac:dyDescent="0.25">
      <c r="A5163" s="7"/>
    </row>
    <row r="5164" spans="1:1" x14ac:dyDescent="0.25">
      <c r="A5164" s="7"/>
    </row>
    <row r="5165" spans="1:1" x14ac:dyDescent="0.25">
      <c r="A5165" s="7"/>
    </row>
    <row r="5166" spans="1:1" x14ac:dyDescent="0.25">
      <c r="A5166" s="7"/>
    </row>
    <row r="5167" spans="1:1" x14ac:dyDescent="0.25">
      <c r="A5167" s="7"/>
    </row>
    <row r="5168" spans="1:1" x14ac:dyDescent="0.25">
      <c r="A5168" s="7"/>
    </row>
    <row r="5169" spans="1:1" x14ac:dyDescent="0.25">
      <c r="A5169" s="7"/>
    </row>
    <row r="5170" spans="1:1" x14ac:dyDescent="0.25">
      <c r="A5170" s="7"/>
    </row>
    <row r="5171" spans="1:1" x14ac:dyDescent="0.25">
      <c r="A5171" s="7"/>
    </row>
    <row r="5172" spans="1:1" x14ac:dyDescent="0.25">
      <c r="A5172" s="7"/>
    </row>
    <row r="5173" spans="1:1" x14ac:dyDescent="0.25">
      <c r="A5173" s="7"/>
    </row>
    <row r="5174" spans="1:1" x14ac:dyDescent="0.25">
      <c r="A5174" s="7"/>
    </row>
    <row r="5175" spans="1:1" x14ac:dyDescent="0.25">
      <c r="A5175" s="7"/>
    </row>
    <row r="5176" spans="1:1" x14ac:dyDescent="0.25">
      <c r="A5176" s="7"/>
    </row>
    <row r="5177" spans="1:1" x14ac:dyDescent="0.25">
      <c r="A5177" s="7"/>
    </row>
    <row r="5178" spans="1:1" x14ac:dyDescent="0.25">
      <c r="A5178" s="7"/>
    </row>
    <row r="5179" spans="1:1" x14ac:dyDescent="0.25">
      <c r="A5179" s="7"/>
    </row>
    <row r="5180" spans="1:1" x14ac:dyDescent="0.25">
      <c r="A5180" s="7"/>
    </row>
    <row r="5181" spans="1:1" x14ac:dyDescent="0.25">
      <c r="A5181" s="7"/>
    </row>
    <row r="5182" spans="1:1" x14ac:dyDescent="0.25">
      <c r="A5182" s="7"/>
    </row>
    <row r="5183" spans="1:1" x14ac:dyDescent="0.25">
      <c r="A5183" s="7"/>
    </row>
    <row r="5184" spans="1:1" x14ac:dyDescent="0.25">
      <c r="A5184" s="7"/>
    </row>
    <row r="5185" spans="1:1" x14ac:dyDescent="0.25">
      <c r="A5185" s="7"/>
    </row>
    <row r="5186" spans="1:1" x14ac:dyDescent="0.25">
      <c r="A5186" s="7"/>
    </row>
    <row r="5187" spans="1:1" x14ac:dyDescent="0.25">
      <c r="A5187" s="7"/>
    </row>
    <row r="5188" spans="1:1" x14ac:dyDescent="0.25">
      <c r="A5188" s="7"/>
    </row>
    <row r="5189" spans="1:1" x14ac:dyDescent="0.25">
      <c r="A5189" s="7"/>
    </row>
    <row r="5190" spans="1:1" x14ac:dyDescent="0.25">
      <c r="A5190" s="7"/>
    </row>
    <row r="5191" spans="1:1" x14ac:dyDescent="0.25">
      <c r="A5191" s="7"/>
    </row>
    <row r="5192" spans="1:1" x14ac:dyDescent="0.25">
      <c r="A5192" s="7"/>
    </row>
    <row r="5193" spans="1:1" x14ac:dyDescent="0.25">
      <c r="A5193" s="7"/>
    </row>
    <row r="5194" spans="1:1" x14ac:dyDescent="0.25">
      <c r="A5194" s="7"/>
    </row>
    <row r="5195" spans="1:1" x14ac:dyDescent="0.25">
      <c r="A5195" s="7"/>
    </row>
    <row r="5196" spans="1:1" x14ac:dyDescent="0.25">
      <c r="A5196" s="7"/>
    </row>
    <row r="5197" spans="1:1" x14ac:dyDescent="0.25">
      <c r="A5197" s="7"/>
    </row>
    <row r="5198" spans="1:1" x14ac:dyDescent="0.25">
      <c r="A5198" s="7"/>
    </row>
    <row r="5199" spans="1:1" x14ac:dyDescent="0.25">
      <c r="A5199" s="7"/>
    </row>
    <row r="5200" spans="1:1" x14ac:dyDescent="0.25">
      <c r="A5200" s="7"/>
    </row>
    <row r="5201" spans="1:1" x14ac:dyDescent="0.25">
      <c r="A5201" s="7"/>
    </row>
    <row r="5202" spans="1:1" x14ac:dyDescent="0.25">
      <c r="A5202" s="7"/>
    </row>
    <row r="5203" spans="1:1" x14ac:dyDescent="0.25">
      <c r="A5203" s="7"/>
    </row>
    <row r="5204" spans="1:1" x14ac:dyDescent="0.25">
      <c r="A5204" s="7"/>
    </row>
    <row r="5205" spans="1:1" x14ac:dyDescent="0.25">
      <c r="A5205" s="7"/>
    </row>
    <row r="5206" spans="1:1" x14ac:dyDescent="0.25">
      <c r="A5206" s="7"/>
    </row>
    <row r="5207" spans="1:1" x14ac:dyDescent="0.25">
      <c r="A5207" s="7"/>
    </row>
    <row r="5208" spans="1:1" x14ac:dyDescent="0.25">
      <c r="A5208" s="7"/>
    </row>
    <row r="5209" spans="1:1" x14ac:dyDescent="0.25">
      <c r="A5209" s="7"/>
    </row>
    <row r="5210" spans="1:1" x14ac:dyDescent="0.25">
      <c r="A5210" s="7"/>
    </row>
    <row r="5211" spans="1:1" x14ac:dyDescent="0.25">
      <c r="A5211" s="7"/>
    </row>
    <row r="5212" spans="1:1" x14ac:dyDescent="0.25">
      <c r="A5212" s="7"/>
    </row>
    <row r="5213" spans="1:1" x14ac:dyDescent="0.25">
      <c r="A5213" s="7"/>
    </row>
    <row r="5214" spans="1:1" x14ac:dyDescent="0.25">
      <c r="A5214" s="7"/>
    </row>
    <row r="5215" spans="1:1" x14ac:dyDescent="0.25">
      <c r="A5215" s="7"/>
    </row>
    <row r="5216" spans="1:1" x14ac:dyDescent="0.25">
      <c r="A5216" s="7"/>
    </row>
    <row r="5217" spans="1:1" x14ac:dyDescent="0.25">
      <c r="A5217" s="7"/>
    </row>
    <row r="5218" spans="1:1" x14ac:dyDescent="0.25">
      <c r="A5218" s="7"/>
    </row>
    <row r="5219" spans="1:1" x14ac:dyDescent="0.25">
      <c r="A5219" s="7"/>
    </row>
    <row r="5220" spans="1:1" x14ac:dyDescent="0.25">
      <c r="A5220" s="7"/>
    </row>
    <row r="5221" spans="1:1" x14ac:dyDescent="0.25">
      <c r="A5221" s="7"/>
    </row>
    <row r="5222" spans="1:1" x14ac:dyDescent="0.25">
      <c r="A5222" s="7"/>
    </row>
    <row r="5223" spans="1:1" x14ac:dyDescent="0.25">
      <c r="A5223" s="7"/>
    </row>
    <row r="5224" spans="1:1" x14ac:dyDescent="0.25">
      <c r="A5224" s="7"/>
    </row>
    <row r="5225" spans="1:1" x14ac:dyDescent="0.25">
      <c r="A5225" s="7"/>
    </row>
    <row r="5226" spans="1:1" x14ac:dyDescent="0.25">
      <c r="A5226" s="7"/>
    </row>
    <row r="5227" spans="1:1" x14ac:dyDescent="0.25">
      <c r="A5227" s="7"/>
    </row>
    <row r="5228" spans="1:1" x14ac:dyDescent="0.25">
      <c r="A5228" s="7"/>
    </row>
    <row r="5229" spans="1:1" x14ac:dyDescent="0.25">
      <c r="A5229" s="7"/>
    </row>
    <row r="5230" spans="1:1" x14ac:dyDescent="0.25">
      <c r="A5230" s="7"/>
    </row>
    <row r="5231" spans="1:1" x14ac:dyDescent="0.25">
      <c r="A5231" s="7"/>
    </row>
    <row r="5232" spans="1:1" x14ac:dyDescent="0.25">
      <c r="A5232" s="7"/>
    </row>
    <row r="5233" spans="1:1" x14ac:dyDescent="0.25">
      <c r="A5233" s="7"/>
    </row>
    <row r="5234" spans="1:1" x14ac:dyDescent="0.25">
      <c r="A5234" s="7"/>
    </row>
    <row r="5235" spans="1:1" x14ac:dyDescent="0.25">
      <c r="A5235" s="7"/>
    </row>
    <row r="5236" spans="1:1" x14ac:dyDescent="0.25">
      <c r="A5236" s="7"/>
    </row>
    <row r="5237" spans="1:1" x14ac:dyDescent="0.25">
      <c r="A5237" s="7"/>
    </row>
    <row r="5238" spans="1:1" x14ac:dyDescent="0.25">
      <c r="A5238" s="7"/>
    </row>
    <row r="5239" spans="1:1" x14ac:dyDescent="0.25">
      <c r="A5239" s="7"/>
    </row>
    <row r="5240" spans="1:1" x14ac:dyDescent="0.25">
      <c r="A5240" s="7"/>
    </row>
    <row r="5241" spans="1:1" x14ac:dyDescent="0.25">
      <c r="A5241" s="7"/>
    </row>
    <row r="5242" spans="1:1" x14ac:dyDescent="0.25">
      <c r="A5242" s="7"/>
    </row>
    <row r="5243" spans="1:1" x14ac:dyDescent="0.25">
      <c r="A5243" s="7"/>
    </row>
    <row r="5244" spans="1:1" x14ac:dyDescent="0.25">
      <c r="A5244" s="7"/>
    </row>
    <row r="5245" spans="1:1" x14ac:dyDescent="0.25">
      <c r="A5245" s="7"/>
    </row>
    <row r="5246" spans="1:1" x14ac:dyDescent="0.25">
      <c r="A5246" s="7"/>
    </row>
    <row r="5247" spans="1:1" x14ac:dyDescent="0.25">
      <c r="A5247" s="7"/>
    </row>
    <row r="5248" spans="1:1" x14ac:dyDescent="0.25">
      <c r="A5248" s="7"/>
    </row>
    <row r="5249" spans="1:1" x14ac:dyDescent="0.25">
      <c r="A5249" s="7"/>
    </row>
    <row r="5250" spans="1:1" x14ac:dyDescent="0.25">
      <c r="A5250" s="7"/>
    </row>
    <row r="5251" spans="1:1" x14ac:dyDescent="0.25">
      <c r="A5251" s="7"/>
    </row>
    <row r="5252" spans="1:1" x14ac:dyDescent="0.25">
      <c r="A5252" s="7"/>
    </row>
    <row r="5253" spans="1:1" x14ac:dyDescent="0.25">
      <c r="A5253" s="7"/>
    </row>
    <row r="5254" spans="1:1" x14ac:dyDescent="0.25">
      <c r="A5254" s="7"/>
    </row>
  </sheetData>
  <autoFilter ref="A1:P2855" xr:uid="{12D0FEE2-2886-4674-9219-67280F25E979}"/>
  <phoneticPr fontId="4" type="noConversion"/>
  <conditionalFormatting sqref="E1:E1048576">
    <cfRule type="duplicateValues" dxfId="2" priority="1"/>
  </conditionalFormatting>
  <conditionalFormatting sqref="E2651 E2:E136 E138:E2648 E2654:E1048576">
    <cfRule type="duplicateValues" dxfId="1" priority="2"/>
    <cfRule type="duplicateValues" dxfId="0" priority="3"/>
  </conditionalFormatting>
  <pageMargins left="0.70866141732283472" right="0.70866141732283472" top="0.74803149606299213" bottom="0.74803149606299213" header="0.31496062992125984" footer="0.31496062992125984"/>
  <pageSetup paperSize="9" scale="15" orientation="portrait" r:id="rId1"/>
  <headerFooter>
    <oddFooter>&amp;LKG-LST-002/25.6.21/00</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0EC7F-3481-48AB-ACFF-E10BB0535F7C}">
  <dimension ref="E1:P67"/>
  <sheetViews>
    <sheetView topLeftCell="D1" zoomScale="115" zoomScaleNormal="115" workbookViewId="0">
      <selection activeCell="I12" sqref="I12"/>
    </sheetView>
  </sheetViews>
  <sheetFormatPr defaultRowHeight="15" x14ac:dyDescent="0.25"/>
  <cols>
    <col min="1" max="1" width="18.140625" bestFit="1" customWidth="1"/>
    <col min="2" max="2" width="9.28515625" bestFit="1" customWidth="1"/>
    <col min="3" max="3" width="6.5703125" bestFit="1" customWidth="1"/>
    <col min="4" max="4" width="14.7109375" bestFit="1" customWidth="1"/>
    <col min="5" max="5" width="10" bestFit="1" customWidth="1"/>
    <col min="6" max="7" width="5.85546875" bestFit="1" customWidth="1"/>
    <col min="8" max="8" width="13.5703125" bestFit="1" customWidth="1"/>
    <col min="9" max="10" width="17.42578125" bestFit="1" customWidth="1"/>
    <col min="11" max="11" width="13.28515625" bestFit="1" customWidth="1"/>
    <col min="12" max="12" width="21" bestFit="1" customWidth="1"/>
    <col min="13" max="13" width="21.42578125" bestFit="1" customWidth="1"/>
    <col min="14" max="14" width="6.28515625" bestFit="1" customWidth="1"/>
    <col min="15" max="15" width="8.7109375" bestFit="1" customWidth="1"/>
    <col min="16" max="16" width="12" bestFit="1" customWidth="1"/>
    <col min="17" max="26" width="10.140625" bestFit="1" customWidth="1"/>
    <col min="27" max="27" width="13.5703125" bestFit="1" customWidth="1"/>
    <col min="28" max="28" width="12.85546875" bestFit="1" customWidth="1"/>
    <col min="29" max="29" width="8.5703125" bestFit="1" customWidth="1"/>
    <col min="30" max="30" width="15.28515625" bestFit="1" customWidth="1"/>
    <col min="31" max="31" width="12.7109375" bestFit="1" customWidth="1"/>
    <col min="32" max="32" width="13.7109375" bestFit="1" customWidth="1"/>
    <col min="33" max="33" width="17.42578125" bestFit="1" customWidth="1"/>
    <col min="34" max="34" width="11.28515625" bestFit="1" customWidth="1"/>
    <col min="35" max="35" width="6.7109375" bestFit="1" customWidth="1"/>
    <col min="36" max="36" width="6.28515625" bestFit="1" customWidth="1"/>
    <col min="37" max="37" width="22.85546875" bestFit="1" customWidth="1"/>
    <col min="38" max="38" width="7" bestFit="1" customWidth="1"/>
    <col min="39" max="39" width="5.5703125" bestFit="1" customWidth="1"/>
    <col min="40" max="40" width="4.5703125" bestFit="1" customWidth="1"/>
    <col min="41" max="41" width="13.5703125" bestFit="1" customWidth="1"/>
    <col min="42" max="42" width="21.42578125" bestFit="1" customWidth="1"/>
    <col min="43" max="43" width="26.85546875" bestFit="1" customWidth="1"/>
    <col min="44" max="44" width="13.5703125" bestFit="1" customWidth="1"/>
  </cols>
  <sheetData>
    <row r="1" spans="5:16" x14ac:dyDescent="0.25">
      <c r="E1" s="78" t="s">
        <v>133</v>
      </c>
      <c r="F1" s="78"/>
      <c r="G1" s="78"/>
      <c r="H1" s="78"/>
      <c r="I1" s="78"/>
      <c r="J1" s="78"/>
      <c r="K1" s="78"/>
      <c r="L1" s="78"/>
      <c r="M1" s="78"/>
      <c r="N1" s="78"/>
      <c r="O1" s="78"/>
      <c r="P1" s="4"/>
    </row>
    <row r="2" spans="5:16" x14ac:dyDescent="0.25">
      <c r="E2" s="7" t="s">
        <v>47</v>
      </c>
      <c r="F2" s="7" t="s">
        <v>14</v>
      </c>
      <c r="G2" s="7" t="s">
        <v>15</v>
      </c>
      <c r="H2" s="7" t="s">
        <v>52</v>
      </c>
      <c r="I2" s="7" t="s">
        <v>49</v>
      </c>
      <c r="J2" s="7" t="s">
        <v>50</v>
      </c>
      <c r="K2" s="7" t="s">
        <v>29</v>
      </c>
      <c r="L2" s="7" t="s">
        <v>53</v>
      </c>
      <c r="M2" s="7" t="s">
        <v>54</v>
      </c>
      <c r="N2" s="7" t="s">
        <v>61</v>
      </c>
      <c r="O2" s="23" t="s">
        <v>51</v>
      </c>
      <c r="P2" s="7" t="s">
        <v>58</v>
      </c>
    </row>
    <row r="3" spans="5:16" x14ac:dyDescent="0.25">
      <c r="E3" s="7" t="s">
        <v>48</v>
      </c>
      <c r="F3" s="24">
        <v>18</v>
      </c>
      <c r="G3" s="24">
        <v>27</v>
      </c>
      <c r="H3" s="38">
        <f>SUM(F3:G3)</f>
        <v>45</v>
      </c>
      <c r="I3" s="38"/>
      <c r="J3" s="38"/>
      <c r="K3" s="38"/>
      <c r="L3" s="31"/>
      <c r="M3" s="31"/>
      <c r="N3" s="31"/>
      <c r="O3" s="29"/>
      <c r="P3" s="79" t="e">
        <f>(SUM(H3:H8)*10000)/SUM(K3:K8)</f>
        <v>#DIV/0!</v>
      </c>
    </row>
    <row r="4" spans="5:16" x14ac:dyDescent="0.25">
      <c r="E4" s="7" t="s">
        <v>34</v>
      </c>
      <c r="F4" s="24">
        <v>3</v>
      </c>
      <c r="G4" s="24">
        <v>3</v>
      </c>
      <c r="H4" s="38">
        <f>SUM(F4:G4)</f>
        <v>6</v>
      </c>
      <c r="I4" s="38"/>
      <c r="J4" s="38"/>
      <c r="K4" s="38"/>
      <c r="L4" s="31"/>
      <c r="M4" s="31"/>
      <c r="N4" s="31"/>
      <c r="O4" s="29"/>
      <c r="P4" s="79"/>
    </row>
    <row r="5" spans="5:16" x14ac:dyDescent="0.25">
      <c r="E5" s="7" t="s">
        <v>36</v>
      </c>
      <c r="F5" s="24">
        <v>0</v>
      </c>
      <c r="G5" s="24">
        <v>4</v>
      </c>
      <c r="H5" s="38">
        <f>SUM(F5:G5)</f>
        <v>4</v>
      </c>
      <c r="I5" s="38"/>
      <c r="J5" s="38"/>
      <c r="K5" s="38"/>
      <c r="L5" s="31"/>
      <c r="M5" s="31"/>
      <c r="N5" s="31"/>
      <c r="O5" s="29"/>
      <c r="P5" s="79"/>
    </row>
    <row r="6" spans="5:16" x14ac:dyDescent="0.25">
      <c r="E6" s="7" t="s">
        <v>37</v>
      </c>
      <c r="F6" s="24">
        <v>49</v>
      </c>
      <c r="G6" s="24">
        <v>7</v>
      </c>
      <c r="H6" s="38">
        <f>SUM(F6:G6)</f>
        <v>56</v>
      </c>
      <c r="I6" s="38"/>
      <c r="J6" s="38"/>
      <c r="K6" s="38"/>
      <c r="L6" s="31"/>
      <c r="M6" s="31"/>
      <c r="N6" s="31"/>
      <c r="O6" s="29"/>
      <c r="P6" s="79"/>
    </row>
    <row r="7" spans="5:16" x14ac:dyDescent="0.25">
      <c r="E7" s="7" t="s">
        <v>35</v>
      </c>
      <c r="F7" s="24">
        <v>52</v>
      </c>
      <c r="G7" s="24">
        <v>60</v>
      </c>
      <c r="H7" s="38">
        <f>SUM(F7:G7)</f>
        <v>112</v>
      </c>
      <c r="I7" s="38"/>
      <c r="J7" s="38"/>
      <c r="K7" s="38"/>
      <c r="L7" s="31"/>
      <c r="M7" s="31"/>
      <c r="N7" s="31"/>
      <c r="O7" s="29"/>
      <c r="P7" s="79"/>
    </row>
    <row r="8" spans="5:16" x14ac:dyDescent="0.25">
      <c r="E8" s="7" t="s">
        <v>44</v>
      </c>
      <c r="F8" s="27"/>
      <c r="G8" s="27"/>
      <c r="H8" s="40"/>
      <c r="I8" s="38"/>
      <c r="J8" s="38"/>
      <c r="K8" s="38"/>
      <c r="L8" s="31"/>
      <c r="M8" s="31"/>
      <c r="N8" s="31"/>
      <c r="O8" s="29"/>
      <c r="P8" s="79"/>
    </row>
    <row r="9" spans="5:16" x14ac:dyDescent="0.25">
      <c r="E9" s="7" t="s">
        <v>43</v>
      </c>
      <c r="F9" s="24"/>
      <c r="G9" s="24"/>
      <c r="H9" s="38"/>
      <c r="I9" s="38"/>
      <c r="J9" s="38"/>
      <c r="K9" s="38"/>
      <c r="L9" s="31"/>
      <c r="M9" s="31"/>
      <c r="N9" s="31"/>
      <c r="O9" s="29"/>
      <c r="P9" s="79" t="e">
        <f>(SUM(H9:H14)*10000)/SUM(K9:K14)</f>
        <v>#DIV/0!</v>
      </c>
    </row>
    <row r="10" spans="5:16" x14ac:dyDescent="0.25">
      <c r="E10" s="7" t="s">
        <v>41</v>
      </c>
      <c r="F10" s="24"/>
      <c r="G10" s="24"/>
      <c r="H10" s="38"/>
      <c r="I10" s="38"/>
      <c r="J10" s="38"/>
      <c r="K10" s="38"/>
      <c r="L10" s="31"/>
      <c r="M10" s="31"/>
      <c r="N10" s="31"/>
      <c r="O10" s="29"/>
      <c r="P10" s="79"/>
    </row>
    <row r="11" spans="5:16" x14ac:dyDescent="0.25">
      <c r="E11" s="7" t="s">
        <v>39</v>
      </c>
      <c r="F11" s="24"/>
      <c r="G11" s="24"/>
      <c r="H11" s="38"/>
      <c r="I11" s="38"/>
      <c r="J11" s="38"/>
      <c r="K11" s="38"/>
      <c r="L11" s="31"/>
      <c r="M11" s="31"/>
      <c r="N11" s="31"/>
      <c r="O11" s="29"/>
      <c r="P11" s="79"/>
    </row>
    <row r="12" spans="5:16" x14ac:dyDescent="0.25">
      <c r="E12" s="7" t="s">
        <v>40</v>
      </c>
      <c r="F12" s="24"/>
      <c r="G12" s="24"/>
      <c r="H12" s="38"/>
      <c r="I12" s="38"/>
      <c r="J12" s="38"/>
      <c r="K12" s="38"/>
      <c r="L12" s="31"/>
      <c r="M12" s="31"/>
      <c r="N12" s="31"/>
      <c r="O12" s="29"/>
      <c r="P12" s="79"/>
    </row>
    <row r="13" spans="5:16" x14ac:dyDescent="0.25">
      <c r="E13" s="7" t="s">
        <v>42</v>
      </c>
      <c r="F13" s="24"/>
      <c r="G13" s="24"/>
      <c r="H13" s="38"/>
      <c r="I13" s="38"/>
      <c r="J13" s="38"/>
      <c r="K13" s="38"/>
      <c r="L13" s="31"/>
      <c r="M13" s="31"/>
      <c r="N13" s="31"/>
      <c r="O13" s="29"/>
      <c r="P13" s="79"/>
    </row>
    <row r="14" spans="5:16" x14ac:dyDescent="0.25">
      <c r="E14" s="7" t="s">
        <v>38</v>
      </c>
      <c r="F14" s="7"/>
      <c r="G14" s="38"/>
      <c r="H14" s="38"/>
      <c r="I14" s="38"/>
      <c r="J14" s="38"/>
      <c r="K14" s="38"/>
      <c r="L14" s="7"/>
      <c r="M14" s="7"/>
      <c r="N14" s="31"/>
      <c r="O14" s="31"/>
      <c r="P14" s="79"/>
    </row>
    <row r="15" spans="5:16" x14ac:dyDescent="0.25">
      <c r="E15" s="7"/>
      <c r="F15" s="39"/>
      <c r="G15" s="39"/>
      <c r="H15" s="39"/>
      <c r="I15" s="38"/>
      <c r="J15" s="38"/>
      <c r="K15" s="38"/>
      <c r="L15" s="31"/>
      <c r="M15" s="31"/>
      <c r="N15" s="31"/>
      <c r="O15" s="29"/>
      <c r="P15" s="7"/>
    </row>
    <row r="18" spans="5:16" x14ac:dyDescent="0.25">
      <c r="E18" s="78" t="s">
        <v>55</v>
      </c>
      <c r="F18" s="78"/>
      <c r="G18" s="78"/>
      <c r="H18" s="78"/>
      <c r="I18" s="78"/>
      <c r="J18" s="78"/>
      <c r="K18" s="78"/>
      <c r="L18" s="78"/>
      <c r="M18" s="78"/>
      <c r="N18" s="78"/>
      <c r="O18" s="78"/>
      <c r="P18" s="4"/>
    </row>
    <row r="19" spans="5:16" x14ac:dyDescent="0.25">
      <c r="E19" s="7" t="s">
        <v>47</v>
      </c>
      <c r="F19" s="7" t="s">
        <v>14</v>
      </c>
      <c r="G19" s="7" t="s">
        <v>15</v>
      </c>
      <c r="H19" s="7" t="s">
        <v>52</v>
      </c>
      <c r="I19" s="7" t="s">
        <v>49</v>
      </c>
      <c r="J19" s="7" t="s">
        <v>50</v>
      </c>
      <c r="K19" s="7" t="s">
        <v>29</v>
      </c>
      <c r="L19" s="7" t="s">
        <v>53</v>
      </c>
      <c r="M19" s="7" t="s">
        <v>54</v>
      </c>
      <c r="N19" s="7" t="s">
        <v>61</v>
      </c>
      <c r="O19" s="23" t="s">
        <v>51</v>
      </c>
      <c r="P19" s="7" t="s">
        <v>58</v>
      </c>
    </row>
    <row r="20" spans="5:16" x14ac:dyDescent="0.25">
      <c r="E20" s="7" t="s">
        <v>48</v>
      </c>
      <c r="F20" s="24">
        <v>14</v>
      </c>
      <c r="G20" s="24">
        <v>0</v>
      </c>
      <c r="H20" s="38">
        <f>SUM(F20:G20)</f>
        <v>14</v>
      </c>
      <c r="I20" s="38">
        <v>11129</v>
      </c>
      <c r="J20" s="38">
        <v>29235</v>
      </c>
      <c r="K20" s="38">
        <f>SUM(I20:J20)</f>
        <v>40364</v>
      </c>
      <c r="L20" s="31">
        <f>(F20*10000)/I20</f>
        <v>12.579746607961182</v>
      </c>
      <c r="M20" s="31">
        <f>(G20*10000)/J20</f>
        <v>0</v>
      </c>
      <c r="N20" s="31">
        <v>2</v>
      </c>
      <c r="O20" s="29">
        <f>(H20*10000)/K20</f>
        <v>3.4684372212862948</v>
      </c>
      <c r="P20" s="79">
        <f>(SUM(H20:H25)*10000)/SUM(K20:K25)</f>
        <v>3.6936220782244917</v>
      </c>
    </row>
    <row r="21" spans="5:16" x14ac:dyDescent="0.25">
      <c r="E21" s="7" t="s">
        <v>34</v>
      </c>
      <c r="F21" s="24">
        <v>2</v>
      </c>
      <c r="G21" s="24">
        <v>1</v>
      </c>
      <c r="H21" s="38">
        <f t="shared" ref="H21:H31" si="0">SUM(F21:G21)</f>
        <v>3</v>
      </c>
      <c r="I21" s="38">
        <v>12380</v>
      </c>
      <c r="J21" s="38">
        <v>28771</v>
      </c>
      <c r="K21" s="38">
        <f t="shared" ref="K21:K31" si="1">SUM(I21:J21)</f>
        <v>41151</v>
      </c>
      <c r="L21" s="31">
        <f>(F21*10000)/I21</f>
        <v>1.615508885298869</v>
      </c>
      <c r="M21" s="31">
        <f t="shared" ref="M21:M30" si="2">(G21*10000)/J21</f>
        <v>0.34757220812623824</v>
      </c>
      <c r="N21" s="31">
        <v>2</v>
      </c>
      <c r="O21" s="29">
        <f t="shared" ref="O21:O30" si="3">(H21*10000)/K21</f>
        <v>0.72902238098709626</v>
      </c>
      <c r="P21" s="79"/>
    </row>
    <row r="22" spans="5:16" x14ac:dyDescent="0.25">
      <c r="E22" s="7" t="s">
        <v>36</v>
      </c>
      <c r="F22" s="24">
        <v>9</v>
      </c>
      <c r="G22" s="24">
        <v>3</v>
      </c>
      <c r="H22" s="38">
        <f t="shared" si="0"/>
        <v>12</v>
      </c>
      <c r="I22" s="38">
        <v>302</v>
      </c>
      <c r="J22" s="38">
        <v>10947</v>
      </c>
      <c r="K22" s="38">
        <f t="shared" si="1"/>
        <v>11249</v>
      </c>
      <c r="L22" s="31">
        <f t="shared" ref="L22:L30" si="4">(F22*10000)/I22</f>
        <v>298.01324503311258</v>
      </c>
      <c r="M22" s="31">
        <f t="shared" si="2"/>
        <v>2.740476842970677</v>
      </c>
      <c r="N22" s="31">
        <v>2</v>
      </c>
      <c r="O22" s="29">
        <f t="shared" si="3"/>
        <v>10.667614899102142</v>
      </c>
      <c r="P22" s="79"/>
    </row>
    <row r="23" spans="5:16" x14ac:dyDescent="0.25">
      <c r="E23" s="7" t="s">
        <v>37</v>
      </c>
      <c r="F23" s="24">
        <v>4</v>
      </c>
      <c r="G23" s="24">
        <v>11</v>
      </c>
      <c r="H23" s="38">
        <f t="shared" si="0"/>
        <v>15</v>
      </c>
      <c r="I23" s="38">
        <v>1859</v>
      </c>
      <c r="J23" s="38">
        <v>30912</v>
      </c>
      <c r="K23" s="38">
        <f t="shared" si="1"/>
        <v>32771</v>
      </c>
      <c r="L23" s="31">
        <f t="shared" si="4"/>
        <v>21.51694459386767</v>
      </c>
      <c r="M23" s="31">
        <f t="shared" si="2"/>
        <v>3.558488612836439</v>
      </c>
      <c r="N23" s="31">
        <v>2</v>
      </c>
      <c r="O23" s="29">
        <f t="shared" si="3"/>
        <v>4.577217661957218</v>
      </c>
      <c r="P23" s="79"/>
    </row>
    <row r="24" spans="5:16" x14ac:dyDescent="0.25">
      <c r="E24" s="7" t="s">
        <v>35</v>
      </c>
      <c r="F24" s="24">
        <v>18</v>
      </c>
      <c r="G24" s="24">
        <v>17</v>
      </c>
      <c r="H24" s="38">
        <f t="shared" si="0"/>
        <v>35</v>
      </c>
      <c r="I24" s="38">
        <v>27217</v>
      </c>
      <c r="J24" s="38">
        <v>41798</v>
      </c>
      <c r="K24" s="38">
        <f t="shared" si="1"/>
        <v>69015</v>
      </c>
      <c r="L24" s="31">
        <f t="shared" si="4"/>
        <v>6.6135136128155194</v>
      </c>
      <c r="M24" s="31">
        <f t="shared" si="2"/>
        <v>4.0671802478587491</v>
      </c>
      <c r="N24" s="31">
        <v>2</v>
      </c>
      <c r="O24" s="29">
        <f t="shared" si="3"/>
        <v>5.0713612982684921</v>
      </c>
      <c r="P24" s="79"/>
    </row>
    <row r="25" spans="5:16" x14ac:dyDescent="0.25">
      <c r="E25" s="7" t="s">
        <v>44</v>
      </c>
      <c r="F25" s="24">
        <v>0</v>
      </c>
      <c r="G25" s="24">
        <v>13</v>
      </c>
      <c r="H25" s="38">
        <f t="shared" si="0"/>
        <v>13</v>
      </c>
      <c r="I25" s="38">
        <v>22029</v>
      </c>
      <c r="J25" s="38">
        <v>32499</v>
      </c>
      <c r="K25" s="38">
        <f t="shared" si="1"/>
        <v>54528</v>
      </c>
      <c r="L25" s="31">
        <f>(F25*10000)/I25</f>
        <v>0</v>
      </c>
      <c r="M25" s="31">
        <f t="shared" si="2"/>
        <v>4.0001230807101757</v>
      </c>
      <c r="N25" s="31">
        <v>2</v>
      </c>
      <c r="O25" s="29">
        <f t="shared" si="3"/>
        <v>2.3840962441314555</v>
      </c>
      <c r="P25" s="79"/>
    </row>
    <row r="26" spans="5:16" x14ac:dyDescent="0.25">
      <c r="E26" s="7" t="s">
        <v>43</v>
      </c>
      <c r="F26" s="24">
        <v>0</v>
      </c>
      <c r="G26" s="24">
        <v>34</v>
      </c>
      <c r="H26" s="38">
        <f t="shared" si="0"/>
        <v>34</v>
      </c>
      <c r="I26" s="38">
        <v>25423</v>
      </c>
      <c r="J26" s="38">
        <v>39840</v>
      </c>
      <c r="K26" s="38">
        <f t="shared" si="1"/>
        <v>65263</v>
      </c>
      <c r="L26" s="31">
        <f t="shared" si="4"/>
        <v>0</v>
      </c>
      <c r="M26" s="31">
        <f t="shared" si="2"/>
        <v>8.5341365461847385</v>
      </c>
      <c r="N26" s="31">
        <v>2</v>
      </c>
      <c r="O26" s="29">
        <f t="shared" si="3"/>
        <v>5.2096900234436054</v>
      </c>
      <c r="P26" s="79">
        <f>(SUM(H26:H31)*10000)/SUM(K26:K31)</f>
        <v>3.3885363556065595</v>
      </c>
    </row>
    <row r="27" spans="5:16" x14ac:dyDescent="0.25">
      <c r="E27" s="7" t="s">
        <v>41</v>
      </c>
      <c r="F27" s="24">
        <v>0</v>
      </c>
      <c r="G27" s="24">
        <v>4</v>
      </c>
      <c r="H27" s="38">
        <f t="shared" si="0"/>
        <v>4</v>
      </c>
      <c r="I27" s="38">
        <v>32820</v>
      </c>
      <c r="J27" s="38">
        <v>54045</v>
      </c>
      <c r="K27" s="38">
        <f t="shared" si="1"/>
        <v>86865</v>
      </c>
      <c r="L27" s="31">
        <f t="shared" si="4"/>
        <v>0</v>
      </c>
      <c r="M27" s="31">
        <f t="shared" si="2"/>
        <v>0.74012397076510317</v>
      </c>
      <c r="N27" s="31">
        <v>2</v>
      </c>
      <c r="O27" s="29">
        <f t="shared" si="3"/>
        <v>0.46048466010476025</v>
      </c>
      <c r="P27" s="79"/>
    </row>
    <row r="28" spans="5:16" x14ac:dyDescent="0.25">
      <c r="E28" s="7" t="s">
        <v>39</v>
      </c>
      <c r="F28" s="24">
        <v>17</v>
      </c>
      <c r="G28" s="24">
        <v>0</v>
      </c>
      <c r="H28" s="38">
        <f t="shared" si="0"/>
        <v>17</v>
      </c>
      <c r="I28" s="38">
        <v>37796</v>
      </c>
      <c r="J28" s="38">
        <v>49843</v>
      </c>
      <c r="K28" s="38">
        <f t="shared" si="1"/>
        <v>87639</v>
      </c>
      <c r="L28" s="31">
        <f t="shared" si="4"/>
        <v>4.4978304582495499</v>
      </c>
      <c r="M28" s="31">
        <f t="shared" si="2"/>
        <v>0</v>
      </c>
      <c r="N28" s="31">
        <v>2</v>
      </c>
      <c r="O28" s="29">
        <f t="shared" si="3"/>
        <v>1.939775670648912</v>
      </c>
      <c r="P28" s="79"/>
    </row>
    <row r="29" spans="5:16" x14ac:dyDescent="0.25">
      <c r="E29" s="7" t="s">
        <v>40</v>
      </c>
      <c r="F29" s="24">
        <v>54</v>
      </c>
      <c r="G29" s="24">
        <v>1</v>
      </c>
      <c r="H29" s="38">
        <f t="shared" si="0"/>
        <v>55</v>
      </c>
      <c r="I29" s="38">
        <v>45390</v>
      </c>
      <c r="J29" s="38">
        <v>27833</v>
      </c>
      <c r="K29" s="38">
        <f t="shared" si="1"/>
        <v>73223</v>
      </c>
      <c r="L29" s="31">
        <f t="shared" si="4"/>
        <v>11.896893588896233</v>
      </c>
      <c r="M29" s="31">
        <f t="shared" si="2"/>
        <v>0.35928573994898144</v>
      </c>
      <c r="N29" s="31">
        <v>2</v>
      </c>
      <c r="O29" s="29">
        <f t="shared" si="3"/>
        <v>7.5113010939185774</v>
      </c>
      <c r="P29" s="79"/>
    </row>
    <row r="30" spans="5:16" x14ac:dyDescent="0.25">
      <c r="E30" s="7" t="s">
        <v>42</v>
      </c>
      <c r="F30" s="24">
        <v>0</v>
      </c>
      <c r="G30" s="24">
        <v>3</v>
      </c>
      <c r="H30" s="38">
        <f t="shared" si="0"/>
        <v>3</v>
      </c>
      <c r="I30" s="38">
        <v>51622</v>
      </c>
      <c r="J30" s="38">
        <v>18816</v>
      </c>
      <c r="K30" s="38">
        <f t="shared" si="1"/>
        <v>70438</v>
      </c>
      <c r="L30" s="31">
        <f t="shared" si="4"/>
        <v>0</v>
      </c>
      <c r="M30" s="31">
        <f t="shared" si="2"/>
        <v>1.5943877551020409</v>
      </c>
      <c r="N30" s="31">
        <v>2</v>
      </c>
      <c r="O30" s="29">
        <f t="shared" si="3"/>
        <v>0.42590647093898182</v>
      </c>
      <c r="P30" s="79"/>
    </row>
    <row r="31" spans="5:16" x14ac:dyDescent="0.25">
      <c r="E31" s="7" t="s">
        <v>38</v>
      </c>
      <c r="F31" s="7">
        <v>6</v>
      </c>
      <c r="G31" s="38">
        <v>31</v>
      </c>
      <c r="H31" s="38">
        <f t="shared" si="0"/>
        <v>37</v>
      </c>
      <c r="I31" s="38">
        <v>59241</v>
      </c>
      <c r="J31" s="38">
        <v>0</v>
      </c>
      <c r="K31" s="38">
        <f t="shared" si="1"/>
        <v>59241</v>
      </c>
      <c r="L31" s="7">
        <f>(F31*10000)/I31</f>
        <v>1.0128120727199068</v>
      </c>
      <c r="M31" s="7" t="e">
        <f>(G31*10000)/J31</f>
        <v>#DIV/0!</v>
      </c>
      <c r="N31" s="31">
        <v>2</v>
      </c>
      <c r="O31" s="31">
        <f>(H31*10000)/K31</f>
        <v>6.2456744484394253</v>
      </c>
      <c r="P31" s="79"/>
    </row>
    <row r="32" spans="5:16" x14ac:dyDescent="0.25">
      <c r="E32" s="7"/>
      <c r="F32" s="39">
        <f t="shared" ref="F32:K32" si="5">SUM(F20:F31)</f>
        <v>124</v>
      </c>
      <c r="G32" s="39">
        <f t="shared" si="5"/>
        <v>118</v>
      </c>
      <c r="H32" s="39">
        <f t="shared" si="5"/>
        <v>242</v>
      </c>
      <c r="I32" s="38">
        <f t="shared" si="5"/>
        <v>327208</v>
      </c>
      <c r="J32" s="38">
        <f t="shared" si="5"/>
        <v>364539</v>
      </c>
      <c r="K32" s="38">
        <f t="shared" si="5"/>
        <v>691747</v>
      </c>
      <c r="L32" s="31">
        <f>(F32*10000)/I32</f>
        <v>3.7896383951492627</v>
      </c>
      <c r="M32" s="31">
        <f>(G32*10000)/J32</f>
        <v>3.2369650435207209</v>
      </c>
      <c r="N32" s="31">
        <v>2</v>
      </c>
      <c r="O32" s="29">
        <f>(H32*10000)/K32</f>
        <v>3.4983888618237593</v>
      </c>
      <c r="P32" s="7"/>
    </row>
    <row r="36" spans="5:16" x14ac:dyDescent="0.25">
      <c r="E36" s="78" t="s">
        <v>56</v>
      </c>
      <c r="F36" s="78"/>
      <c r="G36" s="78"/>
      <c r="H36" s="78"/>
      <c r="I36" s="78"/>
      <c r="J36" s="78"/>
      <c r="K36" s="78"/>
      <c r="L36" s="78"/>
      <c r="M36" s="78"/>
      <c r="N36" s="78"/>
      <c r="O36" s="78"/>
      <c r="P36" s="4"/>
    </row>
    <row r="37" spans="5:16" x14ac:dyDescent="0.25">
      <c r="E37" s="4" t="s">
        <v>47</v>
      </c>
      <c r="F37" s="4" t="s">
        <v>14</v>
      </c>
      <c r="G37" s="4" t="s">
        <v>15</v>
      </c>
      <c r="H37" s="4" t="s">
        <v>52</v>
      </c>
      <c r="I37" s="4" t="s">
        <v>49</v>
      </c>
      <c r="J37" s="4" t="s">
        <v>50</v>
      </c>
      <c r="K37" s="4" t="s">
        <v>29</v>
      </c>
      <c r="L37" s="4" t="s">
        <v>53</v>
      </c>
      <c r="M37" s="4" t="s">
        <v>54</v>
      </c>
      <c r="N37" s="4"/>
      <c r="O37" s="23" t="s">
        <v>51</v>
      </c>
      <c r="P37" s="4" t="s">
        <v>58</v>
      </c>
    </row>
    <row r="38" spans="5:16" x14ac:dyDescent="0.25">
      <c r="E38" s="4" t="s">
        <v>48</v>
      </c>
      <c r="F38" s="4">
        <v>0</v>
      </c>
      <c r="G38" s="4">
        <v>0</v>
      </c>
      <c r="H38" s="25">
        <f>SUM(F38:G38)</f>
        <v>0</v>
      </c>
      <c r="I38" s="25">
        <v>58214</v>
      </c>
      <c r="J38" s="4">
        <v>22162</v>
      </c>
      <c r="K38" s="25">
        <f>SUM(I38:J38)</f>
        <v>80376</v>
      </c>
      <c r="L38" s="26">
        <f>(F38*10000)/I38</f>
        <v>0</v>
      </c>
      <c r="M38" s="26">
        <f>(G38*10000)/J38</f>
        <v>0</v>
      </c>
      <c r="N38" s="26"/>
      <c r="O38" s="29">
        <f>(H38*10000)/K38</f>
        <v>0</v>
      </c>
      <c r="P38" s="80">
        <f>(SUM(H38:H43)*10000)/SUM(K38:K43)</f>
        <v>2.1871936043442188</v>
      </c>
    </row>
    <row r="39" spans="5:16" x14ac:dyDescent="0.25">
      <c r="E39" s="4" t="s">
        <v>34</v>
      </c>
      <c r="F39" s="4">
        <v>8</v>
      </c>
      <c r="G39" s="4">
        <v>0</v>
      </c>
      <c r="H39" s="25">
        <f t="shared" ref="H39:H49" si="6">SUM(F39:G39)</f>
        <v>8</v>
      </c>
      <c r="I39" s="4">
        <v>44632</v>
      </c>
      <c r="J39" s="4">
        <v>38526</v>
      </c>
      <c r="K39" s="25">
        <f t="shared" ref="K39:K48" si="7">SUM(I39:J39)</f>
        <v>83158</v>
      </c>
      <c r="L39" s="26">
        <f t="shared" ref="L39:L49" si="8">(F39*10000)/I39</f>
        <v>1.7924359204158451</v>
      </c>
      <c r="M39" s="26">
        <f t="shared" ref="M39:M49" si="9">(G39*10000)/J39</f>
        <v>0</v>
      </c>
      <c r="N39" s="26"/>
      <c r="O39" s="29">
        <f t="shared" ref="O39:O50" si="10">(H39*10000)/K39</f>
        <v>0.96202409870367256</v>
      </c>
      <c r="P39" s="81"/>
    </row>
    <row r="40" spans="5:16" x14ac:dyDescent="0.25">
      <c r="E40" s="4" t="s">
        <v>36</v>
      </c>
      <c r="F40" s="4">
        <v>14</v>
      </c>
      <c r="G40" s="4">
        <v>26</v>
      </c>
      <c r="H40" s="25">
        <f t="shared" si="6"/>
        <v>40</v>
      </c>
      <c r="I40" s="4">
        <v>52364</v>
      </c>
      <c r="J40" s="4">
        <v>44628</v>
      </c>
      <c r="K40" s="25">
        <f t="shared" si="7"/>
        <v>96992</v>
      </c>
      <c r="L40" s="26">
        <f t="shared" si="8"/>
        <v>2.673592544496219</v>
      </c>
      <c r="M40" s="26">
        <f t="shared" si="9"/>
        <v>5.8259388724567538</v>
      </c>
      <c r="N40" s="26"/>
      <c r="O40" s="29">
        <f t="shared" si="10"/>
        <v>4.1240514681623228</v>
      </c>
      <c r="P40" s="81"/>
    </row>
    <row r="41" spans="5:16" x14ac:dyDescent="0.25">
      <c r="E41" s="4" t="s">
        <v>37</v>
      </c>
      <c r="F41" s="4">
        <v>12</v>
      </c>
      <c r="G41" s="4">
        <v>3</v>
      </c>
      <c r="H41" s="25">
        <f t="shared" si="6"/>
        <v>15</v>
      </c>
      <c r="I41" s="14">
        <v>83432</v>
      </c>
      <c r="J41" s="4"/>
      <c r="K41" s="25">
        <f t="shared" si="7"/>
        <v>83432</v>
      </c>
      <c r="L41" s="26">
        <f t="shared" si="8"/>
        <v>1.4382970562853581</v>
      </c>
      <c r="M41" s="26" t="e">
        <f t="shared" si="9"/>
        <v>#DIV/0!</v>
      </c>
      <c r="N41" s="26"/>
      <c r="O41" s="29">
        <f t="shared" si="10"/>
        <v>1.7978713203566976</v>
      </c>
      <c r="P41" s="81"/>
    </row>
    <row r="42" spans="5:16" x14ac:dyDescent="0.25">
      <c r="E42" s="4" t="s">
        <v>35</v>
      </c>
      <c r="F42" s="4">
        <v>47</v>
      </c>
      <c r="G42" s="4">
        <v>4</v>
      </c>
      <c r="H42" s="25">
        <f t="shared" si="6"/>
        <v>51</v>
      </c>
      <c r="I42" s="4">
        <v>51655</v>
      </c>
      <c r="J42" s="4">
        <v>52781</v>
      </c>
      <c r="K42" s="25">
        <f t="shared" si="7"/>
        <v>104436</v>
      </c>
      <c r="L42" s="26">
        <f t="shared" si="8"/>
        <v>9.0988287677862747</v>
      </c>
      <c r="M42" s="26">
        <f t="shared" si="9"/>
        <v>0.7578484681987836</v>
      </c>
      <c r="N42" s="26"/>
      <c r="O42" s="29">
        <f t="shared" si="10"/>
        <v>4.8833735493507984</v>
      </c>
      <c r="P42" s="81"/>
    </row>
    <row r="43" spans="5:16" x14ac:dyDescent="0.25">
      <c r="E43" s="4" t="s">
        <v>44</v>
      </c>
      <c r="F43" s="4">
        <v>0</v>
      </c>
      <c r="G43" s="4">
        <v>2</v>
      </c>
      <c r="H43" s="25">
        <f t="shared" si="6"/>
        <v>2</v>
      </c>
      <c r="I43" s="4">
        <v>38317</v>
      </c>
      <c r="J43" s="4">
        <v>43649</v>
      </c>
      <c r="K43" s="25">
        <f t="shared" si="7"/>
        <v>81966</v>
      </c>
      <c r="L43" s="26">
        <f t="shared" si="8"/>
        <v>0</v>
      </c>
      <c r="M43" s="26">
        <f t="shared" si="9"/>
        <v>0.45820064606291094</v>
      </c>
      <c r="N43" s="26"/>
      <c r="O43" s="29">
        <f t="shared" si="10"/>
        <v>0.24400361125344655</v>
      </c>
      <c r="P43" s="82"/>
    </row>
    <row r="44" spans="5:16" x14ac:dyDescent="0.25">
      <c r="E44" s="4" t="s">
        <v>43</v>
      </c>
      <c r="F44" s="4">
        <v>0</v>
      </c>
      <c r="G44" s="4">
        <v>0</v>
      </c>
      <c r="H44" s="25">
        <f t="shared" si="6"/>
        <v>0</v>
      </c>
      <c r="I44" s="4">
        <v>54219</v>
      </c>
      <c r="J44" s="4">
        <v>56230</v>
      </c>
      <c r="K44" s="25">
        <f t="shared" si="7"/>
        <v>110449</v>
      </c>
      <c r="L44" s="26">
        <f t="shared" si="8"/>
        <v>0</v>
      </c>
      <c r="M44" s="26">
        <f t="shared" si="9"/>
        <v>0</v>
      </c>
      <c r="N44" s="26"/>
      <c r="O44" s="29">
        <f t="shared" si="10"/>
        <v>0</v>
      </c>
      <c r="P44" s="80">
        <f>(SUM(H44:H49)*10000)/SUM(K44:K49)</f>
        <v>4.632555956128666</v>
      </c>
    </row>
    <row r="45" spans="5:16" x14ac:dyDescent="0.25">
      <c r="E45" s="4" t="s">
        <v>41</v>
      </c>
      <c r="F45" s="4">
        <v>2</v>
      </c>
      <c r="G45" s="4">
        <v>122</v>
      </c>
      <c r="H45" s="25">
        <f t="shared" si="6"/>
        <v>124</v>
      </c>
      <c r="I45" s="4">
        <v>56606</v>
      </c>
      <c r="J45" s="4">
        <v>59796</v>
      </c>
      <c r="K45" s="25">
        <f t="shared" si="7"/>
        <v>116402</v>
      </c>
      <c r="L45" s="26">
        <f t="shared" si="8"/>
        <v>0.35331943610217997</v>
      </c>
      <c r="M45" s="26">
        <f t="shared" si="9"/>
        <v>20.40270252190782</v>
      </c>
      <c r="N45" s="26"/>
      <c r="O45" s="29">
        <f t="shared" si="10"/>
        <v>10.652737925465198</v>
      </c>
      <c r="P45" s="81"/>
    </row>
    <row r="46" spans="5:16" x14ac:dyDescent="0.25">
      <c r="E46" s="4" t="s">
        <v>39</v>
      </c>
      <c r="F46" s="4">
        <v>8</v>
      </c>
      <c r="G46" s="4">
        <v>14</v>
      </c>
      <c r="H46" s="25">
        <f t="shared" si="6"/>
        <v>22</v>
      </c>
      <c r="I46" s="4">
        <v>35954</v>
      </c>
      <c r="J46" s="4">
        <v>37864</v>
      </c>
      <c r="K46" s="25">
        <f t="shared" si="7"/>
        <v>73818</v>
      </c>
      <c r="L46" s="26">
        <f t="shared" si="8"/>
        <v>2.225065361294988</v>
      </c>
      <c r="M46" s="26">
        <f t="shared" si="9"/>
        <v>3.6974434819353474</v>
      </c>
      <c r="N46" s="26"/>
      <c r="O46" s="29">
        <f t="shared" si="10"/>
        <v>2.9803029071500178</v>
      </c>
      <c r="P46" s="81"/>
    </row>
    <row r="47" spans="5:16" x14ac:dyDescent="0.25">
      <c r="E47" s="4" t="s">
        <v>40</v>
      </c>
      <c r="F47" s="4">
        <v>24</v>
      </c>
      <c r="G47" s="4">
        <v>9</v>
      </c>
      <c r="H47" s="25">
        <f t="shared" si="6"/>
        <v>33</v>
      </c>
      <c r="I47" s="4">
        <v>34237</v>
      </c>
      <c r="J47" s="4">
        <v>53705</v>
      </c>
      <c r="K47" s="25">
        <f t="shared" si="7"/>
        <v>87942</v>
      </c>
      <c r="L47" s="26">
        <f t="shared" si="8"/>
        <v>7.0099599848117533</v>
      </c>
      <c r="M47" s="26">
        <f t="shared" si="9"/>
        <v>1.6758216180988734</v>
      </c>
      <c r="N47" s="26"/>
      <c r="O47" s="29">
        <f t="shared" si="10"/>
        <v>3.7524732209865594</v>
      </c>
      <c r="P47" s="81"/>
    </row>
    <row r="48" spans="5:16" x14ac:dyDescent="0.25">
      <c r="E48" s="4" t="s">
        <v>42</v>
      </c>
      <c r="F48" s="4">
        <v>5</v>
      </c>
      <c r="G48" s="4">
        <v>8</v>
      </c>
      <c r="H48" s="25">
        <f t="shared" si="6"/>
        <v>13</v>
      </c>
      <c r="I48" s="4">
        <v>27996</v>
      </c>
      <c r="J48" s="4">
        <v>34854</v>
      </c>
      <c r="K48" s="25">
        <f t="shared" si="7"/>
        <v>62850</v>
      </c>
      <c r="L48" s="26">
        <f t="shared" si="8"/>
        <v>1.7859694242034576</v>
      </c>
      <c r="M48" s="26">
        <f t="shared" si="9"/>
        <v>2.2952889194927413</v>
      </c>
      <c r="N48" s="26"/>
      <c r="O48" s="29">
        <f t="shared" si="10"/>
        <v>2.0684168655529036</v>
      </c>
      <c r="P48" s="81"/>
    </row>
    <row r="49" spans="5:16" x14ac:dyDescent="0.25">
      <c r="E49" s="4" t="s">
        <v>38</v>
      </c>
      <c r="F49" s="4">
        <v>23</v>
      </c>
      <c r="G49" s="4">
        <v>10</v>
      </c>
      <c r="H49" s="25">
        <f t="shared" si="6"/>
        <v>33</v>
      </c>
      <c r="I49" s="4">
        <v>8712</v>
      </c>
      <c r="J49" s="4">
        <v>25520</v>
      </c>
      <c r="K49" s="25">
        <f>SUM(I49:J49)</f>
        <v>34232</v>
      </c>
      <c r="L49" s="26">
        <f t="shared" si="8"/>
        <v>26.400367309458218</v>
      </c>
      <c r="M49" s="26">
        <f t="shared" si="9"/>
        <v>3.9184952978056424</v>
      </c>
      <c r="N49" s="26"/>
      <c r="O49" s="29">
        <f t="shared" si="10"/>
        <v>9.6401028277634957</v>
      </c>
      <c r="P49" s="82"/>
    </row>
    <row r="50" spans="5:16" x14ac:dyDescent="0.25">
      <c r="E50" s="22" t="s">
        <v>24</v>
      </c>
      <c r="F50" s="30">
        <f t="shared" ref="F50:K50" si="11">SUM(F38:F49)</f>
        <v>143</v>
      </c>
      <c r="G50" s="30">
        <f t="shared" si="11"/>
        <v>198</v>
      </c>
      <c r="H50" s="30">
        <f t="shared" si="11"/>
        <v>341</v>
      </c>
      <c r="I50" s="25">
        <f t="shared" si="11"/>
        <v>546338</v>
      </c>
      <c r="J50" s="25">
        <f t="shared" si="11"/>
        <v>469715</v>
      </c>
      <c r="K50" s="25">
        <f t="shared" si="11"/>
        <v>1016053</v>
      </c>
      <c r="L50" s="26">
        <f>(F50*10000)/I50</f>
        <v>2.6174273069052489</v>
      </c>
      <c r="M50" s="26">
        <f>(G50*10000)/J50</f>
        <v>4.2153220569920054</v>
      </c>
      <c r="N50" s="26"/>
      <c r="O50" s="31">
        <f t="shared" si="10"/>
        <v>3.3561241391935264</v>
      </c>
      <c r="P50" s="4"/>
    </row>
    <row r="53" spans="5:16" x14ac:dyDescent="0.25">
      <c r="E53" s="78" t="s">
        <v>57</v>
      </c>
      <c r="F53" s="78"/>
      <c r="G53" s="78"/>
      <c r="H53" s="78"/>
      <c r="I53" s="78"/>
      <c r="J53" s="78"/>
      <c r="K53" s="78"/>
      <c r="L53" s="78"/>
      <c r="M53" s="78"/>
      <c r="N53" s="78"/>
      <c r="O53" s="78"/>
    </row>
    <row r="54" spans="5:16" x14ac:dyDescent="0.25">
      <c r="E54" s="4" t="s">
        <v>47</v>
      </c>
      <c r="F54" s="4" t="s">
        <v>14</v>
      </c>
      <c r="G54" s="4" t="s">
        <v>15</v>
      </c>
      <c r="H54" s="4" t="s">
        <v>52</v>
      </c>
      <c r="I54" s="4" t="s">
        <v>49</v>
      </c>
      <c r="J54" s="4" t="s">
        <v>50</v>
      </c>
      <c r="K54" s="4" t="s">
        <v>29</v>
      </c>
      <c r="L54" s="4" t="s">
        <v>53</v>
      </c>
      <c r="M54" s="4" t="s">
        <v>54</v>
      </c>
      <c r="N54" s="4"/>
      <c r="O54" s="23" t="s">
        <v>51</v>
      </c>
      <c r="P54" s="4" t="s">
        <v>58</v>
      </c>
    </row>
    <row r="55" spans="5:16" x14ac:dyDescent="0.25">
      <c r="E55" s="4" t="s">
        <v>48</v>
      </c>
      <c r="F55" s="4">
        <v>0</v>
      </c>
      <c r="G55" s="4">
        <v>0</v>
      </c>
      <c r="H55" s="25">
        <f>SUM(F55:G55)</f>
        <v>0</v>
      </c>
      <c r="I55" s="4">
        <v>22303</v>
      </c>
      <c r="J55" s="4">
        <v>0</v>
      </c>
      <c r="K55" s="25">
        <f>SUM(I55:J55)</f>
        <v>22303</v>
      </c>
      <c r="L55" s="26">
        <f>(F55*10000)/I55</f>
        <v>0</v>
      </c>
      <c r="M55" s="26" t="s">
        <v>59</v>
      </c>
      <c r="N55" s="26"/>
      <c r="O55" s="29">
        <f>(H55*10000)/K55</f>
        <v>0</v>
      </c>
      <c r="P55" s="80">
        <f>(SUM(H55:H60)*10000)/SUM(K55:K60)</f>
        <v>0.12810002049600328</v>
      </c>
    </row>
    <row r="56" spans="5:16" x14ac:dyDescent="0.25">
      <c r="E56" s="4" t="s">
        <v>34</v>
      </c>
      <c r="F56" s="4">
        <v>0</v>
      </c>
      <c r="G56" s="4">
        <v>0</v>
      </c>
      <c r="H56" s="25">
        <f t="shared" ref="H56:H66" si="12">SUM(F56:G56)</f>
        <v>0</v>
      </c>
      <c r="I56" s="4">
        <v>19251</v>
      </c>
      <c r="J56" s="4">
        <v>0</v>
      </c>
      <c r="K56" s="25">
        <f t="shared" ref="K56:K65" si="13">SUM(I56:J56)</f>
        <v>19251</v>
      </c>
      <c r="L56" s="26">
        <f t="shared" ref="L56:L65" si="14">(F56*10000)/I56</f>
        <v>0</v>
      </c>
      <c r="M56" s="26" t="s">
        <v>59</v>
      </c>
      <c r="N56" s="26"/>
      <c r="O56" s="29">
        <f t="shared" ref="O56:O66" si="15">(H56*10000)/K56</f>
        <v>0</v>
      </c>
      <c r="P56" s="81"/>
    </row>
    <row r="57" spans="5:16" x14ac:dyDescent="0.25">
      <c r="E57" s="4" t="s">
        <v>36</v>
      </c>
      <c r="F57" s="4">
        <v>0</v>
      </c>
      <c r="G57" s="4">
        <v>0</v>
      </c>
      <c r="H57" s="25">
        <f t="shared" si="12"/>
        <v>0</v>
      </c>
      <c r="I57" s="4">
        <v>29363</v>
      </c>
      <c r="J57" s="4">
        <v>0</v>
      </c>
      <c r="K57" s="25">
        <f t="shared" si="13"/>
        <v>29363</v>
      </c>
      <c r="L57" s="26">
        <f t="shared" si="14"/>
        <v>0</v>
      </c>
      <c r="M57" s="26" t="s">
        <v>59</v>
      </c>
      <c r="N57" s="26"/>
      <c r="O57" s="29">
        <f t="shared" si="15"/>
        <v>0</v>
      </c>
      <c r="P57" s="81"/>
    </row>
    <row r="58" spans="5:16" x14ac:dyDescent="0.25">
      <c r="E58" s="4" t="s">
        <v>37</v>
      </c>
      <c r="F58" s="4">
        <v>0</v>
      </c>
      <c r="G58" s="4">
        <v>0</v>
      </c>
      <c r="H58" s="25">
        <f t="shared" si="12"/>
        <v>0</v>
      </c>
      <c r="I58" s="4">
        <v>28201</v>
      </c>
      <c r="J58" s="4">
        <v>0</v>
      </c>
      <c r="K58" s="25">
        <f t="shared" si="13"/>
        <v>28201</v>
      </c>
      <c r="L58" s="26">
        <f t="shared" si="14"/>
        <v>0</v>
      </c>
      <c r="M58" s="26" t="s">
        <v>59</v>
      </c>
      <c r="N58" s="26"/>
      <c r="O58" s="29">
        <f t="shared" si="15"/>
        <v>0</v>
      </c>
      <c r="P58" s="81"/>
    </row>
    <row r="59" spans="5:16" x14ac:dyDescent="0.25">
      <c r="E59" s="4" t="s">
        <v>35</v>
      </c>
      <c r="F59" s="4">
        <v>0</v>
      </c>
      <c r="G59" s="4">
        <v>0</v>
      </c>
      <c r="H59" s="25">
        <f t="shared" si="12"/>
        <v>0</v>
      </c>
      <c r="I59" s="4">
        <v>28256</v>
      </c>
      <c r="J59" s="4">
        <v>0</v>
      </c>
      <c r="K59" s="25">
        <f t="shared" si="13"/>
        <v>28256</v>
      </c>
      <c r="L59" s="26">
        <f t="shared" si="14"/>
        <v>0</v>
      </c>
      <c r="M59" s="26" t="s">
        <v>59</v>
      </c>
      <c r="N59" s="26"/>
      <c r="O59" s="29">
        <f t="shared" si="15"/>
        <v>0</v>
      </c>
      <c r="P59" s="81"/>
    </row>
    <row r="60" spans="5:16" x14ac:dyDescent="0.25">
      <c r="E60" s="4" t="s">
        <v>44</v>
      </c>
      <c r="F60" s="4">
        <v>2</v>
      </c>
      <c r="G60" s="4">
        <v>0</v>
      </c>
      <c r="H60" s="25">
        <f t="shared" si="12"/>
        <v>2</v>
      </c>
      <c r="I60" s="4">
        <v>28754</v>
      </c>
      <c r="J60" s="4">
        <v>0</v>
      </c>
      <c r="K60" s="25">
        <f t="shared" si="13"/>
        <v>28754</v>
      </c>
      <c r="L60" s="26">
        <f t="shared" si="14"/>
        <v>0.69555540098768864</v>
      </c>
      <c r="M60" s="26" t="s">
        <v>59</v>
      </c>
      <c r="N60" s="26"/>
      <c r="O60" s="29">
        <f t="shared" si="15"/>
        <v>0.69555540098768864</v>
      </c>
      <c r="P60" s="82"/>
    </row>
    <row r="61" spans="5:16" x14ac:dyDescent="0.25">
      <c r="E61" s="4" t="s">
        <v>43</v>
      </c>
      <c r="F61" s="4">
        <v>2</v>
      </c>
      <c r="G61" s="4">
        <v>0</v>
      </c>
      <c r="H61" s="25">
        <f t="shared" si="12"/>
        <v>2</v>
      </c>
      <c r="I61" s="4">
        <v>41563</v>
      </c>
      <c r="J61" s="4">
        <v>0</v>
      </c>
      <c r="K61" s="25">
        <f t="shared" si="13"/>
        <v>41563</v>
      </c>
      <c r="L61" s="26">
        <f t="shared" si="14"/>
        <v>0.48119721868007603</v>
      </c>
      <c r="M61" s="26" t="s">
        <v>59</v>
      </c>
      <c r="N61" s="26"/>
      <c r="O61" s="29">
        <f t="shared" si="15"/>
        <v>0.48119721868007603</v>
      </c>
      <c r="P61" s="80">
        <f>(SUM(H61:H66)*10000)/SUM(K61:K66)</f>
        <v>0.57152310908571347</v>
      </c>
    </row>
    <row r="62" spans="5:16" x14ac:dyDescent="0.25">
      <c r="E62" s="4" t="s">
        <v>41</v>
      </c>
      <c r="F62" s="4">
        <v>16</v>
      </c>
      <c r="G62" s="4">
        <v>0</v>
      </c>
      <c r="H62" s="25">
        <f t="shared" si="12"/>
        <v>16</v>
      </c>
      <c r="I62" s="4">
        <v>48681</v>
      </c>
      <c r="J62" s="4">
        <v>0</v>
      </c>
      <c r="K62" s="25">
        <f t="shared" si="13"/>
        <v>48681</v>
      </c>
      <c r="L62" s="26">
        <f t="shared" si="14"/>
        <v>3.2867032312401143</v>
      </c>
      <c r="M62" s="26" t="s">
        <v>59</v>
      </c>
      <c r="N62" s="26"/>
      <c r="O62" s="29">
        <f t="shared" si="15"/>
        <v>3.2867032312401143</v>
      </c>
      <c r="P62" s="81"/>
    </row>
    <row r="63" spans="5:16" x14ac:dyDescent="0.25">
      <c r="E63" s="4" t="s">
        <v>39</v>
      </c>
      <c r="F63" s="4">
        <v>1</v>
      </c>
      <c r="G63" s="4">
        <v>0</v>
      </c>
      <c r="H63" s="25">
        <f t="shared" si="12"/>
        <v>1</v>
      </c>
      <c r="I63" s="4">
        <v>54055</v>
      </c>
      <c r="J63" s="4">
        <v>0</v>
      </c>
      <c r="K63" s="25">
        <f t="shared" si="13"/>
        <v>54055</v>
      </c>
      <c r="L63" s="26">
        <f t="shared" si="14"/>
        <v>0.18499676255665526</v>
      </c>
      <c r="M63" s="26" t="s">
        <v>59</v>
      </c>
      <c r="N63" s="26"/>
      <c r="O63" s="29">
        <f t="shared" si="15"/>
        <v>0.18499676255665526</v>
      </c>
      <c r="P63" s="81"/>
    </row>
    <row r="64" spans="5:16" x14ac:dyDescent="0.25">
      <c r="E64" s="4" t="s">
        <v>40</v>
      </c>
      <c r="F64" s="4">
        <v>0</v>
      </c>
      <c r="G64" s="4">
        <v>0</v>
      </c>
      <c r="H64" s="25">
        <f t="shared" si="12"/>
        <v>0</v>
      </c>
      <c r="I64" s="4">
        <v>53773</v>
      </c>
      <c r="J64" s="4">
        <v>0</v>
      </c>
      <c r="K64" s="25">
        <f t="shared" si="13"/>
        <v>53773</v>
      </c>
      <c r="L64" s="26">
        <f t="shared" si="14"/>
        <v>0</v>
      </c>
      <c r="M64" s="26" t="s">
        <v>59</v>
      </c>
      <c r="N64" s="26"/>
      <c r="O64" s="29">
        <f t="shared" si="15"/>
        <v>0</v>
      </c>
      <c r="P64" s="81"/>
    </row>
    <row r="65" spans="5:16" x14ac:dyDescent="0.25">
      <c r="E65" s="4" t="s">
        <v>42</v>
      </c>
      <c r="F65" s="4">
        <v>0</v>
      </c>
      <c r="G65" s="4">
        <v>0</v>
      </c>
      <c r="H65" s="25">
        <f t="shared" si="12"/>
        <v>0</v>
      </c>
      <c r="I65" s="4">
        <v>56788</v>
      </c>
      <c r="J65" s="4">
        <v>0</v>
      </c>
      <c r="K65" s="25">
        <f t="shared" si="13"/>
        <v>56788</v>
      </c>
      <c r="L65" s="26">
        <f t="shared" si="14"/>
        <v>0</v>
      </c>
      <c r="M65" s="26" t="s">
        <v>59</v>
      </c>
      <c r="N65" s="26"/>
      <c r="O65" s="29">
        <f t="shared" si="15"/>
        <v>0</v>
      </c>
      <c r="P65" s="81"/>
    </row>
    <row r="66" spans="5:16" x14ac:dyDescent="0.25">
      <c r="E66" s="4" t="s">
        <v>38</v>
      </c>
      <c r="F66" s="4">
        <v>0</v>
      </c>
      <c r="G66" s="4">
        <v>0</v>
      </c>
      <c r="H66" s="25">
        <f t="shared" si="12"/>
        <v>0</v>
      </c>
      <c r="I66" s="4">
        <v>58190</v>
      </c>
      <c r="J66" s="4">
        <v>19395</v>
      </c>
      <c r="K66" s="25">
        <f>SUM(I66:J66)</f>
        <v>77585</v>
      </c>
      <c r="L66" s="26">
        <f>(F66*10000)/I66</f>
        <v>0</v>
      </c>
      <c r="M66" s="10">
        <v>0</v>
      </c>
      <c r="N66" s="10"/>
      <c r="O66" s="29">
        <f t="shared" si="15"/>
        <v>0</v>
      </c>
      <c r="P66" s="82"/>
    </row>
    <row r="67" spans="5:16" x14ac:dyDescent="0.25">
      <c r="E67" s="22" t="s">
        <v>24</v>
      </c>
      <c r="F67" s="30">
        <f t="shared" ref="F67:K67" si="16">SUM(F55:F66)</f>
        <v>21</v>
      </c>
      <c r="G67" s="30">
        <f t="shared" si="16"/>
        <v>0</v>
      </c>
      <c r="H67" s="30">
        <f t="shared" si="16"/>
        <v>21</v>
      </c>
      <c r="I67" s="25">
        <f t="shared" si="16"/>
        <v>469178</v>
      </c>
      <c r="J67" s="4">
        <f t="shared" si="16"/>
        <v>19395</v>
      </c>
      <c r="K67" s="25">
        <f t="shared" si="16"/>
        <v>488573</v>
      </c>
      <c r="L67" s="26">
        <f>(F67*10000)/I67</f>
        <v>0.44759131928607054</v>
      </c>
      <c r="M67" s="26">
        <f>(G67*10000)/J67</f>
        <v>0</v>
      </c>
      <c r="N67" s="26"/>
      <c r="O67" s="4"/>
      <c r="P67" s="4"/>
    </row>
  </sheetData>
  <mergeCells count="12">
    <mergeCell ref="E1:O1"/>
    <mergeCell ref="P3:P8"/>
    <mergeCell ref="P9:P14"/>
    <mergeCell ref="P55:P60"/>
    <mergeCell ref="P61:P66"/>
    <mergeCell ref="E18:O18"/>
    <mergeCell ref="E36:O36"/>
    <mergeCell ref="E53:O53"/>
    <mergeCell ref="P20:P25"/>
    <mergeCell ref="P26:P31"/>
    <mergeCell ref="P38:P43"/>
    <mergeCell ref="P44:P49"/>
  </mergeCells>
  <phoneticPr fontId="4"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B54053-7B80-4181-81E8-32FBE6163622}">
  <dimension ref="A2:E9"/>
  <sheetViews>
    <sheetView workbookViewId="0">
      <selection activeCell="O33" sqref="O33"/>
    </sheetView>
  </sheetViews>
  <sheetFormatPr defaultRowHeight="15" x14ac:dyDescent="0.25"/>
  <cols>
    <col min="1" max="1" width="16" bestFit="1" customWidth="1"/>
    <col min="2" max="2" width="17.140625" bestFit="1" customWidth="1"/>
    <col min="3" max="3" width="5.42578125" bestFit="1" customWidth="1"/>
    <col min="4" max="4" width="6.5703125" bestFit="1" customWidth="1"/>
    <col min="5" max="5" width="13.5703125" bestFit="1" customWidth="1"/>
    <col min="6" max="6" width="5.5703125" bestFit="1" customWidth="1"/>
    <col min="7" max="7" width="13.5703125" bestFit="1" customWidth="1"/>
    <col min="8" max="8" width="13.42578125" bestFit="1" customWidth="1"/>
    <col min="9" max="9" width="8.140625" bestFit="1" customWidth="1"/>
    <col min="10" max="10" width="13.42578125" bestFit="1" customWidth="1"/>
    <col min="11" max="11" width="5.42578125" bestFit="1" customWidth="1"/>
    <col min="12" max="12" width="6.5703125" bestFit="1" customWidth="1"/>
    <col min="13" max="13" width="13.42578125" bestFit="1" customWidth="1"/>
    <col min="14" max="14" width="7.42578125" bestFit="1" customWidth="1"/>
    <col min="15" max="15" width="12.5703125" bestFit="1" customWidth="1"/>
    <col min="16" max="16" width="13.5703125" bestFit="1" customWidth="1"/>
  </cols>
  <sheetData>
    <row r="2" spans="1:5" x14ac:dyDescent="0.25">
      <c r="A2" s="56" t="s">
        <v>1096</v>
      </c>
      <c r="B2" s="57">
        <v>2026</v>
      </c>
    </row>
    <row r="4" spans="1:5" x14ac:dyDescent="0.25">
      <c r="A4" s="56" t="s">
        <v>640</v>
      </c>
      <c r="B4" s="56" t="s">
        <v>593</v>
      </c>
    </row>
    <row r="5" spans="1:5" x14ac:dyDescent="0.25">
      <c r="A5" s="56" t="s">
        <v>552</v>
      </c>
      <c r="B5" t="s">
        <v>681</v>
      </c>
      <c r="C5" t="s">
        <v>680</v>
      </c>
      <c r="D5" t="s">
        <v>682</v>
      </c>
      <c r="E5" t="s">
        <v>553</v>
      </c>
    </row>
    <row r="6" spans="1:5" x14ac:dyDescent="0.25">
      <c r="A6" s="57">
        <v>1</v>
      </c>
      <c r="B6" s="84"/>
      <c r="C6" s="84">
        <v>1</v>
      </c>
      <c r="D6" s="84">
        <v>1</v>
      </c>
      <c r="E6" s="84">
        <v>2</v>
      </c>
    </row>
    <row r="7" spans="1:5" x14ac:dyDescent="0.25">
      <c r="A7" s="57">
        <v>2</v>
      </c>
      <c r="B7" s="84"/>
      <c r="C7" s="84">
        <v>1</v>
      </c>
      <c r="D7" s="84"/>
      <c r="E7" s="84">
        <v>1</v>
      </c>
    </row>
    <row r="8" spans="1:5" x14ac:dyDescent="0.25">
      <c r="A8" s="57">
        <v>3</v>
      </c>
      <c r="B8" s="84">
        <v>1</v>
      </c>
      <c r="C8" s="84">
        <v>1</v>
      </c>
      <c r="D8" s="84"/>
      <c r="E8" s="84">
        <v>2</v>
      </c>
    </row>
    <row r="9" spans="1:5" x14ac:dyDescent="0.25">
      <c r="A9" s="57" t="s">
        <v>553</v>
      </c>
      <c r="B9" s="84">
        <v>1</v>
      </c>
      <c r="C9" s="84">
        <v>3</v>
      </c>
      <c r="D9" s="84">
        <v>1</v>
      </c>
      <c r="E9" s="84">
        <v>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B05F2-EDB1-4CEE-A3AD-82B652C07F99}">
  <dimension ref="A1:B7"/>
  <sheetViews>
    <sheetView workbookViewId="0">
      <selection activeCell="H7" sqref="H7"/>
    </sheetView>
  </sheetViews>
  <sheetFormatPr defaultRowHeight="15" x14ac:dyDescent="0.25"/>
  <cols>
    <col min="1" max="1" width="14.7109375" bestFit="1" customWidth="1"/>
    <col min="2" max="2" width="29.7109375" bestFit="1" customWidth="1"/>
  </cols>
  <sheetData>
    <row r="1" spans="1:2" x14ac:dyDescent="0.25">
      <c r="A1" s="56" t="s">
        <v>1096</v>
      </c>
      <c r="B1" s="57">
        <v>2026</v>
      </c>
    </row>
    <row r="2" spans="1:2" x14ac:dyDescent="0.25">
      <c r="A2" s="56" t="s">
        <v>549</v>
      </c>
      <c r="B2" s="57">
        <v>3</v>
      </c>
    </row>
    <row r="4" spans="1:2" x14ac:dyDescent="0.25">
      <c r="A4" s="56" t="s">
        <v>552</v>
      </c>
      <c r="B4" t="s">
        <v>592</v>
      </c>
    </row>
    <row r="5" spans="1:2" x14ac:dyDescent="0.25">
      <c r="A5" s="57" t="s">
        <v>311</v>
      </c>
      <c r="B5">
        <v>22</v>
      </c>
    </row>
    <row r="6" spans="1:2" x14ac:dyDescent="0.25">
      <c r="A6" s="57" t="s">
        <v>314</v>
      </c>
      <c r="B6">
        <v>1</v>
      </c>
    </row>
    <row r="7" spans="1:2" x14ac:dyDescent="0.25">
      <c r="A7" s="57" t="s">
        <v>553</v>
      </c>
      <c r="B7">
        <v>23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A69FE-9229-46E5-895D-9A7AD1B55CFD}">
  <dimension ref="A1:D14"/>
  <sheetViews>
    <sheetView workbookViewId="0">
      <selection activeCell="C5" sqref="C5"/>
    </sheetView>
  </sheetViews>
  <sheetFormatPr defaultRowHeight="15" x14ac:dyDescent="0.25"/>
  <cols>
    <col min="1" max="1" width="31" bestFit="1" customWidth="1"/>
    <col min="2" max="2" width="18.42578125" bestFit="1" customWidth="1"/>
    <col min="3" max="3" width="6.28515625" bestFit="1" customWidth="1"/>
    <col min="4" max="4" width="13.5703125" bestFit="1" customWidth="1"/>
    <col min="5" max="5" width="12.7109375" bestFit="1" customWidth="1"/>
    <col min="6" max="6" width="11.28515625" bestFit="1" customWidth="1"/>
    <col min="7" max="7" width="12.85546875" bestFit="1" customWidth="1"/>
    <col min="8" max="8" width="7.85546875" bestFit="1" customWidth="1"/>
    <col min="9" max="9" width="13.5703125" bestFit="1" customWidth="1"/>
  </cols>
  <sheetData>
    <row r="1" spans="1:4" x14ac:dyDescent="0.25">
      <c r="A1" s="56" t="s">
        <v>480</v>
      </c>
      <c r="B1" t="s">
        <v>538</v>
      </c>
    </row>
    <row r="3" spans="1:4" x14ac:dyDescent="0.25">
      <c r="A3" s="56" t="s">
        <v>592</v>
      </c>
      <c r="B3" s="56" t="s">
        <v>593</v>
      </c>
    </row>
    <row r="4" spans="1:4" x14ac:dyDescent="0.25">
      <c r="A4" s="56" t="s">
        <v>552</v>
      </c>
      <c r="B4" t="s">
        <v>14</v>
      </c>
      <c r="C4" t="s">
        <v>15</v>
      </c>
      <c r="D4" t="s">
        <v>553</v>
      </c>
    </row>
    <row r="5" spans="1:4" x14ac:dyDescent="0.25">
      <c r="A5" s="57" t="s">
        <v>681</v>
      </c>
      <c r="C5">
        <v>57</v>
      </c>
      <c r="D5">
        <v>57</v>
      </c>
    </row>
    <row r="6" spans="1:4" x14ac:dyDescent="0.25">
      <c r="A6" s="61" t="s">
        <v>497</v>
      </c>
      <c r="C6">
        <v>57</v>
      </c>
      <c r="D6">
        <v>57</v>
      </c>
    </row>
    <row r="7" spans="1:4" x14ac:dyDescent="0.25">
      <c r="A7" s="57" t="s">
        <v>680</v>
      </c>
      <c r="B7">
        <v>169</v>
      </c>
      <c r="C7">
        <v>48</v>
      </c>
      <c r="D7">
        <v>217</v>
      </c>
    </row>
    <row r="8" spans="1:4" x14ac:dyDescent="0.25">
      <c r="A8" s="61" t="s">
        <v>497</v>
      </c>
      <c r="B8">
        <v>61</v>
      </c>
      <c r="C8">
        <v>48</v>
      </c>
      <c r="D8">
        <v>109</v>
      </c>
    </row>
    <row r="9" spans="1:4" x14ac:dyDescent="0.25">
      <c r="A9" s="61" t="s">
        <v>865</v>
      </c>
      <c r="B9">
        <v>108</v>
      </c>
      <c r="D9">
        <v>108</v>
      </c>
    </row>
    <row r="10" spans="1:4" x14ac:dyDescent="0.25">
      <c r="A10" s="57" t="s">
        <v>682</v>
      </c>
      <c r="C10">
        <v>242</v>
      </c>
      <c r="D10">
        <v>242</v>
      </c>
    </row>
    <row r="11" spans="1:4" x14ac:dyDescent="0.25">
      <c r="A11" s="61" t="s">
        <v>512</v>
      </c>
      <c r="C11">
        <v>48</v>
      </c>
      <c r="D11">
        <v>48</v>
      </c>
    </row>
    <row r="12" spans="1:4" x14ac:dyDescent="0.25">
      <c r="A12" s="61" t="s">
        <v>638</v>
      </c>
      <c r="C12">
        <v>186</v>
      </c>
      <c r="D12">
        <v>186</v>
      </c>
    </row>
    <row r="13" spans="1:4" x14ac:dyDescent="0.25">
      <c r="A13" s="61" t="s">
        <v>780</v>
      </c>
      <c r="C13">
        <v>8</v>
      </c>
      <c r="D13">
        <v>8</v>
      </c>
    </row>
    <row r="14" spans="1:4" x14ac:dyDescent="0.25">
      <c r="A14" s="57" t="s">
        <v>553</v>
      </c>
      <c r="B14">
        <v>169</v>
      </c>
      <c r="C14">
        <v>347</v>
      </c>
      <c r="D14">
        <v>516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B71CC-D7E0-4969-B2F7-73B29B82D82F}">
  <dimension ref="A1:Q27"/>
  <sheetViews>
    <sheetView showGridLines="0" topLeftCell="A6" zoomScale="115" zoomScaleNormal="115" workbookViewId="0">
      <selection activeCell="A5" sqref="A5:C6"/>
    </sheetView>
  </sheetViews>
  <sheetFormatPr defaultRowHeight="15" x14ac:dyDescent="0.25"/>
  <cols>
    <col min="1" max="1" width="31" bestFit="1" customWidth="1"/>
    <col min="2" max="2" width="17.140625" bestFit="1" customWidth="1"/>
    <col min="3" max="3" width="10.28515625" bestFit="1" customWidth="1"/>
    <col min="4" max="5" width="13.5703125" bestFit="1" customWidth="1"/>
    <col min="6" max="6" width="8.5703125" bestFit="1" customWidth="1"/>
    <col min="7" max="7" width="12.85546875" bestFit="1" customWidth="1"/>
    <col min="11" max="11" width="22" bestFit="1" customWidth="1"/>
    <col min="12" max="12" width="7.42578125" bestFit="1" customWidth="1"/>
    <col min="13" max="13" width="8.7109375" bestFit="1" customWidth="1"/>
    <col min="14" max="14" width="12" bestFit="1" customWidth="1"/>
    <col min="15" max="15" width="10.28515625" bestFit="1" customWidth="1"/>
    <col min="16" max="16" width="9" bestFit="1" customWidth="1"/>
    <col min="17" max="17" width="13.5703125" bestFit="1" customWidth="1"/>
  </cols>
  <sheetData>
    <row r="1" spans="1:17" x14ac:dyDescent="0.25">
      <c r="A1" s="56" t="s">
        <v>1096</v>
      </c>
      <c r="B1" s="57">
        <v>2026</v>
      </c>
    </row>
    <row r="2" spans="1:17" x14ac:dyDescent="0.25">
      <c r="A2" s="56" t="s">
        <v>549</v>
      </c>
      <c r="B2" s="57">
        <v>3</v>
      </c>
    </row>
    <row r="3" spans="1:17" ht="15.75" x14ac:dyDescent="0.25">
      <c r="K3" s="83" t="s">
        <v>1099</v>
      </c>
      <c r="L3" s="83"/>
      <c r="M3" s="83"/>
      <c r="N3" s="83"/>
      <c r="O3" s="83"/>
      <c r="P3" s="83"/>
      <c r="Q3" s="83"/>
    </row>
    <row r="4" spans="1:17" x14ac:dyDescent="0.25">
      <c r="A4" s="56" t="s">
        <v>592</v>
      </c>
      <c r="B4" s="56" t="s">
        <v>593</v>
      </c>
      <c r="K4" s="71" t="s">
        <v>1098</v>
      </c>
      <c r="L4" s="72" t="s">
        <v>907</v>
      </c>
      <c r="M4" s="72" t="s">
        <v>311</v>
      </c>
      <c r="N4" s="72" t="s">
        <v>318</v>
      </c>
      <c r="O4" s="72" t="s">
        <v>314</v>
      </c>
      <c r="P4" s="72" t="s">
        <v>492</v>
      </c>
      <c r="Q4" s="73" t="s">
        <v>553</v>
      </c>
    </row>
    <row r="5" spans="1:17" x14ac:dyDescent="0.25">
      <c r="A5" s="56" t="s">
        <v>552</v>
      </c>
      <c r="B5" t="s">
        <v>311</v>
      </c>
      <c r="C5" t="s">
        <v>314</v>
      </c>
      <c r="D5" t="s">
        <v>553</v>
      </c>
      <c r="K5" s="66" t="s">
        <v>537</v>
      </c>
      <c r="O5">
        <v>740</v>
      </c>
      <c r="Q5" s="67">
        <v>740</v>
      </c>
    </row>
    <row r="6" spans="1:17" x14ac:dyDescent="0.25">
      <c r="A6" s="57" t="s">
        <v>512</v>
      </c>
      <c r="B6" s="84">
        <v>22</v>
      </c>
      <c r="C6" s="84"/>
      <c r="D6" s="84">
        <v>22</v>
      </c>
      <c r="K6" s="66" t="s">
        <v>497</v>
      </c>
      <c r="L6">
        <v>2</v>
      </c>
      <c r="M6">
        <v>171</v>
      </c>
      <c r="O6">
        <v>206</v>
      </c>
      <c r="Q6" s="67">
        <v>379</v>
      </c>
    </row>
    <row r="7" spans="1:17" x14ac:dyDescent="0.25">
      <c r="A7" s="57" t="s">
        <v>497</v>
      </c>
      <c r="B7" s="84"/>
      <c r="C7" s="84">
        <v>1</v>
      </c>
      <c r="D7" s="84">
        <v>1</v>
      </c>
      <c r="K7" s="66" t="s">
        <v>502</v>
      </c>
      <c r="M7">
        <v>2</v>
      </c>
      <c r="O7">
        <v>9</v>
      </c>
      <c r="P7">
        <v>314</v>
      </c>
      <c r="Q7" s="67">
        <v>325</v>
      </c>
    </row>
    <row r="8" spans="1:17" x14ac:dyDescent="0.25">
      <c r="A8" s="57" t="s">
        <v>553</v>
      </c>
      <c r="B8" s="84">
        <v>22</v>
      </c>
      <c r="C8" s="84">
        <v>1</v>
      </c>
      <c r="D8" s="84">
        <v>23</v>
      </c>
      <c r="K8" s="66" t="s">
        <v>898</v>
      </c>
      <c r="N8">
        <v>300</v>
      </c>
      <c r="Q8" s="67">
        <v>300</v>
      </c>
    </row>
    <row r="9" spans="1:17" x14ac:dyDescent="0.25">
      <c r="K9" s="66" t="s">
        <v>152</v>
      </c>
      <c r="M9">
        <v>160</v>
      </c>
      <c r="O9">
        <v>34</v>
      </c>
      <c r="Q9" s="67">
        <v>194</v>
      </c>
    </row>
    <row r="10" spans="1:17" x14ac:dyDescent="0.25">
      <c r="K10" s="66" t="s">
        <v>638</v>
      </c>
      <c r="O10">
        <v>186</v>
      </c>
      <c r="Q10" s="67">
        <v>186</v>
      </c>
    </row>
    <row r="11" spans="1:17" x14ac:dyDescent="0.25">
      <c r="K11" s="66" t="s">
        <v>863</v>
      </c>
      <c r="O11">
        <v>108</v>
      </c>
      <c r="Q11" s="67">
        <v>108</v>
      </c>
    </row>
    <row r="12" spans="1:17" x14ac:dyDescent="0.25">
      <c r="K12" s="66" t="s">
        <v>684</v>
      </c>
      <c r="N12">
        <v>96</v>
      </c>
      <c r="Q12" s="67">
        <v>96</v>
      </c>
    </row>
    <row r="13" spans="1:17" x14ac:dyDescent="0.25">
      <c r="K13" s="66" t="s">
        <v>506</v>
      </c>
      <c r="M13">
        <v>49</v>
      </c>
      <c r="O13">
        <v>45</v>
      </c>
      <c r="Q13" s="67">
        <v>94</v>
      </c>
    </row>
    <row r="14" spans="1:17" x14ac:dyDescent="0.25">
      <c r="K14" s="66" t="s">
        <v>500</v>
      </c>
      <c r="O14">
        <v>90</v>
      </c>
      <c r="Q14" s="67">
        <v>90</v>
      </c>
    </row>
    <row r="15" spans="1:17" x14ac:dyDescent="0.25">
      <c r="K15" s="66" t="s">
        <v>527</v>
      </c>
      <c r="O15">
        <v>60</v>
      </c>
      <c r="Q15" s="67">
        <v>60</v>
      </c>
    </row>
    <row r="16" spans="1:17" x14ac:dyDescent="0.25">
      <c r="K16" s="66" t="s">
        <v>917</v>
      </c>
      <c r="M16">
        <v>43</v>
      </c>
      <c r="O16">
        <v>12</v>
      </c>
      <c r="Q16" s="67">
        <v>55</v>
      </c>
    </row>
    <row r="17" spans="11:17" x14ac:dyDescent="0.25">
      <c r="K17" s="66" t="s">
        <v>545</v>
      </c>
      <c r="N17">
        <v>42</v>
      </c>
      <c r="Q17" s="67">
        <v>42</v>
      </c>
    </row>
    <row r="18" spans="11:17" x14ac:dyDescent="0.25">
      <c r="K18" s="66" t="s">
        <v>518</v>
      </c>
      <c r="N18">
        <v>34</v>
      </c>
      <c r="Q18" s="67">
        <v>34</v>
      </c>
    </row>
    <row r="19" spans="11:17" x14ac:dyDescent="0.25">
      <c r="K19" s="66" t="s">
        <v>494</v>
      </c>
      <c r="M19">
        <v>1</v>
      </c>
      <c r="O19">
        <v>10</v>
      </c>
      <c r="Q19" s="67">
        <v>11</v>
      </c>
    </row>
    <row r="20" spans="11:17" x14ac:dyDescent="0.25">
      <c r="K20" s="66" t="s">
        <v>495</v>
      </c>
      <c r="O20">
        <v>9</v>
      </c>
      <c r="Q20" s="67">
        <v>9</v>
      </c>
    </row>
    <row r="21" spans="11:17" x14ac:dyDescent="0.25">
      <c r="K21" s="66" t="s">
        <v>554</v>
      </c>
      <c r="L21">
        <v>6</v>
      </c>
      <c r="Q21" s="67">
        <v>6</v>
      </c>
    </row>
    <row r="22" spans="11:17" x14ac:dyDescent="0.25">
      <c r="K22" s="66" t="s">
        <v>516</v>
      </c>
      <c r="N22">
        <v>4</v>
      </c>
      <c r="Q22" s="67">
        <v>4</v>
      </c>
    </row>
    <row r="23" spans="11:17" x14ac:dyDescent="0.25">
      <c r="K23" s="66" t="s">
        <v>901</v>
      </c>
      <c r="M23">
        <v>2</v>
      </c>
      <c r="Q23" s="67">
        <v>2</v>
      </c>
    </row>
    <row r="24" spans="11:17" x14ac:dyDescent="0.25">
      <c r="K24" s="66" t="s">
        <v>521</v>
      </c>
      <c r="O24">
        <v>1</v>
      </c>
      <c r="Q24" s="67">
        <v>1</v>
      </c>
    </row>
    <row r="25" spans="11:17" x14ac:dyDescent="0.25">
      <c r="K25" s="66" t="s">
        <v>525</v>
      </c>
      <c r="O25">
        <v>1</v>
      </c>
      <c r="Q25" s="67">
        <v>1</v>
      </c>
    </row>
    <row r="26" spans="11:17" x14ac:dyDescent="0.25">
      <c r="K26" s="68" t="s">
        <v>900</v>
      </c>
      <c r="L26" s="69"/>
      <c r="M26" s="69">
        <v>1</v>
      </c>
      <c r="N26" s="69"/>
      <c r="O26" s="69"/>
      <c r="P26" s="69"/>
      <c r="Q26" s="70">
        <v>1</v>
      </c>
    </row>
    <row r="27" spans="11:17" x14ac:dyDescent="0.25">
      <c r="K27" s="64" t="s">
        <v>553</v>
      </c>
      <c r="L27" s="65">
        <v>8</v>
      </c>
      <c r="M27" s="65">
        <v>429</v>
      </c>
      <c r="N27" s="65">
        <v>476</v>
      </c>
      <c r="O27" s="65">
        <v>1511</v>
      </c>
      <c r="P27" s="65">
        <v>314</v>
      </c>
      <c r="Q27" s="65">
        <v>2738</v>
      </c>
    </row>
  </sheetData>
  <mergeCells count="1">
    <mergeCell ref="K3:Q3"/>
  </mergeCell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196989-09AB-4841-92F6-AFEB7B6957C6}">
  <dimension ref="A1:B9"/>
  <sheetViews>
    <sheetView workbookViewId="0">
      <selection activeCell="B6" sqref="B6"/>
    </sheetView>
  </sheetViews>
  <sheetFormatPr defaultRowHeight="15" x14ac:dyDescent="0.25"/>
  <cols>
    <col min="1" max="1" width="16" bestFit="1" customWidth="1"/>
    <col min="2" max="2" width="31" bestFit="1" customWidth="1"/>
    <col min="3" max="4" width="13.5703125" bestFit="1" customWidth="1"/>
  </cols>
  <sheetData>
    <row r="1" spans="1:2" x14ac:dyDescent="0.25">
      <c r="A1" s="56" t="s">
        <v>1096</v>
      </c>
      <c r="B1" s="57">
        <v>2026</v>
      </c>
    </row>
    <row r="2" spans="1:2" x14ac:dyDescent="0.25">
      <c r="A2" s="56" t="s">
        <v>549</v>
      </c>
      <c r="B2" s="57">
        <v>3</v>
      </c>
    </row>
    <row r="4" spans="1:2" x14ac:dyDescent="0.25">
      <c r="A4" s="56" t="s">
        <v>552</v>
      </c>
      <c r="B4" t="s">
        <v>592</v>
      </c>
    </row>
    <row r="5" spans="1:2" x14ac:dyDescent="0.25">
      <c r="A5" s="57" t="s">
        <v>9</v>
      </c>
      <c r="B5">
        <v>22</v>
      </c>
    </row>
    <row r="6" spans="1:2" x14ac:dyDescent="0.25">
      <c r="A6" s="61" t="s">
        <v>917</v>
      </c>
      <c r="B6">
        <v>22</v>
      </c>
    </row>
    <row r="7" spans="1:2" x14ac:dyDescent="0.25">
      <c r="A7" s="57" t="s">
        <v>891</v>
      </c>
      <c r="B7">
        <v>1</v>
      </c>
    </row>
    <row r="8" spans="1:2" x14ac:dyDescent="0.25">
      <c r="A8" s="61" t="s">
        <v>497</v>
      </c>
      <c r="B8">
        <v>1</v>
      </c>
    </row>
    <row r="9" spans="1:2" x14ac:dyDescent="0.25">
      <c r="A9" s="57" t="s">
        <v>553</v>
      </c>
      <c r="B9">
        <v>23</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2BAB9-7113-4945-BA9A-F11E58E4DDC1}">
  <dimension ref="A2:E10"/>
  <sheetViews>
    <sheetView tabSelected="1" workbookViewId="0">
      <selection activeCell="C7" sqref="C7"/>
    </sheetView>
  </sheetViews>
  <sheetFormatPr defaultRowHeight="15" x14ac:dyDescent="0.25"/>
  <cols>
    <col min="1" max="1" width="31" bestFit="1" customWidth="1"/>
    <col min="2" max="2" width="18.42578125" bestFit="1" customWidth="1"/>
    <col min="3" max="3" width="5.42578125" bestFit="1" customWidth="1"/>
    <col min="4" max="4" width="6.5703125" bestFit="1" customWidth="1"/>
    <col min="5" max="5" width="13.5703125" bestFit="1" customWidth="1"/>
  </cols>
  <sheetData>
    <row r="2" spans="1:5" x14ac:dyDescent="0.25">
      <c r="A2" s="56" t="s">
        <v>1096</v>
      </c>
      <c r="B2" s="57">
        <v>2026</v>
      </c>
    </row>
    <row r="3" spans="1:5" x14ac:dyDescent="0.25">
      <c r="A3" s="56" t="s">
        <v>549</v>
      </c>
      <c r="B3" t="s">
        <v>538</v>
      </c>
    </row>
    <row r="5" spans="1:5" x14ac:dyDescent="0.25">
      <c r="A5" s="56" t="s">
        <v>592</v>
      </c>
      <c r="B5" s="56" t="s">
        <v>593</v>
      </c>
    </row>
    <row r="6" spans="1:5" x14ac:dyDescent="0.25">
      <c r="A6" s="56" t="s">
        <v>552</v>
      </c>
      <c r="B6" t="s">
        <v>681</v>
      </c>
      <c r="C6" t="s">
        <v>680</v>
      </c>
      <c r="D6" t="s">
        <v>682</v>
      </c>
      <c r="E6" t="s">
        <v>553</v>
      </c>
    </row>
    <row r="7" spans="1:5" x14ac:dyDescent="0.25">
      <c r="A7" s="57" t="s">
        <v>1095</v>
      </c>
      <c r="B7" s="84"/>
      <c r="C7" s="84">
        <v>112</v>
      </c>
      <c r="D7" s="84">
        <v>6</v>
      </c>
      <c r="E7" s="84">
        <v>118</v>
      </c>
    </row>
    <row r="8" spans="1:5" x14ac:dyDescent="0.25">
      <c r="A8" s="57" t="s">
        <v>14</v>
      </c>
      <c r="B8" s="84"/>
      <c r="C8" s="84">
        <v>1</v>
      </c>
      <c r="D8" s="84"/>
      <c r="E8" s="84">
        <v>1</v>
      </c>
    </row>
    <row r="9" spans="1:5" x14ac:dyDescent="0.25">
      <c r="A9" s="57" t="s">
        <v>15</v>
      </c>
      <c r="B9" s="84">
        <v>22</v>
      </c>
      <c r="C9" s="84"/>
      <c r="D9" s="84"/>
      <c r="E9" s="84">
        <v>22</v>
      </c>
    </row>
    <row r="10" spans="1:5" x14ac:dyDescent="0.25">
      <c r="A10" s="57" t="s">
        <v>553</v>
      </c>
      <c r="B10" s="84">
        <v>22</v>
      </c>
      <c r="C10" s="84">
        <v>113</v>
      </c>
      <c r="D10" s="84">
        <v>6</v>
      </c>
      <c r="E10" s="84">
        <v>141</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671D7-CA40-4783-ADF3-55413E8C9E37}">
  <dimension ref="A2:H9"/>
  <sheetViews>
    <sheetView topLeftCell="A3" zoomScale="115" zoomScaleNormal="115" workbookViewId="0">
      <selection activeCell="J6" sqref="J6"/>
    </sheetView>
  </sheetViews>
  <sheetFormatPr defaultRowHeight="15" x14ac:dyDescent="0.25"/>
  <cols>
    <col min="1" max="1" width="20.5703125" bestFit="1" customWidth="1"/>
    <col min="2" max="2" width="18.42578125" bestFit="1" customWidth="1"/>
    <col min="3" max="3" width="11.85546875" bestFit="1" customWidth="1"/>
    <col min="4" max="4" width="15.7109375" bestFit="1" customWidth="1"/>
    <col min="5" max="5" width="10.7109375" bestFit="1" customWidth="1"/>
    <col min="6" max="6" width="12.140625" bestFit="1" customWidth="1"/>
    <col min="7" max="7" width="16.85546875" bestFit="1" customWidth="1"/>
    <col min="8" max="8" width="13.5703125" bestFit="1" customWidth="1"/>
    <col min="9" max="9" width="16.85546875" bestFit="1" customWidth="1"/>
    <col min="10" max="10" width="13.5703125" bestFit="1" customWidth="1"/>
    <col min="11" max="11" width="8.85546875" bestFit="1" customWidth="1"/>
    <col min="12" max="12" width="12.140625" bestFit="1" customWidth="1"/>
    <col min="13" max="14" width="13.140625" bestFit="1" customWidth="1"/>
    <col min="15" max="15" width="16.85546875" bestFit="1" customWidth="1"/>
    <col min="16" max="16" width="13.5703125" bestFit="1" customWidth="1"/>
    <col min="17" max="17" width="22" bestFit="1" customWidth="1"/>
    <col min="18" max="18" width="15" bestFit="1" customWidth="1"/>
    <col min="19" max="19" width="9.28515625" bestFit="1" customWidth="1"/>
    <col min="20" max="20" width="8.85546875" bestFit="1" customWidth="1"/>
    <col min="21" max="21" width="13.140625" bestFit="1" customWidth="1"/>
    <col min="22" max="22" width="12.5703125" bestFit="1" customWidth="1"/>
    <col min="23" max="23" width="13.5703125" bestFit="1" customWidth="1"/>
    <col min="24" max="24" width="16" bestFit="1" customWidth="1"/>
    <col min="25" max="25" width="14" bestFit="1" customWidth="1"/>
    <col min="26" max="26" width="19.42578125" bestFit="1" customWidth="1"/>
    <col min="27" max="27" width="15" bestFit="1" customWidth="1"/>
    <col min="28" max="28" width="20.28515625" bestFit="1" customWidth="1"/>
    <col min="29" max="29" width="15" bestFit="1" customWidth="1"/>
    <col min="30" max="30" width="20.28515625" bestFit="1" customWidth="1"/>
    <col min="31" max="31" width="18.7109375" bestFit="1" customWidth="1"/>
    <col min="32" max="32" width="24.140625" bestFit="1" customWidth="1"/>
    <col min="33" max="33" width="13.5703125" bestFit="1" customWidth="1"/>
  </cols>
  <sheetData>
    <row r="2" spans="1:8" x14ac:dyDescent="0.25">
      <c r="A2" s="56" t="s">
        <v>310</v>
      </c>
      <c r="B2" t="s">
        <v>680</v>
      </c>
    </row>
    <row r="3" spans="1:8" x14ac:dyDescent="0.25">
      <c r="A3" s="56" t="s">
        <v>549</v>
      </c>
      <c r="B3" t="s">
        <v>538</v>
      </c>
    </row>
    <row r="5" spans="1:8" x14ac:dyDescent="0.25">
      <c r="A5" s="56" t="s">
        <v>921</v>
      </c>
      <c r="B5" s="56" t="s">
        <v>593</v>
      </c>
    </row>
    <row r="6" spans="1:8" x14ac:dyDescent="0.25">
      <c r="A6" s="56" t="s">
        <v>552</v>
      </c>
      <c r="B6" t="s">
        <v>545</v>
      </c>
      <c r="C6" t="s">
        <v>497</v>
      </c>
      <c r="D6" t="s">
        <v>865</v>
      </c>
      <c r="E6" t="s">
        <v>556</v>
      </c>
      <c r="F6" t="s">
        <v>525</v>
      </c>
      <c r="G6" t="s">
        <v>900</v>
      </c>
      <c r="H6" t="s">
        <v>553</v>
      </c>
    </row>
    <row r="7" spans="1:8" x14ac:dyDescent="0.25">
      <c r="A7" s="57" t="s">
        <v>580</v>
      </c>
      <c r="B7">
        <v>37</v>
      </c>
      <c r="C7">
        <v>1</v>
      </c>
      <c r="D7">
        <v>108</v>
      </c>
      <c r="E7">
        <v>5</v>
      </c>
      <c r="F7">
        <v>1</v>
      </c>
      <c r="G7">
        <v>1</v>
      </c>
      <c r="H7">
        <v>153</v>
      </c>
    </row>
    <row r="8" spans="1:8" x14ac:dyDescent="0.25">
      <c r="A8" s="57" t="s">
        <v>579</v>
      </c>
      <c r="C8">
        <v>221</v>
      </c>
      <c r="H8">
        <v>221</v>
      </c>
    </row>
    <row r="9" spans="1:8" x14ac:dyDescent="0.25">
      <c r="A9" s="57" t="s">
        <v>553</v>
      </c>
      <c r="B9">
        <v>37</v>
      </c>
      <c r="C9">
        <v>222</v>
      </c>
      <c r="D9">
        <v>108</v>
      </c>
      <c r="E9">
        <v>5</v>
      </c>
      <c r="F9">
        <v>1</v>
      </c>
      <c r="G9">
        <v>1</v>
      </c>
      <c r="H9">
        <v>374</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04BF3-F586-4242-B3BA-6A136991DC04}">
  <dimension ref="A1:D5"/>
  <sheetViews>
    <sheetView workbookViewId="0">
      <selection activeCell="D12" sqref="D12"/>
    </sheetView>
  </sheetViews>
  <sheetFormatPr defaultRowHeight="15" x14ac:dyDescent="0.25"/>
  <cols>
    <col min="1" max="1" width="18.42578125" bestFit="1" customWidth="1"/>
  </cols>
  <sheetData>
    <row r="1" spans="1:4" x14ac:dyDescent="0.25">
      <c r="A1" s="1"/>
    </row>
    <row r="2" spans="1:4" ht="48" x14ac:dyDescent="0.25">
      <c r="A2" t="s">
        <v>0</v>
      </c>
      <c r="B2" t="s">
        <v>3</v>
      </c>
      <c r="D2" s="3" t="s">
        <v>5</v>
      </c>
    </row>
    <row r="3" spans="1:4" ht="24" x14ac:dyDescent="0.25">
      <c r="A3" t="s">
        <v>1</v>
      </c>
      <c r="B3" t="s">
        <v>4</v>
      </c>
      <c r="D3" s="3" t="s">
        <v>6</v>
      </c>
    </row>
    <row r="4" spans="1:4" ht="36" x14ac:dyDescent="0.25">
      <c r="A4" t="s">
        <v>2</v>
      </c>
      <c r="B4" t="s">
        <v>2</v>
      </c>
      <c r="D4" s="3" t="s">
        <v>7</v>
      </c>
    </row>
    <row r="5" spans="1:4" x14ac:dyDescent="0.25">
      <c r="D5" s="2"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11</vt:i4>
      </vt:variant>
      <vt:variant>
        <vt:lpstr>Adlandırılmış Aralıklar</vt:lpstr>
      </vt:variant>
      <vt:variant>
        <vt:i4>7</vt:i4>
      </vt:variant>
    </vt:vector>
  </HeadingPairs>
  <TitlesOfParts>
    <vt:vector size="18" baseType="lpstr">
      <vt:lpstr>GENEL LİSTE</vt:lpstr>
      <vt:lpstr>BARKODLAR</vt:lpstr>
      <vt:lpstr>ÜRETİM ADETLERİ</vt:lpstr>
      <vt:lpstr>AYLIK ŞİKAYET DAĞILIMI</vt:lpstr>
      <vt:lpstr>ŞİKAYET MARKA DAĞILIMI</vt:lpstr>
      <vt:lpstr>HATA TİPİ ANALİZİ - MODÜL</vt:lpstr>
      <vt:lpstr>HATA TÜRLERİ VE FABRİKA</vt:lpstr>
      <vt:lpstr>MÜŞTERİ- ŞİKAYET BİLGİSİ</vt:lpstr>
      <vt:lpstr>KPI - MODÜL SAYISI FABRİKA</vt:lpstr>
      <vt:lpstr>İŞLEM DURUMLARI</vt:lpstr>
      <vt:lpstr>Sayfa2</vt:lpstr>
      <vt:lpstr>kurulum</vt:lpstr>
      <vt:lpstr>kurulumtipi</vt:lpstr>
      <vt:lpstr>kusur</vt:lpstr>
      <vt:lpstr>kusurlubilesen</vt:lpstr>
      <vt:lpstr>sorunzamanı</vt:lpstr>
      <vt:lpstr>BARKODLAR!Yazdırma_Alanı</vt:lpstr>
      <vt:lpstr>'GENEL LİSTE'!Yazdırma_Alanı</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Julide Oktar</dc:creator>
  <cp:lastModifiedBy>İlayda Erbulan</cp:lastModifiedBy>
  <cp:lastPrinted>2023-06-08T13:32:16Z</cp:lastPrinted>
  <dcterms:created xsi:type="dcterms:W3CDTF">2021-11-29T07:12:44Z</dcterms:created>
  <dcterms:modified xsi:type="dcterms:W3CDTF">2026-04-06T08:06:57Z</dcterms:modified>
</cp:coreProperties>
</file>