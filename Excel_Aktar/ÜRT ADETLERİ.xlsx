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0.0.10.70\kalite guvence\17-MUSTERI SIKAYETLERI\"/>
    </mc:Choice>
  </mc:AlternateContent>
  <xr:revisionPtr revIDLastSave="0" documentId="8_{BF6994F9-0CEC-4305-A8EF-5F5310E211D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3" i="2"/>
  <c r="I14" i="1"/>
  <c r="I6" i="1" l="1"/>
  <c r="K5" i="1"/>
</calcChain>
</file>

<file path=xl/sharedStrings.xml><?xml version="1.0" encoding="utf-8"?>
<sst xmlns="http://schemas.openxmlformats.org/spreadsheetml/2006/main" count="49" uniqueCount="23">
  <si>
    <t>Şikayet Yıl/Ay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</si>
  <si>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</si>
  <si>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</si>
  <si>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</si>
  <si>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</si>
  <si>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</si>
  <si>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</si>
  <si>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</si>
  <si>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</si>
  <si>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</si>
  <si>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</si>
  <si>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</si>
  <si>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</si>
  <si>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Toplam Modül Bazlı Müşteri Şikayetleri</t>
  </si>
  <si>
    <t>Haklı Modül Bazlı Müşteri Şikayetleri</t>
  </si>
  <si>
    <t>Devam Eden Modül Bazlı Müşteri Şikayetleri</t>
  </si>
  <si>
    <t>Haklı</t>
  </si>
  <si>
    <t>Devam Eden</t>
  </si>
  <si>
    <t>Toplam</t>
  </si>
  <si>
    <t>Üretim Adedi</t>
  </si>
  <si>
    <t>%</t>
  </si>
  <si>
    <t>HSA-1</t>
  </si>
  <si>
    <t>HSA-2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</si>
</sst>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0" fontId="0" fillId="4" borderId="8" xfId="0" applyFill="1" applyBorder="1"/>
    <xf numFmtId="0" fontId="0" fillId="2" borderId="3" xfId="0" applyFill="1" applyBorder="1"/>
    <xf numFmtId="0" fontId="0" fillId="2" borderId="6" xfId="0" applyFill="1" applyBorder="1"/>
    <xf numFmtId="0" fontId="0" fillId="3" borderId="4" xfId="0" applyFill="1" applyBorder="1"/>
    <xf numFmtId="0" fontId="0" fillId="0" borderId="1" xfId="0" applyBorder="1"/>
    <xf numFmtId="0" fontId="0" fillId="0" borderId="5" xfId="0" applyBorder="1"/>
    <xf numFmtId="0" fontId="0" fillId="3" borderId="9" xfId="0" applyFill="1" applyBorder="1"/>
    <xf numFmtId="0" fontId="0" fillId="0" borderId="2" xfId="0" applyBorder="1"/>
    <xf numFmtId="0" fontId="0" fillId="0" borderId="7" xfId="0" applyBorder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Normal 2" xfId="1" xr:uid="{216E7368-AB64-40C6-BFBB-9DD7FB73334B}"/>
    <cellStyle name="Normal 2 2 2 2 2 2 2 2 2 3" xfId="2" xr:uid="{C7F94824-3D73-4706-B6EE-4E351DB9492C}"/>
  </cellStyles>
  <dxfs count="5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9C3370C1-BF24-424F-8F94-0F1433AA89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7DB6A-5D6E-4226-B4C0-189AEC7B1C5E}" name="Tablo1" displayName="Tablo1" ref="A2:M7" totalsRowShown="0" headerRowDxfId="50" headerRowBorderDxfId="49" tableBorderDxfId="48" totalsRowBorderDxfId="47">
  <tableColumns count="13">
    <tableColumn id="1" xr3:uid="{E9BD6C3C-28DB-4EE3-BBB8-F30FEA56A1C3}" name="Şikayet Yıl/Ay" dataDxfId="46"/>
    <tableColumn id="2" xr3:uid="{2CD43AF4-3ACE-41D7-A693-FFAECDF7630E}" name="1" dataDxfId="45"/>
    <tableColumn id="3" xr3:uid="{FCF18E82-0968-430E-9398-E644BF8F7D96}" name="2" dataDxfId="44"/>
    <tableColumn id="4" xr3:uid="{AB3DF231-B3F3-4B83-8F5A-7A1E2DACCBA0}" name="3" dataDxfId="43"/>
    <tableColumn id="5" xr3:uid="{49BCBAF2-0C9E-4A0A-876D-163C57C9B480}" name="4" dataDxfId="42"/>
    <tableColumn id="6" xr3:uid="{D0ED4882-7D4D-4DE7-B978-B4497330452F}" name="5" dataDxfId="41"/>
    <tableColumn id="7" xr3:uid="{09F954F7-841C-435A-851A-90EB2A4484BA}" name="6" dataDxfId="40"/>
    <tableColumn id="8" xr3:uid="{7A9BADB9-E792-4139-A21D-8FFFBD82B896}" name="7" dataDxfId="39"/>
    <tableColumn id="9" xr3:uid="{642D339D-8A1E-4ADC-8F07-BD94EAA2BC5A}" name="8" dataDxfId="38"/>
    <tableColumn id="10" xr3:uid="{D60953FB-E365-4EFD-998E-26DF7897FDD4}" name="9" dataDxfId="37"/>
    <tableColumn id="11" xr3:uid="{8F7716CB-3D6D-4C5E-9BA8-4A52EF2DD238}" name="10" dataDxfId="36"/>
    <tableColumn id="12" xr3:uid="{CAADE216-D582-46C0-99E5-E8C5016ABED5}" name="11" dataDxfId="35"/>
    <tableColumn id="13" xr3:uid="{358466AE-7BCA-41A0-A3CD-D88F4BB3059D}" name="12" dataDxfId="3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D218D3-E416-49B5-960D-F5AB92A9B2C2}" name="Tablo13" displayName="Tablo13" ref="A10:M15" totalsRowShown="0" headerRowDxfId="33" headerRowBorderDxfId="32" tableBorderDxfId="31" totalsRowBorderDxfId="30">
  <tableColumns count="13">
    <tableColumn id="1" xr3:uid="{404C3D7F-7317-4B02-8EA8-E64E682F1213}" name="Şikayet Yıl/Ay" dataDxfId="29"/>
    <tableColumn id="2" xr3:uid="{3F4FBEAA-09EE-4E9B-A05A-BB0D6D6E8F34}" name="1" dataDxfId="28"/>
    <tableColumn id="3" xr3:uid="{0A6FF6FB-4FCA-455B-B218-04E2E974C985}" name="2" dataDxfId="27"/>
    <tableColumn id="4" xr3:uid="{6B851807-AEDA-41F2-80EB-269C48787EA7}" name="3" dataDxfId="26"/>
    <tableColumn id="5" xr3:uid="{59F2ADCC-085D-4BC5-9B9E-7FC62996A8AD}" name="4" dataDxfId="25"/>
    <tableColumn id="6" xr3:uid="{B61463BE-721B-41E5-8DC0-5046AC287BB5}" name="5" dataDxfId="24"/>
    <tableColumn id="7" xr3:uid="{7F5F6F23-1633-4BA5-BEB9-F1E3EA86421F}" name="6" dataDxfId="23"/>
    <tableColumn id="8" xr3:uid="{55E242DC-94B0-438C-8CCE-53D11D5A3BD5}" name="7" dataDxfId="22"/>
    <tableColumn id="9" xr3:uid="{1E18657E-3958-4AE5-AC9F-E96F862C5FEC}" name="8" dataDxfId="21"/>
    <tableColumn id="10" xr3:uid="{63A42F99-8C25-4AEB-AB30-3E576D5D0134}" name="9" dataDxfId="20"/>
    <tableColumn id="11" xr3:uid="{339009AC-C8D5-4FEA-B728-C7E882EC9453}" name="10" dataDxfId="19"/>
    <tableColumn id="12" xr3:uid="{FFE058D1-C9F1-4842-A45D-13C1F524E3C0}" name="11" dataDxfId="18"/>
    <tableColumn id="13" xr3:uid="{B4101148-1A3B-40A8-A904-FB60D458F3C9}" name="12" dataDxf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70F8C0-AEEE-40F0-B759-9F56E1D7F973}" name="Tablo134" displayName="Tablo134" ref="A18:M23" totalsRowShown="0" headerRowDxfId="16" headerRowBorderDxfId="15" tableBorderDxfId="14" totalsRowBorderDxfId="13">
  <tableColumns count="13">
    <tableColumn id="1" xr3:uid="{1F00321E-0694-41E5-8D64-BC8D1818A09B}" name="Şikayet Yıl/Ay" dataDxfId="12"/>
    <tableColumn id="2" xr3:uid="{4DBD405A-606E-49CC-B92A-3CE1C857A053}" name="1" dataDxfId="11"/>
    <tableColumn id="3" xr3:uid="{3B7B3E73-A7E0-45B0-BCCF-573EC63A6BB9}" name="2" dataDxfId="10"/>
    <tableColumn id="4" xr3:uid="{63931DA7-85C7-45C0-94C4-85598F728881}" name="3" dataDxfId="9"/>
    <tableColumn id="5" xr3:uid="{099E58C0-11FF-4945-B12A-458493C521E6}" name="4" dataDxfId="8"/>
    <tableColumn id="6" xr3:uid="{4571762B-9475-4DDF-83E0-5D58F8BC12F4}" name="5" dataDxfId="7"/>
    <tableColumn id="7" xr3:uid="{48FFDE77-9442-4744-BC4C-8E5669D68A8D}" name="6" dataDxfId="6"/>
    <tableColumn id="8" xr3:uid="{57DF4C43-6230-4EB6-BF75-809ACF3BBE78}" name="7" dataDxfId="5"/>
    <tableColumn id="9" xr3:uid="{38B8BC5E-2444-4B19-8029-D39882371CCB}" name="8" dataDxfId="4"/>
    <tableColumn id="10" xr3:uid="{9249A4EE-7B45-409C-B23F-0E87C653432D}" name="9" dataDxfId="3"/>
    <tableColumn id="11" xr3:uid="{665E5D06-DA07-4694-AE17-99DB9C75E871}" name="10" dataDxfId="2"/>
    <tableColumn id="12" xr3:uid="{1517C32B-3D4D-41DC-89EE-6DF5579EDB0F}" name="11" dataDxfId="1"/>
    <tableColumn id="13" xr3:uid="{7374E633-6FFE-4E62-8DD0-47A9D2A160B9}" name="1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workbookViewId="0">
      <selection activeCell="F22" sqref="F22"/>
    </sheetView>
  </sheetViews>
  <sheetFormatPr defaultRowHeight="15" x14ac:dyDescent="0.25"/>
  <cols>
    <col min="1" max="1" width="13.7109375" customWidth="1"/>
  </cols>
  <sheetData>
    <row r="1" spans="1:13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</row>
    <row r="3" spans="1:13" x14ac:dyDescent="0.25">
      <c r="A3" s="4">
        <v>2021</v>
      </c>
      <c r="B3" s="5"/>
      <c r="C3" s="5"/>
      <c r="D3" s="5"/>
      <c r="E3" s="5"/>
      <c r="F3" s="5"/>
      <c r="G3" s="5"/>
      <c r="H3" s="5"/>
      <c r="I3" s="5"/>
      <c r="J3" s="5"/>
      <c r="K3" s="5">
        <v>1</v>
      </c>
      <c r="L3" s="5"/>
      <c r="M3" s="6"/>
    </row>
    <row r="4" spans="1:13" x14ac:dyDescent="0.25">
      <c r="A4" s="4">
        <v>2022</v>
      </c>
      <c r="B4" s="5"/>
      <c r="C4" s="5"/>
      <c r="D4" s="5">
        <v>4</v>
      </c>
      <c r="E4" s="5"/>
      <c r="F4" s="5"/>
      <c r="G4" s="5">
        <v>8</v>
      </c>
      <c r="H4" s="5">
        <v>2</v>
      </c>
      <c r="I4" s="5">
        <v>36</v>
      </c>
      <c r="J4" s="5">
        <v>3</v>
      </c>
      <c r="K4" s="5">
        <v>0</v>
      </c>
      <c r="L4" s="5">
        <v>8</v>
      </c>
      <c r="M4" s="6">
        <v>127</v>
      </c>
    </row>
    <row r="5" spans="1:13" x14ac:dyDescent="0.25">
      <c r="A5" s="4">
        <v>2023</v>
      </c>
      <c r="B5" s="5"/>
      <c r="C5" s="5">
        <v>17</v>
      </c>
      <c r="D5" s="5">
        <v>97</v>
      </c>
      <c r="E5" s="5">
        <v>29</v>
      </c>
      <c r="F5" s="5">
        <v>134</v>
      </c>
      <c r="G5" s="5">
        <v>47</v>
      </c>
      <c r="H5" s="5">
        <v>0</v>
      </c>
      <c r="I5" s="5">
        <v>154</v>
      </c>
      <c r="J5" s="5">
        <v>22</v>
      </c>
      <c r="K5" s="5">
        <f>24+131</f>
        <v>155</v>
      </c>
      <c r="L5" s="5">
        <v>143</v>
      </c>
      <c r="M5" s="6">
        <v>388</v>
      </c>
    </row>
    <row r="6" spans="1:13" x14ac:dyDescent="0.25">
      <c r="A6" s="4">
        <v>2024</v>
      </c>
      <c r="B6" s="5">
        <v>41</v>
      </c>
      <c r="C6" s="5">
        <v>4</v>
      </c>
      <c r="D6" s="5">
        <v>12</v>
      </c>
      <c r="E6" s="5">
        <v>26</v>
      </c>
      <c r="F6" s="5">
        <v>60</v>
      </c>
      <c r="G6" s="5">
        <v>170</v>
      </c>
      <c r="H6" s="5">
        <v>69</v>
      </c>
      <c r="I6" s="5">
        <f>38+81</f>
        <v>119</v>
      </c>
      <c r="J6" s="5">
        <v>45</v>
      </c>
      <c r="K6" s="5">
        <v>85</v>
      </c>
      <c r="L6" s="5">
        <v>19</v>
      </c>
      <c r="M6" s="6">
        <v>72</v>
      </c>
    </row>
    <row r="7" spans="1:13" x14ac:dyDescent="0.25">
      <c r="A7" s="7">
        <v>2025</v>
      </c>
      <c r="B7" s="8">
        <v>50</v>
      </c>
      <c r="C7" s="8">
        <v>6</v>
      </c>
      <c r="D7" s="8">
        <v>6</v>
      </c>
      <c r="E7" s="8">
        <v>73</v>
      </c>
      <c r="F7" s="8">
        <v>145</v>
      </c>
      <c r="G7" s="8">
        <v>18</v>
      </c>
      <c r="H7" s="8">
        <v>233</v>
      </c>
      <c r="I7" s="8">
        <v>1171</v>
      </c>
      <c r="J7" s="8">
        <v>485</v>
      </c>
      <c r="K7" s="8">
        <v>353</v>
      </c>
      <c r="L7" s="8">
        <v>90</v>
      </c>
      <c r="M7" s="9">
        <v>101</v>
      </c>
    </row>
    <row r="9" spans="1:13" x14ac:dyDescent="0.25">
      <c r="A9" s="10" t="s">
        <v>14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3" t="s">
        <v>12</v>
      </c>
    </row>
    <row r="11" spans="1:13" x14ac:dyDescent="0.25">
      <c r="A11" s="4">
        <v>2021</v>
      </c>
      <c r="B11" s="5"/>
      <c r="C11" s="5"/>
      <c r="D11" s="5"/>
      <c r="E11" s="5"/>
      <c r="F11" s="5"/>
      <c r="G11" s="5"/>
      <c r="H11" s="5"/>
      <c r="I11" s="5"/>
      <c r="J11" s="5"/>
      <c r="K11" s="5">
        <v>1</v>
      </c>
      <c r="L11" s="5"/>
      <c r="M11" s="6"/>
    </row>
    <row r="12" spans="1:13" x14ac:dyDescent="0.25">
      <c r="A12" s="4">
        <v>2022</v>
      </c>
      <c r="B12" s="5"/>
      <c r="C12" s="5"/>
      <c r="D12" s="5">
        <v>4</v>
      </c>
      <c r="E12" s="5"/>
      <c r="F12" s="5"/>
      <c r="G12" s="5">
        <v>6</v>
      </c>
      <c r="H12" s="5">
        <v>0</v>
      </c>
      <c r="I12" s="5">
        <v>20</v>
      </c>
      <c r="J12" s="5">
        <v>1</v>
      </c>
      <c r="K12" s="5">
        <v>0</v>
      </c>
      <c r="L12" s="5">
        <v>8</v>
      </c>
      <c r="M12" s="6">
        <v>127</v>
      </c>
    </row>
    <row r="13" spans="1:13" x14ac:dyDescent="0.25">
      <c r="A13" s="4">
        <v>2023</v>
      </c>
      <c r="B13" s="5"/>
      <c r="C13" s="5">
        <v>9</v>
      </c>
      <c r="D13" s="5">
        <v>57</v>
      </c>
      <c r="E13" s="5">
        <v>14</v>
      </c>
      <c r="F13" s="5">
        <v>83</v>
      </c>
      <c r="G13" s="5">
        <v>45</v>
      </c>
      <c r="H13" s="5">
        <v>0</v>
      </c>
      <c r="I13" s="5">
        <v>30</v>
      </c>
      <c r="J13" s="5">
        <v>0</v>
      </c>
      <c r="K13" s="5">
        <v>122</v>
      </c>
      <c r="L13" s="5">
        <v>40</v>
      </c>
      <c r="M13" s="6">
        <v>323</v>
      </c>
    </row>
    <row r="14" spans="1:13" x14ac:dyDescent="0.25">
      <c r="A14" s="4">
        <v>2024</v>
      </c>
      <c r="B14" s="5">
        <v>27</v>
      </c>
      <c r="C14" s="5">
        <v>1</v>
      </c>
      <c r="D14" s="5">
        <v>2</v>
      </c>
      <c r="E14" s="5">
        <v>9</v>
      </c>
      <c r="F14" s="5">
        <v>15</v>
      </c>
      <c r="G14" s="5">
        <v>165</v>
      </c>
      <c r="H14" s="5">
        <v>35</v>
      </c>
      <c r="I14" s="5">
        <f>38+77</f>
        <v>115</v>
      </c>
      <c r="J14" s="5">
        <v>28</v>
      </c>
      <c r="K14" s="5">
        <v>30</v>
      </c>
      <c r="L14" s="5">
        <v>15</v>
      </c>
      <c r="M14" s="6">
        <v>35</v>
      </c>
    </row>
    <row r="15" spans="1:13" x14ac:dyDescent="0.25">
      <c r="A15" s="7">
        <v>2025</v>
      </c>
      <c r="B15" s="8">
        <v>49</v>
      </c>
      <c r="C15" s="8">
        <v>3</v>
      </c>
      <c r="D15" s="8">
        <v>6</v>
      </c>
      <c r="E15" s="8">
        <v>73</v>
      </c>
      <c r="F15" s="8">
        <v>101</v>
      </c>
      <c r="G15" s="8">
        <v>6</v>
      </c>
      <c r="H15" s="8">
        <v>4</v>
      </c>
      <c r="I15" s="8">
        <v>91</v>
      </c>
      <c r="J15" s="8">
        <v>256</v>
      </c>
      <c r="K15" s="8">
        <v>49</v>
      </c>
      <c r="L15" s="8">
        <v>90</v>
      </c>
      <c r="M15" s="9">
        <v>6</v>
      </c>
    </row>
    <row r="17" spans="1:13" x14ac:dyDescent="0.25">
      <c r="A17" s="10" t="s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25">
      <c r="A18" s="1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3" t="s">
        <v>12</v>
      </c>
    </row>
    <row r="19" spans="1:13" x14ac:dyDescent="0.25">
      <c r="A19" s="4">
        <v>2021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</row>
    <row r="20" spans="1:13" x14ac:dyDescent="0.25">
      <c r="A20" s="4">
        <v>2022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13" x14ac:dyDescent="0.25">
      <c r="A21" s="4">
        <v>2023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/>
      <c r="J21" s="5">
        <v>0</v>
      </c>
      <c r="K21" s="5">
        <v>0</v>
      </c>
      <c r="L21" s="5">
        <v>0</v>
      </c>
      <c r="M21" s="6">
        <v>0</v>
      </c>
    </row>
    <row r="22" spans="1:13" x14ac:dyDescent="0.25">
      <c r="A22" s="4">
        <v>2024</v>
      </c>
      <c r="B22" s="5">
        <v>0</v>
      </c>
      <c r="C22" s="5">
        <v>0</v>
      </c>
      <c r="D22" s="5">
        <v>0</v>
      </c>
      <c r="E22" s="5">
        <v>0</v>
      </c>
      <c r="F22" s="5">
        <v>10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6">
        <v>0</v>
      </c>
    </row>
    <row r="23" spans="1:13" x14ac:dyDescent="0.25">
      <c r="A23" s="7">
        <v>2025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14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9">
        <v>89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97DE-3823-41FF-9AAC-DC2D57DF473D}">
  <dimension ref="B2:J74"/>
  <sheetViews>
    <sheetView tabSelected="1" topLeftCell="A43" workbookViewId="0">
      <selection activeCell="P56" sqref="P56"/>
    </sheetView>
  </sheetViews>
  <sheetFormatPr defaultRowHeight="15" x14ac:dyDescent="0.25"/>
  <cols>
    <col min="1" max="1" width="3" customWidth="1"/>
    <col min="3" max="3" width="3.140625" bestFit="1" customWidth="1"/>
    <col min="4" max="4" width="5.28515625" bestFit="1" customWidth="1"/>
    <col min="5" max="5" width="12" bestFit="1" customWidth="1"/>
    <col min="6" max="6" width="7.5703125" bestFit="1" customWidth="1"/>
    <col min="7" max="8" width="7.5703125" style="11" customWidth="1"/>
    <col min="9" max="9" width="12.85546875" style="11" bestFit="1" customWidth="1"/>
    <col min="10" max="10" width="2.5703125" bestFit="1" customWidth="1"/>
  </cols>
  <sheetData>
    <row r="2" spans="2:10" x14ac:dyDescent="0.25">
      <c r="B2" s="5"/>
      <c r="C2" s="5"/>
      <c r="D2" s="5" t="s">
        <v>16</v>
      </c>
      <c r="E2" s="5" t="s">
        <v>17</v>
      </c>
      <c r="F2" s="5" t="s">
        <v>18</v>
      </c>
      <c r="G2" s="12" t="s">
        <v>21</v>
      </c>
      <c r="H2" s="12" t="s">
        <v>22</v>
      </c>
      <c r="I2" s="12" t="s">
        <v>19</v>
      </c>
      <c r="J2" s="5" t="s">
        <v>20</v>
      </c>
    </row>
    <row r="3" spans="2:10" x14ac:dyDescent="0.25">
      <c r="B3" s="14">
        <v>2021</v>
      </c>
      <c r="C3" s="12">
        <v>1</v>
      </c>
      <c r="D3" s="5"/>
      <c r="E3" s="5"/>
      <c r="F3" s="5"/>
      <c r="G3" s="13"/>
      <c r="H3" s="13"/>
      <c r="I3" s="12">
        <f>G3+H3</f>
        <v>0</v>
      </c>
      <c r="J3" s="5"/>
    </row>
    <row r="4" spans="2:10" x14ac:dyDescent="0.25">
      <c r="B4" s="14"/>
      <c r="C4" s="12">
        <v>2</v>
      </c>
      <c r="D4" s="5"/>
      <c r="E4" s="5"/>
      <c r="F4" s="5"/>
      <c r="G4" s="13"/>
      <c r="H4" s="13"/>
      <c r="I4" s="12">
        <f t="shared" ref="I4:I67" si="0">G4+H4</f>
        <v>0</v>
      </c>
      <c r="J4" s="5"/>
    </row>
    <row r="5" spans="2:10" x14ac:dyDescent="0.25">
      <c r="B5" s="14"/>
      <c r="C5" s="12">
        <v>3</v>
      </c>
      <c r="D5" s="5"/>
      <c r="E5" s="5"/>
      <c r="F5" s="5"/>
      <c r="G5" s="13"/>
      <c r="H5" s="13"/>
      <c r="I5" s="12">
        <f t="shared" si="0"/>
        <v>0</v>
      </c>
      <c r="J5" s="5"/>
    </row>
    <row r="6" spans="2:10" x14ac:dyDescent="0.25">
      <c r="B6" s="14"/>
      <c r="C6" s="12">
        <v>4</v>
      </c>
      <c r="D6" s="5"/>
      <c r="E6" s="5"/>
      <c r="F6" s="5"/>
      <c r="G6" s="13"/>
      <c r="H6" s="13"/>
      <c r="I6" s="12">
        <f t="shared" si="0"/>
        <v>0</v>
      </c>
      <c r="J6" s="5"/>
    </row>
    <row r="7" spans="2:10" x14ac:dyDescent="0.25">
      <c r="B7" s="14"/>
      <c r="C7" s="12">
        <v>5</v>
      </c>
      <c r="D7" s="5"/>
      <c r="E7" s="5"/>
      <c r="F7" s="5"/>
      <c r="G7" s="13"/>
      <c r="H7" s="13"/>
      <c r="I7" s="12">
        <f t="shared" si="0"/>
        <v>0</v>
      </c>
      <c r="J7" s="5"/>
    </row>
    <row r="8" spans="2:10" x14ac:dyDescent="0.25">
      <c r="B8" s="14"/>
      <c r="C8" s="12">
        <v>6</v>
      </c>
      <c r="D8" s="5"/>
      <c r="E8" s="5"/>
      <c r="F8" s="5"/>
      <c r="G8" s="13"/>
      <c r="H8" s="13"/>
      <c r="I8" s="12">
        <f t="shared" si="0"/>
        <v>0</v>
      </c>
      <c r="J8" s="5"/>
    </row>
    <row r="9" spans="2:10" x14ac:dyDescent="0.25">
      <c r="B9" s="14"/>
      <c r="C9" s="12">
        <v>7</v>
      </c>
      <c r="D9" s="5"/>
      <c r="E9" s="5"/>
      <c r="F9" s="5"/>
      <c r="G9" s="13"/>
      <c r="H9" s="13"/>
      <c r="I9" s="12">
        <f t="shared" si="0"/>
        <v>0</v>
      </c>
      <c r="J9" s="5"/>
    </row>
    <row r="10" spans="2:10" x14ac:dyDescent="0.25">
      <c r="B10" s="14"/>
      <c r="C10" s="12">
        <v>8</v>
      </c>
      <c r="D10" s="5"/>
      <c r="E10" s="5"/>
      <c r="F10" s="5"/>
      <c r="G10" s="13"/>
      <c r="H10" s="13"/>
      <c r="I10" s="12">
        <f t="shared" si="0"/>
        <v>0</v>
      </c>
      <c r="J10" s="5"/>
    </row>
    <row r="11" spans="2:10" x14ac:dyDescent="0.25">
      <c r="B11" s="14"/>
      <c r="C11" s="12">
        <v>9</v>
      </c>
      <c r="D11" s="5"/>
      <c r="E11" s="5"/>
      <c r="F11" s="5"/>
      <c r="G11" s="12">
        <v>9259</v>
      </c>
      <c r="H11" s="13"/>
      <c r="I11" s="12">
        <f t="shared" si="0"/>
        <v>9259</v>
      </c>
      <c r="J11" s="5"/>
    </row>
    <row r="12" spans="2:10" x14ac:dyDescent="0.25">
      <c r="B12" s="14"/>
      <c r="C12" s="12">
        <v>10</v>
      </c>
      <c r="D12" s="5"/>
      <c r="E12" s="5"/>
      <c r="F12" s="5"/>
      <c r="G12" s="12">
        <v>6081</v>
      </c>
      <c r="H12" s="13"/>
      <c r="I12" s="12">
        <f t="shared" si="0"/>
        <v>6081</v>
      </c>
      <c r="J12" s="5"/>
    </row>
    <row r="13" spans="2:10" x14ac:dyDescent="0.25">
      <c r="B13" s="14"/>
      <c r="C13" s="12">
        <v>11</v>
      </c>
      <c r="D13" s="5"/>
      <c r="E13" s="5"/>
      <c r="F13" s="5"/>
      <c r="G13" s="12">
        <v>5451</v>
      </c>
      <c r="H13" s="13"/>
      <c r="I13" s="12">
        <f t="shared" si="0"/>
        <v>5451</v>
      </c>
      <c r="J13" s="5"/>
    </row>
    <row r="14" spans="2:10" x14ac:dyDescent="0.25">
      <c r="B14" s="14"/>
      <c r="C14" s="12">
        <v>12</v>
      </c>
      <c r="D14" s="5"/>
      <c r="E14" s="5"/>
      <c r="F14" s="5"/>
      <c r="G14" s="12">
        <v>13091</v>
      </c>
      <c r="H14" s="13"/>
      <c r="I14" s="12">
        <f t="shared" si="0"/>
        <v>13091</v>
      </c>
      <c r="J14" s="5"/>
    </row>
    <row r="15" spans="2:10" x14ac:dyDescent="0.25">
      <c r="B15" s="14">
        <v>2022</v>
      </c>
      <c r="C15" s="12">
        <v>1</v>
      </c>
      <c r="D15" s="5"/>
      <c r="E15" s="5"/>
      <c r="F15" s="5"/>
      <c r="G15" s="12">
        <v>22303</v>
      </c>
      <c r="H15" s="13"/>
      <c r="I15" s="12">
        <f t="shared" si="0"/>
        <v>22303</v>
      </c>
      <c r="J15" s="5"/>
    </row>
    <row r="16" spans="2:10" x14ac:dyDescent="0.25">
      <c r="B16" s="14"/>
      <c r="C16" s="12">
        <v>2</v>
      </c>
      <c r="D16" s="5"/>
      <c r="E16" s="5"/>
      <c r="F16" s="5"/>
      <c r="G16" s="12">
        <v>19251</v>
      </c>
      <c r="H16" s="13"/>
      <c r="I16" s="12">
        <f t="shared" si="0"/>
        <v>19251</v>
      </c>
      <c r="J16" s="5"/>
    </row>
    <row r="17" spans="2:10" x14ac:dyDescent="0.25">
      <c r="B17" s="14"/>
      <c r="C17" s="12">
        <v>3</v>
      </c>
      <c r="D17" s="5"/>
      <c r="E17" s="5"/>
      <c r="F17" s="5"/>
      <c r="G17" s="12">
        <v>29363</v>
      </c>
      <c r="H17" s="13"/>
      <c r="I17" s="12">
        <f t="shared" si="0"/>
        <v>29363</v>
      </c>
      <c r="J17" s="5"/>
    </row>
    <row r="18" spans="2:10" x14ac:dyDescent="0.25">
      <c r="B18" s="14"/>
      <c r="C18" s="12">
        <v>4</v>
      </c>
      <c r="D18" s="5"/>
      <c r="E18" s="5"/>
      <c r="F18" s="5"/>
      <c r="G18" s="12">
        <v>28201</v>
      </c>
      <c r="H18" s="13"/>
      <c r="I18" s="12">
        <f t="shared" si="0"/>
        <v>28201</v>
      </c>
      <c r="J18" s="5"/>
    </row>
    <row r="19" spans="2:10" x14ac:dyDescent="0.25">
      <c r="B19" s="14"/>
      <c r="C19" s="12">
        <v>5</v>
      </c>
      <c r="D19" s="5"/>
      <c r="E19" s="5"/>
      <c r="F19" s="5"/>
      <c r="G19" s="12">
        <v>28256</v>
      </c>
      <c r="H19" s="13"/>
      <c r="I19" s="12">
        <f t="shared" si="0"/>
        <v>28256</v>
      </c>
      <c r="J19" s="5"/>
    </row>
    <row r="20" spans="2:10" x14ac:dyDescent="0.25">
      <c r="B20" s="14"/>
      <c r="C20" s="12">
        <v>6</v>
      </c>
      <c r="D20" s="5"/>
      <c r="E20" s="5"/>
      <c r="F20" s="5"/>
      <c r="G20" s="12">
        <v>28754</v>
      </c>
      <c r="H20" s="13"/>
      <c r="I20" s="12">
        <f t="shared" si="0"/>
        <v>28754</v>
      </c>
      <c r="J20" s="5"/>
    </row>
    <row r="21" spans="2:10" x14ac:dyDescent="0.25">
      <c r="B21" s="14"/>
      <c r="C21" s="12">
        <v>7</v>
      </c>
      <c r="D21" s="5"/>
      <c r="E21" s="5"/>
      <c r="F21" s="5"/>
      <c r="G21" s="12">
        <v>41563</v>
      </c>
      <c r="H21" s="13"/>
      <c r="I21" s="12">
        <f t="shared" si="0"/>
        <v>41563</v>
      </c>
      <c r="J21" s="5"/>
    </row>
    <row r="22" spans="2:10" x14ac:dyDescent="0.25">
      <c r="B22" s="14"/>
      <c r="C22" s="12">
        <v>8</v>
      </c>
      <c r="D22" s="5"/>
      <c r="E22" s="5"/>
      <c r="F22" s="5"/>
      <c r="G22" s="12">
        <v>48681</v>
      </c>
      <c r="H22" s="13"/>
      <c r="I22" s="12">
        <f t="shared" si="0"/>
        <v>48681</v>
      </c>
      <c r="J22" s="5"/>
    </row>
    <row r="23" spans="2:10" x14ac:dyDescent="0.25">
      <c r="B23" s="14"/>
      <c r="C23" s="12">
        <v>9</v>
      </c>
      <c r="D23" s="5"/>
      <c r="E23" s="5"/>
      <c r="F23" s="5"/>
      <c r="G23" s="12">
        <v>54055</v>
      </c>
      <c r="H23" s="13"/>
      <c r="I23" s="12">
        <f t="shared" si="0"/>
        <v>54055</v>
      </c>
      <c r="J23" s="5"/>
    </row>
    <row r="24" spans="2:10" x14ac:dyDescent="0.25">
      <c r="B24" s="14"/>
      <c r="C24" s="12">
        <v>10</v>
      </c>
      <c r="D24" s="5"/>
      <c r="E24" s="5"/>
      <c r="F24" s="5"/>
      <c r="G24" s="12">
        <v>53773</v>
      </c>
      <c r="H24" s="13"/>
      <c r="I24" s="12">
        <f t="shared" si="0"/>
        <v>53773</v>
      </c>
      <c r="J24" s="5"/>
    </row>
    <row r="25" spans="2:10" x14ac:dyDescent="0.25">
      <c r="B25" s="14"/>
      <c r="C25" s="12">
        <v>11</v>
      </c>
      <c r="D25" s="5"/>
      <c r="E25" s="5"/>
      <c r="F25" s="5"/>
      <c r="G25" s="12">
        <v>56788</v>
      </c>
      <c r="H25" s="12">
        <v>279</v>
      </c>
      <c r="I25" s="12">
        <f t="shared" si="0"/>
        <v>57067</v>
      </c>
      <c r="J25" s="5"/>
    </row>
    <row r="26" spans="2:10" x14ac:dyDescent="0.25">
      <c r="B26" s="14"/>
      <c r="C26" s="12">
        <v>12</v>
      </c>
      <c r="D26" s="5"/>
      <c r="E26" s="5"/>
      <c r="F26" s="5"/>
      <c r="G26" s="12">
        <v>58189</v>
      </c>
      <c r="H26" s="12">
        <v>19393</v>
      </c>
      <c r="I26" s="12">
        <f t="shared" si="0"/>
        <v>77582</v>
      </c>
      <c r="J26" s="5"/>
    </row>
    <row r="27" spans="2:10" x14ac:dyDescent="0.25">
      <c r="B27" s="14">
        <v>2023</v>
      </c>
      <c r="C27" s="12">
        <v>1</v>
      </c>
      <c r="D27" s="5"/>
      <c r="E27" s="5"/>
      <c r="F27" s="5"/>
      <c r="G27" s="12">
        <v>58214</v>
      </c>
      <c r="H27" s="12">
        <v>22162</v>
      </c>
      <c r="I27" s="12">
        <f t="shared" si="0"/>
        <v>80376</v>
      </c>
      <c r="J27" s="5"/>
    </row>
    <row r="28" spans="2:10" x14ac:dyDescent="0.25">
      <c r="B28" s="14"/>
      <c r="C28" s="12">
        <v>2</v>
      </c>
      <c r="D28" s="5"/>
      <c r="E28" s="5"/>
      <c r="F28" s="5"/>
      <c r="G28" s="12">
        <v>44691</v>
      </c>
      <c r="H28" s="12">
        <v>38526</v>
      </c>
      <c r="I28" s="12">
        <f t="shared" si="0"/>
        <v>83217</v>
      </c>
      <c r="J28" s="5"/>
    </row>
    <row r="29" spans="2:10" x14ac:dyDescent="0.25">
      <c r="B29" s="14"/>
      <c r="C29" s="12">
        <v>3</v>
      </c>
      <c r="D29" s="5"/>
      <c r="E29" s="5"/>
      <c r="F29" s="5"/>
      <c r="G29" s="12">
        <v>52364</v>
      </c>
      <c r="H29" s="12">
        <v>44268</v>
      </c>
      <c r="I29" s="12">
        <f t="shared" si="0"/>
        <v>96632</v>
      </c>
      <c r="J29" s="5"/>
    </row>
    <row r="30" spans="2:10" x14ac:dyDescent="0.25">
      <c r="B30" s="14"/>
      <c r="C30" s="12">
        <v>4</v>
      </c>
      <c r="D30" s="5"/>
      <c r="E30" s="5"/>
      <c r="F30" s="5"/>
      <c r="G30" s="12">
        <v>40585</v>
      </c>
      <c r="H30" s="12">
        <v>42847</v>
      </c>
      <c r="I30" s="12">
        <f t="shared" si="0"/>
        <v>83432</v>
      </c>
      <c r="J30" s="5"/>
    </row>
    <row r="31" spans="2:10" x14ac:dyDescent="0.25">
      <c r="B31" s="14"/>
      <c r="C31" s="12">
        <v>5</v>
      </c>
      <c r="D31" s="5"/>
      <c r="E31" s="5"/>
      <c r="F31" s="5"/>
      <c r="G31" s="12">
        <v>51655</v>
      </c>
      <c r="H31" s="12">
        <v>52781</v>
      </c>
      <c r="I31" s="12">
        <f t="shared" si="0"/>
        <v>104436</v>
      </c>
      <c r="J31" s="5"/>
    </row>
    <row r="32" spans="2:10" x14ac:dyDescent="0.25">
      <c r="B32" s="14"/>
      <c r="C32" s="12">
        <v>6</v>
      </c>
      <c r="D32" s="5"/>
      <c r="E32" s="5"/>
      <c r="F32" s="5"/>
      <c r="G32" s="12">
        <v>38317</v>
      </c>
      <c r="H32" s="12">
        <v>43649</v>
      </c>
      <c r="I32" s="12">
        <f t="shared" si="0"/>
        <v>81966</v>
      </c>
      <c r="J32" s="5"/>
    </row>
    <row r="33" spans="2:10" x14ac:dyDescent="0.25">
      <c r="B33" s="14"/>
      <c r="C33" s="12">
        <v>7</v>
      </c>
      <c r="D33" s="5"/>
      <c r="E33" s="5"/>
      <c r="F33" s="5"/>
      <c r="G33" s="12">
        <v>54219</v>
      </c>
      <c r="H33" s="12">
        <v>56230</v>
      </c>
      <c r="I33" s="12">
        <f t="shared" si="0"/>
        <v>110449</v>
      </c>
      <c r="J33" s="5"/>
    </row>
    <row r="34" spans="2:10" x14ac:dyDescent="0.25">
      <c r="B34" s="14"/>
      <c r="C34" s="12">
        <v>8</v>
      </c>
      <c r="D34" s="5"/>
      <c r="E34" s="5"/>
      <c r="F34" s="5"/>
      <c r="G34" s="12">
        <v>56606</v>
      </c>
      <c r="H34" s="12">
        <v>59796</v>
      </c>
      <c r="I34" s="12">
        <f t="shared" si="0"/>
        <v>116402</v>
      </c>
      <c r="J34" s="5"/>
    </row>
    <row r="35" spans="2:10" x14ac:dyDescent="0.25">
      <c r="B35" s="14"/>
      <c r="C35" s="12">
        <v>9</v>
      </c>
      <c r="D35" s="5"/>
      <c r="E35" s="5"/>
      <c r="F35" s="5"/>
      <c r="G35" s="12">
        <v>35954</v>
      </c>
      <c r="H35" s="12">
        <v>37864</v>
      </c>
      <c r="I35" s="12">
        <f t="shared" si="0"/>
        <v>73818</v>
      </c>
      <c r="J35" s="5"/>
    </row>
    <row r="36" spans="2:10" x14ac:dyDescent="0.25">
      <c r="B36" s="14"/>
      <c r="C36" s="12">
        <v>10</v>
      </c>
      <c r="D36" s="5"/>
      <c r="E36" s="5"/>
      <c r="F36" s="5"/>
      <c r="G36" s="12">
        <v>34237</v>
      </c>
      <c r="H36" s="12">
        <v>53705</v>
      </c>
      <c r="I36" s="12">
        <f t="shared" si="0"/>
        <v>87942</v>
      </c>
      <c r="J36" s="5"/>
    </row>
    <row r="37" spans="2:10" x14ac:dyDescent="0.25">
      <c r="B37" s="14"/>
      <c r="C37" s="12">
        <v>11</v>
      </c>
      <c r="D37" s="5"/>
      <c r="E37" s="5"/>
      <c r="F37" s="5"/>
      <c r="G37" s="12">
        <v>27996</v>
      </c>
      <c r="H37" s="12">
        <v>34854</v>
      </c>
      <c r="I37" s="12">
        <f t="shared" si="0"/>
        <v>62850</v>
      </c>
      <c r="J37" s="5"/>
    </row>
    <row r="38" spans="2:10" x14ac:dyDescent="0.25">
      <c r="B38" s="14"/>
      <c r="C38" s="12">
        <v>12</v>
      </c>
      <c r="D38" s="5"/>
      <c r="E38" s="5"/>
      <c r="F38" s="5"/>
      <c r="G38" s="12">
        <v>8712</v>
      </c>
      <c r="H38" s="12">
        <v>25520</v>
      </c>
      <c r="I38" s="12">
        <f t="shared" si="0"/>
        <v>34232</v>
      </c>
      <c r="J38" s="5"/>
    </row>
    <row r="39" spans="2:10" x14ac:dyDescent="0.25">
      <c r="B39" s="14">
        <v>2024</v>
      </c>
      <c r="C39" s="12">
        <v>1</v>
      </c>
      <c r="D39" s="5"/>
      <c r="E39" s="5"/>
      <c r="F39" s="5"/>
      <c r="G39" s="12">
        <v>11129</v>
      </c>
      <c r="H39" s="12">
        <v>29235</v>
      </c>
      <c r="I39" s="12">
        <f t="shared" si="0"/>
        <v>40364</v>
      </c>
      <c r="J39" s="5"/>
    </row>
    <row r="40" spans="2:10" x14ac:dyDescent="0.25">
      <c r="B40" s="14"/>
      <c r="C40" s="12">
        <v>2</v>
      </c>
      <c r="D40" s="5"/>
      <c r="E40" s="5"/>
      <c r="F40" s="5"/>
      <c r="G40" s="12">
        <v>12682</v>
      </c>
      <c r="H40" s="12">
        <v>28771</v>
      </c>
      <c r="I40" s="12">
        <f t="shared" si="0"/>
        <v>41453</v>
      </c>
      <c r="J40" s="5"/>
    </row>
    <row r="41" spans="2:10" x14ac:dyDescent="0.25">
      <c r="B41" s="14"/>
      <c r="C41" s="12">
        <v>3</v>
      </c>
      <c r="D41" s="5"/>
      <c r="E41" s="5"/>
      <c r="F41" s="5"/>
      <c r="G41" s="12">
        <v>0</v>
      </c>
      <c r="H41" s="12">
        <v>10947</v>
      </c>
      <c r="I41" s="12">
        <f t="shared" si="0"/>
        <v>10947</v>
      </c>
      <c r="J41" s="5"/>
    </row>
    <row r="42" spans="2:10" x14ac:dyDescent="0.25">
      <c r="B42" s="14"/>
      <c r="C42" s="12">
        <v>4</v>
      </c>
      <c r="D42" s="5"/>
      <c r="E42" s="5"/>
      <c r="F42" s="5"/>
      <c r="G42" s="12">
        <v>1859</v>
      </c>
      <c r="H42" s="12">
        <v>30912</v>
      </c>
      <c r="I42" s="12">
        <f t="shared" si="0"/>
        <v>32771</v>
      </c>
      <c r="J42" s="5"/>
    </row>
    <row r="43" spans="2:10" x14ac:dyDescent="0.25">
      <c r="B43" s="14"/>
      <c r="C43" s="12">
        <v>5</v>
      </c>
      <c r="D43" s="5"/>
      <c r="E43" s="5"/>
      <c r="F43" s="5"/>
      <c r="G43" s="12">
        <v>27217</v>
      </c>
      <c r="H43" s="12">
        <v>41798</v>
      </c>
      <c r="I43" s="12">
        <f t="shared" si="0"/>
        <v>69015</v>
      </c>
      <c r="J43" s="5"/>
    </row>
    <row r="44" spans="2:10" x14ac:dyDescent="0.25">
      <c r="B44" s="14"/>
      <c r="C44" s="12">
        <v>6</v>
      </c>
      <c r="D44" s="5"/>
      <c r="E44" s="5"/>
      <c r="F44" s="5"/>
      <c r="G44" s="12">
        <v>22029</v>
      </c>
      <c r="H44" s="12">
        <v>32499</v>
      </c>
      <c r="I44" s="12">
        <f t="shared" si="0"/>
        <v>54528</v>
      </c>
      <c r="J44" s="5"/>
    </row>
    <row r="45" spans="2:10" x14ac:dyDescent="0.25">
      <c r="B45" s="14"/>
      <c r="C45" s="12">
        <v>7</v>
      </c>
      <c r="D45" s="5"/>
      <c r="E45" s="5"/>
      <c r="F45" s="5"/>
      <c r="G45" s="12">
        <v>25423</v>
      </c>
      <c r="H45" s="12">
        <v>39840</v>
      </c>
      <c r="I45" s="12">
        <f t="shared" si="0"/>
        <v>65263</v>
      </c>
      <c r="J45" s="5"/>
    </row>
    <row r="46" spans="2:10" x14ac:dyDescent="0.25">
      <c r="B46" s="14"/>
      <c r="C46" s="12">
        <v>8</v>
      </c>
      <c r="D46" s="5"/>
      <c r="E46" s="5"/>
      <c r="F46" s="5"/>
      <c r="G46" s="12">
        <v>32840</v>
      </c>
      <c r="H46" s="12">
        <v>54045</v>
      </c>
      <c r="I46" s="12">
        <f t="shared" si="0"/>
        <v>86885</v>
      </c>
      <c r="J46" s="5"/>
    </row>
    <row r="47" spans="2:10" x14ac:dyDescent="0.25">
      <c r="B47" s="14"/>
      <c r="C47" s="12">
        <v>9</v>
      </c>
      <c r="D47" s="5"/>
      <c r="E47" s="5"/>
      <c r="F47" s="5"/>
      <c r="G47" s="12">
        <v>37796</v>
      </c>
      <c r="H47" s="12">
        <v>49843</v>
      </c>
      <c r="I47" s="12">
        <f t="shared" si="0"/>
        <v>87639</v>
      </c>
      <c r="J47" s="5"/>
    </row>
    <row r="48" spans="2:10" x14ac:dyDescent="0.25">
      <c r="B48" s="14"/>
      <c r="C48" s="12">
        <v>10</v>
      </c>
      <c r="D48" s="5"/>
      <c r="E48" s="5"/>
      <c r="F48" s="5"/>
      <c r="G48" s="12">
        <v>45390</v>
      </c>
      <c r="H48" s="12">
        <v>27833</v>
      </c>
      <c r="I48" s="12">
        <f t="shared" si="0"/>
        <v>73223</v>
      </c>
      <c r="J48" s="5"/>
    </row>
    <row r="49" spans="2:10" x14ac:dyDescent="0.25">
      <c r="B49" s="14"/>
      <c r="C49" s="12">
        <v>11</v>
      </c>
      <c r="D49" s="5"/>
      <c r="E49" s="5"/>
      <c r="F49" s="5"/>
      <c r="G49" s="12">
        <v>51622</v>
      </c>
      <c r="H49" s="12">
        <v>18816</v>
      </c>
      <c r="I49" s="12">
        <f t="shared" si="0"/>
        <v>70438</v>
      </c>
      <c r="J49" s="5"/>
    </row>
    <row r="50" spans="2:10" x14ac:dyDescent="0.25">
      <c r="B50" s="14"/>
      <c r="C50" s="12">
        <v>12</v>
      </c>
      <c r="D50" s="5"/>
      <c r="E50" s="5"/>
      <c r="F50" s="5"/>
      <c r="G50" s="12">
        <v>59241</v>
      </c>
      <c r="H50" s="12">
        <v>0</v>
      </c>
      <c r="I50" s="12">
        <f t="shared" si="0"/>
        <v>59241</v>
      </c>
      <c r="J50" s="5"/>
    </row>
    <row r="51" spans="2:10" x14ac:dyDescent="0.25">
      <c r="B51" s="14">
        <v>2025</v>
      </c>
      <c r="C51" s="12">
        <v>1</v>
      </c>
      <c r="D51" s="5"/>
      <c r="E51" s="5"/>
      <c r="F51" s="5"/>
      <c r="G51" s="12">
        <v>57772</v>
      </c>
      <c r="H51" s="12">
        <v>33997</v>
      </c>
      <c r="I51" s="12">
        <f t="shared" si="0"/>
        <v>91769</v>
      </c>
      <c r="J51" s="5"/>
    </row>
    <row r="52" spans="2:10" x14ac:dyDescent="0.25">
      <c r="B52" s="14"/>
      <c r="C52" s="12">
        <v>2</v>
      </c>
      <c r="D52" s="5"/>
      <c r="E52" s="5"/>
      <c r="F52" s="5"/>
      <c r="G52" s="12">
        <v>55694</v>
      </c>
      <c r="H52" s="12">
        <v>46152</v>
      </c>
      <c r="I52" s="12">
        <f t="shared" si="0"/>
        <v>101846</v>
      </c>
      <c r="J52" s="5"/>
    </row>
    <row r="53" spans="2:10" x14ac:dyDescent="0.25">
      <c r="B53" s="14"/>
      <c r="C53" s="12">
        <v>3</v>
      </c>
      <c r="D53" s="5"/>
      <c r="E53" s="5"/>
      <c r="F53" s="5"/>
      <c r="G53" s="12">
        <v>49354</v>
      </c>
      <c r="H53" s="12">
        <v>44454</v>
      </c>
      <c r="I53" s="12">
        <f t="shared" si="0"/>
        <v>93808</v>
      </c>
      <c r="J53" s="5"/>
    </row>
    <row r="54" spans="2:10" x14ac:dyDescent="0.25">
      <c r="B54" s="14"/>
      <c r="C54" s="12">
        <v>4</v>
      </c>
      <c r="D54" s="5"/>
      <c r="E54" s="5"/>
      <c r="F54" s="5"/>
      <c r="G54" s="12">
        <v>54059</v>
      </c>
      <c r="H54" s="12">
        <v>32404</v>
      </c>
      <c r="I54" s="12">
        <f t="shared" si="0"/>
        <v>86463</v>
      </c>
      <c r="J54" s="5"/>
    </row>
    <row r="55" spans="2:10" x14ac:dyDescent="0.25">
      <c r="B55" s="14"/>
      <c r="C55" s="12">
        <v>5</v>
      </c>
      <c r="D55" s="5"/>
      <c r="E55" s="5"/>
      <c r="F55" s="5"/>
      <c r="G55" s="12">
        <v>58016</v>
      </c>
      <c r="H55" s="12">
        <v>24748</v>
      </c>
      <c r="I55" s="12">
        <f t="shared" si="0"/>
        <v>82764</v>
      </c>
      <c r="J55" s="5"/>
    </row>
    <row r="56" spans="2:10" x14ac:dyDescent="0.25">
      <c r="B56" s="14"/>
      <c r="C56" s="12">
        <v>6</v>
      </c>
      <c r="D56" s="5"/>
      <c r="E56" s="5"/>
      <c r="F56" s="5"/>
      <c r="G56" s="12">
        <v>51892</v>
      </c>
      <c r="H56" s="12">
        <v>29361</v>
      </c>
      <c r="I56" s="12">
        <f t="shared" si="0"/>
        <v>81253</v>
      </c>
      <c r="J56" s="5"/>
    </row>
    <row r="57" spans="2:10" x14ac:dyDescent="0.25">
      <c r="B57" s="14"/>
      <c r="C57" s="12">
        <v>7</v>
      </c>
      <c r="D57" s="5"/>
      <c r="E57" s="5"/>
      <c r="F57" s="5"/>
      <c r="G57" s="12">
        <v>23199</v>
      </c>
      <c r="H57" s="12">
        <v>37745</v>
      </c>
      <c r="I57" s="12">
        <f t="shared" si="0"/>
        <v>60944</v>
      </c>
      <c r="J57" s="5"/>
    </row>
    <row r="58" spans="2:10" x14ac:dyDescent="0.25">
      <c r="B58" s="14"/>
      <c r="C58" s="12">
        <v>8</v>
      </c>
      <c r="D58" s="5"/>
      <c r="E58" s="5"/>
      <c r="F58" s="5"/>
      <c r="G58" s="12">
        <v>26431</v>
      </c>
      <c r="H58" s="12">
        <v>34789</v>
      </c>
      <c r="I58" s="12">
        <f t="shared" si="0"/>
        <v>61220</v>
      </c>
      <c r="J58" s="5"/>
    </row>
    <row r="59" spans="2:10" x14ac:dyDescent="0.25">
      <c r="B59" s="14"/>
      <c r="C59" s="12">
        <v>9</v>
      </c>
      <c r="D59" s="5"/>
      <c r="E59" s="5"/>
      <c r="F59" s="5"/>
      <c r="G59" s="12">
        <v>14913</v>
      </c>
      <c r="H59" s="12">
        <v>33410</v>
      </c>
      <c r="I59" s="12">
        <f t="shared" si="0"/>
        <v>48323</v>
      </c>
      <c r="J59" s="5"/>
    </row>
    <row r="60" spans="2:10" x14ac:dyDescent="0.25">
      <c r="B60" s="14"/>
      <c r="C60" s="12">
        <v>10</v>
      </c>
      <c r="D60" s="5"/>
      <c r="E60" s="5"/>
      <c r="F60" s="5"/>
      <c r="G60" s="12">
        <v>20382</v>
      </c>
      <c r="H60" s="12">
        <v>39771</v>
      </c>
      <c r="I60" s="12">
        <f t="shared" si="0"/>
        <v>60153</v>
      </c>
      <c r="J60" s="5"/>
    </row>
    <row r="61" spans="2:10" x14ac:dyDescent="0.25">
      <c r="B61" s="14"/>
      <c r="C61" s="12">
        <v>11</v>
      </c>
      <c r="D61" s="5"/>
      <c r="E61" s="5"/>
      <c r="F61" s="5"/>
      <c r="G61" s="12">
        <v>15072</v>
      </c>
      <c r="H61" s="12">
        <v>29712</v>
      </c>
      <c r="I61" s="12">
        <f t="shared" si="0"/>
        <v>44784</v>
      </c>
      <c r="J61" s="5"/>
    </row>
    <row r="62" spans="2:10" x14ac:dyDescent="0.25">
      <c r="B62" s="14"/>
      <c r="C62" s="12">
        <v>12</v>
      </c>
      <c r="D62" s="5"/>
      <c r="E62" s="5"/>
      <c r="F62" s="5"/>
      <c r="G62" s="12">
        <v>16439</v>
      </c>
      <c r="H62" s="12">
        <v>37781</v>
      </c>
      <c r="I62" s="12">
        <f t="shared" si="0"/>
        <v>54220</v>
      </c>
      <c r="J62" s="5"/>
    </row>
    <row r="63" spans="2:10" x14ac:dyDescent="0.25">
      <c r="B63" s="14">
        <v>2026</v>
      </c>
      <c r="C63" s="12">
        <v>1</v>
      </c>
      <c r="D63" s="5"/>
      <c r="E63" s="5"/>
      <c r="F63" s="5"/>
      <c r="G63" s="12">
        <v>19516</v>
      </c>
      <c r="H63" s="12">
        <v>21573</v>
      </c>
      <c r="I63" s="12">
        <f t="shared" si="0"/>
        <v>41089</v>
      </c>
      <c r="J63" s="5"/>
    </row>
    <row r="64" spans="2:10" x14ac:dyDescent="0.25">
      <c r="B64" s="14"/>
      <c r="C64" s="12">
        <v>2</v>
      </c>
      <c r="D64" s="5"/>
      <c r="E64" s="5"/>
      <c r="F64" s="5"/>
      <c r="G64" s="12">
        <v>16705</v>
      </c>
      <c r="H64" s="12">
        <v>17741</v>
      </c>
      <c r="I64" s="12">
        <f t="shared" si="0"/>
        <v>34446</v>
      </c>
      <c r="J64" s="5"/>
    </row>
    <row r="65" spans="2:10" x14ac:dyDescent="0.25">
      <c r="B65" s="14"/>
      <c r="C65" s="12">
        <v>3</v>
      </c>
      <c r="D65" s="5"/>
      <c r="E65" s="5"/>
      <c r="F65" s="5"/>
      <c r="G65" s="12"/>
      <c r="H65" s="12"/>
      <c r="I65" s="12">
        <f t="shared" si="0"/>
        <v>0</v>
      </c>
      <c r="J65" s="5"/>
    </row>
    <row r="66" spans="2:10" x14ac:dyDescent="0.25">
      <c r="B66" s="14"/>
      <c r="C66" s="12">
        <v>4</v>
      </c>
      <c r="D66" s="5"/>
      <c r="E66" s="5"/>
      <c r="F66" s="5"/>
      <c r="G66" s="12"/>
      <c r="H66" s="12"/>
      <c r="I66" s="12">
        <f t="shared" si="0"/>
        <v>0</v>
      </c>
      <c r="J66" s="5"/>
    </row>
    <row r="67" spans="2:10" x14ac:dyDescent="0.25">
      <c r="B67" s="14"/>
      <c r="C67" s="12">
        <v>5</v>
      </c>
      <c r="D67" s="5"/>
      <c r="E67" s="5"/>
      <c r="F67" s="5"/>
      <c r="G67" s="12"/>
      <c r="H67" s="12"/>
      <c r="I67" s="12">
        <f t="shared" si="0"/>
        <v>0</v>
      </c>
      <c r="J67" s="5"/>
    </row>
    <row r="68" spans="2:10" x14ac:dyDescent="0.25">
      <c r="B68" s="14"/>
      <c r="C68" s="12">
        <v>6</v>
      </c>
      <c r="D68" s="5"/>
      <c r="E68" s="5"/>
      <c r="F68" s="5"/>
      <c r="G68" s="12"/>
      <c r="H68" s="12"/>
      <c r="I68" s="12">
        <f t="shared" ref="I68:I74" si="1">G68+H68</f>
        <v>0</v>
      </c>
      <c r="J68" s="5"/>
    </row>
    <row r="69" spans="2:10" x14ac:dyDescent="0.25">
      <c r="B69" s="14"/>
      <c r="C69" s="12">
        <v>7</v>
      </c>
      <c r="D69" s="5"/>
      <c r="E69" s="5"/>
      <c r="F69" s="5"/>
      <c r="G69" s="12"/>
      <c r="H69" s="12"/>
      <c r="I69" s="12">
        <f t="shared" si="1"/>
        <v>0</v>
      </c>
      <c r="J69" s="5"/>
    </row>
    <row r="70" spans="2:10" x14ac:dyDescent="0.25">
      <c r="B70" s="14"/>
      <c r="C70" s="12">
        <v>8</v>
      </c>
      <c r="D70" s="5"/>
      <c r="E70" s="5"/>
      <c r="F70" s="5"/>
      <c r="G70" s="12"/>
      <c r="H70" s="12"/>
      <c r="I70" s="12">
        <f t="shared" si="1"/>
        <v>0</v>
      </c>
      <c r="J70" s="5"/>
    </row>
    <row r="71" spans="2:10" x14ac:dyDescent="0.25">
      <c r="B71" s="14"/>
      <c r="C71" s="12">
        <v>9</v>
      </c>
      <c r="D71" s="5"/>
      <c r="E71" s="5"/>
      <c r="F71" s="5"/>
      <c r="G71" s="12"/>
      <c r="H71" s="12"/>
      <c r="I71" s="12">
        <f t="shared" si="1"/>
        <v>0</v>
      </c>
      <c r="J71" s="5"/>
    </row>
    <row r="72" spans="2:10" x14ac:dyDescent="0.25">
      <c r="B72" s="14"/>
      <c r="C72" s="12">
        <v>10</v>
      </c>
      <c r="D72" s="5"/>
      <c r="E72" s="5"/>
      <c r="F72" s="5"/>
      <c r="G72" s="12"/>
      <c r="H72" s="12"/>
      <c r="I72" s="12">
        <f t="shared" si="1"/>
        <v>0</v>
      </c>
      <c r="J72" s="5"/>
    </row>
    <row r="73" spans="2:10" x14ac:dyDescent="0.25">
      <c r="B73" s="14"/>
      <c r="C73" s="12">
        <v>11</v>
      </c>
      <c r="D73" s="5"/>
      <c r="E73" s="5"/>
      <c r="F73" s="5"/>
      <c r="G73" s="12"/>
      <c r="H73" s="12"/>
      <c r="I73" s="12">
        <f t="shared" si="1"/>
        <v>0</v>
      </c>
      <c r="J73" s="5"/>
    </row>
    <row r="74" spans="2:10" x14ac:dyDescent="0.25">
      <c r="B74" s="14"/>
      <c r="C74" s="12">
        <v>12</v>
      </c>
      <c r="D74" s="5"/>
      <c r="E74" s="5"/>
      <c r="F74" s="5"/>
      <c r="G74" s="12"/>
      <c r="H74" s="12"/>
      <c r="I74" s="12">
        <f t="shared" si="1"/>
        <v>0</v>
      </c>
      <c r="J74" s="5"/>
    </row>
  </sheetData>
  <mergeCells count="6">
    <mergeCell ref="B63:B74"/>
    <mergeCell ref="B3:B14"/>
    <mergeCell ref="B15:B26"/>
    <mergeCell ref="B27:B38"/>
    <mergeCell ref="B39:B50"/>
    <mergeCell ref="B51:B6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STAJYER2</dc:creator>
  <cp:lastModifiedBy>İlayda Erbulan</cp:lastModifiedBy>
  <dcterms:created xsi:type="dcterms:W3CDTF">2015-06-05T18:19:34Z</dcterms:created>
  <dcterms:modified xsi:type="dcterms:W3CDTF">2026-04-17T07:41:50Z</dcterms:modified>
</cp:coreProperties>
</file>